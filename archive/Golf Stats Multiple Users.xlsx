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122a01115dfea8f/Projects/Golf Stats/"/>
    </mc:Choice>
  </mc:AlternateContent>
  <xr:revisionPtr revIDLastSave="5631" documentId="8_{9AE64634-5422-4F5B-895A-4A485BAD1836}" xr6:coauthVersionLast="47" xr6:coauthVersionMax="47" xr10:uidLastSave="{B455BA57-0B52-4781-9FE1-A067C37A3170}"/>
  <bookViews>
    <workbookView xWindow="28680" yWindow="-120" windowWidth="29040" windowHeight="16440" activeTab="2" xr2:uid="{29D98C93-66F8-403F-9C6D-13A90D39771D}"/>
  </bookViews>
  <sheets>
    <sheet name="Golf Scores" sheetId="2" r:id="rId1"/>
    <sheet name="Handicap" sheetId="4" r:id="rId2"/>
    <sheet name="Hole Log" sheetId="12" r:id="rId3"/>
    <sheet name="Golf Log" sheetId="5" r:id="rId4"/>
    <sheet name="Putt Log" sheetId="7" r:id="rId5"/>
    <sheet name="Fairway Log" sheetId="8" r:id="rId6"/>
    <sheet name="GIR Log" sheetId="9" r:id="rId7"/>
    <sheet name="Course Stats" sheetId="6" r:id="rId8"/>
    <sheet name="Course Yardages" sheetId="13" r:id="rId9"/>
    <sheet name="Course Handicaps" sheetId="14" r:id="rId10"/>
    <sheet name="Range Stats" sheetId="10" r:id="rId11"/>
    <sheet name="Rapsodo Course Stats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irLXhNIfuLRnr5Q/1pUa0j561f3A=="/>
    </ext>
  </extLst>
</workbook>
</file>

<file path=xl/calcChain.xml><?xml version="1.0" encoding="utf-8"?>
<calcChain xmlns="http://schemas.openxmlformats.org/spreadsheetml/2006/main">
  <c r="F25" i="6" l="1"/>
  <c r="Q1261" i="12" a="1"/>
  <c r="Q1260" i="12" a="1"/>
  <c r="Q1259" i="12" a="1"/>
  <c r="Q1258" i="12" a="1"/>
  <c r="Q1257" i="12" a="1"/>
  <c r="Q1256" i="12" a="1"/>
  <c r="Q1255" i="12" a="1"/>
  <c r="Q1254" i="12" a="1"/>
  <c r="Q1253" i="12" a="1"/>
  <c r="Q1252" i="12" a="1"/>
  <c r="Q1251" i="12" a="1"/>
  <c r="Q1250" i="12" a="1"/>
  <c r="Q1249" i="12" a="1"/>
  <c r="Q1248" i="12" a="1"/>
  <c r="Q1247" i="12" a="1"/>
  <c r="Q1246" i="12" a="1"/>
  <c r="Q1245" i="12" a="1"/>
  <c r="Q1244" i="12" a="1"/>
  <c r="Q1226" i="12" a="1"/>
  <c r="Q1227" i="12" a="1"/>
  <c r="Q1228" i="12" a="1"/>
  <c r="Q1229" i="12" a="1"/>
  <c r="Q1230" i="12" a="1"/>
  <c r="Q1231" i="12" a="1"/>
  <c r="Q1232" i="12" a="1"/>
  <c r="Q1233" i="12" a="1"/>
  <c r="Q1234" i="12" a="1"/>
  <c r="Q1235" i="12" a="1"/>
  <c r="Q1236" i="12" a="1"/>
  <c r="Q1237" i="12" a="1"/>
  <c r="Q1238" i="12" a="1"/>
  <c r="Q1239" i="12" a="1"/>
  <c r="Q1240" i="12" a="1"/>
  <c r="Q1241" i="12" a="1"/>
  <c r="Q1242" i="12" a="1"/>
  <c r="Q1243" i="12" a="1"/>
  <c r="Q1208" i="12" a="1"/>
  <c r="Q1209" i="12" a="1"/>
  <c r="Q1210" i="12" a="1"/>
  <c r="Q1211" i="12" a="1"/>
  <c r="Q1212" i="12" a="1"/>
  <c r="Q1213" i="12" a="1"/>
  <c r="Q1214" i="12" a="1"/>
  <c r="Q1215" i="12" a="1"/>
  <c r="Q1216" i="12" a="1"/>
  <c r="Q1217" i="12" a="1"/>
  <c r="Q1218" i="12" a="1"/>
  <c r="Q1219" i="12" a="1"/>
  <c r="Q1220" i="12" a="1"/>
  <c r="Q1221" i="12" a="1"/>
  <c r="Q1222" i="12" a="1"/>
  <c r="Q1223" i="12" a="1"/>
  <c r="Q1224" i="12" a="1"/>
  <c r="Q1225" i="12" a="1"/>
  <c r="Q1172" i="12" a="1"/>
  <c r="Q1173" i="12" a="1"/>
  <c r="Q1174" i="12" a="1"/>
  <c r="Q1175" i="12" a="1"/>
  <c r="Q1176" i="12" a="1"/>
  <c r="Q1177" i="12" a="1"/>
  <c r="Q1178" i="12" a="1"/>
  <c r="Q1179" i="12" a="1"/>
  <c r="Q1180" i="12" a="1"/>
  <c r="Q1181" i="12" a="1"/>
  <c r="Q1182" i="12" a="1"/>
  <c r="Q1183" i="12" a="1"/>
  <c r="Q1184" i="12" a="1"/>
  <c r="Q1185" i="12" a="1"/>
  <c r="Q1186" i="12" a="1"/>
  <c r="Q1187" i="12" a="1"/>
  <c r="Q1188" i="12" a="1"/>
  <c r="Q1189" i="12" a="1"/>
  <c r="Q1190" i="12" a="1"/>
  <c r="Q1191" i="12" a="1"/>
  <c r="Q1192" i="12" a="1"/>
  <c r="Q1193" i="12" a="1"/>
  <c r="Q1194" i="12" a="1"/>
  <c r="Q1195" i="12" a="1"/>
  <c r="Q1196" i="12" a="1"/>
  <c r="Q1197" i="12" a="1"/>
  <c r="Q1198" i="12" a="1"/>
  <c r="Q1199" i="12" a="1"/>
  <c r="Q1200" i="12" a="1"/>
  <c r="Q1201" i="12" a="1"/>
  <c r="Q1202" i="12" a="1"/>
  <c r="Q1203" i="12" a="1"/>
  <c r="Q1204" i="12" a="1"/>
  <c r="Q1205" i="12" a="1"/>
  <c r="Q1206" i="12" a="1"/>
  <c r="Q1207" i="12" a="1"/>
  <c r="Q1154" i="12" a="1"/>
  <c r="Q1155" i="12" a="1"/>
  <c r="Q1156" i="12" a="1"/>
  <c r="Q1157" i="12" a="1"/>
  <c r="Q1158" i="12" a="1"/>
  <c r="Q1159" i="12" a="1"/>
  <c r="Q1160" i="12" a="1"/>
  <c r="Q1161" i="12" a="1"/>
  <c r="Q1162" i="12" a="1"/>
  <c r="Q1163" i="12" a="1"/>
  <c r="Q1164" i="12" a="1"/>
  <c r="Q1165" i="12" a="1"/>
  <c r="Q1166" i="12" a="1"/>
  <c r="Q1167" i="12" a="1"/>
  <c r="Q1168" i="12" a="1"/>
  <c r="Q1169" i="12" a="1"/>
  <c r="Q1170" i="12" a="1"/>
  <c r="Q1171" i="12" a="1"/>
  <c r="Q1136" i="12" a="1"/>
  <c r="Q1137" i="12" a="1"/>
  <c r="Q1138" i="12" a="1"/>
  <c r="Q1139" i="12" a="1"/>
  <c r="Q1140" i="12" a="1"/>
  <c r="Q1141" i="12" a="1"/>
  <c r="Q1142" i="12" a="1"/>
  <c r="Q1143" i="12" a="1"/>
  <c r="Q1144" i="12" a="1"/>
  <c r="Q1145" i="12" a="1"/>
  <c r="Q1146" i="12" a="1"/>
  <c r="Q1147" i="12" a="1"/>
  <c r="Q1148" i="12" a="1"/>
  <c r="Q1149" i="12" a="1"/>
  <c r="Q1150" i="12" a="1"/>
  <c r="Q1151" i="12" a="1"/>
  <c r="Q1152" i="12" a="1"/>
  <c r="Q1153" i="12" a="1"/>
  <c r="Q1082" i="12" a="1"/>
  <c r="Q1083" i="12" a="1"/>
  <c r="Q1084" i="12" a="1"/>
  <c r="Q1085" i="12" a="1"/>
  <c r="Q1086" i="12" a="1"/>
  <c r="Q1087" i="12" a="1"/>
  <c r="Q1088" i="12" a="1"/>
  <c r="Q1089" i="12" a="1"/>
  <c r="Q1090" i="12" a="1"/>
  <c r="Q1091" i="12" a="1"/>
  <c r="Q1092" i="12" a="1"/>
  <c r="Q1093" i="12" a="1"/>
  <c r="Q1094" i="12" a="1"/>
  <c r="Q1095" i="12" a="1"/>
  <c r="Q1096" i="12" a="1"/>
  <c r="Q1097" i="12" a="1"/>
  <c r="Q1098" i="12" a="1"/>
  <c r="Q1099" i="12" a="1"/>
  <c r="Q1100" i="12" a="1"/>
  <c r="Q1101" i="12" a="1"/>
  <c r="Q1102" i="12" a="1"/>
  <c r="Q1103" i="12" a="1"/>
  <c r="Q1104" i="12" a="1"/>
  <c r="Q1105" i="12" a="1"/>
  <c r="Q1106" i="12" a="1"/>
  <c r="Q1107" i="12" a="1"/>
  <c r="Q1108" i="12" a="1"/>
  <c r="Q1109" i="12" a="1"/>
  <c r="Q1110" i="12" a="1"/>
  <c r="Q1111" i="12" a="1"/>
  <c r="Q1112" i="12" a="1"/>
  <c r="Q1113" i="12" a="1"/>
  <c r="Q1114" i="12" a="1"/>
  <c r="Q1115" i="12" a="1"/>
  <c r="Q1116" i="12" a="1"/>
  <c r="Q1117" i="12" a="1"/>
  <c r="Q1118" i="12" a="1"/>
  <c r="Q1119" i="12" a="1"/>
  <c r="Q1120" i="12" a="1"/>
  <c r="Q1121" i="12" a="1"/>
  <c r="Q1122" i="12" a="1"/>
  <c r="Q1123" i="12" a="1"/>
  <c r="Q1124" i="12" a="1"/>
  <c r="Q1125" i="12" a="1"/>
  <c r="Q1126" i="12" a="1"/>
  <c r="Q1127" i="12" a="1"/>
  <c r="Q1128" i="12" a="1"/>
  <c r="Q1129" i="12" a="1"/>
  <c r="Q1130" i="12" a="1"/>
  <c r="Q1131" i="12" a="1"/>
  <c r="Q1132" i="12" a="1"/>
  <c r="Q1133" i="12" a="1"/>
  <c r="Q1134" i="12" a="1"/>
  <c r="Q1135" i="12" a="1"/>
  <c r="Q848" i="12" a="1"/>
  <c r="Q849" i="12" a="1"/>
  <c r="Q850" i="12" a="1"/>
  <c r="Q851" i="12" a="1"/>
  <c r="Q852" i="12" a="1"/>
  <c r="Q853" i="12" a="1"/>
  <c r="Q854" i="12" a="1"/>
  <c r="Q855" i="12" a="1"/>
  <c r="Q856" i="12" a="1"/>
  <c r="Q857" i="12" a="1"/>
  <c r="Q858" i="12" a="1"/>
  <c r="Q859" i="12" a="1"/>
  <c r="Q860" i="12" a="1"/>
  <c r="Q861" i="12" a="1"/>
  <c r="Q862" i="12" a="1"/>
  <c r="Q863" i="12" a="1"/>
  <c r="Q864" i="12" a="1"/>
  <c r="Q865" i="12" a="1"/>
  <c r="Q866" i="12" a="1"/>
  <c r="Q867" i="12" a="1"/>
  <c r="Q868" i="12" a="1"/>
  <c r="Q869" i="12" a="1"/>
  <c r="Q870" i="12" a="1"/>
  <c r="Q871" i="12" a="1"/>
  <c r="Q872" i="12" a="1"/>
  <c r="Q873" i="12" a="1"/>
  <c r="Q874" i="12" a="1"/>
  <c r="Q875" i="12" a="1"/>
  <c r="Q876" i="12" a="1"/>
  <c r="Q877" i="12" a="1"/>
  <c r="Q878" i="12" a="1"/>
  <c r="Q879" i="12" a="1"/>
  <c r="Q880" i="12" a="1"/>
  <c r="Q881" i="12" a="1"/>
  <c r="Q882" i="12" a="1"/>
  <c r="Q883" i="12" a="1"/>
  <c r="Q884" i="12" a="1"/>
  <c r="Q885" i="12" a="1"/>
  <c r="Q886" i="12" a="1"/>
  <c r="Q887" i="12" a="1"/>
  <c r="Q888" i="12" a="1"/>
  <c r="Q889" i="12" a="1"/>
  <c r="Q890" i="12" a="1"/>
  <c r="Q891" i="12" a="1"/>
  <c r="Q892" i="12" a="1"/>
  <c r="Q893" i="12" a="1"/>
  <c r="Q894" i="12" a="1"/>
  <c r="Q895" i="12" a="1"/>
  <c r="Q896" i="12" a="1"/>
  <c r="Q897" i="12" a="1"/>
  <c r="Q898" i="12" a="1"/>
  <c r="Q899" i="12" a="1"/>
  <c r="Q900" i="12" a="1"/>
  <c r="Q901" i="12" a="1"/>
  <c r="Q902" i="12" a="1"/>
  <c r="Q903" i="12" a="1"/>
  <c r="Q904" i="12" a="1"/>
  <c r="Q905" i="12" a="1"/>
  <c r="Q906" i="12" a="1"/>
  <c r="Q907" i="12" a="1"/>
  <c r="Q908" i="12" a="1"/>
  <c r="Q909" i="12" a="1"/>
  <c r="Q910" i="12" a="1"/>
  <c r="Q911" i="12" a="1"/>
  <c r="Q912" i="12" a="1"/>
  <c r="Q913" i="12" a="1"/>
  <c r="Q914" i="12" a="1"/>
  <c r="Q915" i="12" a="1"/>
  <c r="Q916" i="12" a="1"/>
  <c r="Q917" i="12" a="1"/>
  <c r="Q918" i="12" a="1"/>
  <c r="Q919" i="12" a="1"/>
  <c r="Q920" i="12" a="1"/>
  <c r="Q921" i="12" a="1"/>
  <c r="Q922" i="12" a="1"/>
  <c r="Q923" i="12" a="1"/>
  <c r="Q924" i="12" a="1"/>
  <c r="Q925" i="12" a="1"/>
  <c r="Q926" i="12" a="1"/>
  <c r="Q927" i="12" a="1"/>
  <c r="Q928" i="12" a="1"/>
  <c r="Q929" i="12" a="1"/>
  <c r="Q930" i="12" a="1"/>
  <c r="Q931" i="12" a="1"/>
  <c r="Q932" i="12" a="1"/>
  <c r="Q933" i="12" a="1"/>
  <c r="Q934" i="12" a="1"/>
  <c r="Q935" i="12" a="1"/>
  <c r="Q936" i="12" a="1"/>
  <c r="Q937" i="12" a="1"/>
  <c r="Q938" i="12" a="1"/>
  <c r="Q939" i="12" a="1"/>
  <c r="Q940" i="12" a="1"/>
  <c r="Q941" i="12" a="1"/>
  <c r="Q942" i="12" a="1"/>
  <c r="Q943" i="12" a="1"/>
  <c r="Q944" i="12" a="1"/>
  <c r="Q945" i="12" a="1"/>
  <c r="Q946" i="12" a="1"/>
  <c r="Q947" i="12" a="1"/>
  <c r="Q948" i="12" a="1"/>
  <c r="Q949" i="12" a="1"/>
  <c r="Q950" i="12" a="1"/>
  <c r="Q951" i="12" a="1"/>
  <c r="Q952" i="12" a="1"/>
  <c r="Q953" i="12" a="1"/>
  <c r="Q954" i="12" a="1"/>
  <c r="Q955" i="12" a="1"/>
  <c r="Q956" i="12" a="1"/>
  <c r="Q957" i="12" a="1"/>
  <c r="Q958" i="12" a="1"/>
  <c r="Q959" i="12" a="1"/>
  <c r="Q960" i="12" a="1"/>
  <c r="Q961" i="12" a="1"/>
  <c r="Q962" i="12" a="1"/>
  <c r="Q963" i="12" a="1"/>
  <c r="Q964" i="12" a="1"/>
  <c r="Q965" i="12" a="1"/>
  <c r="Q966" i="12" a="1"/>
  <c r="Q967" i="12" a="1"/>
  <c r="Q968" i="12" a="1"/>
  <c r="Q969" i="12" a="1"/>
  <c r="Q970" i="12" a="1"/>
  <c r="Q971" i="12" a="1"/>
  <c r="Q972" i="12" a="1"/>
  <c r="Q973" i="12" a="1"/>
  <c r="Q974" i="12" a="1"/>
  <c r="Q975" i="12" a="1"/>
  <c r="Q976" i="12" a="1"/>
  <c r="Q977" i="12" a="1"/>
  <c r="Q978" i="12" a="1"/>
  <c r="Q979" i="12" a="1"/>
  <c r="Q980" i="12" a="1"/>
  <c r="Q981" i="12" a="1"/>
  <c r="Q982" i="12" a="1"/>
  <c r="Q983" i="12" a="1"/>
  <c r="Q984" i="12" a="1"/>
  <c r="Q985" i="12" a="1"/>
  <c r="Q986" i="12" a="1"/>
  <c r="Q987" i="12" a="1"/>
  <c r="Q988" i="12" a="1"/>
  <c r="Q989" i="12" a="1"/>
  <c r="Q990" i="12" a="1"/>
  <c r="Q991" i="12" a="1"/>
  <c r="Q992" i="12" a="1"/>
  <c r="Q993" i="12" a="1"/>
  <c r="Q994" i="12" a="1"/>
  <c r="Q995" i="12" a="1"/>
  <c r="Q996" i="12" a="1"/>
  <c r="Q997" i="12" a="1"/>
  <c r="Q998" i="12" a="1"/>
  <c r="Q999" i="12" a="1"/>
  <c r="Q1000" i="12" a="1"/>
  <c r="Q1001" i="12" a="1"/>
  <c r="Q1002" i="12" a="1"/>
  <c r="Q1003" i="12" a="1"/>
  <c r="Q1004" i="12" a="1"/>
  <c r="Q1005" i="12" a="1"/>
  <c r="Q1006" i="12" a="1"/>
  <c r="Q1007" i="12" a="1"/>
  <c r="Q1008" i="12" a="1"/>
  <c r="Q1009" i="12" a="1"/>
  <c r="Q1010" i="12" a="1"/>
  <c r="Q1011" i="12" a="1"/>
  <c r="Q1012" i="12" a="1"/>
  <c r="Q1013" i="12" a="1"/>
  <c r="Q1014" i="12" a="1"/>
  <c r="Q1015" i="12" a="1"/>
  <c r="Q1016" i="12" a="1"/>
  <c r="Q1017" i="12" a="1"/>
  <c r="Q1018" i="12" a="1"/>
  <c r="Q1019" i="12" a="1"/>
  <c r="Q1020" i="12" a="1"/>
  <c r="Q1021" i="12" a="1"/>
  <c r="Q1022" i="12" a="1"/>
  <c r="Q1023" i="12" a="1"/>
  <c r="Q1024" i="12" a="1"/>
  <c r="Q1025" i="12" a="1"/>
  <c r="Q1026" i="12" a="1"/>
  <c r="Q1027" i="12" a="1"/>
  <c r="Q1028" i="12" a="1"/>
  <c r="Q1029" i="12" a="1"/>
  <c r="Q1030" i="12" a="1"/>
  <c r="Q1031" i="12" a="1"/>
  <c r="Q1032" i="12" a="1"/>
  <c r="Q1033" i="12" a="1"/>
  <c r="Q1034" i="12" a="1"/>
  <c r="Q1035" i="12" a="1"/>
  <c r="Q1036" i="12" a="1"/>
  <c r="Q1037" i="12" a="1"/>
  <c r="Q1038" i="12" a="1"/>
  <c r="Q1039" i="12" a="1"/>
  <c r="Q1040" i="12" a="1"/>
  <c r="Q1041" i="12" a="1"/>
  <c r="Q1042" i="12" a="1"/>
  <c r="Q1043" i="12" a="1"/>
  <c r="Q1044" i="12" a="1"/>
  <c r="Q1045" i="12" a="1"/>
  <c r="Q1046" i="12" a="1"/>
  <c r="Q1047" i="12" a="1"/>
  <c r="Q1048" i="12" a="1"/>
  <c r="Q1049" i="12" a="1"/>
  <c r="Q1050" i="12" a="1"/>
  <c r="Q1051" i="12" a="1"/>
  <c r="Q1052" i="12" a="1"/>
  <c r="Q1053" i="12" a="1"/>
  <c r="Q1054" i="12" a="1"/>
  <c r="Q1055" i="12" a="1"/>
  <c r="Q1056" i="12" a="1"/>
  <c r="Q1057" i="12" a="1"/>
  <c r="Q1058" i="12" a="1"/>
  <c r="Q1059" i="12" a="1"/>
  <c r="Q1060" i="12" a="1"/>
  <c r="Q1061" i="12" a="1"/>
  <c r="Q1062" i="12" a="1"/>
  <c r="Q1063" i="12" a="1"/>
  <c r="Q1064" i="12" a="1"/>
  <c r="Q1065" i="12" a="1"/>
  <c r="Q1066" i="12" a="1"/>
  <c r="Q1067" i="12" a="1"/>
  <c r="Q1068" i="12" a="1"/>
  <c r="Q1069" i="12" a="1"/>
  <c r="Q1070" i="12" a="1"/>
  <c r="Q1071" i="12" a="1"/>
  <c r="Q1072" i="12" a="1"/>
  <c r="Q1073" i="12" a="1"/>
  <c r="Q1074" i="12" a="1"/>
  <c r="Q1075" i="12" a="1"/>
  <c r="Q1076" i="12" a="1"/>
  <c r="Q1077" i="12" a="1"/>
  <c r="Q1078" i="12" a="1"/>
  <c r="Q1079" i="12" a="1"/>
  <c r="Q1080" i="12" a="1"/>
  <c r="Q1081" i="12" a="1"/>
  <c r="Q830" i="12" a="1"/>
  <c r="Q831" i="12" a="1"/>
  <c r="Q832" i="12" a="1"/>
  <c r="Q833" i="12" a="1"/>
  <c r="Q834" i="12" a="1"/>
  <c r="Q835" i="12" a="1"/>
  <c r="Q836" i="12" a="1"/>
  <c r="Q837" i="12" a="1"/>
  <c r="Q838" i="12" a="1"/>
  <c r="Q839" i="12" a="1"/>
  <c r="Q840" i="12" a="1"/>
  <c r="Q841" i="12" a="1"/>
  <c r="Q842" i="12" a="1"/>
  <c r="Q843" i="12" a="1"/>
  <c r="Q844" i="12" a="1"/>
  <c r="Q845" i="12" a="1"/>
  <c r="Q846" i="12" a="1"/>
  <c r="Q847" i="12" a="1"/>
  <c r="Q758" i="12" a="1"/>
  <c r="Q759" i="12" a="1"/>
  <c r="Q760" i="12" a="1"/>
  <c r="Q761" i="12" a="1"/>
  <c r="Q762" i="12" a="1"/>
  <c r="Q763" i="12" a="1"/>
  <c r="Q764" i="12" a="1"/>
  <c r="Q765" i="12" a="1"/>
  <c r="Q766" i="12" a="1"/>
  <c r="Q767" i="12" a="1"/>
  <c r="Q768" i="12" a="1"/>
  <c r="Q769" i="12" a="1"/>
  <c r="Q770" i="12" a="1"/>
  <c r="Q771" i="12" a="1"/>
  <c r="Q772" i="12" a="1"/>
  <c r="Q773" i="12" a="1"/>
  <c r="Q774" i="12" a="1"/>
  <c r="Q775" i="12" a="1"/>
  <c r="Q776" i="12" a="1"/>
  <c r="Q777" i="12" a="1"/>
  <c r="Q778" i="12" a="1"/>
  <c r="Q779" i="12" a="1"/>
  <c r="Q780" i="12" a="1"/>
  <c r="Q781" i="12" a="1"/>
  <c r="Q782" i="12" a="1"/>
  <c r="Q783" i="12" a="1"/>
  <c r="Q784" i="12" a="1"/>
  <c r="Q785" i="12" a="1"/>
  <c r="Q786" i="12" a="1"/>
  <c r="Q787" i="12" a="1"/>
  <c r="Q788" i="12" a="1"/>
  <c r="Q789" i="12" a="1"/>
  <c r="Q790" i="12" a="1"/>
  <c r="Q791" i="12" a="1"/>
  <c r="Q792" i="12" a="1"/>
  <c r="Q793" i="12" a="1"/>
  <c r="Q794" i="12" a="1"/>
  <c r="Q795" i="12" a="1"/>
  <c r="Q796" i="12" a="1"/>
  <c r="Q797" i="12" a="1"/>
  <c r="Q798" i="12" a="1"/>
  <c r="Q799" i="12" a="1"/>
  <c r="Q800" i="12" a="1"/>
  <c r="Q801" i="12" a="1"/>
  <c r="Q802" i="12" a="1"/>
  <c r="Q803" i="12" a="1"/>
  <c r="Q804" i="12" a="1"/>
  <c r="Q805" i="12" a="1"/>
  <c r="Q806" i="12" a="1"/>
  <c r="Q807" i="12" a="1"/>
  <c r="Q808" i="12" a="1"/>
  <c r="Q809" i="12" a="1"/>
  <c r="Q810" i="12" a="1"/>
  <c r="Q811" i="12" a="1"/>
  <c r="Q812" i="12" a="1"/>
  <c r="Q813" i="12" a="1"/>
  <c r="Q814" i="12" a="1"/>
  <c r="Q815" i="12" a="1"/>
  <c r="Q816" i="12" a="1"/>
  <c r="Q817" i="12" a="1"/>
  <c r="Q818" i="12" a="1"/>
  <c r="Q819" i="12" a="1"/>
  <c r="Q820" i="12" a="1"/>
  <c r="Q821" i="12" a="1"/>
  <c r="Q822" i="12" a="1"/>
  <c r="Q823" i="12" a="1"/>
  <c r="Q824" i="12" a="1"/>
  <c r="Q825" i="12" a="1"/>
  <c r="Q826" i="12" a="1"/>
  <c r="Q827" i="12" a="1"/>
  <c r="Q828" i="12" a="1"/>
  <c r="Q829" i="12" a="1"/>
  <c r="Q3" i="12" a="1"/>
  <c r="Q4" i="12" a="1"/>
  <c r="Q5" i="12" a="1"/>
  <c r="Q6" i="12" a="1"/>
  <c r="Q7" i="12" a="1"/>
  <c r="Q8" i="12" a="1"/>
  <c r="Q9" i="12" a="1"/>
  <c r="Q10" i="12" a="1"/>
  <c r="Q11" i="12" a="1"/>
  <c r="Q12" i="12" a="1"/>
  <c r="Q13" i="12" a="1"/>
  <c r="Q14" i="12" a="1"/>
  <c r="Q15" i="12" a="1"/>
  <c r="Q16" i="12" a="1"/>
  <c r="Q17" i="12" a="1"/>
  <c r="Q18" i="12" a="1"/>
  <c r="Q19" i="12" a="1"/>
  <c r="Q20" i="12" a="1"/>
  <c r="Q21" i="12" a="1"/>
  <c r="Q22" i="12" a="1"/>
  <c r="Q23" i="12" a="1"/>
  <c r="Q24" i="12" a="1"/>
  <c r="Q25" i="12" a="1"/>
  <c r="Q26" i="12" a="1"/>
  <c r="Q27" i="12" a="1"/>
  <c r="Q28" i="12" a="1"/>
  <c r="Q29" i="12" a="1"/>
  <c r="Q30" i="12" a="1"/>
  <c r="Q31" i="12" a="1"/>
  <c r="Q32" i="12" a="1"/>
  <c r="Q33" i="12" a="1"/>
  <c r="Q34" i="12" a="1"/>
  <c r="Q35" i="12" a="1"/>
  <c r="Q36" i="12" a="1"/>
  <c r="Q37" i="12" a="1"/>
  <c r="Q38" i="12" a="1"/>
  <c r="Q39" i="12" a="1"/>
  <c r="Q40" i="12" a="1"/>
  <c r="Q41" i="12" a="1"/>
  <c r="Q42" i="12" a="1"/>
  <c r="Q43" i="12" a="1"/>
  <c r="Q44" i="12" a="1"/>
  <c r="Q45" i="12" a="1"/>
  <c r="Q46" i="12" a="1"/>
  <c r="Q47" i="12" a="1"/>
  <c r="Q48" i="12" a="1"/>
  <c r="Q49" i="12" a="1"/>
  <c r="Q50" i="12" a="1"/>
  <c r="Q51" i="12" a="1"/>
  <c r="Q52" i="12" a="1"/>
  <c r="Q53" i="12" a="1"/>
  <c r="Q54" i="12" a="1"/>
  <c r="Q55" i="12" a="1"/>
  <c r="Q56" i="12" a="1"/>
  <c r="Q57" i="12" a="1"/>
  <c r="Q58" i="12" a="1"/>
  <c r="Q59" i="12" a="1"/>
  <c r="Q60" i="12" a="1"/>
  <c r="Q61" i="12" a="1"/>
  <c r="Q62" i="12" a="1"/>
  <c r="Q63" i="12" a="1"/>
  <c r="Q64" i="12" a="1"/>
  <c r="Q65" i="12" a="1"/>
  <c r="Q66" i="12" a="1"/>
  <c r="Q67" i="12" a="1"/>
  <c r="Q68" i="12" a="1"/>
  <c r="Q69" i="12" a="1"/>
  <c r="Q70" i="12" a="1"/>
  <c r="Q71" i="12" a="1"/>
  <c r="Q72" i="12" a="1"/>
  <c r="Q73" i="12" a="1"/>
  <c r="Q74" i="12" a="1"/>
  <c r="Q75" i="12" a="1"/>
  <c r="Q76" i="12" a="1"/>
  <c r="Q77" i="12" a="1"/>
  <c r="Q78" i="12" a="1"/>
  <c r="Q79" i="12" a="1"/>
  <c r="Q80" i="12" a="1"/>
  <c r="Q81" i="12" a="1"/>
  <c r="Q82" i="12" a="1"/>
  <c r="Q83" i="12" a="1"/>
  <c r="Q84" i="12" a="1"/>
  <c r="Q85" i="12" a="1"/>
  <c r="Q86" i="12" a="1"/>
  <c r="Q87" i="12" a="1"/>
  <c r="Q88" i="12" a="1"/>
  <c r="Q89" i="12" a="1"/>
  <c r="Q90" i="12" a="1"/>
  <c r="Q91" i="12" a="1"/>
  <c r="Q92" i="12" a="1"/>
  <c r="Q93" i="12" a="1"/>
  <c r="Q94" i="12" a="1"/>
  <c r="Q95" i="12" a="1"/>
  <c r="Q96" i="12" a="1"/>
  <c r="Q97" i="12" a="1"/>
  <c r="Q98" i="12" a="1"/>
  <c r="Q99" i="12" a="1"/>
  <c r="Q100" i="12" a="1"/>
  <c r="Q101" i="12" a="1"/>
  <c r="Q102" i="12" a="1"/>
  <c r="Q103" i="12" a="1"/>
  <c r="Q104" i="12" a="1"/>
  <c r="Q105" i="12" a="1"/>
  <c r="Q106" i="12" a="1"/>
  <c r="Q107" i="12" a="1"/>
  <c r="Q108" i="12" a="1"/>
  <c r="Q109" i="12" a="1"/>
  <c r="Q110" i="12" a="1"/>
  <c r="Q111" i="12" a="1"/>
  <c r="Q112" i="12" a="1"/>
  <c r="Q113" i="12" a="1"/>
  <c r="Q114" i="12" a="1"/>
  <c r="Q115" i="12" a="1"/>
  <c r="Q116" i="12" a="1"/>
  <c r="Q117" i="12" a="1"/>
  <c r="Q118" i="12" a="1"/>
  <c r="Q119" i="12" a="1"/>
  <c r="Q120" i="12" a="1"/>
  <c r="Q121" i="12" a="1"/>
  <c r="Q122" i="12" a="1"/>
  <c r="Q123" i="12" a="1"/>
  <c r="Q124" i="12" a="1"/>
  <c r="Q125" i="12" a="1"/>
  <c r="Q126" i="12" a="1"/>
  <c r="Q127" i="12" a="1"/>
  <c r="Q128" i="12" a="1"/>
  <c r="Q129" i="12" a="1"/>
  <c r="Q130" i="12" a="1"/>
  <c r="Q131" i="12" a="1"/>
  <c r="Q132" i="12" a="1"/>
  <c r="Q133" i="12" a="1"/>
  <c r="Q134" i="12" a="1"/>
  <c r="Q135" i="12" a="1"/>
  <c r="Q136" i="12" a="1"/>
  <c r="Q137" i="12" a="1"/>
  <c r="Q138" i="12" a="1"/>
  <c r="Q139" i="12" a="1"/>
  <c r="Q140" i="12" a="1"/>
  <c r="Q141" i="12" a="1"/>
  <c r="Q142" i="12" a="1"/>
  <c r="Q143" i="12" a="1"/>
  <c r="Q144" i="12" a="1"/>
  <c r="Q145" i="12" a="1"/>
  <c r="Q146" i="12" a="1"/>
  <c r="Q147" i="12" a="1"/>
  <c r="Q148" i="12" a="1"/>
  <c r="Q149" i="12" a="1"/>
  <c r="Q150" i="12" a="1"/>
  <c r="Q151" i="12" a="1"/>
  <c r="Q152" i="12" a="1"/>
  <c r="Q153" i="12" a="1"/>
  <c r="Q154" i="12" a="1"/>
  <c r="Q155" i="12" a="1"/>
  <c r="Q156" i="12" a="1"/>
  <c r="Q157" i="12" a="1"/>
  <c r="Q158" i="12" a="1"/>
  <c r="Q159" i="12" a="1"/>
  <c r="Q160" i="12" a="1"/>
  <c r="Q161" i="12" a="1"/>
  <c r="Q162" i="12" a="1"/>
  <c r="Q163" i="12" a="1"/>
  <c r="Q164" i="12" a="1"/>
  <c r="Q165" i="12" a="1"/>
  <c r="Q166" i="12" a="1"/>
  <c r="Q167" i="12" a="1"/>
  <c r="Q168" i="12" a="1"/>
  <c r="Q169" i="12" a="1"/>
  <c r="Q170" i="12" a="1"/>
  <c r="Q171" i="12" a="1"/>
  <c r="Q172" i="12" a="1"/>
  <c r="Q173" i="12" a="1"/>
  <c r="Q174" i="12" a="1"/>
  <c r="Q175" i="12" a="1"/>
  <c r="Q176" i="12" a="1"/>
  <c r="Q177" i="12" a="1"/>
  <c r="Q178" i="12" a="1"/>
  <c r="Q179" i="12" a="1"/>
  <c r="Q180" i="12" a="1"/>
  <c r="Q181" i="12" a="1"/>
  <c r="Q182" i="12" a="1"/>
  <c r="Q183" i="12" a="1"/>
  <c r="Q184" i="12" a="1"/>
  <c r="Q185" i="12" a="1"/>
  <c r="Q186" i="12" a="1"/>
  <c r="Q187" i="12" a="1"/>
  <c r="Q188" i="12" a="1"/>
  <c r="Q189" i="12" a="1"/>
  <c r="Q190" i="12" a="1"/>
  <c r="Q191" i="12" a="1"/>
  <c r="Q192" i="12" a="1"/>
  <c r="Q193" i="12" a="1"/>
  <c r="Q194" i="12" a="1"/>
  <c r="Q195" i="12" a="1"/>
  <c r="Q196" i="12" a="1"/>
  <c r="Q197" i="12" a="1"/>
  <c r="Q198" i="12" a="1"/>
  <c r="Q199" i="12" a="1"/>
  <c r="Q200" i="12" a="1"/>
  <c r="Q201" i="12" a="1"/>
  <c r="Q202" i="12" a="1"/>
  <c r="Q203" i="12" a="1"/>
  <c r="Q204" i="12" a="1"/>
  <c r="Q205" i="12" a="1"/>
  <c r="Q206" i="12" a="1"/>
  <c r="Q207" i="12" a="1"/>
  <c r="Q208" i="12" a="1"/>
  <c r="Q209" i="12" a="1"/>
  <c r="Q210" i="12" a="1"/>
  <c r="Q211" i="12" a="1"/>
  <c r="Q212" i="12" a="1"/>
  <c r="Q213" i="12" a="1"/>
  <c r="Q214" i="12" a="1"/>
  <c r="Q215" i="12" a="1"/>
  <c r="Q216" i="12" a="1"/>
  <c r="Q217" i="12" a="1"/>
  <c r="Q218" i="12" a="1"/>
  <c r="Q219" i="12" a="1"/>
  <c r="Q220" i="12" a="1"/>
  <c r="Q221" i="12" a="1"/>
  <c r="Q222" i="12" a="1"/>
  <c r="Q223" i="12" a="1"/>
  <c r="Q224" i="12" a="1"/>
  <c r="Q225" i="12" a="1"/>
  <c r="Q226" i="12" a="1"/>
  <c r="Q227" i="12" a="1"/>
  <c r="Q228" i="12" a="1"/>
  <c r="Q229" i="12" a="1"/>
  <c r="Q230" i="12" a="1"/>
  <c r="Q231" i="12" a="1"/>
  <c r="Q232" i="12" a="1"/>
  <c r="Q233" i="12" a="1"/>
  <c r="Q234" i="12" a="1"/>
  <c r="Q235" i="12" a="1"/>
  <c r="Q236" i="12" a="1"/>
  <c r="Q237" i="12" a="1"/>
  <c r="Q238" i="12" a="1"/>
  <c r="Q239" i="12" a="1"/>
  <c r="Q240" i="12" a="1"/>
  <c r="Q241" i="12" a="1"/>
  <c r="Q242" i="12" a="1"/>
  <c r="Q243" i="12" a="1"/>
  <c r="Q244" i="12" a="1"/>
  <c r="Q245" i="12" a="1"/>
  <c r="Q246" i="12" a="1"/>
  <c r="Q247" i="12" a="1"/>
  <c r="Q248" i="12" a="1"/>
  <c r="Q249" i="12" a="1"/>
  <c r="Q250" i="12" a="1"/>
  <c r="Q251" i="12" a="1"/>
  <c r="Q252" i="12" a="1"/>
  <c r="Q253" i="12" a="1"/>
  <c r="Q254" i="12" a="1"/>
  <c r="Q255" i="12" a="1"/>
  <c r="Q256" i="12" a="1"/>
  <c r="Q257" i="12" a="1"/>
  <c r="Q258" i="12" a="1"/>
  <c r="Q259" i="12" a="1"/>
  <c r="Q260" i="12" a="1"/>
  <c r="Q261" i="12" a="1"/>
  <c r="Q262" i="12" a="1"/>
  <c r="Q263" i="12" a="1"/>
  <c r="Q264" i="12" a="1"/>
  <c r="Q265" i="12" a="1"/>
  <c r="Q266" i="12" a="1"/>
  <c r="Q267" i="12" a="1"/>
  <c r="Q268" i="12" a="1"/>
  <c r="Q269" i="12" a="1"/>
  <c r="Q270" i="12" a="1"/>
  <c r="Q271" i="12" a="1"/>
  <c r="Q272" i="12" a="1"/>
  <c r="Q273" i="12" a="1"/>
  <c r="Q274" i="12" a="1"/>
  <c r="Q275" i="12" a="1"/>
  <c r="Q276" i="12" a="1"/>
  <c r="Q277" i="12" a="1"/>
  <c r="Q278" i="12" a="1"/>
  <c r="Q279" i="12" a="1"/>
  <c r="Q280" i="12" a="1"/>
  <c r="Q281" i="12" a="1"/>
  <c r="Q282" i="12" a="1"/>
  <c r="Q283" i="12" a="1"/>
  <c r="Q284" i="12" a="1"/>
  <c r="Q285" i="12" a="1"/>
  <c r="Q286" i="12" a="1"/>
  <c r="Q287" i="12" a="1"/>
  <c r="Q288" i="12" a="1"/>
  <c r="Q289" i="12" a="1"/>
  <c r="Q290" i="12" a="1"/>
  <c r="Q291" i="12" a="1"/>
  <c r="Q292" i="12" a="1"/>
  <c r="Q293" i="12" a="1"/>
  <c r="Q294" i="12" a="1"/>
  <c r="Q295" i="12" a="1"/>
  <c r="Q296" i="12" a="1"/>
  <c r="Q297" i="12" a="1"/>
  <c r="Q298" i="12" a="1"/>
  <c r="Q299" i="12" a="1"/>
  <c r="Q300" i="12" a="1"/>
  <c r="Q301" i="12" a="1"/>
  <c r="Q302" i="12" a="1"/>
  <c r="Q303" i="12" a="1"/>
  <c r="Q304" i="12" a="1"/>
  <c r="Q305" i="12" a="1"/>
  <c r="Q306" i="12" a="1"/>
  <c r="Q307" i="12" a="1"/>
  <c r="Q308" i="12" a="1"/>
  <c r="Q309" i="12" a="1"/>
  <c r="Q310" i="12" a="1"/>
  <c r="Q311" i="12" a="1"/>
  <c r="Q312" i="12" a="1"/>
  <c r="Q313" i="12" a="1"/>
  <c r="Q314" i="12" a="1"/>
  <c r="Q315" i="12" a="1"/>
  <c r="Q316" i="12" a="1"/>
  <c r="Q317" i="12" a="1"/>
  <c r="Q318" i="12" a="1"/>
  <c r="Q319" i="12" a="1"/>
  <c r="Q320" i="12" a="1"/>
  <c r="Q321" i="12" a="1"/>
  <c r="Q322" i="12" a="1"/>
  <c r="Q323" i="12" a="1"/>
  <c r="Q324" i="12" a="1"/>
  <c r="Q325" i="12" a="1"/>
  <c r="Q326" i="12" a="1"/>
  <c r="Q327" i="12" a="1"/>
  <c r="Q328" i="12" a="1"/>
  <c r="Q329" i="12" a="1"/>
  <c r="Q330" i="12" a="1"/>
  <c r="Q331" i="12" a="1"/>
  <c r="Q332" i="12" a="1"/>
  <c r="Q333" i="12" a="1"/>
  <c r="Q334" i="12" a="1"/>
  <c r="Q335" i="12" a="1"/>
  <c r="Q336" i="12" a="1"/>
  <c r="Q337" i="12" a="1"/>
  <c r="Q338" i="12" a="1"/>
  <c r="Q339" i="12" a="1"/>
  <c r="Q340" i="12" a="1"/>
  <c r="Q341" i="12" a="1"/>
  <c r="Q342" i="12" a="1"/>
  <c r="Q343" i="12" a="1"/>
  <c r="Q344" i="12" a="1"/>
  <c r="Q345" i="12" a="1"/>
  <c r="Q346" i="12" a="1"/>
  <c r="Q347" i="12" a="1"/>
  <c r="Q348" i="12" a="1"/>
  <c r="Q349" i="12" a="1"/>
  <c r="Q350" i="12" a="1"/>
  <c r="Q351" i="12" a="1"/>
  <c r="Q352" i="12" a="1"/>
  <c r="Q353" i="12" a="1"/>
  <c r="Q354" i="12" a="1"/>
  <c r="Q355" i="12" a="1"/>
  <c r="Q356" i="12" a="1"/>
  <c r="Q357" i="12" a="1"/>
  <c r="Q358" i="12" a="1"/>
  <c r="Q359" i="12" a="1"/>
  <c r="Q360" i="12" a="1"/>
  <c r="Q361" i="12" a="1"/>
  <c r="Q362" i="12" a="1"/>
  <c r="Q363" i="12" a="1"/>
  <c r="Q364" i="12" a="1"/>
  <c r="Q365" i="12" a="1"/>
  <c r="Q366" i="12" a="1"/>
  <c r="Q367" i="12" a="1"/>
  <c r="Q368" i="12" a="1"/>
  <c r="Q369" i="12" a="1"/>
  <c r="Q370" i="12" a="1"/>
  <c r="Q371" i="12" a="1"/>
  <c r="Q372" i="12" a="1"/>
  <c r="Q373" i="12" a="1"/>
  <c r="Q374" i="12" a="1"/>
  <c r="Q375" i="12" a="1"/>
  <c r="Q376" i="12" a="1"/>
  <c r="Q377" i="12" a="1"/>
  <c r="Q378" i="12" a="1"/>
  <c r="Q379" i="12" a="1"/>
  <c r="Q380" i="12" a="1"/>
  <c r="Q381" i="12" a="1"/>
  <c r="Q382" i="12" a="1"/>
  <c r="Q383" i="12" a="1"/>
  <c r="Q384" i="12" a="1"/>
  <c r="Q385" i="12" a="1"/>
  <c r="Q386" i="12" a="1"/>
  <c r="Q387" i="12" a="1"/>
  <c r="Q388" i="12" a="1"/>
  <c r="Q389" i="12" a="1"/>
  <c r="Q390" i="12" a="1"/>
  <c r="Q391" i="12" a="1"/>
  <c r="Q392" i="12" a="1"/>
  <c r="Q393" i="12" a="1"/>
  <c r="Q394" i="12" a="1"/>
  <c r="Q395" i="12" a="1"/>
  <c r="Q396" i="12" a="1"/>
  <c r="Q397" i="12" a="1"/>
  <c r="Q398" i="12" a="1"/>
  <c r="Q399" i="12" a="1"/>
  <c r="Q400" i="12" a="1"/>
  <c r="Q401" i="12" a="1"/>
  <c r="Q402" i="12" a="1"/>
  <c r="Q403" i="12" a="1"/>
  <c r="Q404" i="12" a="1"/>
  <c r="Q405" i="12" a="1"/>
  <c r="Q406" i="12" a="1"/>
  <c r="Q407" i="12" a="1"/>
  <c r="Q408" i="12" a="1"/>
  <c r="Q409" i="12" a="1"/>
  <c r="Q410" i="12" a="1"/>
  <c r="Q411" i="12" a="1"/>
  <c r="Q412" i="12" a="1"/>
  <c r="Q413" i="12" a="1"/>
  <c r="Q414" i="12" a="1"/>
  <c r="Q415" i="12" a="1"/>
  <c r="Q416" i="12" a="1"/>
  <c r="Q417" i="12" a="1"/>
  <c r="Q418" i="12" a="1"/>
  <c r="Q419" i="12" a="1"/>
  <c r="Q420" i="12" a="1"/>
  <c r="Q421" i="12" a="1"/>
  <c r="Q422" i="12" a="1"/>
  <c r="Q423" i="12" a="1"/>
  <c r="Q424" i="12" a="1"/>
  <c r="Q425" i="12" a="1"/>
  <c r="Q426" i="12" a="1"/>
  <c r="Q427" i="12" a="1"/>
  <c r="Q428" i="12" a="1"/>
  <c r="Q429" i="12" a="1"/>
  <c r="Q430" i="12" a="1"/>
  <c r="Q431" i="12" a="1"/>
  <c r="Q432" i="12" a="1"/>
  <c r="Q433" i="12" a="1"/>
  <c r="Q434" i="12" a="1"/>
  <c r="Q435" i="12" a="1"/>
  <c r="Q436" i="12" a="1"/>
  <c r="Q437" i="12" a="1"/>
  <c r="Q438" i="12" a="1"/>
  <c r="Q439" i="12" a="1"/>
  <c r="Q440" i="12" a="1"/>
  <c r="Q441" i="12" a="1"/>
  <c r="Q442" i="12" a="1"/>
  <c r="Q443" i="12" a="1"/>
  <c r="Q444" i="12" a="1"/>
  <c r="Q445" i="12" a="1"/>
  <c r="Q446" i="12" a="1"/>
  <c r="Q447" i="12" a="1"/>
  <c r="Q448" i="12" a="1"/>
  <c r="Q449" i="12" a="1"/>
  <c r="Q450" i="12" a="1"/>
  <c r="Q451" i="12" a="1"/>
  <c r="Q452" i="12" a="1"/>
  <c r="Q453" i="12" a="1"/>
  <c r="Q454" i="12" a="1"/>
  <c r="Q455" i="12" a="1"/>
  <c r="Q456" i="12" a="1"/>
  <c r="Q457" i="12" a="1"/>
  <c r="Q458" i="12" a="1"/>
  <c r="Q459" i="12" a="1"/>
  <c r="Q460" i="12" a="1"/>
  <c r="Q461" i="12" a="1"/>
  <c r="Q462" i="12" a="1"/>
  <c r="Q463" i="12" a="1"/>
  <c r="Q464" i="12" a="1"/>
  <c r="Q465" i="12" a="1"/>
  <c r="Q466" i="12" a="1"/>
  <c r="Q467" i="12" a="1"/>
  <c r="Q468" i="12" a="1"/>
  <c r="Q469" i="12" a="1"/>
  <c r="Q470" i="12" a="1"/>
  <c r="Q471" i="12" a="1"/>
  <c r="Q472" i="12" a="1"/>
  <c r="Q473" i="12" a="1"/>
  <c r="Q474" i="12" a="1"/>
  <c r="Q475" i="12" a="1"/>
  <c r="Q476" i="12" a="1"/>
  <c r="Q477" i="12" a="1"/>
  <c r="Q478" i="12" a="1"/>
  <c r="Q479" i="12" a="1"/>
  <c r="Q480" i="12" a="1"/>
  <c r="Q481" i="12" a="1"/>
  <c r="Q482" i="12" a="1"/>
  <c r="Q483" i="12" a="1"/>
  <c r="Q484" i="12" a="1"/>
  <c r="Q485" i="12" a="1"/>
  <c r="Q486" i="12" a="1"/>
  <c r="Q487" i="12" a="1"/>
  <c r="Q488" i="12" a="1"/>
  <c r="Q489" i="12" a="1"/>
  <c r="Q490" i="12" a="1"/>
  <c r="Q491" i="12" a="1"/>
  <c r="Q492" i="12" a="1"/>
  <c r="Q493" i="12" a="1"/>
  <c r="Q494" i="12" a="1"/>
  <c r="Q495" i="12" a="1"/>
  <c r="Q496" i="12" a="1"/>
  <c r="Q497" i="12" a="1"/>
  <c r="Q498" i="12" a="1"/>
  <c r="Q499" i="12" a="1"/>
  <c r="Q500" i="12" a="1"/>
  <c r="Q501" i="12" a="1"/>
  <c r="Q502" i="12" a="1"/>
  <c r="Q503" i="12" a="1"/>
  <c r="Q504" i="12" a="1"/>
  <c r="Q505" i="12" a="1"/>
  <c r="Q506" i="12" a="1"/>
  <c r="Q507" i="12" a="1"/>
  <c r="Q508" i="12" a="1"/>
  <c r="Q509" i="12" a="1"/>
  <c r="Q510" i="12" a="1"/>
  <c r="Q511" i="12" a="1"/>
  <c r="Q512" i="12" a="1"/>
  <c r="Q513" i="12" a="1"/>
  <c r="Q514" i="12" a="1"/>
  <c r="Q515" i="12" a="1"/>
  <c r="Q516" i="12" a="1"/>
  <c r="Q517" i="12" a="1"/>
  <c r="Q518" i="12" a="1"/>
  <c r="Q519" i="12" a="1"/>
  <c r="Q520" i="12" a="1"/>
  <c r="Q521" i="12" a="1"/>
  <c r="Q522" i="12" a="1"/>
  <c r="Q523" i="12" a="1"/>
  <c r="Q524" i="12" a="1"/>
  <c r="Q525" i="12" a="1"/>
  <c r="Q526" i="12" a="1"/>
  <c r="Q527" i="12" a="1"/>
  <c r="Q528" i="12" a="1"/>
  <c r="Q529" i="12" a="1"/>
  <c r="Q530" i="12" a="1"/>
  <c r="Q531" i="12" a="1"/>
  <c r="Q532" i="12" a="1"/>
  <c r="Q533" i="12" a="1"/>
  <c r="Q534" i="12" a="1"/>
  <c r="Q535" i="12" a="1"/>
  <c r="Q536" i="12" a="1"/>
  <c r="Q537" i="12" a="1"/>
  <c r="Q538" i="12" a="1"/>
  <c r="Q539" i="12" a="1"/>
  <c r="Q540" i="12" a="1"/>
  <c r="Q541" i="12" a="1"/>
  <c r="Q542" i="12" a="1"/>
  <c r="Q543" i="12" a="1"/>
  <c r="Q544" i="12" a="1"/>
  <c r="Q545" i="12" a="1"/>
  <c r="Q546" i="12" a="1"/>
  <c r="Q547" i="12" a="1"/>
  <c r="Q548" i="12" a="1"/>
  <c r="Q549" i="12" a="1"/>
  <c r="Q550" i="12" a="1"/>
  <c r="Q551" i="12" a="1"/>
  <c r="Q552" i="12" a="1"/>
  <c r="Q553" i="12" a="1"/>
  <c r="Q554" i="12" a="1"/>
  <c r="Q555" i="12" a="1"/>
  <c r="Q556" i="12" a="1"/>
  <c r="Q557" i="12" a="1"/>
  <c r="Q558" i="12" a="1"/>
  <c r="Q559" i="12" a="1"/>
  <c r="Q560" i="12" a="1"/>
  <c r="Q561" i="12" a="1"/>
  <c r="Q562" i="12" a="1"/>
  <c r="Q563" i="12" a="1"/>
  <c r="Q564" i="12" a="1"/>
  <c r="Q565" i="12" a="1"/>
  <c r="Q566" i="12" a="1"/>
  <c r="Q567" i="12" a="1"/>
  <c r="Q568" i="12" a="1"/>
  <c r="Q569" i="12" a="1"/>
  <c r="Q570" i="12" a="1"/>
  <c r="Q571" i="12" a="1"/>
  <c r="Q572" i="12" a="1"/>
  <c r="Q573" i="12" a="1"/>
  <c r="Q574" i="12" a="1"/>
  <c r="Q575" i="12" a="1"/>
  <c r="Q576" i="12" a="1"/>
  <c r="Q577" i="12" a="1"/>
  <c r="Q578" i="12" a="1"/>
  <c r="Q579" i="12" a="1"/>
  <c r="Q580" i="12" a="1"/>
  <c r="Q581" i="12" a="1"/>
  <c r="Q582" i="12" a="1"/>
  <c r="Q583" i="12" a="1"/>
  <c r="Q584" i="12" a="1"/>
  <c r="Q585" i="12" a="1"/>
  <c r="Q586" i="12" a="1"/>
  <c r="Q587" i="12" a="1"/>
  <c r="Q588" i="12" a="1"/>
  <c r="Q589" i="12" a="1"/>
  <c r="Q590" i="12" a="1"/>
  <c r="Q591" i="12" a="1"/>
  <c r="Q592" i="12" a="1"/>
  <c r="Q593" i="12" a="1"/>
  <c r="Q594" i="12" a="1"/>
  <c r="Q595" i="12" a="1"/>
  <c r="Q596" i="12" a="1"/>
  <c r="Q597" i="12" a="1"/>
  <c r="Q598" i="12" a="1"/>
  <c r="Q599" i="12" a="1"/>
  <c r="Q600" i="12" a="1"/>
  <c r="Q601" i="12" a="1"/>
  <c r="Q602" i="12" a="1"/>
  <c r="Q603" i="12" a="1"/>
  <c r="Q604" i="12" a="1"/>
  <c r="Q605" i="12" a="1"/>
  <c r="Q606" i="12" a="1"/>
  <c r="Q607" i="12" a="1"/>
  <c r="Q608" i="12" a="1"/>
  <c r="Q609" i="12" a="1"/>
  <c r="Q610" i="12" a="1"/>
  <c r="Q611" i="12" a="1"/>
  <c r="Q612" i="12" a="1"/>
  <c r="Q613" i="12" a="1"/>
  <c r="Q614" i="12" a="1"/>
  <c r="Q615" i="12" a="1"/>
  <c r="Q616" i="12" a="1"/>
  <c r="Q617" i="12" a="1"/>
  <c r="Q618" i="12" a="1"/>
  <c r="Q619" i="12" a="1"/>
  <c r="Q620" i="12" a="1"/>
  <c r="Q621" i="12" a="1"/>
  <c r="Q622" i="12" a="1"/>
  <c r="Q623" i="12" a="1"/>
  <c r="Q624" i="12" a="1"/>
  <c r="Q625" i="12" a="1"/>
  <c r="Q626" i="12" a="1"/>
  <c r="Q627" i="12" a="1"/>
  <c r="Q628" i="12" a="1"/>
  <c r="Q629" i="12" a="1"/>
  <c r="Q630" i="12" a="1"/>
  <c r="Q631" i="12" a="1"/>
  <c r="Q632" i="12" a="1"/>
  <c r="Q633" i="12" a="1"/>
  <c r="Q634" i="12" a="1"/>
  <c r="Q635" i="12" a="1"/>
  <c r="Q636" i="12" a="1"/>
  <c r="Q637" i="12" a="1"/>
  <c r="Q638" i="12" a="1"/>
  <c r="Q639" i="12" a="1"/>
  <c r="Q640" i="12" a="1"/>
  <c r="Q641" i="12" a="1"/>
  <c r="Q642" i="12" a="1"/>
  <c r="Q643" i="12" a="1"/>
  <c r="Q644" i="12" a="1"/>
  <c r="Q645" i="12" a="1"/>
  <c r="Q646" i="12" a="1"/>
  <c r="Q647" i="12" a="1"/>
  <c r="Q648" i="12" a="1"/>
  <c r="Q649" i="12" a="1"/>
  <c r="Q650" i="12" a="1"/>
  <c r="Q651" i="12" a="1"/>
  <c r="Q652" i="12" a="1"/>
  <c r="Q653" i="12" a="1"/>
  <c r="Q654" i="12" a="1"/>
  <c r="Q655" i="12" a="1"/>
  <c r="Q656" i="12" a="1"/>
  <c r="Q657" i="12" a="1"/>
  <c r="Q658" i="12" a="1"/>
  <c r="Q659" i="12" a="1"/>
  <c r="Q660" i="12" a="1"/>
  <c r="Q661" i="12" a="1"/>
  <c r="Q662" i="12" a="1"/>
  <c r="Q663" i="12" a="1"/>
  <c r="Q664" i="12" a="1"/>
  <c r="Q665" i="12" a="1"/>
  <c r="Q666" i="12" a="1"/>
  <c r="Q667" i="12" a="1"/>
  <c r="Q668" i="12" a="1"/>
  <c r="Q669" i="12" a="1"/>
  <c r="Q670" i="12" a="1"/>
  <c r="Q671" i="12" a="1"/>
  <c r="Q672" i="12" a="1"/>
  <c r="Q673" i="12" a="1"/>
  <c r="Q674" i="12" a="1"/>
  <c r="Q675" i="12" a="1"/>
  <c r="Q676" i="12" a="1"/>
  <c r="Q677" i="12" a="1"/>
  <c r="Q678" i="12" a="1"/>
  <c r="Q679" i="12" a="1"/>
  <c r="Q680" i="12" a="1"/>
  <c r="Q681" i="12" a="1"/>
  <c r="Q682" i="12" a="1"/>
  <c r="Q683" i="12" a="1"/>
  <c r="Q684" i="12" a="1"/>
  <c r="Q685" i="12" a="1"/>
  <c r="Q686" i="12" a="1"/>
  <c r="Q687" i="12" a="1"/>
  <c r="Q688" i="12" a="1"/>
  <c r="Q689" i="12" a="1"/>
  <c r="Q690" i="12" a="1"/>
  <c r="Q691" i="12" a="1"/>
  <c r="Q692" i="12" a="1"/>
  <c r="Q693" i="12" a="1"/>
  <c r="Q694" i="12" a="1"/>
  <c r="Q695" i="12" a="1"/>
  <c r="Q696" i="12" a="1"/>
  <c r="Q697" i="12" a="1"/>
  <c r="Q698" i="12" a="1"/>
  <c r="Q699" i="12" a="1"/>
  <c r="Q700" i="12" a="1"/>
  <c r="Q701" i="12" a="1"/>
  <c r="Q702" i="12" a="1"/>
  <c r="Q703" i="12" a="1"/>
  <c r="Q704" i="12" a="1"/>
  <c r="Q705" i="12" a="1"/>
  <c r="Q706" i="12" a="1"/>
  <c r="Q707" i="12" a="1"/>
  <c r="Q708" i="12" a="1"/>
  <c r="Q709" i="12" a="1"/>
  <c r="Q710" i="12" a="1"/>
  <c r="Q711" i="12" a="1"/>
  <c r="Q712" i="12" a="1"/>
  <c r="Q713" i="12" a="1"/>
  <c r="Q714" i="12" a="1"/>
  <c r="Q715" i="12" a="1"/>
  <c r="Q716" i="12" a="1"/>
  <c r="Q717" i="12" a="1"/>
  <c r="Q718" i="12" a="1"/>
  <c r="Q719" i="12" a="1"/>
  <c r="Q720" i="12" a="1"/>
  <c r="Q721" i="12" a="1"/>
  <c r="Q722" i="12" a="1"/>
  <c r="Q723" i="12" a="1"/>
  <c r="Q724" i="12" a="1"/>
  <c r="Q725" i="12" a="1"/>
  <c r="Q726" i="12" a="1"/>
  <c r="Q727" i="12" a="1"/>
  <c r="Q728" i="12" a="1"/>
  <c r="Q729" i="12" a="1"/>
  <c r="Q730" i="12" a="1"/>
  <c r="Q731" i="12" a="1"/>
  <c r="Q732" i="12" a="1"/>
  <c r="Q733" i="12" a="1"/>
  <c r="Q734" i="12" a="1"/>
  <c r="Q735" i="12" a="1"/>
  <c r="Q736" i="12" a="1"/>
  <c r="Q737" i="12" a="1"/>
  <c r="Q738" i="12" a="1"/>
  <c r="Q739" i="12" a="1"/>
  <c r="Q740" i="12" a="1"/>
  <c r="Q741" i="12" a="1"/>
  <c r="Q742" i="12" a="1"/>
  <c r="Q743" i="12" a="1"/>
  <c r="Q744" i="12" a="1"/>
  <c r="Q745" i="12" a="1"/>
  <c r="Q746" i="12" a="1"/>
  <c r="Q747" i="12" a="1"/>
  <c r="Q748" i="12" a="1"/>
  <c r="Q749" i="12" a="1"/>
  <c r="Q750" i="12" a="1"/>
  <c r="Q751" i="12" a="1"/>
  <c r="Q752" i="12" a="1"/>
  <c r="Q753" i="12" a="1"/>
  <c r="Q754" i="12" a="1"/>
  <c r="Q755" i="12" a="1"/>
  <c r="Q756" i="12" a="1"/>
  <c r="Q757" i="12" a="1"/>
  <c r="Q2" i="12" a="1"/>
  <c r="D72" i="9"/>
  <c r="D72" i="8"/>
  <c r="W72" i="8"/>
  <c r="O1261" i="12" a="1"/>
  <c r="O1260" i="12" a="1"/>
  <c r="O1259" i="12" a="1"/>
  <c r="O1258" i="12" a="1"/>
  <c r="O1257" i="12" a="1"/>
  <c r="O1256" i="12" a="1"/>
  <c r="O1255" i="12" a="1"/>
  <c r="O1254" i="12" a="1"/>
  <c r="O1253" i="12" a="1"/>
  <c r="O1252" i="12" a="1"/>
  <c r="O1251" i="12" a="1"/>
  <c r="O1250" i="12" a="1"/>
  <c r="O1249" i="12" a="1"/>
  <c r="O1248" i="12" a="1"/>
  <c r="O1247" i="12" a="1"/>
  <c r="O1246" i="12" a="1"/>
  <c r="O1245" i="12" a="1"/>
  <c r="O1244" i="12" a="1"/>
  <c r="O1226" i="12" a="1"/>
  <c r="O1227" i="12" a="1"/>
  <c r="O1228" i="12" a="1"/>
  <c r="O1229" i="12" a="1"/>
  <c r="O1230" i="12" a="1"/>
  <c r="O1231" i="12" a="1"/>
  <c r="O1232" i="12" a="1"/>
  <c r="O1233" i="12" a="1"/>
  <c r="O1234" i="12" a="1"/>
  <c r="O1235" i="12" a="1"/>
  <c r="O1236" i="12" a="1"/>
  <c r="O1237" i="12" a="1"/>
  <c r="O1238" i="12" a="1"/>
  <c r="O1239" i="12" a="1"/>
  <c r="O1240" i="12" a="1"/>
  <c r="O1241" i="12" a="1"/>
  <c r="O1242" i="12" a="1"/>
  <c r="O1243" i="12" a="1"/>
  <c r="O1208" i="12" a="1"/>
  <c r="O1209" i="12" a="1"/>
  <c r="O1210" i="12" a="1"/>
  <c r="O1211" i="12" a="1"/>
  <c r="O1212" i="12" a="1"/>
  <c r="O1213" i="12" a="1"/>
  <c r="O1214" i="12" a="1"/>
  <c r="O1215" i="12" a="1"/>
  <c r="O1216" i="12" a="1"/>
  <c r="O1217" i="12" a="1"/>
  <c r="O1218" i="12" a="1"/>
  <c r="O1219" i="12" a="1"/>
  <c r="O1220" i="12" a="1"/>
  <c r="O1221" i="12" a="1"/>
  <c r="O1222" i="12" a="1"/>
  <c r="O1223" i="12" a="1"/>
  <c r="O1224" i="12" a="1"/>
  <c r="O1225" i="12" a="1"/>
  <c r="O1172" i="12" a="1"/>
  <c r="O1173" i="12" a="1"/>
  <c r="O1174" i="12" a="1"/>
  <c r="O1175" i="12" a="1"/>
  <c r="O1176" i="12" a="1"/>
  <c r="O1177" i="12" a="1"/>
  <c r="O1178" i="12" a="1"/>
  <c r="O1179" i="12" a="1"/>
  <c r="O1180" i="12" a="1"/>
  <c r="O1181" i="12" a="1"/>
  <c r="O1182" i="12" a="1"/>
  <c r="O1183" i="12" a="1"/>
  <c r="O1184" i="12" a="1"/>
  <c r="O1185" i="12" a="1"/>
  <c r="O1186" i="12" a="1"/>
  <c r="O1187" i="12" a="1"/>
  <c r="O1188" i="12" a="1"/>
  <c r="O1189" i="12" a="1"/>
  <c r="O1190" i="12" a="1"/>
  <c r="O1191" i="12" a="1"/>
  <c r="O1192" i="12" a="1"/>
  <c r="O1193" i="12" a="1"/>
  <c r="O1194" i="12" a="1"/>
  <c r="O1195" i="12" a="1"/>
  <c r="O1196" i="12" a="1"/>
  <c r="O1197" i="12" a="1"/>
  <c r="O1198" i="12" a="1"/>
  <c r="O1199" i="12" a="1"/>
  <c r="O1200" i="12" a="1"/>
  <c r="O1201" i="12" a="1"/>
  <c r="O1202" i="12" a="1"/>
  <c r="O1203" i="12" a="1"/>
  <c r="O1204" i="12" a="1"/>
  <c r="O1205" i="12" a="1"/>
  <c r="O1206" i="12" a="1"/>
  <c r="O1207" i="12" a="1"/>
  <c r="O1154" i="12" a="1"/>
  <c r="O1155" i="12" a="1"/>
  <c r="O1156" i="12" a="1"/>
  <c r="O1157" i="12" a="1"/>
  <c r="O1158" i="12" a="1"/>
  <c r="O1159" i="12" a="1"/>
  <c r="O1160" i="12" a="1"/>
  <c r="O1161" i="12" a="1"/>
  <c r="O1162" i="12" a="1"/>
  <c r="O1163" i="12" a="1"/>
  <c r="O1164" i="12" a="1"/>
  <c r="O1165" i="12" a="1"/>
  <c r="O1166" i="12" a="1"/>
  <c r="O1167" i="12" a="1"/>
  <c r="O1168" i="12" a="1"/>
  <c r="O1169" i="12" a="1"/>
  <c r="O1170" i="12" a="1"/>
  <c r="O1171" i="12" a="1"/>
  <c r="O1136" i="12" a="1"/>
  <c r="O1137" i="12" a="1"/>
  <c r="O1138" i="12" a="1"/>
  <c r="O1139" i="12" a="1"/>
  <c r="O1140" i="12" a="1"/>
  <c r="O1141" i="12" a="1"/>
  <c r="O1142" i="12" a="1"/>
  <c r="O1143" i="12" a="1"/>
  <c r="O1144" i="12" a="1"/>
  <c r="O1145" i="12" a="1"/>
  <c r="O1146" i="12" a="1"/>
  <c r="O1147" i="12" a="1"/>
  <c r="O1148" i="12" a="1"/>
  <c r="O1149" i="12" a="1"/>
  <c r="O1150" i="12" a="1"/>
  <c r="O1151" i="12" a="1"/>
  <c r="O1152" i="12" a="1"/>
  <c r="O1153" i="12" a="1"/>
  <c r="O1082" i="12" a="1"/>
  <c r="O1083" i="12" a="1"/>
  <c r="O1084" i="12" a="1"/>
  <c r="O1085" i="12" a="1"/>
  <c r="O1086" i="12" a="1"/>
  <c r="O1087" i="12" a="1"/>
  <c r="O1088" i="12" a="1"/>
  <c r="O1089" i="12" a="1"/>
  <c r="O1090" i="12" a="1"/>
  <c r="O1091" i="12" a="1"/>
  <c r="O1092" i="12" a="1"/>
  <c r="O1093" i="12" a="1"/>
  <c r="O1094" i="12" a="1"/>
  <c r="O1095" i="12" a="1"/>
  <c r="O1096" i="12" a="1"/>
  <c r="O1097" i="12" a="1"/>
  <c r="O1098" i="12" a="1"/>
  <c r="O1099" i="12" a="1"/>
  <c r="O1100" i="12" a="1"/>
  <c r="O1101" i="12" a="1"/>
  <c r="O1102" i="12" a="1"/>
  <c r="O1103" i="12" a="1"/>
  <c r="O1104" i="12" a="1"/>
  <c r="O1105" i="12" a="1"/>
  <c r="O1106" i="12" a="1"/>
  <c r="O1107" i="12" a="1"/>
  <c r="O1108" i="12" a="1"/>
  <c r="O1109" i="12" a="1"/>
  <c r="O1110" i="12" a="1"/>
  <c r="O1111" i="12" a="1"/>
  <c r="O1112" i="12" a="1"/>
  <c r="O1113" i="12" a="1"/>
  <c r="O1114" i="12" a="1"/>
  <c r="O1115" i="12" a="1"/>
  <c r="O1116" i="12" a="1"/>
  <c r="O1117" i="12" a="1"/>
  <c r="O1118" i="12" a="1"/>
  <c r="O1119" i="12" a="1"/>
  <c r="O1120" i="12" a="1"/>
  <c r="O1121" i="12" a="1"/>
  <c r="O1122" i="12" a="1"/>
  <c r="O1123" i="12" a="1"/>
  <c r="O1124" i="12" a="1"/>
  <c r="O1125" i="12" a="1"/>
  <c r="O1126" i="12" a="1"/>
  <c r="O1127" i="12" a="1"/>
  <c r="O1128" i="12" a="1"/>
  <c r="O1129" i="12" a="1"/>
  <c r="O1130" i="12" a="1"/>
  <c r="O1131" i="12" a="1"/>
  <c r="O1132" i="12" a="1"/>
  <c r="O1133" i="12" a="1"/>
  <c r="O1134" i="12" a="1"/>
  <c r="O1135" i="12" a="1"/>
  <c r="O848" i="12" a="1"/>
  <c r="O849" i="12" a="1"/>
  <c r="O850" i="12" a="1"/>
  <c r="O851" i="12" a="1"/>
  <c r="O852" i="12" a="1"/>
  <c r="O853" i="12" a="1"/>
  <c r="O854" i="12" a="1"/>
  <c r="O855" i="12" a="1"/>
  <c r="O856" i="12" a="1"/>
  <c r="O857" i="12" a="1"/>
  <c r="O858" i="12" a="1"/>
  <c r="O859" i="12" a="1"/>
  <c r="O860" i="12" a="1"/>
  <c r="O861" i="12" a="1"/>
  <c r="O862" i="12" a="1"/>
  <c r="O863" i="12" a="1"/>
  <c r="O864" i="12" a="1"/>
  <c r="O865" i="12" a="1"/>
  <c r="O866" i="12" a="1"/>
  <c r="O867" i="12" a="1"/>
  <c r="O868" i="12" a="1"/>
  <c r="O869" i="12" a="1"/>
  <c r="O870" i="12" a="1"/>
  <c r="O871" i="12" a="1"/>
  <c r="O872" i="12" a="1"/>
  <c r="O873" i="12" a="1"/>
  <c r="O874" i="12" a="1"/>
  <c r="O875" i="12" a="1"/>
  <c r="O876" i="12" a="1"/>
  <c r="O877" i="12" a="1"/>
  <c r="O878" i="12" a="1"/>
  <c r="O879" i="12" a="1"/>
  <c r="O880" i="12" a="1"/>
  <c r="O881" i="12" a="1"/>
  <c r="O882" i="12" a="1"/>
  <c r="O883" i="12" a="1"/>
  <c r="O884" i="12" a="1"/>
  <c r="O885" i="12" a="1"/>
  <c r="O886" i="12" a="1"/>
  <c r="O887" i="12" a="1"/>
  <c r="O888" i="12" a="1"/>
  <c r="O889" i="12" a="1"/>
  <c r="O890" i="12" a="1"/>
  <c r="O891" i="12" a="1"/>
  <c r="O892" i="12" a="1"/>
  <c r="O893" i="12" a="1"/>
  <c r="O894" i="12" a="1"/>
  <c r="O895" i="12" a="1"/>
  <c r="O896" i="12" a="1"/>
  <c r="O897" i="12" a="1"/>
  <c r="O898" i="12" a="1"/>
  <c r="O899" i="12" a="1"/>
  <c r="O900" i="12" a="1"/>
  <c r="O901" i="12" a="1"/>
  <c r="O902" i="12" a="1"/>
  <c r="O903" i="12" a="1"/>
  <c r="O904" i="12" a="1"/>
  <c r="O905" i="12" a="1"/>
  <c r="O906" i="12" a="1"/>
  <c r="O907" i="12" a="1"/>
  <c r="O908" i="12" a="1"/>
  <c r="O909" i="12" a="1"/>
  <c r="O910" i="12" a="1"/>
  <c r="O911" i="12" a="1"/>
  <c r="O912" i="12" a="1"/>
  <c r="O913" i="12" a="1"/>
  <c r="O914" i="12" a="1"/>
  <c r="O915" i="12" a="1"/>
  <c r="O916" i="12" a="1"/>
  <c r="O917" i="12" a="1"/>
  <c r="O918" i="12" a="1"/>
  <c r="O919" i="12" a="1"/>
  <c r="O920" i="12" a="1"/>
  <c r="O921" i="12" a="1"/>
  <c r="O922" i="12" a="1"/>
  <c r="O923" i="12" a="1"/>
  <c r="O924" i="12" a="1"/>
  <c r="O925" i="12" a="1"/>
  <c r="O926" i="12" a="1"/>
  <c r="O927" i="12" a="1"/>
  <c r="O928" i="12" a="1"/>
  <c r="O929" i="12" a="1"/>
  <c r="O930" i="12" a="1"/>
  <c r="O931" i="12" a="1"/>
  <c r="O932" i="12" a="1"/>
  <c r="O933" i="12" a="1"/>
  <c r="O934" i="12" a="1"/>
  <c r="O935" i="12" a="1"/>
  <c r="O936" i="12" a="1"/>
  <c r="O937" i="12" a="1"/>
  <c r="O938" i="12" a="1"/>
  <c r="O939" i="12" a="1"/>
  <c r="O940" i="12" a="1"/>
  <c r="O941" i="12" a="1"/>
  <c r="O942" i="12" a="1"/>
  <c r="O943" i="12" a="1"/>
  <c r="O944" i="12" a="1"/>
  <c r="O945" i="12" a="1"/>
  <c r="O946" i="12" a="1"/>
  <c r="O947" i="12" a="1"/>
  <c r="O948" i="12" a="1"/>
  <c r="O949" i="12" a="1"/>
  <c r="O950" i="12" a="1"/>
  <c r="O951" i="12" a="1"/>
  <c r="O952" i="12" a="1"/>
  <c r="O953" i="12" a="1"/>
  <c r="O954" i="12" a="1"/>
  <c r="O955" i="12" a="1"/>
  <c r="O956" i="12" a="1"/>
  <c r="O957" i="12" a="1"/>
  <c r="O958" i="12" a="1"/>
  <c r="O959" i="12" a="1"/>
  <c r="O960" i="12" a="1"/>
  <c r="O961" i="12" a="1"/>
  <c r="O962" i="12" a="1"/>
  <c r="O963" i="12" a="1"/>
  <c r="O964" i="12" a="1"/>
  <c r="O965" i="12" a="1"/>
  <c r="O966" i="12" a="1"/>
  <c r="O967" i="12" a="1"/>
  <c r="O968" i="12" a="1"/>
  <c r="O969" i="12" a="1"/>
  <c r="O970" i="12" a="1"/>
  <c r="O971" i="12" a="1"/>
  <c r="O972" i="12" a="1"/>
  <c r="O973" i="12" a="1"/>
  <c r="O974" i="12" a="1"/>
  <c r="O975" i="12" a="1"/>
  <c r="O976" i="12" a="1"/>
  <c r="O977" i="12" a="1"/>
  <c r="O978" i="12" a="1"/>
  <c r="O979" i="12" a="1"/>
  <c r="O980" i="12" a="1"/>
  <c r="O981" i="12" a="1"/>
  <c r="O982" i="12" a="1"/>
  <c r="O983" i="12" a="1"/>
  <c r="O984" i="12" a="1"/>
  <c r="O985" i="12" a="1"/>
  <c r="O986" i="12" a="1"/>
  <c r="O987" i="12" a="1"/>
  <c r="O988" i="12" a="1"/>
  <c r="O989" i="12" a="1"/>
  <c r="O990" i="12" a="1"/>
  <c r="O991" i="12" a="1"/>
  <c r="O992" i="12" a="1"/>
  <c r="O993" i="12" a="1"/>
  <c r="O994" i="12" a="1"/>
  <c r="O995" i="12" a="1"/>
  <c r="O996" i="12" a="1"/>
  <c r="O997" i="12" a="1"/>
  <c r="O998" i="12" a="1"/>
  <c r="O999" i="12" a="1"/>
  <c r="O1000" i="12" a="1"/>
  <c r="O1001" i="12" a="1"/>
  <c r="O1002" i="12" a="1"/>
  <c r="O1003" i="12" a="1"/>
  <c r="O1004" i="12" a="1"/>
  <c r="O1005" i="12" a="1"/>
  <c r="O1006" i="12" a="1"/>
  <c r="O1007" i="12" a="1"/>
  <c r="O1008" i="12" a="1"/>
  <c r="O1009" i="12" a="1"/>
  <c r="O1010" i="12" a="1"/>
  <c r="O1011" i="12" a="1"/>
  <c r="O1012" i="12" a="1"/>
  <c r="O1013" i="12" a="1"/>
  <c r="O1014" i="12" a="1"/>
  <c r="O1015" i="12" a="1"/>
  <c r="O1016" i="12" a="1"/>
  <c r="O1017" i="12" a="1"/>
  <c r="O1018" i="12" a="1"/>
  <c r="O1019" i="12" a="1"/>
  <c r="O1020" i="12" a="1"/>
  <c r="O1021" i="12" a="1"/>
  <c r="O1022" i="12" a="1"/>
  <c r="O1023" i="12" a="1"/>
  <c r="O1024" i="12" a="1"/>
  <c r="O1025" i="12" a="1"/>
  <c r="O1026" i="12" a="1"/>
  <c r="O1027" i="12" a="1"/>
  <c r="O1028" i="12" a="1"/>
  <c r="O1029" i="12" a="1"/>
  <c r="O1030" i="12" a="1"/>
  <c r="O1031" i="12" a="1"/>
  <c r="O1032" i="12" a="1"/>
  <c r="O1033" i="12" a="1"/>
  <c r="O1034" i="12" a="1"/>
  <c r="O1035" i="12" a="1"/>
  <c r="O1036" i="12" a="1"/>
  <c r="O1037" i="12" a="1"/>
  <c r="O1038" i="12" a="1"/>
  <c r="O1039" i="12" a="1"/>
  <c r="O1040" i="12" a="1"/>
  <c r="O1041" i="12" a="1"/>
  <c r="O1042" i="12" a="1"/>
  <c r="O1043" i="12" a="1"/>
  <c r="O1044" i="12" a="1"/>
  <c r="O1045" i="12" a="1"/>
  <c r="O1046" i="12" a="1"/>
  <c r="O1047" i="12" a="1"/>
  <c r="O1048" i="12" a="1"/>
  <c r="O1049" i="12" a="1"/>
  <c r="O1050" i="12" a="1"/>
  <c r="O1051" i="12" a="1"/>
  <c r="O1052" i="12" a="1"/>
  <c r="O1053" i="12" a="1"/>
  <c r="O1054" i="12" a="1"/>
  <c r="O1055" i="12" a="1"/>
  <c r="O1056" i="12" a="1"/>
  <c r="O1057" i="12" a="1"/>
  <c r="O1058" i="12" a="1"/>
  <c r="O1059" i="12" a="1"/>
  <c r="O1060" i="12" a="1"/>
  <c r="O1061" i="12" a="1"/>
  <c r="O1062" i="12" a="1"/>
  <c r="O1063" i="12" a="1"/>
  <c r="O1064" i="12" a="1"/>
  <c r="O1065" i="12" a="1"/>
  <c r="O1066" i="12" a="1"/>
  <c r="O1067" i="12" a="1"/>
  <c r="O1068" i="12" a="1"/>
  <c r="O1069" i="12" a="1"/>
  <c r="O1070" i="12" a="1"/>
  <c r="O1071" i="12" a="1"/>
  <c r="O1072" i="12" a="1"/>
  <c r="O1073" i="12" a="1"/>
  <c r="O1074" i="12" a="1"/>
  <c r="O1075" i="12" a="1"/>
  <c r="O1076" i="12" a="1"/>
  <c r="O1077" i="12" a="1"/>
  <c r="O1078" i="12" a="1"/>
  <c r="O1079" i="12" a="1"/>
  <c r="O1080" i="12" a="1"/>
  <c r="O1081" i="12" a="1"/>
  <c r="O830" i="12" a="1"/>
  <c r="O831" i="12" a="1"/>
  <c r="O832" i="12" a="1"/>
  <c r="O833" i="12" a="1"/>
  <c r="O834" i="12" a="1"/>
  <c r="O835" i="12" a="1"/>
  <c r="O836" i="12" a="1"/>
  <c r="O837" i="12" a="1"/>
  <c r="O838" i="12" a="1"/>
  <c r="O839" i="12" a="1"/>
  <c r="O840" i="12" a="1"/>
  <c r="O841" i="12" a="1"/>
  <c r="O842" i="12" a="1"/>
  <c r="O843" i="12" a="1"/>
  <c r="O844" i="12" a="1"/>
  <c r="O845" i="12" a="1"/>
  <c r="O846" i="12" a="1"/>
  <c r="O847" i="12" a="1"/>
  <c r="O758" i="12" a="1"/>
  <c r="O759" i="12" a="1"/>
  <c r="O760" i="12" a="1"/>
  <c r="O761" i="12" a="1"/>
  <c r="O762" i="12" a="1"/>
  <c r="O763" i="12" a="1"/>
  <c r="O764" i="12" a="1"/>
  <c r="O765" i="12" a="1"/>
  <c r="O766" i="12" a="1"/>
  <c r="O767" i="12" a="1"/>
  <c r="O768" i="12" a="1"/>
  <c r="O769" i="12" a="1"/>
  <c r="O770" i="12" a="1"/>
  <c r="O771" i="12" a="1"/>
  <c r="O772" i="12" a="1"/>
  <c r="O773" i="12" a="1"/>
  <c r="O774" i="12" a="1"/>
  <c r="O775" i="12" a="1"/>
  <c r="O776" i="12" a="1"/>
  <c r="O777" i="12" a="1"/>
  <c r="O778" i="12" a="1"/>
  <c r="O779" i="12" a="1"/>
  <c r="O780" i="12" a="1"/>
  <c r="O781" i="12" a="1"/>
  <c r="O782" i="12" a="1"/>
  <c r="O783" i="12" a="1"/>
  <c r="O784" i="12" a="1"/>
  <c r="O785" i="12" a="1"/>
  <c r="O786" i="12" a="1"/>
  <c r="O787" i="12" a="1"/>
  <c r="O788" i="12" a="1"/>
  <c r="O789" i="12" a="1"/>
  <c r="O790" i="12" a="1"/>
  <c r="O791" i="12" a="1"/>
  <c r="O792" i="12" a="1"/>
  <c r="O793" i="12" a="1"/>
  <c r="O794" i="12" a="1"/>
  <c r="O795" i="12" a="1"/>
  <c r="O796" i="12" a="1"/>
  <c r="O797" i="12" a="1"/>
  <c r="O798" i="12" a="1"/>
  <c r="O799" i="12" a="1"/>
  <c r="O800" i="12" a="1"/>
  <c r="O801" i="12" a="1"/>
  <c r="O802" i="12" a="1"/>
  <c r="O803" i="12" a="1"/>
  <c r="O804" i="12" a="1"/>
  <c r="O805" i="12" a="1"/>
  <c r="O806" i="12" a="1"/>
  <c r="O807" i="12" a="1"/>
  <c r="O808" i="12" a="1"/>
  <c r="O809" i="12" a="1"/>
  <c r="O810" i="12" a="1"/>
  <c r="O811" i="12" a="1"/>
  <c r="O812" i="12" a="1"/>
  <c r="O813" i="12" a="1"/>
  <c r="O814" i="12" a="1"/>
  <c r="O815" i="12" a="1"/>
  <c r="O816" i="12" a="1"/>
  <c r="O817" i="12" a="1"/>
  <c r="O818" i="12" a="1"/>
  <c r="O819" i="12" a="1"/>
  <c r="O820" i="12" a="1"/>
  <c r="O821" i="12" a="1"/>
  <c r="O822" i="12" a="1"/>
  <c r="O823" i="12" a="1"/>
  <c r="O824" i="12" a="1"/>
  <c r="O825" i="12" a="1"/>
  <c r="O826" i="12" a="1"/>
  <c r="O827" i="12" a="1"/>
  <c r="O828" i="12" a="1"/>
  <c r="O829" i="12" a="1"/>
  <c r="O2" i="12" a="1"/>
  <c r="O3" i="12" a="1"/>
  <c r="O4" i="12" a="1"/>
  <c r="O5" i="12" a="1"/>
  <c r="O6" i="12" a="1"/>
  <c r="O7" i="12" a="1"/>
  <c r="O8" i="12" a="1"/>
  <c r="O9" i="12" a="1"/>
  <c r="O10" i="12" a="1"/>
  <c r="O11" i="12" a="1"/>
  <c r="O12" i="12" a="1"/>
  <c r="O13" i="12" a="1"/>
  <c r="O14" i="12" a="1"/>
  <c r="O15" i="12" a="1"/>
  <c r="O16" i="12" a="1"/>
  <c r="O17" i="12" a="1"/>
  <c r="O18" i="12" a="1"/>
  <c r="O19" i="12" a="1"/>
  <c r="O20" i="12" a="1"/>
  <c r="O21" i="12" a="1"/>
  <c r="O22" i="12" a="1"/>
  <c r="O23" i="12" a="1"/>
  <c r="O24" i="12" a="1"/>
  <c r="O25" i="12" a="1"/>
  <c r="O26" i="12" a="1"/>
  <c r="O27" i="12" a="1"/>
  <c r="O28" i="12" a="1"/>
  <c r="O29" i="12" a="1"/>
  <c r="O30" i="12" a="1"/>
  <c r="O31" i="12" a="1"/>
  <c r="O32" i="12" a="1"/>
  <c r="O33" i="12" a="1"/>
  <c r="O34" i="12" a="1"/>
  <c r="O35" i="12" a="1"/>
  <c r="O36" i="12" a="1"/>
  <c r="O37" i="12" a="1"/>
  <c r="O38" i="12" a="1"/>
  <c r="O39" i="12" a="1"/>
  <c r="O40" i="12" a="1"/>
  <c r="O41" i="12" a="1"/>
  <c r="O42" i="12" a="1"/>
  <c r="O43" i="12" a="1"/>
  <c r="O44" i="12" a="1"/>
  <c r="O45" i="12" a="1"/>
  <c r="O46" i="12" a="1"/>
  <c r="O47" i="12" a="1"/>
  <c r="O48" i="12" a="1"/>
  <c r="O49" i="12" a="1"/>
  <c r="O50" i="12" a="1"/>
  <c r="O51" i="12" a="1"/>
  <c r="O52" i="12" a="1"/>
  <c r="O53" i="12" a="1"/>
  <c r="O54" i="12" a="1"/>
  <c r="O55" i="12" a="1"/>
  <c r="O56" i="12" a="1"/>
  <c r="O57" i="12" a="1"/>
  <c r="O58" i="12" a="1"/>
  <c r="O59" i="12" a="1"/>
  <c r="O60" i="12" a="1"/>
  <c r="O61" i="12" a="1"/>
  <c r="O62" i="12" a="1"/>
  <c r="O63" i="12" a="1"/>
  <c r="O64" i="12" a="1"/>
  <c r="O65" i="12" a="1"/>
  <c r="O66" i="12" a="1"/>
  <c r="O67" i="12" a="1"/>
  <c r="O68" i="12" a="1"/>
  <c r="O69" i="12" a="1"/>
  <c r="O70" i="12" a="1"/>
  <c r="O71" i="12" a="1"/>
  <c r="O72" i="12" a="1"/>
  <c r="O73" i="12" a="1"/>
  <c r="O74" i="12" a="1"/>
  <c r="O75" i="12" a="1"/>
  <c r="O76" i="12" a="1"/>
  <c r="O77" i="12" a="1"/>
  <c r="O78" i="12" a="1"/>
  <c r="O79" i="12" a="1"/>
  <c r="O80" i="12" a="1"/>
  <c r="O81" i="12" a="1"/>
  <c r="O82" i="12" a="1"/>
  <c r="O83" i="12" a="1"/>
  <c r="O84" i="12" a="1"/>
  <c r="O85" i="12" a="1"/>
  <c r="O86" i="12" a="1"/>
  <c r="O87" i="12" a="1"/>
  <c r="O88" i="12" a="1"/>
  <c r="O89" i="12" a="1"/>
  <c r="O90" i="12" a="1"/>
  <c r="O91" i="12" a="1"/>
  <c r="O92" i="12" a="1"/>
  <c r="O93" i="12" a="1"/>
  <c r="O94" i="12" a="1"/>
  <c r="O95" i="12" a="1"/>
  <c r="O96" i="12" a="1"/>
  <c r="O97" i="12" a="1"/>
  <c r="O98" i="12" a="1"/>
  <c r="O99" i="12" a="1"/>
  <c r="O100" i="12" a="1"/>
  <c r="O101" i="12" a="1"/>
  <c r="O102" i="12" a="1"/>
  <c r="O103" i="12" a="1"/>
  <c r="O104" i="12" a="1"/>
  <c r="O105" i="12" a="1"/>
  <c r="O106" i="12" a="1"/>
  <c r="O107" i="12" a="1"/>
  <c r="O108" i="12" a="1"/>
  <c r="O109" i="12" a="1"/>
  <c r="O110" i="12" a="1"/>
  <c r="O111" i="12" a="1"/>
  <c r="O112" i="12" a="1"/>
  <c r="O113" i="12" a="1"/>
  <c r="O114" i="12" a="1"/>
  <c r="O115" i="12" a="1"/>
  <c r="O116" i="12" a="1"/>
  <c r="O117" i="12" a="1"/>
  <c r="O118" i="12" a="1"/>
  <c r="O119" i="12" a="1"/>
  <c r="O120" i="12" a="1"/>
  <c r="O121" i="12" a="1"/>
  <c r="O122" i="12" a="1"/>
  <c r="O123" i="12" a="1"/>
  <c r="O124" i="12" a="1"/>
  <c r="O125" i="12" a="1"/>
  <c r="O126" i="12" a="1"/>
  <c r="O127" i="12" a="1"/>
  <c r="O128" i="12" a="1"/>
  <c r="O129" i="12" a="1"/>
  <c r="O130" i="12" a="1"/>
  <c r="O131" i="12" a="1"/>
  <c r="O132" i="12" a="1"/>
  <c r="O133" i="12" a="1"/>
  <c r="O134" i="12" a="1"/>
  <c r="O135" i="12" a="1"/>
  <c r="O136" i="12" a="1"/>
  <c r="O137" i="12" a="1"/>
  <c r="O138" i="12" a="1"/>
  <c r="O139" i="12" a="1"/>
  <c r="O140" i="12" a="1"/>
  <c r="O141" i="12" a="1"/>
  <c r="O142" i="12" a="1"/>
  <c r="O143" i="12" a="1"/>
  <c r="O144" i="12" a="1"/>
  <c r="O145" i="12" a="1"/>
  <c r="O146" i="12" a="1"/>
  <c r="O147" i="12" a="1"/>
  <c r="O148" i="12" a="1"/>
  <c r="O149" i="12" a="1"/>
  <c r="O150" i="12" a="1"/>
  <c r="O151" i="12" a="1"/>
  <c r="O152" i="12" a="1"/>
  <c r="O153" i="12" a="1"/>
  <c r="O154" i="12" a="1"/>
  <c r="O155" i="12" a="1"/>
  <c r="O156" i="12" a="1"/>
  <c r="O157" i="12" a="1"/>
  <c r="O158" i="12" a="1"/>
  <c r="O159" i="12" a="1"/>
  <c r="O160" i="12" a="1"/>
  <c r="O161" i="12" a="1"/>
  <c r="O162" i="12" a="1"/>
  <c r="O163" i="12" a="1"/>
  <c r="O164" i="12" a="1"/>
  <c r="O165" i="12" a="1"/>
  <c r="O166" i="12" a="1"/>
  <c r="O167" i="12" a="1"/>
  <c r="O168" i="12" a="1"/>
  <c r="O169" i="12" a="1"/>
  <c r="O170" i="12" a="1"/>
  <c r="O171" i="12" a="1"/>
  <c r="O172" i="12" a="1"/>
  <c r="O173" i="12" a="1"/>
  <c r="O174" i="12" a="1"/>
  <c r="O175" i="12" a="1"/>
  <c r="O176" i="12" a="1"/>
  <c r="O177" i="12" a="1"/>
  <c r="O178" i="12" a="1"/>
  <c r="O179" i="12" a="1"/>
  <c r="O180" i="12" a="1"/>
  <c r="O181" i="12" a="1"/>
  <c r="O182" i="12" a="1"/>
  <c r="O183" i="12" a="1"/>
  <c r="O184" i="12" a="1"/>
  <c r="O185" i="12" a="1"/>
  <c r="O186" i="12" a="1"/>
  <c r="O187" i="12" a="1"/>
  <c r="O188" i="12" a="1"/>
  <c r="O189" i="12" a="1"/>
  <c r="O190" i="12" a="1"/>
  <c r="O191" i="12" a="1"/>
  <c r="O192" i="12" a="1"/>
  <c r="O193" i="12" a="1"/>
  <c r="O194" i="12" a="1"/>
  <c r="O195" i="12" a="1"/>
  <c r="O196" i="12" a="1"/>
  <c r="O197" i="12" a="1"/>
  <c r="O198" i="12" a="1"/>
  <c r="O199" i="12" a="1"/>
  <c r="O200" i="12" a="1"/>
  <c r="O201" i="12" a="1"/>
  <c r="O202" i="12" a="1"/>
  <c r="O203" i="12" a="1"/>
  <c r="O204" i="12" a="1"/>
  <c r="O205" i="12" a="1"/>
  <c r="O206" i="12" a="1"/>
  <c r="O207" i="12" a="1"/>
  <c r="O208" i="12" a="1"/>
  <c r="O209" i="12" a="1"/>
  <c r="O210" i="12" a="1"/>
  <c r="O211" i="12" a="1"/>
  <c r="O212" i="12" a="1"/>
  <c r="O213" i="12" a="1"/>
  <c r="O214" i="12" a="1"/>
  <c r="O215" i="12" a="1"/>
  <c r="O216" i="12" a="1"/>
  <c r="O217" i="12" a="1"/>
  <c r="O218" i="12" a="1"/>
  <c r="O219" i="12" a="1"/>
  <c r="O220" i="12" a="1"/>
  <c r="O221" i="12" a="1"/>
  <c r="O222" i="12" a="1"/>
  <c r="O223" i="12" a="1"/>
  <c r="O224" i="12" a="1"/>
  <c r="O225" i="12" a="1"/>
  <c r="O226" i="12" a="1"/>
  <c r="O227" i="12" a="1"/>
  <c r="O228" i="12" a="1"/>
  <c r="O229" i="12" a="1"/>
  <c r="O230" i="12" a="1"/>
  <c r="O231" i="12" a="1"/>
  <c r="O232" i="12" a="1"/>
  <c r="O233" i="12" a="1"/>
  <c r="O234" i="12" a="1"/>
  <c r="O235" i="12" a="1"/>
  <c r="O236" i="12" a="1"/>
  <c r="O237" i="12" a="1"/>
  <c r="O238" i="12" a="1"/>
  <c r="O239" i="12" a="1"/>
  <c r="O240" i="12" a="1"/>
  <c r="O241" i="12" a="1"/>
  <c r="O242" i="12" a="1"/>
  <c r="O243" i="12" a="1"/>
  <c r="O244" i="12" a="1"/>
  <c r="O245" i="12" a="1"/>
  <c r="O246" i="12" a="1"/>
  <c r="O247" i="12" a="1"/>
  <c r="O248" i="12" a="1"/>
  <c r="O249" i="12" a="1"/>
  <c r="O250" i="12" a="1"/>
  <c r="O251" i="12" a="1"/>
  <c r="O252" i="12" a="1"/>
  <c r="O253" i="12" a="1"/>
  <c r="O254" i="12" a="1"/>
  <c r="O255" i="12" a="1"/>
  <c r="O256" i="12" a="1"/>
  <c r="O257" i="12" a="1"/>
  <c r="O258" i="12" a="1"/>
  <c r="O259" i="12" a="1"/>
  <c r="O260" i="12" a="1"/>
  <c r="O261" i="12" a="1"/>
  <c r="O262" i="12" a="1"/>
  <c r="O263" i="12" a="1"/>
  <c r="O264" i="12" a="1"/>
  <c r="O265" i="12" a="1"/>
  <c r="O266" i="12" a="1"/>
  <c r="O267" i="12" a="1"/>
  <c r="O268" i="12" a="1"/>
  <c r="O269" i="12" a="1"/>
  <c r="O270" i="12" a="1"/>
  <c r="O271" i="12" a="1"/>
  <c r="O272" i="12" a="1"/>
  <c r="O273" i="12" a="1"/>
  <c r="O274" i="12" a="1"/>
  <c r="O275" i="12" a="1"/>
  <c r="O276" i="12" a="1"/>
  <c r="O277" i="12" a="1"/>
  <c r="O278" i="12" a="1"/>
  <c r="O279" i="12" a="1"/>
  <c r="O280" i="12" a="1"/>
  <c r="O281" i="12" a="1"/>
  <c r="O282" i="12" a="1"/>
  <c r="O283" i="12" a="1"/>
  <c r="O284" i="12" a="1"/>
  <c r="O285" i="12" a="1"/>
  <c r="O286" i="12" a="1"/>
  <c r="O287" i="12" a="1"/>
  <c r="O288" i="12" a="1"/>
  <c r="O289" i="12" a="1"/>
  <c r="O290" i="12" a="1"/>
  <c r="O291" i="12" a="1"/>
  <c r="O292" i="12" a="1"/>
  <c r="O293" i="12" a="1"/>
  <c r="O294" i="12" a="1"/>
  <c r="O295" i="12" a="1"/>
  <c r="O296" i="12" a="1"/>
  <c r="O297" i="12" a="1"/>
  <c r="O298" i="12" a="1"/>
  <c r="O299" i="12" a="1"/>
  <c r="O300" i="12" a="1"/>
  <c r="O301" i="12" a="1"/>
  <c r="O302" i="12" a="1"/>
  <c r="O303" i="12" a="1"/>
  <c r="O304" i="12" a="1"/>
  <c r="O305" i="12" a="1"/>
  <c r="O306" i="12" a="1"/>
  <c r="O307" i="12" a="1"/>
  <c r="O308" i="12" a="1"/>
  <c r="O309" i="12" a="1"/>
  <c r="O310" i="12" a="1"/>
  <c r="O311" i="12" a="1"/>
  <c r="O312" i="12" a="1"/>
  <c r="O313" i="12" a="1"/>
  <c r="O314" i="12" a="1"/>
  <c r="O315" i="12" a="1"/>
  <c r="O316" i="12" a="1"/>
  <c r="O317" i="12" a="1"/>
  <c r="O318" i="12" a="1"/>
  <c r="O319" i="12" a="1"/>
  <c r="O320" i="12" a="1"/>
  <c r="O321" i="12" a="1"/>
  <c r="O322" i="12" a="1"/>
  <c r="O323" i="12" a="1"/>
  <c r="O324" i="12" a="1"/>
  <c r="O325" i="12" a="1"/>
  <c r="O326" i="12" a="1"/>
  <c r="O327" i="12" a="1"/>
  <c r="O328" i="12" a="1"/>
  <c r="O329" i="12" a="1"/>
  <c r="O330" i="12" a="1"/>
  <c r="O331" i="12" a="1"/>
  <c r="O332" i="12" a="1"/>
  <c r="O333" i="12" a="1"/>
  <c r="O334" i="12" a="1"/>
  <c r="O335" i="12" a="1"/>
  <c r="O336" i="12" a="1"/>
  <c r="O337" i="12" a="1"/>
  <c r="O338" i="12" a="1"/>
  <c r="O339" i="12" a="1"/>
  <c r="O340" i="12" a="1"/>
  <c r="O341" i="12" a="1"/>
  <c r="O342" i="12" a="1"/>
  <c r="O343" i="12" a="1"/>
  <c r="O344" i="12" a="1"/>
  <c r="O345" i="12" a="1"/>
  <c r="O346" i="12" a="1"/>
  <c r="O347" i="12" a="1"/>
  <c r="O348" i="12" a="1"/>
  <c r="O349" i="12" a="1"/>
  <c r="O350" i="12" a="1"/>
  <c r="O351" i="12" a="1"/>
  <c r="O352" i="12" a="1"/>
  <c r="O353" i="12" a="1"/>
  <c r="O354" i="12" a="1"/>
  <c r="O355" i="12" a="1"/>
  <c r="O356" i="12" a="1"/>
  <c r="O357" i="12" a="1"/>
  <c r="O358" i="12" a="1"/>
  <c r="O359" i="12" a="1"/>
  <c r="O360" i="12" a="1"/>
  <c r="O361" i="12" a="1"/>
  <c r="O362" i="12" a="1"/>
  <c r="O363" i="12" a="1"/>
  <c r="O364" i="12" a="1"/>
  <c r="O365" i="12" a="1"/>
  <c r="O366" i="12" a="1"/>
  <c r="O367" i="12" a="1"/>
  <c r="O368" i="12" a="1"/>
  <c r="O369" i="12" a="1"/>
  <c r="O370" i="12" a="1"/>
  <c r="O371" i="12" a="1"/>
  <c r="O372" i="12" a="1"/>
  <c r="O373" i="12" a="1"/>
  <c r="O374" i="12" a="1"/>
  <c r="O375" i="12" a="1"/>
  <c r="O376" i="12" a="1"/>
  <c r="O377" i="12" a="1"/>
  <c r="O378" i="12" a="1"/>
  <c r="O379" i="12" a="1"/>
  <c r="O380" i="12" a="1"/>
  <c r="O381" i="12" a="1"/>
  <c r="O382" i="12" a="1"/>
  <c r="O383" i="12" a="1"/>
  <c r="O384" i="12" a="1"/>
  <c r="O385" i="12" a="1"/>
  <c r="O386" i="12" a="1"/>
  <c r="O387" i="12" a="1"/>
  <c r="O388" i="12" a="1"/>
  <c r="O389" i="12" a="1"/>
  <c r="O390" i="12" a="1"/>
  <c r="O391" i="12" a="1"/>
  <c r="O392" i="12" a="1"/>
  <c r="O393" i="12" a="1"/>
  <c r="O394" i="12" a="1"/>
  <c r="O395" i="12" a="1"/>
  <c r="O396" i="12" a="1"/>
  <c r="O397" i="12" a="1"/>
  <c r="O398" i="12" a="1"/>
  <c r="O399" i="12" a="1"/>
  <c r="O400" i="12" a="1"/>
  <c r="O401" i="12" a="1"/>
  <c r="O402" i="12" a="1"/>
  <c r="O403" i="12" a="1"/>
  <c r="O404" i="12" a="1"/>
  <c r="O405" i="12" a="1"/>
  <c r="O406" i="12" a="1"/>
  <c r="O407" i="12" a="1"/>
  <c r="O408" i="12" a="1"/>
  <c r="O409" i="12" a="1"/>
  <c r="O410" i="12" a="1"/>
  <c r="O411" i="12" a="1"/>
  <c r="O412" i="12" a="1"/>
  <c r="O413" i="12" a="1"/>
  <c r="O414" i="12" a="1"/>
  <c r="O415" i="12" a="1"/>
  <c r="O416" i="12" a="1"/>
  <c r="O417" i="12" a="1"/>
  <c r="O418" i="12" a="1"/>
  <c r="O419" i="12" a="1"/>
  <c r="O420" i="12" a="1"/>
  <c r="O421" i="12" a="1"/>
  <c r="O422" i="12" a="1"/>
  <c r="O423" i="12" a="1"/>
  <c r="O424" i="12" a="1"/>
  <c r="O425" i="12" a="1"/>
  <c r="O426" i="12" a="1"/>
  <c r="O427" i="12" a="1"/>
  <c r="O428" i="12" a="1"/>
  <c r="O429" i="12" a="1"/>
  <c r="O430" i="12" a="1"/>
  <c r="O431" i="12" a="1"/>
  <c r="O432" i="12" a="1"/>
  <c r="O433" i="12" a="1"/>
  <c r="O434" i="12" a="1"/>
  <c r="O435" i="12" a="1"/>
  <c r="O436" i="12" a="1"/>
  <c r="O437" i="12" a="1"/>
  <c r="O438" i="12" a="1"/>
  <c r="O439" i="12" a="1"/>
  <c r="O440" i="12" a="1"/>
  <c r="O441" i="12" a="1"/>
  <c r="O442" i="12" a="1"/>
  <c r="O443" i="12" a="1"/>
  <c r="O444" i="12" a="1"/>
  <c r="O445" i="12" a="1"/>
  <c r="O446" i="12" a="1"/>
  <c r="O447" i="12" a="1"/>
  <c r="O448" i="12" a="1"/>
  <c r="O449" i="12" a="1"/>
  <c r="O450" i="12" a="1"/>
  <c r="O451" i="12" a="1"/>
  <c r="O452" i="12" a="1"/>
  <c r="O453" i="12" a="1"/>
  <c r="O454" i="12" a="1"/>
  <c r="O455" i="12" a="1"/>
  <c r="O456" i="12" a="1"/>
  <c r="O457" i="12" a="1"/>
  <c r="O458" i="12" a="1"/>
  <c r="O459" i="12" a="1"/>
  <c r="O460" i="12" a="1"/>
  <c r="O461" i="12" a="1"/>
  <c r="O462" i="12" a="1"/>
  <c r="O463" i="12" a="1"/>
  <c r="O464" i="12" a="1"/>
  <c r="O465" i="12" a="1"/>
  <c r="O466" i="12" a="1"/>
  <c r="O467" i="12" a="1"/>
  <c r="O468" i="12" a="1"/>
  <c r="O469" i="12" a="1"/>
  <c r="O470" i="12" a="1"/>
  <c r="O471" i="12" a="1"/>
  <c r="O472" i="12" a="1"/>
  <c r="O473" i="12" a="1"/>
  <c r="O474" i="12" a="1"/>
  <c r="O475" i="12" a="1"/>
  <c r="O476" i="12" a="1"/>
  <c r="O477" i="12" a="1"/>
  <c r="O478" i="12" a="1"/>
  <c r="O479" i="12" a="1"/>
  <c r="O480" i="12" a="1"/>
  <c r="O481" i="12" a="1"/>
  <c r="O482" i="12" a="1"/>
  <c r="O483" i="12" a="1"/>
  <c r="O484" i="12" a="1"/>
  <c r="O485" i="12" a="1"/>
  <c r="O486" i="12" a="1"/>
  <c r="O487" i="12" a="1"/>
  <c r="O488" i="12" a="1"/>
  <c r="O489" i="12" a="1"/>
  <c r="O490" i="12" a="1"/>
  <c r="O491" i="12" a="1"/>
  <c r="O492" i="12" a="1"/>
  <c r="O493" i="12" a="1"/>
  <c r="O494" i="12" a="1"/>
  <c r="O495" i="12" a="1"/>
  <c r="O496" i="12" a="1"/>
  <c r="O497" i="12" a="1"/>
  <c r="O498" i="12" a="1"/>
  <c r="O499" i="12" a="1"/>
  <c r="O500" i="12" a="1"/>
  <c r="O501" i="12" a="1"/>
  <c r="O502" i="12" a="1"/>
  <c r="O503" i="12" a="1"/>
  <c r="O504" i="12" a="1"/>
  <c r="O505" i="12" a="1"/>
  <c r="O506" i="12" a="1"/>
  <c r="O507" i="12" a="1"/>
  <c r="O508" i="12" a="1"/>
  <c r="O509" i="12" a="1"/>
  <c r="O510" i="12" a="1"/>
  <c r="O511" i="12" a="1"/>
  <c r="O512" i="12" a="1"/>
  <c r="O513" i="12" a="1"/>
  <c r="O514" i="12" a="1"/>
  <c r="O515" i="12" a="1"/>
  <c r="O516" i="12" a="1"/>
  <c r="O517" i="12" a="1"/>
  <c r="O518" i="12" a="1"/>
  <c r="O519" i="12" a="1"/>
  <c r="O520" i="12" a="1"/>
  <c r="O521" i="12" a="1"/>
  <c r="O522" i="12" a="1"/>
  <c r="O523" i="12" a="1"/>
  <c r="O524" i="12" a="1"/>
  <c r="O525" i="12" a="1"/>
  <c r="O526" i="12" a="1"/>
  <c r="O527" i="12" a="1"/>
  <c r="O528" i="12" a="1"/>
  <c r="O529" i="12" a="1"/>
  <c r="O530" i="12" a="1"/>
  <c r="O531" i="12" a="1"/>
  <c r="O532" i="12" a="1"/>
  <c r="O533" i="12" a="1"/>
  <c r="O534" i="12" a="1"/>
  <c r="O535" i="12" a="1"/>
  <c r="O536" i="12" a="1"/>
  <c r="O537" i="12" a="1"/>
  <c r="O538" i="12" a="1"/>
  <c r="O539" i="12" a="1"/>
  <c r="O540" i="12" a="1"/>
  <c r="O541" i="12" a="1"/>
  <c r="O542" i="12" a="1"/>
  <c r="O543" i="12" a="1"/>
  <c r="O544" i="12" a="1"/>
  <c r="O545" i="12" a="1"/>
  <c r="O546" i="12" a="1"/>
  <c r="O547" i="12" a="1"/>
  <c r="O548" i="12" a="1"/>
  <c r="O549" i="12" a="1"/>
  <c r="O550" i="12" a="1"/>
  <c r="O551" i="12" a="1"/>
  <c r="O552" i="12" a="1"/>
  <c r="O553" i="12" a="1"/>
  <c r="O554" i="12" a="1"/>
  <c r="O555" i="12" a="1"/>
  <c r="O556" i="12" a="1"/>
  <c r="O557" i="12" a="1"/>
  <c r="O558" i="12" a="1"/>
  <c r="O559" i="12" a="1"/>
  <c r="O560" i="12" a="1"/>
  <c r="O561" i="12" a="1"/>
  <c r="O562" i="12" a="1"/>
  <c r="O563" i="12" a="1"/>
  <c r="O564" i="12" a="1"/>
  <c r="O565" i="12" a="1"/>
  <c r="O566" i="12" a="1"/>
  <c r="O567" i="12" a="1"/>
  <c r="O568" i="12" a="1"/>
  <c r="O569" i="12" a="1"/>
  <c r="O570" i="12" a="1"/>
  <c r="O571" i="12" a="1"/>
  <c r="O572" i="12" a="1"/>
  <c r="O573" i="12" a="1"/>
  <c r="O574" i="12" a="1"/>
  <c r="O575" i="12" a="1"/>
  <c r="O576" i="12" a="1"/>
  <c r="O577" i="12" a="1"/>
  <c r="O578" i="12" a="1"/>
  <c r="O579" i="12" a="1"/>
  <c r="O580" i="12" a="1"/>
  <c r="O581" i="12" a="1"/>
  <c r="O582" i="12" a="1"/>
  <c r="O583" i="12" a="1"/>
  <c r="O584" i="12" a="1"/>
  <c r="O585" i="12" a="1"/>
  <c r="O586" i="12" a="1"/>
  <c r="O587" i="12" a="1"/>
  <c r="O588" i="12" a="1"/>
  <c r="O589" i="12" a="1"/>
  <c r="O590" i="12" a="1"/>
  <c r="O591" i="12" a="1"/>
  <c r="O592" i="12" a="1"/>
  <c r="O593" i="12" a="1"/>
  <c r="O594" i="12" a="1"/>
  <c r="O595" i="12" a="1"/>
  <c r="O596" i="12" a="1"/>
  <c r="O597" i="12" a="1"/>
  <c r="O598" i="12" a="1"/>
  <c r="O599" i="12" a="1"/>
  <c r="O600" i="12" a="1"/>
  <c r="O601" i="12" a="1"/>
  <c r="O602" i="12" a="1"/>
  <c r="O603" i="12" a="1"/>
  <c r="O604" i="12" a="1"/>
  <c r="O605" i="12" a="1"/>
  <c r="O606" i="12" a="1"/>
  <c r="O607" i="12" a="1"/>
  <c r="O608" i="12" a="1"/>
  <c r="O609" i="12" a="1"/>
  <c r="O610" i="12" a="1"/>
  <c r="O611" i="12" a="1"/>
  <c r="O612" i="12" a="1"/>
  <c r="O613" i="12" a="1"/>
  <c r="O614" i="12" a="1"/>
  <c r="O615" i="12" a="1"/>
  <c r="O616" i="12" a="1"/>
  <c r="O617" i="12" a="1"/>
  <c r="O618" i="12" a="1"/>
  <c r="O619" i="12" a="1"/>
  <c r="O620" i="12" a="1"/>
  <c r="O621" i="12" a="1"/>
  <c r="O622" i="12" a="1"/>
  <c r="O623" i="12" a="1"/>
  <c r="O624" i="12" a="1"/>
  <c r="O625" i="12" a="1"/>
  <c r="O626" i="12" a="1"/>
  <c r="O627" i="12" a="1"/>
  <c r="O628" i="12" a="1"/>
  <c r="O629" i="12" a="1"/>
  <c r="O630" i="12" a="1"/>
  <c r="O631" i="12" a="1"/>
  <c r="O632" i="12" a="1"/>
  <c r="O633" i="12" a="1"/>
  <c r="O634" i="12" a="1"/>
  <c r="O635" i="12" a="1"/>
  <c r="O636" i="12" a="1"/>
  <c r="O637" i="12" a="1"/>
  <c r="O638" i="12" a="1"/>
  <c r="O639" i="12" a="1"/>
  <c r="O640" i="12" a="1"/>
  <c r="O641" i="12" a="1"/>
  <c r="O642" i="12" a="1"/>
  <c r="O643" i="12" a="1"/>
  <c r="O644" i="12" a="1"/>
  <c r="O645" i="12" a="1"/>
  <c r="O646" i="12" a="1"/>
  <c r="O647" i="12" a="1"/>
  <c r="O648" i="12" a="1"/>
  <c r="O649" i="12" a="1"/>
  <c r="O650" i="12" a="1"/>
  <c r="O651" i="12" a="1"/>
  <c r="O652" i="12" a="1"/>
  <c r="O653" i="12" a="1"/>
  <c r="O654" i="12" a="1"/>
  <c r="O655" i="12" a="1"/>
  <c r="O656" i="12" a="1"/>
  <c r="O657" i="12" a="1"/>
  <c r="O658" i="12" a="1"/>
  <c r="O659" i="12" a="1"/>
  <c r="O660" i="12" a="1"/>
  <c r="O661" i="12" a="1"/>
  <c r="O662" i="12" a="1"/>
  <c r="O663" i="12" a="1"/>
  <c r="O664" i="12" a="1"/>
  <c r="O665" i="12" a="1"/>
  <c r="O666" i="12" a="1"/>
  <c r="O667" i="12" a="1"/>
  <c r="O668" i="12" a="1"/>
  <c r="O669" i="12" a="1"/>
  <c r="O670" i="12" a="1"/>
  <c r="O671" i="12" a="1"/>
  <c r="O672" i="12" a="1"/>
  <c r="O673" i="12" a="1"/>
  <c r="O674" i="12" a="1"/>
  <c r="O675" i="12" a="1"/>
  <c r="O676" i="12" a="1"/>
  <c r="O677" i="12" a="1"/>
  <c r="O678" i="12" a="1"/>
  <c r="O679" i="12" a="1"/>
  <c r="O680" i="12" a="1"/>
  <c r="O681" i="12" a="1"/>
  <c r="O682" i="12" a="1"/>
  <c r="O683" i="12" a="1"/>
  <c r="O684" i="12" a="1"/>
  <c r="O685" i="12" a="1"/>
  <c r="O686" i="12" a="1"/>
  <c r="O687" i="12" a="1"/>
  <c r="O688" i="12" a="1"/>
  <c r="O689" i="12" a="1"/>
  <c r="O690" i="12" a="1"/>
  <c r="O691" i="12" a="1"/>
  <c r="O692" i="12" a="1"/>
  <c r="O693" i="12" a="1"/>
  <c r="O694" i="12" a="1"/>
  <c r="O695" i="12" a="1"/>
  <c r="O696" i="12" a="1"/>
  <c r="O697" i="12" a="1"/>
  <c r="O698" i="12" a="1"/>
  <c r="O699" i="12" a="1"/>
  <c r="O700" i="12" a="1"/>
  <c r="O701" i="12" a="1"/>
  <c r="O702" i="12" a="1"/>
  <c r="O703" i="12" a="1"/>
  <c r="O704" i="12" a="1"/>
  <c r="O705" i="12" a="1"/>
  <c r="O706" i="12" a="1"/>
  <c r="O707" i="12" a="1"/>
  <c r="O708" i="12" a="1"/>
  <c r="O709" i="12" a="1"/>
  <c r="O710" i="12" a="1"/>
  <c r="O711" i="12" a="1"/>
  <c r="O712" i="12" a="1"/>
  <c r="O713" i="12" a="1"/>
  <c r="O714" i="12" a="1"/>
  <c r="O715" i="12" a="1"/>
  <c r="O716" i="12" a="1"/>
  <c r="O717" i="12" a="1"/>
  <c r="O718" i="12" a="1"/>
  <c r="O719" i="12" a="1"/>
  <c r="O720" i="12" a="1"/>
  <c r="O721" i="12" a="1"/>
  <c r="O722" i="12" a="1"/>
  <c r="O723" i="12" a="1"/>
  <c r="O724" i="12" a="1"/>
  <c r="O725" i="12" a="1"/>
  <c r="O726" i="12" a="1"/>
  <c r="O727" i="12" a="1"/>
  <c r="O728" i="12" a="1"/>
  <c r="O729" i="12" a="1"/>
  <c r="O730" i="12" a="1"/>
  <c r="O731" i="12" a="1"/>
  <c r="O732" i="12" a="1"/>
  <c r="O733" i="12" a="1"/>
  <c r="O734" i="12" a="1"/>
  <c r="O735" i="12" a="1"/>
  <c r="O736" i="12" a="1"/>
  <c r="O737" i="12" a="1"/>
  <c r="O738" i="12" a="1"/>
  <c r="O739" i="12" a="1"/>
  <c r="O741" i="12" a="1"/>
  <c r="O742" i="12" a="1"/>
  <c r="O743" i="12" a="1"/>
  <c r="O744" i="12" a="1"/>
  <c r="O745" i="12" a="1"/>
  <c r="O746" i="12" a="1"/>
  <c r="O747" i="12" a="1"/>
  <c r="O748" i="12" a="1"/>
  <c r="O749" i="12" a="1"/>
  <c r="O750" i="12" a="1"/>
  <c r="O751" i="12" a="1"/>
  <c r="O752" i="12" a="1"/>
  <c r="O753" i="12" a="1"/>
  <c r="O754" i="12" a="1"/>
  <c r="O755" i="12" a="1"/>
  <c r="O756" i="12" a="1"/>
  <c r="O757" i="12" a="1"/>
  <c r="O740" i="12" a="1"/>
  <c r="D72" i="7"/>
  <c r="Z72" i="7" a="1"/>
  <c r="AA72" i="7" a="1"/>
  <c r="AB72" i="7" a="1"/>
  <c r="L1261" i="12" a="1"/>
  <c r="L1260" i="12" a="1"/>
  <c r="L1259" i="12" a="1"/>
  <c r="L1258" i="12" a="1"/>
  <c r="L1257" i="12" a="1"/>
  <c r="L1256" i="12" a="1"/>
  <c r="L1255" i="12" a="1"/>
  <c r="L1254" i="12" a="1"/>
  <c r="L1253" i="12" a="1"/>
  <c r="L1252" i="12" a="1"/>
  <c r="L1251" i="12" a="1"/>
  <c r="L1250" i="12" a="1"/>
  <c r="L1249" i="12" a="1"/>
  <c r="L1248" i="12" a="1"/>
  <c r="L1247" i="12" a="1"/>
  <c r="L1246" i="12" a="1"/>
  <c r="L1245" i="12" a="1"/>
  <c r="L1244" i="12" a="1"/>
  <c r="L1226" i="12" a="1"/>
  <c r="L1227" i="12" a="1"/>
  <c r="L1228" i="12" a="1"/>
  <c r="L1229" i="12" a="1"/>
  <c r="L1230" i="12" a="1"/>
  <c r="L1231" i="12" a="1"/>
  <c r="L1232" i="12" a="1"/>
  <c r="L1233" i="12" a="1"/>
  <c r="L1234" i="12" a="1"/>
  <c r="L1235" i="12" a="1"/>
  <c r="L1236" i="12" a="1"/>
  <c r="L1237" i="12" a="1"/>
  <c r="L1238" i="12" a="1"/>
  <c r="L1239" i="12" a="1"/>
  <c r="L1240" i="12" a="1"/>
  <c r="L1241" i="12" a="1"/>
  <c r="L1242" i="12" a="1"/>
  <c r="L1243" i="12" a="1"/>
  <c r="L1208" i="12" a="1"/>
  <c r="L1209" i="12" a="1"/>
  <c r="L1210" i="12" a="1"/>
  <c r="L1211" i="12" a="1"/>
  <c r="L1212" i="12" a="1"/>
  <c r="L1213" i="12" a="1"/>
  <c r="L1214" i="12" a="1"/>
  <c r="L1215" i="12" a="1"/>
  <c r="L1216" i="12" a="1"/>
  <c r="L1217" i="12" a="1"/>
  <c r="L1218" i="12" a="1"/>
  <c r="L1219" i="12" a="1"/>
  <c r="L1220" i="12" a="1"/>
  <c r="L1221" i="12" a="1"/>
  <c r="L1222" i="12" a="1"/>
  <c r="L1223" i="12" a="1"/>
  <c r="L1224" i="12" a="1"/>
  <c r="L1225" i="12" a="1"/>
  <c r="L1172" i="12" a="1"/>
  <c r="L1173" i="12" a="1"/>
  <c r="L1174" i="12" a="1"/>
  <c r="L1175" i="12" a="1"/>
  <c r="L1176" i="12" a="1"/>
  <c r="L1177" i="12" a="1"/>
  <c r="L1178" i="12" a="1"/>
  <c r="L1179" i="12" a="1"/>
  <c r="L1180" i="12" a="1"/>
  <c r="L1181" i="12" a="1"/>
  <c r="L1182" i="12" a="1"/>
  <c r="L1183" i="12" a="1"/>
  <c r="L1184" i="12" a="1"/>
  <c r="L1185" i="12" a="1"/>
  <c r="L1186" i="12" a="1"/>
  <c r="L1187" i="12" a="1"/>
  <c r="L1188" i="12" a="1"/>
  <c r="L1189" i="12" a="1"/>
  <c r="L1190" i="12" a="1"/>
  <c r="L1191" i="12" a="1"/>
  <c r="L1192" i="12" a="1"/>
  <c r="L1193" i="12" a="1"/>
  <c r="L1194" i="12" a="1"/>
  <c r="L1195" i="12" a="1"/>
  <c r="L1196" i="12" a="1"/>
  <c r="L1197" i="12" a="1"/>
  <c r="L1198" i="12" a="1"/>
  <c r="L1199" i="12" a="1"/>
  <c r="L1200" i="12" a="1"/>
  <c r="L1201" i="12" a="1"/>
  <c r="L1202" i="12" a="1"/>
  <c r="L1203" i="12" a="1"/>
  <c r="L1204" i="12" a="1"/>
  <c r="L1205" i="12" a="1"/>
  <c r="L1206" i="12" a="1"/>
  <c r="L1207" i="12" a="1"/>
  <c r="L1154" i="12" a="1"/>
  <c r="L1155" i="12" a="1"/>
  <c r="L1156" i="12" a="1"/>
  <c r="L1157" i="12" a="1"/>
  <c r="L1158" i="12" a="1"/>
  <c r="L1159" i="12" a="1"/>
  <c r="L1160" i="12" a="1"/>
  <c r="L1161" i="12" a="1"/>
  <c r="L1162" i="12" a="1"/>
  <c r="L1163" i="12" a="1"/>
  <c r="L1164" i="12" a="1"/>
  <c r="L1165" i="12" a="1"/>
  <c r="L1166" i="12" a="1"/>
  <c r="L1167" i="12" a="1"/>
  <c r="L1168" i="12" a="1"/>
  <c r="L1169" i="12" a="1"/>
  <c r="L1170" i="12" a="1"/>
  <c r="L1171" i="12" a="1"/>
  <c r="L1136" i="12" a="1"/>
  <c r="L1137" i="12" a="1"/>
  <c r="L1138" i="12" a="1"/>
  <c r="L1139" i="12" a="1"/>
  <c r="L1140" i="12" a="1"/>
  <c r="L1141" i="12" a="1"/>
  <c r="L1142" i="12" a="1"/>
  <c r="L1143" i="12" a="1"/>
  <c r="L1144" i="12" a="1"/>
  <c r="L1145" i="12" a="1"/>
  <c r="L1146" i="12" a="1"/>
  <c r="L1147" i="12" a="1"/>
  <c r="L1148" i="12" a="1"/>
  <c r="L1149" i="12" a="1"/>
  <c r="L1150" i="12" a="1"/>
  <c r="L1151" i="12" a="1"/>
  <c r="L1152" i="12" a="1"/>
  <c r="L1153" i="12" a="1"/>
  <c r="L1082" i="12" a="1"/>
  <c r="L1083" i="12" a="1"/>
  <c r="L1084" i="12" a="1"/>
  <c r="L1085" i="12" a="1"/>
  <c r="L1086" i="12" a="1"/>
  <c r="L1087" i="12" a="1"/>
  <c r="L1088" i="12" a="1"/>
  <c r="L1089" i="12" a="1"/>
  <c r="L1090" i="12" a="1"/>
  <c r="L1091" i="12" a="1"/>
  <c r="L1092" i="12" a="1"/>
  <c r="L1093" i="12" a="1"/>
  <c r="L1094" i="12" a="1"/>
  <c r="L1095" i="12" a="1"/>
  <c r="L1096" i="12" a="1"/>
  <c r="L1097" i="12" a="1"/>
  <c r="L1098" i="12" a="1"/>
  <c r="L1099" i="12" a="1"/>
  <c r="L1100" i="12" a="1"/>
  <c r="L1101" i="12" a="1"/>
  <c r="L1102" i="12" a="1"/>
  <c r="L1103" i="12" a="1"/>
  <c r="L1104" i="12" a="1"/>
  <c r="L1105" i="12" a="1"/>
  <c r="L1106" i="12" a="1"/>
  <c r="L1107" i="12" a="1"/>
  <c r="L1108" i="12" a="1"/>
  <c r="L1109" i="12" a="1"/>
  <c r="L1110" i="12" a="1"/>
  <c r="L1111" i="12" a="1"/>
  <c r="L1112" i="12" a="1"/>
  <c r="L1113" i="12" a="1"/>
  <c r="L1114" i="12" a="1"/>
  <c r="L1115" i="12" a="1"/>
  <c r="L1116" i="12" a="1"/>
  <c r="L1117" i="12" a="1"/>
  <c r="L1118" i="12" a="1"/>
  <c r="L1119" i="12" a="1"/>
  <c r="L1120" i="12" a="1"/>
  <c r="L1121" i="12" a="1"/>
  <c r="L1122" i="12" a="1"/>
  <c r="L1123" i="12" a="1"/>
  <c r="L1124" i="12" a="1"/>
  <c r="L1125" i="12" a="1"/>
  <c r="L1126" i="12" a="1"/>
  <c r="L1127" i="12" a="1"/>
  <c r="L1128" i="12" a="1"/>
  <c r="L1129" i="12" a="1"/>
  <c r="L1130" i="12" a="1"/>
  <c r="L1131" i="12" a="1"/>
  <c r="L1132" i="12" a="1"/>
  <c r="L1133" i="12" a="1"/>
  <c r="L1134" i="12" a="1"/>
  <c r="L1135" i="12" a="1"/>
  <c r="L848" i="12" a="1"/>
  <c r="L849" i="12" a="1"/>
  <c r="L850" i="12" a="1"/>
  <c r="L851" i="12" a="1"/>
  <c r="L852" i="12" a="1"/>
  <c r="L853" i="12" a="1"/>
  <c r="L854" i="12" a="1"/>
  <c r="L855" i="12" a="1"/>
  <c r="L856" i="12" a="1"/>
  <c r="L857" i="12" a="1"/>
  <c r="L858" i="12" a="1"/>
  <c r="L859" i="12" a="1"/>
  <c r="L860" i="12" a="1"/>
  <c r="L861" i="12" a="1"/>
  <c r="L862" i="12" a="1"/>
  <c r="L863" i="12" a="1"/>
  <c r="L864" i="12" a="1"/>
  <c r="L865" i="12" a="1"/>
  <c r="L866" i="12" a="1"/>
  <c r="L867" i="12" a="1"/>
  <c r="L868" i="12" a="1"/>
  <c r="L869" i="12" a="1"/>
  <c r="L870" i="12" a="1"/>
  <c r="L871" i="12" a="1"/>
  <c r="L872" i="12" a="1"/>
  <c r="L873" i="12" a="1"/>
  <c r="L874" i="12" a="1"/>
  <c r="L875" i="12" a="1"/>
  <c r="L876" i="12" a="1"/>
  <c r="L877" i="12" a="1"/>
  <c r="L878" i="12" a="1"/>
  <c r="L879" i="12" a="1"/>
  <c r="L880" i="12" a="1"/>
  <c r="L881" i="12" a="1"/>
  <c r="L882" i="12" a="1"/>
  <c r="L883" i="12" a="1"/>
  <c r="L884" i="12" a="1"/>
  <c r="L885" i="12" a="1"/>
  <c r="L886" i="12" a="1"/>
  <c r="L887" i="12" a="1"/>
  <c r="L888" i="12" a="1"/>
  <c r="L889" i="12" a="1"/>
  <c r="L890" i="12" a="1"/>
  <c r="L891" i="12" a="1"/>
  <c r="L892" i="12" a="1"/>
  <c r="L893" i="12" a="1"/>
  <c r="L894" i="12" a="1"/>
  <c r="L895" i="12" a="1"/>
  <c r="L896" i="12" a="1"/>
  <c r="L897" i="12" a="1"/>
  <c r="L898" i="12" a="1"/>
  <c r="L899" i="12" a="1"/>
  <c r="L900" i="12" a="1"/>
  <c r="L901" i="12" a="1"/>
  <c r="L902" i="12" a="1"/>
  <c r="L903" i="12" a="1"/>
  <c r="L904" i="12" a="1"/>
  <c r="L905" i="12" a="1"/>
  <c r="L906" i="12" a="1"/>
  <c r="L907" i="12" a="1"/>
  <c r="L908" i="12" a="1"/>
  <c r="L909" i="12" a="1"/>
  <c r="L910" i="12" a="1"/>
  <c r="L911" i="12" a="1"/>
  <c r="L912" i="12" a="1"/>
  <c r="L913" i="12" a="1"/>
  <c r="L914" i="12" a="1"/>
  <c r="L915" i="12" a="1"/>
  <c r="L916" i="12" a="1"/>
  <c r="L917" i="12" a="1"/>
  <c r="L918" i="12" a="1"/>
  <c r="L919" i="12" a="1"/>
  <c r="L920" i="12" a="1"/>
  <c r="L921" i="12" a="1"/>
  <c r="L922" i="12" a="1"/>
  <c r="L923" i="12" a="1"/>
  <c r="L924" i="12" a="1"/>
  <c r="L925" i="12" a="1"/>
  <c r="L926" i="12" a="1"/>
  <c r="L927" i="12" a="1"/>
  <c r="L928" i="12" a="1"/>
  <c r="L929" i="12" a="1"/>
  <c r="L930" i="12" a="1"/>
  <c r="L931" i="12" a="1"/>
  <c r="L932" i="12" a="1"/>
  <c r="L933" i="12" a="1"/>
  <c r="L934" i="12" a="1"/>
  <c r="L935" i="12" a="1"/>
  <c r="L936" i="12" a="1"/>
  <c r="L937" i="12" a="1"/>
  <c r="L938" i="12" a="1"/>
  <c r="L939" i="12" a="1"/>
  <c r="L940" i="12" a="1"/>
  <c r="L941" i="12" a="1"/>
  <c r="L942" i="12" a="1"/>
  <c r="L943" i="12" a="1"/>
  <c r="L944" i="12" a="1"/>
  <c r="L945" i="12" a="1"/>
  <c r="L946" i="12" a="1"/>
  <c r="L947" i="12" a="1"/>
  <c r="L948" i="12" a="1"/>
  <c r="L949" i="12" a="1"/>
  <c r="L950" i="12" a="1"/>
  <c r="L951" i="12" a="1"/>
  <c r="L952" i="12" a="1"/>
  <c r="L953" i="12" a="1"/>
  <c r="L954" i="12" a="1"/>
  <c r="L955" i="12" a="1"/>
  <c r="L956" i="12" a="1"/>
  <c r="L957" i="12" a="1"/>
  <c r="L958" i="12" a="1"/>
  <c r="L959" i="12" a="1"/>
  <c r="L960" i="12" a="1"/>
  <c r="L961" i="12" a="1"/>
  <c r="L962" i="12" a="1"/>
  <c r="L963" i="12" a="1"/>
  <c r="L964" i="12" a="1"/>
  <c r="L965" i="12" a="1"/>
  <c r="L966" i="12" a="1"/>
  <c r="L967" i="12" a="1"/>
  <c r="L968" i="12" a="1"/>
  <c r="L969" i="12" a="1"/>
  <c r="L970" i="12" a="1"/>
  <c r="L971" i="12" a="1"/>
  <c r="L972" i="12" a="1"/>
  <c r="L973" i="12" a="1"/>
  <c r="L974" i="12" a="1"/>
  <c r="L975" i="12" a="1"/>
  <c r="L976" i="12" a="1"/>
  <c r="L977" i="12" a="1"/>
  <c r="L978" i="12" a="1"/>
  <c r="L979" i="12" a="1"/>
  <c r="L980" i="12" a="1"/>
  <c r="L981" i="12" a="1"/>
  <c r="L982" i="12" a="1"/>
  <c r="L983" i="12" a="1"/>
  <c r="L984" i="12" a="1"/>
  <c r="L985" i="12" a="1"/>
  <c r="L986" i="12" a="1"/>
  <c r="L987" i="12" a="1"/>
  <c r="L988" i="12" a="1"/>
  <c r="L989" i="12" a="1"/>
  <c r="L990" i="12" a="1"/>
  <c r="L991" i="12" a="1"/>
  <c r="L992" i="12" a="1"/>
  <c r="L993" i="12" a="1"/>
  <c r="L994" i="12" a="1"/>
  <c r="L995" i="12" a="1"/>
  <c r="L996" i="12" a="1"/>
  <c r="L997" i="12" a="1"/>
  <c r="L998" i="12" a="1"/>
  <c r="L999" i="12" a="1"/>
  <c r="L1000" i="12" a="1"/>
  <c r="L1001" i="12" a="1"/>
  <c r="L1002" i="12" a="1"/>
  <c r="L1003" i="12" a="1"/>
  <c r="L1004" i="12" a="1"/>
  <c r="L1005" i="12" a="1"/>
  <c r="L1006" i="12" a="1"/>
  <c r="L1007" i="12" a="1"/>
  <c r="L1008" i="12" a="1"/>
  <c r="L1009" i="12" a="1"/>
  <c r="L1010" i="12" a="1"/>
  <c r="L1011" i="12" a="1"/>
  <c r="L1012" i="12" a="1"/>
  <c r="L1013" i="12" a="1"/>
  <c r="L1014" i="12" a="1"/>
  <c r="L1015" i="12" a="1"/>
  <c r="L1016" i="12" a="1"/>
  <c r="L1017" i="12" a="1"/>
  <c r="L1018" i="12" a="1"/>
  <c r="L1019" i="12" a="1"/>
  <c r="L1020" i="12" a="1"/>
  <c r="L1021" i="12" a="1"/>
  <c r="L1022" i="12" a="1"/>
  <c r="L1023" i="12" a="1"/>
  <c r="L1024" i="12" a="1"/>
  <c r="L1025" i="12" a="1"/>
  <c r="L1026" i="12" a="1"/>
  <c r="L1027" i="12" a="1"/>
  <c r="L1028" i="12" a="1"/>
  <c r="L1029" i="12" a="1"/>
  <c r="L1030" i="12" a="1"/>
  <c r="L1031" i="12" a="1"/>
  <c r="L1032" i="12" a="1"/>
  <c r="L1033" i="12" a="1"/>
  <c r="L1034" i="12" a="1"/>
  <c r="L1035" i="12" a="1"/>
  <c r="L1036" i="12" a="1"/>
  <c r="L1037" i="12" a="1"/>
  <c r="L1038" i="12" a="1"/>
  <c r="L1039" i="12" a="1"/>
  <c r="L1040" i="12" a="1"/>
  <c r="L1041" i="12" a="1"/>
  <c r="L1042" i="12" a="1"/>
  <c r="L1043" i="12" a="1"/>
  <c r="L1044" i="12" a="1"/>
  <c r="L1045" i="12" a="1"/>
  <c r="L1046" i="12" a="1"/>
  <c r="L1047" i="12" a="1"/>
  <c r="L1048" i="12" a="1"/>
  <c r="L1049" i="12" a="1"/>
  <c r="L1050" i="12" a="1"/>
  <c r="L1051" i="12" a="1"/>
  <c r="L1052" i="12" a="1"/>
  <c r="L1053" i="12" a="1"/>
  <c r="L1054" i="12" a="1"/>
  <c r="L1055" i="12" a="1"/>
  <c r="L1056" i="12" a="1"/>
  <c r="L1057" i="12" a="1"/>
  <c r="L1058" i="12" a="1"/>
  <c r="L1059" i="12" a="1"/>
  <c r="L1060" i="12" a="1"/>
  <c r="L1061" i="12" a="1"/>
  <c r="L1062" i="12" a="1"/>
  <c r="L1063" i="12" a="1"/>
  <c r="L1064" i="12" a="1"/>
  <c r="L1065" i="12" a="1"/>
  <c r="L1066" i="12" a="1"/>
  <c r="L1067" i="12" a="1"/>
  <c r="L1068" i="12" a="1"/>
  <c r="L1069" i="12" a="1"/>
  <c r="L1070" i="12" a="1"/>
  <c r="L1071" i="12" a="1"/>
  <c r="L1072" i="12" a="1"/>
  <c r="L1073" i="12" a="1"/>
  <c r="L1074" i="12" a="1"/>
  <c r="L1075" i="12" a="1"/>
  <c r="L1076" i="12" a="1"/>
  <c r="L1077" i="12" a="1"/>
  <c r="L1078" i="12" a="1"/>
  <c r="L1079" i="12" a="1"/>
  <c r="L1080" i="12" a="1"/>
  <c r="L1081" i="12" a="1"/>
  <c r="L830" i="12" a="1"/>
  <c r="L831" i="12" a="1"/>
  <c r="L832" i="12" a="1"/>
  <c r="L833" i="12" a="1"/>
  <c r="L834" i="12" a="1"/>
  <c r="L835" i="12" a="1"/>
  <c r="L836" i="12" a="1"/>
  <c r="L837" i="12" a="1"/>
  <c r="L838" i="12" a="1"/>
  <c r="L839" i="12" a="1"/>
  <c r="L840" i="12" a="1"/>
  <c r="L841" i="12" a="1"/>
  <c r="L842" i="12" a="1"/>
  <c r="L843" i="12" a="1"/>
  <c r="L844" i="12" a="1"/>
  <c r="L845" i="12" a="1"/>
  <c r="L846" i="12" a="1"/>
  <c r="L847" i="12" a="1"/>
  <c r="L758" i="12" a="1"/>
  <c r="L759" i="12" a="1"/>
  <c r="L760" i="12" a="1"/>
  <c r="L761" i="12" a="1"/>
  <c r="L762" i="12" a="1"/>
  <c r="L763" i="12" a="1"/>
  <c r="L764" i="12" a="1"/>
  <c r="L765" i="12" a="1"/>
  <c r="L766" i="12" a="1"/>
  <c r="L767" i="12" a="1"/>
  <c r="L768" i="12" a="1"/>
  <c r="L769" i="12" a="1"/>
  <c r="L770" i="12" a="1"/>
  <c r="L771" i="12" a="1"/>
  <c r="L772" i="12" a="1"/>
  <c r="L773" i="12" a="1"/>
  <c r="L774" i="12" a="1"/>
  <c r="L775" i="12" a="1"/>
  <c r="L776" i="12" a="1"/>
  <c r="L777" i="12" a="1"/>
  <c r="L778" i="12" a="1"/>
  <c r="L779" i="12" a="1"/>
  <c r="L780" i="12" a="1"/>
  <c r="L781" i="12" a="1"/>
  <c r="L782" i="12" a="1"/>
  <c r="L783" i="12" a="1"/>
  <c r="L784" i="12" a="1"/>
  <c r="L785" i="12" a="1"/>
  <c r="L786" i="12" a="1"/>
  <c r="L787" i="12" a="1"/>
  <c r="L788" i="12" a="1"/>
  <c r="L789" i="12" a="1"/>
  <c r="L790" i="12" a="1"/>
  <c r="L791" i="12" a="1"/>
  <c r="L792" i="12" a="1"/>
  <c r="L793" i="12" a="1"/>
  <c r="L794" i="12" a="1"/>
  <c r="L795" i="12" a="1"/>
  <c r="L796" i="12" a="1"/>
  <c r="L797" i="12" a="1"/>
  <c r="L798" i="12" a="1"/>
  <c r="L799" i="12" a="1"/>
  <c r="L800" i="12" a="1"/>
  <c r="L801" i="12" a="1"/>
  <c r="L802" i="12" a="1"/>
  <c r="L803" i="12" a="1"/>
  <c r="L804" i="12" a="1"/>
  <c r="L805" i="12" a="1"/>
  <c r="L806" i="12" a="1"/>
  <c r="L807" i="12" a="1"/>
  <c r="L808" i="12" a="1"/>
  <c r="L809" i="12" a="1"/>
  <c r="L810" i="12" a="1"/>
  <c r="L811" i="12" a="1"/>
  <c r="L812" i="12" a="1"/>
  <c r="L813" i="12" a="1"/>
  <c r="L814" i="12" a="1"/>
  <c r="L815" i="12" a="1"/>
  <c r="L816" i="12" a="1"/>
  <c r="L817" i="12" a="1"/>
  <c r="L818" i="12" a="1"/>
  <c r="L819" i="12" a="1"/>
  <c r="L820" i="12" a="1"/>
  <c r="L821" i="12" a="1"/>
  <c r="L822" i="12" a="1"/>
  <c r="L823" i="12" a="1"/>
  <c r="L824" i="12" a="1"/>
  <c r="L825" i="12" a="1"/>
  <c r="L826" i="12" a="1"/>
  <c r="L827" i="12" a="1"/>
  <c r="L828" i="12" a="1"/>
  <c r="L829" i="12" a="1"/>
  <c r="L3" i="12" a="1"/>
  <c r="L4" i="12" a="1"/>
  <c r="L5" i="12" a="1"/>
  <c r="L6" i="12" a="1"/>
  <c r="L7" i="12" a="1"/>
  <c r="L8" i="12" a="1"/>
  <c r="L9" i="12" a="1"/>
  <c r="L10" i="12" a="1"/>
  <c r="L11" i="12" a="1"/>
  <c r="L12" i="12" a="1"/>
  <c r="L13" i="12" a="1"/>
  <c r="L14" i="12" a="1"/>
  <c r="L15" i="12" a="1"/>
  <c r="L16" i="12" a="1"/>
  <c r="L17" i="12" a="1"/>
  <c r="L18" i="12" a="1"/>
  <c r="L19" i="12" a="1"/>
  <c r="L20" i="12" a="1"/>
  <c r="L21" i="12" a="1"/>
  <c r="L22" i="12" a="1"/>
  <c r="L23" i="12" a="1"/>
  <c r="L24" i="12" a="1"/>
  <c r="L25" i="12" a="1"/>
  <c r="L26" i="12" a="1"/>
  <c r="L27" i="12" a="1"/>
  <c r="L28" i="12" a="1"/>
  <c r="L29" i="12" a="1"/>
  <c r="L30" i="12" a="1"/>
  <c r="L31" i="12" a="1"/>
  <c r="L32" i="12" a="1"/>
  <c r="L33" i="12" a="1"/>
  <c r="L34" i="12" a="1"/>
  <c r="L35" i="12" a="1"/>
  <c r="L36" i="12" a="1"/>
  <c r="L37" i="12" a="1"/>
  <c r="L38" i="12" a="1"/>
  <c r="L39" i="12" a="1"/>
  <c r="L40" i="12" a="1"/>
  <c r="L41" i="12" a="1"/>
  <c r="L42" i="12" a="1"/>
  <c r="L43" i="12" a="1"/>
  <c r="L44" i="12" a="1"/>
  <c r="L45" i="12" a="1"/>
  <c r="L46" i="12" a="1"/>
  <c r="L47" i="12" a="1"/>
  <c r="L48" i="12" a="1"/>
  <c r="L49" i="12" a="1"/>
  <c r="L50" i="12" a="1"/>
  <c r="L51" i="12" a="1"/>
  <c r="L52" i="12" a="1"/>
  <c r="L53" i="12" a="1"/>
  <c r="L54" i="12" a="1"/>
  <c r="L55" i="12" a="1"/>
  <c r="L56" i="12" a="1"/>
  <c r="L57" i="12" a="1"/>
  <c r="L58" i="12" a="1"/>
  <c r="L59" i="12" a="1"/>
  <c r="L60" i="12" a="1"/>
  <c r="L61" i="12" a="1"/>
  <c r="L62" i="12" a="1"/>
  <c r="L63" i="12" a="1"/>
  <c r="L64" i="12" a="1"/>
  <c r="L65" i="12" a="1"/>
  <c r="L66" i="12" a="1"/>
  <c r="L67" i="12" a="1"/>
  <c r="L68" i="12" a="1"/>
  <c r="L69" i="12" a="1"/>
  <c r="L70" i="12" a="1"/>
  <c r="L71" i="12" a="1"/>
  <c r="L72" i="12" a="1"/>
  <c r="L73" i="12" a="1"/>
  <c r="L74" i="12" a="1"/>
  <c r="L75" i="12" a="1"/>
  <c r="L76" i="12" a="1"/>
  <c r="L77" i="12" a="1"/>
  <c r="L78" i="12" a="1"/>
  <c r="L79" i="12" a="1"/>
  <c r="L80" i="12" a="1"/>
  <c r="L81" i="12" a="1"/>
  <c r="L82" i="12" a="1"/>
  <c r="L83" i="12" a="1"/>
  <c r="L84" i="12" a="1"/>
  <c r="L85" i="12" a="1"/>
  <c r="L86" i="12" a="1"/>
  <c r="L87" i="12" a="1"/>
  <c r="L88" i="12" a="1"/>
  <c r="L89" i="12" a="1"/>
  <c r="L90" i="12" a="1"/>
  <c r="L91" i="12" a="1"/>
  <c r="L92" i="12" a="1"/>
  <c r="L93" i="12" a="1"/>
  <c r="L94" i="12" a="1"/>
  <c r="L95" i="12" a="1"/>
  <c r="L96" i="12" a="1"/>
  <c r="L97" i="12" a="1"/>
  <c r="L98" i="12" a="1"/>
  <c r="L99" i="12" a="1"/>
  <c r="L100" i="12" a="1"/>
  <c r="L101" i="12" a="1"/>
  <c r="L102" i="12" a="1"/>
  <c r="L103" i="12" a="1"/>
  <c r="L104" i="12" a="1"/>
  <c r="L105" i="12" a="1"/>
  <c r="L106" i="12" a="1"/>
  <c r="L107" i="12" a="1"/>
  <c r="L108" i="12" a="1"/>
  <c r="L109" i="12" a="1"/>
  <c r="L110" i="12" a="1"/>
  <c r="L111" i="12" a="1"/>
  <c r="L112" i="12" a="1"/>
  <c r="L113" i="12" a="1"/>
  <c r="L114" i="12" a="1"/>
  <c r="L115" i="12" a="1"/>
  <c r="L116" i="12" a="1"/>
  <c r="L117" i="12" a="1"/>
  <c r="L118" i="12" a="1"/>
  <c r="L119" i="12" a="1"/>
  <c r="L120" i="12" a="1"/>
  <c r="L121" i="12" a="1"/>
  <c r="L122" i="12" a="1"/>
  <c r="L123" i="12" a="1"/>
  <c r="L124" i="12" a="1"/>
  <c r="L125" i="12" a="1"/>
  <c r="L126" i="12" a="1"/>
  <c r="L127" i="12" a="1"/>
  <c r="L128" i="12" a="1"/>
  <c r="L129" i="12" a="1"/>
  <c r="L130" i="12" a="1"/>
  <c r="L131" i="12" a="1"/>
  <c r="L132" i="12" a="1"/>
  <c r="L133" i="12" a="1"/>
  <c r="L134" i="12" a="1"/>
  <c r="L135" i="12" a="1"/>
  <c r="L136" i="12" a="1"/>
  <c r="L137" i="12" a="1"/>
  <c r="L138" i="12" a="1"/>
  <c r="L139" i="12" a="1"/>
  <c r="L140" i="12" a="1"/>
  <c r="L141" i="12" a="1"/>
  <c r="L142" i="12" a="1"/>
  <c r="L143" i="12" a="1"/>
  <c r="L144" i="12" a="1"/>
  <c r="L145" i="12" a="1"/>
  <c r="L146" i="12" a="1"/>
  <c r="L147" i="12" a="1"/>
  <c r="L148" i="12" a="1"/>
  <c r="L149" i="12" a="1"/>
  <c r="L150" i="12" a="1"/>
  <c r="L151" i="12" a="1"/>
  <c r="L152" i="12" a="1"/>
  <c r="L153" i="12" a="1"/>
  <c r="L154" i="12" a="1"/>
  <c r="L155" i="12" a="1"/>
  <c r="L156" i="12" a="1"/>
  <c r="L157" i="12" a="1"/>
  <c r="L158" i="12" a="1"/>
  <c r="L159" i="12" a="1"/>
  <c r="L160" i="12" a="1"/>
  <c r="L161" i="12" a="1"/>
  <c r="L162" i="12" a="1"/>
  <c r="L163" i="12" a="1"/>
  <c r="L164" i="12" a="1"/>
  <c r="L165" i="12" a="1"/>
  <c r="L166" i="12" a="1"/>
  <c r="L167" i="12" a="1"/>
  <c r="L168" i="12" a="1"/>
  <c r="L169" i="12" a="1"/>
  <c r="L170" i="12" a="1"/>
  <c r="L171" i="12" a="1"/>
  <c r="L172" i="12" a="1"/>
  <c r="L173" i="12" a="1"/>
  <c r="L174" i="12" a="1"/>
  <c r="L175" i="12" a="1"/>
  <c r="L176" i="12" a="1"/>
  <c r="L177" i="12" a="1"/>
  <c r="L178" i="12" a="1"/>
  <c r="L179" i="12" a="1"/>
  <c r="L180" i="12" a="1"/>
  <c r="L181" i="12" a="1"/>
  <c r="L182" i="12" a="1"/>
  <c r="L183" i="12" a="1"/>
  <c r="L184" i="12" a="1"/>
  <c r="L185" i="12" a="1"/>
  <c r="L186" i="12" a="1"/>
  <c r="L187" i="12" a="1"/>
  <c r="L188" i="12" a="1"/>
  <c r="L189" i="12" a="1"/>
  <c r="L190" i="12" a="1"/>
  <c r="L191" i="12" a="1"/>
  <c r="L192" i="12" a="1"/>
  <c r="L193" i="12" a="1"/>
  <c r="L194" i="12" a="1"/>
  <c r="L195" i="12" a="1"/>
  <c r="L196" i="12" a="1"/>
  <c r="L197" i="12" a="1"/>
  <c r="L198" i="12" a="1"/>
  <c r="L199" i="12" a="1"/>
  <c r="L200" i="12" a="1"/>
  <c r="L201" i="12" a="1"/>
  <c r="L202" i="12" a="1"/>
  <c r="L203" i="12" a="1"/>
  <c r="L204" i="12" a="1"/>
  <c r="L205" i="12" a="1"/>
  <c r="L206" i="12" a="1"/>
  <c r="L207" i="12" a="1"/>
  <c r="L208" i="12" a="1"/>
  <c r="L209" i="12" a="1"/>
  <c r="L210" i="12" a="1"/>
  <c r="L211" i="12" a="1"/>
  <c r="L212" i="12" a="1"/>
  <c r="L213" i="12" a="1"/>
  <c r="L214" i="12" a="1"/>
  <c r="L215" i="12" a="1"/>
  <c r="L216" i="12" a="1"/>
  <c r="L217" i="12" a="1"/>
  <c r="L218" i="12" a="1"/>
  <c r="L219" i="12" a="1"/>
  <c r="L220" i="12" a="1"/>
  <c r="L221" i="12" a="1"/>
  <c r="L222" i="12" a="1"/>
  <c r="L223" i="12" a="1"/>
  <c r="L224" i="12" a="1"/>
  <c r="L225" i="12" a="1"/>
  <c r="L226" i="12" a="1"/>
  <c r="L227" i="12" a="1"/>
  <c r="L228" i="12" a="1"/>
  <c r="L229" i="12" a="1"/>
  <c r="L230" i="12" a="1"/>
  <c r="L231" i="12" a="1"/>
  <c r="L232" i="12" a="1"/>
  <c r="L233" i="12" a="1"/>
  <c r="L234" i="12" a="1"/>
  <c r="L235" i="12" a="1"/>
  <c r="L236" i="12" a="1"/>
  <c r="L237" i="12" a="1"/>
  <c r="L238" i="12" a="1"/>
  <c r="L239" i="12" a="1"/>
  <c r="L240" i="12" a="1"/>
  <c r="L241" i="12" a="1"/>
  <c r="L242" i="12" a="1"/>
  <c r="L243" i="12" a="1"/>
  <c r="L244" i="12" a="1"/>
  <c r="L245" i="12" a="1"/>
  <c r="L246" i="12" a="1"/>
  <c r="L247" i="12" a="1"/>
  <c r="L248" i="12" a="1"/>
  <c r="L249" i="12" a="1"/>
  <c r="L250" i="12" a="1"/>
  <c r="L251" i="12" a="1"/>
  <c r="L252" i="12" a="1"/>
  <c r="L253" i="12" a="1"/>
  <c r="L254" i="12" a="1"/>
  <c r="L255" i="12" a="1"/>
  <c r="L256" i="12" a="1"/>
  <c r="L257" i="12" a="1"/>
  <c r="L258" i="12" a="1"/>
  <c r="L259" i="12" a="1"/>
  <c r="L260" i="12" a="1"/>
  <c r="L261" i="12" a="1"/>
  <c r="L262" i="12" a="1"/>
  <c r="L263" i="12" a="1"/>
  <c r="L264" i="12" a="1"/>
  <c r="L265" i="12" a="1"/>
  <c r="L266" i="12" a="1"/>
  <c r="L267" i="12" a="1"/>
  <c r="L268" i="12" a="1"/>
  <c r="L269" i="12" a="1"/>
  <c r="L270" i="12" a="1"/>
  <c r="L271" i="12" a="1"/>
  <c r="L272" i="12" a="1"/>
  <c r="L273" i="12" a="1"/>
  <c r="L274" i="12" a="1"/>
  <c r="L275" i="12" a="1"/>
  <c r="L276" i="12" a="1"/>
  <c r="L277" i="12" a="1"/>
  <c r="L278" i="12" a="1"/>
  <c r="L279" i="12" a="1"/>
  <c r="L280" i="12" a="1"/>
  <c r="L281" i="12" a="1"/>
  <c r="L282" i="12" a="1"/>
  <c r="L283" i="12" a="1"/>
  <c r="L284" i="12" a="1"/>
  <c r="L285" i="12" a="1"/>
  <c r="L286" i="12" a="1"/>
  <c r="L287" i="12" a="1"/>
  <c r="L288" i="12" a="1"/>
  <c r="L289" i="12" a="1"/>
  <c r="L290" i="12" a="1"/>
  <c r="L291" i="12" a="1"/>
  <c r="L292" i="12" a="1"/>
  <c r="L293" i="12" a="1"/>
  <c r="L294" i="12" a="1"/>
  <c r="L295" i="12" a="1"/>
  <c r="L296" i="12" a="1"/>
  <c r="L297" i="12" a="1"/>
  <c r="L298" i="12" a="1"/>
  <c r="L299" i="12" a="1"/>
  <c r="L300" i="12" a="1"/>
  <c r="L301" i="12" a="1"/>
  <c r="L302" i="12" a="1"/>
  <c r="L303" i="12" a="1"/>
  <c r="L304" i="12" a="1"/>
  <c r="L305" i="12" a="1"/>
  <c r="L306" i="12" a="1"/>
  <c r="L307" i="12" a="1"/>
  <c r="L308" i="12" a="1"/>
  <c r="L309" i="12" a="1"/>
  <c r="L310" i="12" a="1"/>
  <c r="L311" i="12" a="1"/>
  <c r="L312" i="12" a="1"/>
  <c r="L313" i="12" a="1"/>
  <c r="L314" i="12" a="1"/>
  <c r="L315" i="12" a="1"/>
  <c r="L316" i="12" a="1"/>
  <c r="L317" i="12" a="1"/>
  <c r="L318" i="12" a="1"/>
  <c r="L319" i="12" a="1"/>
  <c r="L320" i="12" a="1"/>
  <c r="L321" i="12" a="1"/>
  <c r="L322" i="12" a="1"/>
  <c r="L323" i="12" a="1"/>
  <c r="L324" i="12" a="1"/>
  <c r="L325" i="12" a="1"/>
  <c r="L326" i="12" a="1"/>
  <c r="L327" i="12" a="1"/>
  <c r="L328" i="12" a="1"/>
  <c r="L329" i="12" a="1"/>
  <c r="L330" i="12" a="1"/>
  <c r="L331" i="12" a="1"/>
  <c r="L332" i="12" a="1"/>
  <c r="L333" i="12" a="1"/>
  <c r="L334" i="12" a="1"/>
  <c r="L335" i="12" a="1"/>
  <c r="L336" i="12" a="1"/>
  <c r="L337" i="12" a="1"/>
  <c r="L338" i="12" a="1"/>
  <c r="L339" i="12" a="1"/>
  <c r="L340" i="12" a="1"/>
  <c r="L341" i="12" a="1"/>
  <c r="L342" i="12" a="1"/>
  <c r="L343" i="12" a="1"/>
  <c r="L344" i="12" a="1"/>
  <c r="L345" i="12" a="1"/>
  <c r="L346" i="12" a="1"/>
  <c r="L347" i="12" a="1"/>
  <c r="L348" i="12" a="1"/>
  <c r="L349" i="12" a="1"/>
  <c r="L350" i="12" a="1"/>
  <c r="L351" i="12" a="1"/>
  <c r="L352" i="12" a="1"/>
  <c r="L353" i="12" a="1"/>
  <c r="L354" i="12" a="1"/>
  <c r="L355" i="12" a="1"/>
  <c r="L356" i="12" a="1"/>
  <c r="L357" i="12" a="1"/>
  <c r="L358" i="12" a="1"/>
  <c r="L359" i="12" a="1"/>
  <c r="L360" i="12" a="1"/>
  <c r="L361" i="12" a="1"/>
  <c r="L362" i="12" a="1"/>
  <c r="L363" i="12" a="1"/>
  <c r="L364" i="12" a="1"/>
  <c r="L365" i="12" a="1"/>
  <c r="L366" i="12" a="1"/>
  <c r="L367" i="12" a="1"/>
  <c r="L368" i="12" a="1"/>
  <c r="L369" i="12" a="1"/>
  <c r="L370" i="12" a="1"/>
  <c r="L371" i="12" a="1"/>
  <c r="L372" i="12" a="1"/>
  <c r="L373" i="12" a="1"/>
  <c r="L374" i="12" a="1"/>
  <c r="L375" i="12" a="1"/>
  <c r="L376" i="12" a="1"/>
  <c r="L377" i="12" a="1"/>
  <c r="L378" i="12" a="1"/>
  <c r="L379" i="12" a="1"/>
  <c r="L380" i="12" a="1"/>
  <c r="L381" i="12" a="1"/>
  <c r="L382" i="12" a="1"/>
  <c r="L383" i="12" a="1"/>
  <c r="L384" i="12" a="1"/>
  <c r="L385" i="12" a="1"/>
  <c r="L386" i="12" a="1"/>
  <c r="L387" i="12" a="1"/>
  <c r="L388" i="12" a="1"/>
  <c r="L389" i="12" a="1"/>
  <c r="L390" i="12" a="1"/>
  <c r="L391" i="12" a="1"/>
  <c r="L392" i="12" a="1"/>
  <c r="L393" i="12" a="1"/>
  <c r="L394" i="12" a="1"/>
  <c r="L395" i="12" a="1"/>
  <c r="L396" i="12" a="1"/>
  <c r="L397" i="12" a="1"/>
  <c r="L398" i="12" a="1"/>
  <c r="L399" i="12" a="1"/>
  <c r="L400" i="12" a="1"/>
  <c r="L401" i="12" a="1"/>
  <c r="L402" i="12" a="1"/>
  <c r="L403" i="12" a="1"/>
  <c r="L404" i="12" a="1"/>
  <c r="L405" i="12" a="1"/>
  <c r="L406" i="12" a="1"/>
  <c r="L407" i="12" a="1"/>
  <c r="L408" i="12" a="1"/>
  <c r="L409" i="12" a="1"/>
  <c r="L410" i="12" a="1"/>
  <c r="L411" i="12" a="1"/>
  <c r="L412" i="12" a="1"/>
  <c r="L413" i="12" a="1"/>
  <c r="L414" i="12" a="1"/>
  <c r="L415" i="12" a="1"/>
  <c r="L416" i="12" a="1"/>
  <c r="L417" i="12" a="1"/>
  <c r="L418" i="12" a="1"/>
  <c r="L419" i="12" a="1"/>
  <c r="L420" i="12" a="1"/>
  <c r="L421" i="12" a="1"/>
  <c r="L422" i="12" a="1"/>
  <c r="L423" i="12" a="1"/>
  <c r="L424" i="12" a="1"/>
  <c r="L425" i="12" a="1"/>
  <c r="L426" i="12" a="1"/>
  <c r="L427" i="12" a="1"/>
  <c r="L428" i="12" a="1"/>
  <c r="L429" i="12" a="1"/>
  <c r="L430" i="12" a="1"/>
  <c r="L431" i="12" a="1"/>
  <c r="L432" i="12" a="1"/>
  <c r="L433" i="12" a="1"/>
  <c r="L434" i="12" a="1"/>
  <c r="L435" i="12" a="1"/>
  <c r="L436" i="12" a="1"/>
  <c r="L437" i="12" a="1"/>
  <c r="L438" i="12" a="1"/>
  <c r="L439" i="12" a="1"/>
  <c r="L440" i="12" a="1"/>
  <c r="L441" i="12" a="1"/>
  <c r="L442" i="12" a="1"/>
  <c r="L443" i="12" a="1"/>
  <c r="L444" i="12" a="1"/>
  <c r="L445" i="12" a="1"/>
  <c r="L446" i="12" a="1"/>
  <c r="L447" i="12" a="1"/>
  <c r="L448" i="12" a="1"/>
  <c r="L449" i="12" a="1"/>
  <c r="L450" i="12" a="1"/>
  <c r="L451" i="12" a="1"/>
  <c r="L452" i="12" a="1"/>
  <c r="L453" i="12" a="1"/>
  <c r="L454" i="12" a="1"/>
  <c r="L455" i="12" a="1"/>
  <c r="L456" i="12" a="1"/>
  <c r="L457" i="12" a="1"/>
  <c r="L458" i="12" a="1"/>
  <c r="L459" i="12" a="1"/>
  <c r="L460" i="12" a="1"/>
  <c r="L461" i="12" a="1"/>
  <c r="L462" i="12" a="1"/>
  <c r="L463" i="12" a="1"/>
  <c r="L464" i="12" a="1"/>
  <c r="L465" i="12" a="1"/>
  <c r="L466" i="12" a="1"/>
  <c r="L467" i="12" a="1"/>
  <c r="L468" i="12" a="1"/>
  <c r="L469" i="12" a="1"/>
  <c r="L470" i="12" a="1"/>
  <c r="L471" i="12" a="1"/>
  <c r="L472" i="12" a="1"/>
  <c r="L473" i="12" a="1"/>
  <c r="L474" i="12" a="1"/>
  <c r="L475" i="12" a="1"/>
  <c r="L476" i="12" a="1"/>
  <c r="L477" i="12" a="1"/>
  <c r="L478" i="12" a="1"/>
  <c r="L479" i="12" a="1"/>
  <c r="L480" i="12" a="1"/>
  <c r="L481" i="12" a="1"/>
  <c r="L482" i="12" a="1"/>
  <c r="L483" i="12" a="1"/>
  <c r="L484" i="12" a="1"/>
  <c r="L485" i="12" a="1"/>
  <c r="L486" i="12" a="1"/>
  <c r="L487" i="12" a="1"/>
  <c r="L488" i="12" a="1"/>
  <c r="L489" i="12" a="1"/>
  <c r="L490" i="12" a="1"/>
  <c r="L491" i="12" a="1"/>
  <c r="L492" i="12" a="1"/>
  <c r="L493" i="12" a="1"/>
  <c r="L494" i="12" a="1"/>
  <c r="L495" i="12" a="1"/>
  <c r="L496" i="12" a="1"/>
  <c r="L497" i="12" a="1"/>
  <c r="L498" i="12" a="1"/>
  <c r="L499" i="12" a="1"/>
  <c r="L500" i="12" a="1"/>
  <c r="L501" i="12" a="1"/>
  <c r="L502" i="12" a="1"/>
  <c r="L503" i="12" a="1"/>
  <c r="L504" i="12" a="1"/>
  <c r="L505" i="12" a="1"/>
  <c r="L506" i="12" a="1"/>
  <c r="L507" i="12" a="1"/>
  <c r="L508" i="12" a="1"/>
  <c r="L509" i="12" a="1"/>
  <c r="L510" i="12" a="1"/>
  <c r="L511" i="12" a="1"/>
  <c r="L512" i="12" a="1"/>
  <c r="L513" i="12" a="1"/>
  <c r="L514" i="12" a="1"/>
  <c r="L515" i="12" a="1"/>
  <c r="L516" i="12" a="1"/>
  <c r="L517" i="12" a="1"/>
  <c r="L518" i="12" a="1"/>
  <c r="L519" i="12" a="1"/>
  <c r="L520" i="12" a="1"/>
  <c r="L521" i="12" a="1"/>
  <c r="L522" i="12" a="1"/>
  <c r="L523" i="12" a="1"/>
  <c r="L524" i="12" a="1"/>
  <c r="L525" i="12" a="1"/>
  <c r="L526" i="12" a="1"/>
  <c r="L527" i="12" a="1"/>
  <c r="L528" i="12" a="1"/>
  <c r="L529" i="12" a="1"/>
  <c r="L530" i="12" a="1"/>
  <c r="L531" i="12" a="1"/>
  <c r="L532" i="12" a="1"/>
  <c r="L533" i="12" a="1"/>
  <c r="L534" i="12" a="1"/>
  <c r="L535" i="12" a="1"/>
  <c r="L536" i="12" a="1"/>
  <c r="L537" i="12" a="1"/>
  <c r="L538" i="12" a="1"/>
  <c r="L539" i="12" a="1"/>
  <c r="L540" i="12" a="1"/>
  <c r="L541" i="12" a="1"/>
  <c r="L542" i="12" a="1"/>
  <c r="L543" i="12" a="1"/>
  <c r="L544" i="12" a="1"/>
  <c r="L545" i="12" a="1"/>
  <c r="L546" i="12" a="1"/>
  <c r="L547" i="12" a="1"/>
  <c r="L548" i="12" a="1"/>
  <c r="L549" i="12" a="1"/>
  <c r="L550" i="12" a="1"/>
  <c r="L551" i="12" a="1"/>
  <c r="L552" i="12" a="1"/>
  <c r="L553" i="12" a="1"/>
  <c r="L554" i="12" a="1"/>
  <c r="L555" i="12" a="1"/>
  <c r="L556" i="12" a="1"/>
  <c r="L557" i="12" a="1"/>
  <c r="L558" i="12" a="1"/>
  <c r="L559" i="12" a="1"/>
  <c r="L560" i="12" a="1"/>
  <c r="L561" i="12" a="1"/>
  <c r="L562" i="12" a="1"/>
  <c r="L563" i="12" a="1"/>
  <c r="L564" i="12" a="1"/>
  <c r="L565" i="12" a="1"/>
  <c r="L566" i="12" a="1"/>
  <c r="L567" i="12" a="1"/>
  <c r="L568" i="12" a="1"/>
  <c r="L569" i="12" a="1"/>
  <c r="L570" i="12" a="1"/>
  <c r="L571" i="12" a="1"/>
  <c r="L572" i="12" a="1"/>
  <c r="L573" i="12" a="1"/>
  <c r="L574" i="12" a="1"/>
  <c r="L575" i="12" a="1"/>
  <c r="L576" i="12" a="1"/>
  <c r="L577" i="12" a="1"/>
  <c r="L578" i="12" a="1"/>
  <c r="L579" i="12" a="1"/>
  <c r="L580" i="12" a="1"/>
  <c r="L581" i="12" a="1"/>
  <c r="L582" i="12" a="1"/>
  <c r="L583" i="12" a="1"/>
  <c r="L584" i="12" a="1"/>
  <c r="L585" i="12" a="1"/>
  <c r="L586" i="12" a="1"/>
  <c r="L587" i="12" a="1"/>
  <c r="L588" i="12" a="1"/>
  <c r="L589" i="12" a="1"/>
  <c r="L590" i="12" a="1"/>
  <c r="L591" i="12" a="1"/>
  <c r="L592" i="12" a="1"/>
  <c r="L593" i="12" a="1"/>
  <c r="L594" i="12" a="1"/>
  <c r="L595" i="12" a="1"/>
  <c r="L596" i="12" a="1"/>
  <c r="L597" i="12" a="1"/>
  <c r="L598" i="12" a="1"/>
  <c r="L599" i="12" a="1"/>
  <c r="L600" i="12" a="1"/>
  <c r="L601" i="12" a="1"/>
  <c r="L602" i="12" a="1"/>
  <c r="L603" i="12" a="1"/>
  <c r="L604" i="12" a="1"/>
  <c r="L605" i="12" a="1"/>
  <c r="L606" i="12" a="1"/>
  <c r="L607" i="12" a="1"/>
  <c r="L608" i="12" a="1"/>
  <c r="L609" i="12" a="1"/>
  <c r="L610" i="12" a="1"/>
  <c r="L611" i="12" a="1"/>
  <c r="L612" i="12" a="1"/>
  <c r="L613" i="12" a="1"/>
  <c r="L614" i="12" a="1"/>
  <c r="L615" i="12" a="1"/>
  <c r="L616" i="12" a="1"/>
  <c r="L617" i="12" a="1"/>
  <c r="L618" i="12" a="1"/>
  <c r="L619" i="12" a="1"/>
  <c r="L620" i="12" a="1"/>
  <c r="L621" i="12" a="1"/>
  <c r="L622" i="12" a="1"/>
  <c r="L623" i="12" a="1"/>
  <c r="L624" i="12" a="1"/>
  <c r="L625" i="12" a="1"/>
  <c r="L626" i="12" a="1"/>
  <c r="L627" i="12" a="1"/>
  <c r="L628" i="12" a="1"/>
  <c r="L629" i="12" a="1"/>
  <c r="L630" i="12" a="1"/>
  <c r="L631" i="12" a="1"/>
  <c r="L632" i="12" a="1"/>
  <c r="L633" i="12" a="1"/>
  <c r="L634" i="12" a="1"/>
  <c r="L635" i="12" a="1"/>
  <c r="L636" i="12" a="1"/>
  <c r="L637" i="12" a="1"/>
  <c r="L638" i="12" a="1"/>
  <c r="L639" i="12" a="1"/>
  <c r="L640" i="12" a="1"/>
  <c r="L641" i="12" a="1"/>
  <c r="L642" i="12" a="1"/>
  <c r="L643" i="12" a="1"/>
  <c r="L644" i="12" a="1"/>
  <c r="L645" i="12" a="1"/>
  <c r="L646" i="12" a="1"/>
  <c r="L647" i="12" a="1"/>
  <c r="L648" i="12" a="1"/>
  <c r="L649" i="12" a="1"/>
  <c r="L650" i="12" a="1"/>
  <c r="L651" i="12" a="1"/>
  <c r="L652" i="12" a="1"/>
  <c r="L653" i="12" a="1"/>
  <c r="L654" i="12" a="1"/>
  <c r="L655" i="12" a="1"/>
  <c r="L656" i="12" a="1"/>
  <c r="L657" i="12" a="1"/>
  <c r="L658" i="12" a="1"/>
  <c r="L659" i="12" a="1"/>
  <c r="L660" i="12" a="1"/>
  <c r="L661" i="12" a="1"/>
  <c r="L662" i="12" a="1"/>
  <c r="L663" i="12" a="1"/>
  <c r="L664" i="12" a="1"/>
  <c r="L665" i="12" a="1"/>
  <c r="L666" i="12" a="1"/>
  <c r="L667" i="12" a="1"/>
  <c r="L668" i="12" a="1"/>
  <c r="L669" i="12" a="1"/>
  <c r="L670" i="12" a="1"/>
  <c r="L671" i="12" a="1"/>
  <c r="L672" i="12" a="1"/>
  <c r="L673" i="12" a="1"/>
  <c r="L674" i="12" a="1"/>
  <c r="L675" i="12" a="1"/>
  <c r="L676" i="12" a="1"/>
  <c r="L677" i="12" a="1"/>
  <c r="L678" i="12" a="1"/>
  <c r="L679" i="12" a="1"/>
  <c r="L680" i="12" a="1"/>
  <c r="L681" i="12" a="1"/>
  <c r="L682" i="12" a="1"/>
  <c r="L683" i="12" a="1"/>
  <c r="L684" i="12" a="1"/>
  <c r="L685" i="12" a="1"/>
  <c r="L686" i="12" a="1"/>
  <c r="L687" i="12" a="1"/>
  <c r="L688" i="12" a="1"/>
  <c r="L689" i="12" a="1"/>
  <c r="L690" i="12" a="1"/>
  <c r="L691" i="12" a="1"/>
  <c r="L692" i="12" a="1"/>
  <c r="L693" i="12" a="1"/>
  <c r="L694" i="12" a="1"/>
  <c r="L695" i="12" a="1"/>
  <c r="L696" i="12" a="1"/>
  <c r="L697" i="12" a="1"/>
  <c r="L698" i="12" a="1"/>
  <c r="L699" i="12" a="1"/>
  <c r="L700" i="12" a="1"/>
  <c r="L701" i="12" a="1"/>
  <c r="L702" i="12" a="1"/>
  <c r="L703" i="12" a="1"/>
  <c r="L704" i="12" a="1"/>
  <c r="L705" i="12" a="1"/>
  <c r="L706" i="12" a="1"/>
  <c r="L707" i="12" a="1"/>
  <c r="L708" i="12" a="1"/>
  <c r="L709" i="12" a="1"/>
  <c r="L710" i="12" a="1"/>
  <c r="L711" i="12" a="1"/>
  <c r="L712" i="12" a="1"/>
  <c r="L713" i="12" a="1"/>
  <c r="L714" i="12" a="1"/>
  <c r="L715" i="12" a="1"/>
  <c r="L716" i="12" a="1"/>
  <c r="L717" i="12" a="1"/>
  <c r="L718" i="12" a="1"/>
  <c r="L719" i="12" a="1"/>
  <c r="L720" i="12" a="1"/>
  <c r="L721" i="12" a="1"/>
  <c r="L722" i="12" a="1"/>
  <c r="L723" i="12" a="1"/>
  <c r="L724" i="12" a="1"/>
  <c r="L725" i="12" a="1"/>
  <c r="L726" i="12" a="1"/>
  <c r="L727" i="12" a="1"/>
  <c r="L728" i="12" a="1"/>
  <c r="L729" i="12" a="1"/>
  <c r="L730" i="12" a="1"/>
  <c r="L731" i="12" a="1"/>
  <c r="L732" i="12" a="1"/>
  <c r="L733" i="12" a="1"/>
  <c r="L734" i="12" a="1"/>
  <c r="L735" i="12" a="1"/>
  <c r="L736" i="12" a="1"/>
  <c r="L737" i="12" a="1"/>
  <c r="L738" i="12" a="1"/>
  <c r="L739" i="12" a="1"/>
  <c r="L740" i="12" a="1"/>
  <c r="L741" i="12" a="1"/>
  <c r="L742" i="12" a="1"/>
  <c r="L743" i="12" a="1"/>
  <c r="L744" i="12" a="1"/>
  <c r="L745" i="12" a="1"/>
  <c r="L746" i="12" a="1"/>
  <c r="L747" i="12" a="1"/>
  <c r="L748" i="12" a="1"/>
  <c r="L749" i="12" a="1"/>
  <c r="L750" i="12" a="1"/>
  <c r="L751" i="12" a="1"/>
  <c r="L752" i="12" a="1"/>
  <c r="L753" i="12" a="1"/>
  <c r="L754" i="12" a="1"/>
  <c r="L755" i="12" a="1"/>
  <c r="L756" i="12" a="1"/>
  <c r="L757" i="12" a="1"/>
  <c r="L2" i="12" a="1"/>
  <c r="D72" i="5"/>
  <c r="Z72" i="5" a="1"/>
  <c r="AA72" i="5" a="1"/>
  <c r="AB72" i="5" a="1"/>
  <c r="K1261" i="12" a="1"/>
  <c r="J1261" i="12" a="1"/>
  <c r="I1261" i="12" a="1"/>
  <c r="H1261" i="12"/>
  <c r="K1260" i="12" a="1"/>
  <c r="J1260" i="12" a="1"/>
  <c r="I1260" i="12" a="1"/>
  <c r="H1260" i="12"/>
  <c r="K1259" i="12" a="1"/>
  <c r="J1259" i="12" a="1"/>
  <c r="I1259" i="12" a="1"/>
  <c r="H1259" i="12"/>
  <c r="K1258" i="12" a="1"/>
  <c r="J1258" i="12" a="1"/>
  <c r="I1258" i="12" a="1"/>
  <c r="H1258" i="12"/>
  <c r="K1257" i="12" a="1"/>
  <c r="J1257" i="12" a="1"/>
  <c r="I1257" i="12" a="1"/>
  <c r="H1257" i="12"/>
  <c r="K1256" i="12" a="1"/>
  <c r="J1256" i="12" a="1"/>
  <c r="I1256" i="12" a="1"/>
  <c r="H1256" i="12"/>
  <c r="K1255" i="12" a="1"/>
  <c r="J1255" i="12" a="1"/>
  <c r="I1255" i="12" a="1"/>
  <c r="H1255" i="12"/>
  <c r="K1254" i="12" a="1"/>
  <c r="J1254" i="12" a="1"/>
  <c r="I1254" i="12" a="1"/>
  <c r="H1254" i="12"/>
  <c r="K1253" i="12" a="1"/>
  <c r="J1253" i="12" a="1"/>
  <c r="I1253" i="12" a="1"/>
  <c r="H1253" i="12"/>
  <c r="K1252" i="12" a="1"/>
  <c r="J1252" i="12" a="1"/>
  <c r="I1252" i="12" a="1"/>
  <c r="H1252" i="12"/>
  <c r="K1251" i="12" a="1"/>
  <c r="J1251" i="12" a="1"/>
  <c r="I1251" i="12" a="1"/>
  <c r="H1251" i="12"/>
  <c r="K1250" i="12" a="1"/>
  <c r="J1250" i="12" a="1"/>
  <c r="I1250" i="12" a="1"/>
  <c r="H1250" i="12"/>
  <c r="K1249" i="12" a="1"/>
  <c r="J1249" i="12" a="1"/>
  <c r="I1249" i="12" a="1"/>
  <c r="H1249" i="12"/>
  <c r="K1248" i="12" a="1"/>
  <c r="J1248" i="12" a="1"/>
  <c r="I1248" i="12" a="1"/>
  <c r="H1248" i="12"/>
  <c r="K1247" i="12" a="1"/>
  <c r="J1247" i="12" a="1"/>
  <c r="I1247" i="12" a="1"/>
  <c r="H1247" i="12"/>
  <c r="K1246" i="12" a="1"/>
  <c r="J1246" i="12" a="1"/>
  <c r="I1246" i="12" a="1"/>
  <c r="H1246" i="12"/>
  <c r="K1245" i="12" a="1"/>
  <c r="J1245" i="12" a="1"/>
  <c r="I1245" i="12" a="1"/>
  <c r="H1245" i="12"/>
  <c r="K1244" i="12" a="1"/>
  <c r="J1244" i="12" a="1"/>
  <c r="I1244" i="12" a="1"/>
  <c r="H1244" i="12"/>
  <c r="F72" i="4" a="1"/>
  <c r="G72" i="4" a="1"/>
  <c r="F74" i="2"/>
  <c r="Q74" i="2"/>
  <c r="D71" i="9"/>
  <c r="W71" i="9" s="1"/>
  <c r="D71" i="8"/>
  <c r="W71" i="8"/>
  <c r="D71" i="7"/>
  <c r="Z71" i="7" a="1"/>
  <c r="AA71" i="7" a="1"/>
  <c r="AB71" i="7" a="1"/>
  <c r="D71" i="5"/>
  <c r="Z71" i="5" a="1"/>
  <c r="AA71" i="5" a="1"/>
  <c r="AB71" i="5" a="1"/>
  <c r="I1226" i="12" a="1"/>
  <c r="J1226" i="12" a="1"/>
  <c r="K1226" i="12" a="1"/>
  <c r="I1227" i="12" a="1"/>
  <c r="J1227" i="12" a="1"/>
  <c r="K1227" i="12" a="1"/>
  <c r="I1228" i="12" a="1"/>
  <c r="J1228" i="12" a="1"/>
  <c r="K1228" i="12" a="1"/>
  <c r="I1229" i="12" a="1"/>
  <c r="J1229" i="12" a="1"/>
  <c r="K1229" i="12" a="1"/>
  <c r="I1230" i="12" a="1"/>
  <c r="J1230" i="12" a="1"/>
  <c r="K1230" i="12" a="1"/>
  <c r="I1231" i="12" a="1"/>
  <c r="J1231" i="12" a="1"/>
  <c r="K1231" i="12" a="1"/>
  <c r="I1232" i="12" a="1"/>
  <c r="J1232" i="12" a="1"/>
  <c r="K1232" i="12" a="1"/>
  <c r="I1233" i="12" a="1"/>
  <c r="J1233" i="12" a="1"/>
  <c r="K1233" i="12" a="1"/>
  <c r="I1234" i="12" a="1"/>
  <c r="J1234" i="12" a="1"/>
  <c r="K1234" i="12" a="1"/>
  <c r="I1235" i="12" a="1"/>
  <c r="J1235" i="12" a="1"/>
  <c r="K1235" i="12" a="1"/>
  <c r="I1236" i="12" a="1"/>
  <c r="J1236" i="12" a="1"/>
  <c r="K1236" i="12" a="1"/>
  <c r="I1237" i="12" a="1"/>
  <c r="J1237" i="12" a="1"/>
  <c r="K1237" i="12" a="1"/>
  <c r="I1238" i="12" a="1"/>
  <c r="J1238" i="12" a="1"/>
  <c r="K1238" i="12" a="1"/>
  <c r="I1239" i="12" a="1"/>
  <c r="J1239" i="12" a="1"/>
  <c r="K1239" i="12" a="1"/>
  <c r="I1240" i="12" a="1"/>
  <c r="J1240" i="12" a="1"/>
  <c r="K1240" i="12" a="1"/>
  <c r="I1241" i="12" a="1"/>
  <c r="J1241" i="12" a="1"/>
  <c r="K1241" i="12" a="1"/>
  <c r="I1242" i="12" a="1"/>
  <c r="J1242" i="12" a="1"/>
  <c r="K1242" i="12" a="1"/>
  <c r="I1243" i="12" a="1"/>
  <c r="J1243" i="12" a="1"/>
  <c r="K1243" i="12" a="1"/>
  <c r="H1243" i="12"/>
  <c r="H1242" i="12"/>
  <c r="H1241" i="12"/>
  <c r="H1240" i="12"/>
  <c r="H1239" i="12"/>
  <c r="H1238" i="12"/>
  <c r="H1237" i="12"/>
  <c r="H1236" i="12"/>
  <c r="H1235" i="12"/>
  <c r="H1234" i="12"/>
  <c r="H1233" i="12"/>
  <c r="H1232" i="12"/>
  <c r="H1231" i="12"/>
  <c r="H1230" i="12"/>
  <c r="H1229" i="12"/>
  <c r="H1228" i="12"/>
  <c r="H1227" i="12"/>
  <c r="H1226" i="12"/>
  <c r="F71" i="4" a="1"/>
  <c r="G71" i="4" a="1"/>
  <c r="F73" i="2"/>
  <c r="Q73" i="2"/>
  <c r="D70" i="9"/>
  <c r="W70" i="9" s="1"/>
  <c r="D70" i="8"/>
  <c r="W70" i="8"/>
  <c r="D70" i="7"/>
  <c r="Z70" i="7" a="1"/>
  <c r="AA70" i="7" a="1"/>
  <c r="AB70" i="7" a="1"/>
  <c r="D70" i="5"/>
  <c r="Z70" i="5" a="1"/>
  <c r="AA70" i="5" a="1"/>
  <c r="AB70" i="5" a="1"/>
  <c r="I1208" i="12" a="1"/>
  <c r="J1208" i="12" a="1"/>
  <c r="K1208" i="12" a="1"/>
  <c r="I1209" i="12" a="1"/>
  <c r="J1209" i="12" a="1"/>
  <c r="K1209" i="12" a="1"/>
  <c r="I1210" i="12" a="1"/>
  <c r="J1210" i="12" a="1"/>
  <c r="K1210" i="12" a="1"/>
  <c r="I1211" i="12" a="1"/>
  <c r="J1211" i="12" a="1"/>
  <c r="K1211" i="12" a="1"/>
  <c r="I1212" i="12" a="1"/>
  <c r="J1212" i="12" a="1"/>
  <c r="K1212" i="12" a="1"/>
  <c r="I1213" i="12" a="1"/>
  <c r="J1213" i="12" a="1"/>
  <c r="K1213" i="12" a="1"/>
  <c r="I1214" i="12" a="1"/>
  <c r="J1214" i="12" a="1"/>
  <c r="K1214" i="12" a="1"/>
  <c r="I1215" i="12" a="1"/>
  <c r="J1215" i="12" a="1"/>
  <c r="K1215" i="12" a="1"/>
  <c r="I1216" i="12" a="1"/>
  <c r="J1216" i="12" a="1"/>
  <c r="K1216" i="12" a="1"/>
  <c r="I1217" i="12" a="1"/>
  <c r="J1217" i="12" a="1"/>
  <c r="K1217" i="12" a="1"/>
  <c r="I1218" i="12" a="1"/>
  <c r="J1218" i="12" a="1"/>
  <c r="K1218" i="12" a="1"/>
  <c r="I1219" i="12" a="1"/>
  <c r="J1219" i="12" a="1"/>
  <c r="K1219" i="12" a="1"/>
  <c r="I1220" i="12" a="1"/>
  <c r="J1220" i="12" a="1"/>
  <c r="K1220" i="12" a="1"/>
  <c r="I1221" i="12" a="1"/>
  <c r="J1221" i="12" a="1"/>
  <c r="K1221" i="12" a="1"/>
  <c r="I1222" i="12" a="1"/>
  <c r="J1222" i="12" a="1"/>
  <c r="K1222" i="12" a="1"/>
  <c r="I1223" i="12" a="1"/>
  <c r="J1223" i="12" a="1"/>
  <c r="K1223" i="12" a="1"/>
  <c r="I1224" i="12" a="1"/>
  <c r="J1224" i="12" a="1"/>
  <c r="K1224" i="12" a="1"/>
  <c r="I1225" i="12" a="1"/>
  <c r="J1225" i="12" a="1"/>
  <c r="K1225" i="12" a="1"/>
  <c r="H1225" i="12"/>
  <c r="H1224" i="12"/>
  <c r="H1223" i="12"/>
  <c r="H1222" i="12"/>
  <c r="H1221" i="12"/>
  <c r="H1220" i="12"/>
  <c r="H1219" i="12"/>
  <c r="H1218" i="12"/>
  <c r="H1217" i="12"/>
  <c r="H1216" i="12"/>
  <c r="H1215" i="12"/>
  <c r="H1214" i="12"/>
  <c r="H1213" i="12"/>
  <c r="H1212" i="12"/>
  <c r="H1211" i="12"/>
  <c r="H1210" i="12"/>
  <c r="H1209" i="12"/>
  <c r="H1208" i="12"/>
  <c r="F12" i="4" a="1"/>
  <c r="G12" i="4" a="1"/>
  <c r="F72" i="2"/>
  <c r="Q72" i="2"/>
  <c r="H1172" i="12"/>
  <c r="I1172" i="12" a="1"/>
  <c r="J1172" i="12" a="1"/>
  <c r="K1172" i="12" a="1"/>
  <c r="H1173" i="12"/>
  <c r="I1173" i="12" a="1"/>
  <c r="J1173" i="12" a="1"/>
  <c r="K1173" i="12" a="1"/>
  <c r="H1174" i="12"/>
  <c r="I1174" i="12" a="1"/>
  <c r="J1174" i="12" a="1"/>
  <c r="K1174" i="12" a="1"/>
  <c r="H1175" i="12"/>
  <c r="I1175" i="12" a="1"/>
  <c r="J1175" i="12" a="1"/>
  <c r="K1175" i="12" a="1"/>
  <c r="H1176" i="12"/>
  <c r="I1176" i="12" a="1"/>
  <c r="J1176" i="12" a="1"/>
  <c r="K1176" i="12" a="1"/>
  <c r="H1177" i="12"/>
  <c r="I1177" i="12" a="1"/>
  <c r="J1177" i="12" a="1"/>
  <c r="K1177" i="12" a="1"/>
  <c r="H1178" i="12"/>
  <c r="I1178" i="12" a="1"/>
  <c r="J1178" i="12" a="1"/>
  <c r="K1178" i="12" a="1"/>
  <c r="H1179" i="12"/>
  <c r="I1179" i="12" a="1"/>
  <c r="J1179" i="12" a="1"/>
  <c r="K1179" i="12" a="1"/>
  <c r="H1180" i="12"/>
  <c r="I1180" i="12" a="1"/>
  <c r="J1180" i="12" a="1"/>
  <c r="K1180" i="12" a="1"/>
  <c r="H1181" i="12"/>
  <c r="I1181" i="12" a="1"/>
  <c r="J1181" i="12" a="1"/>
  <c r="K1181" i="12" a="1"/>
  <c r="H1182" i="12"/>
  <c r="I1182" i="12" a="1"/>
  <c r="J1182" i="12" a="1"/>
  <c r="K1182" i="12" a="1"/>
  <c r="H1183" i="12"/>
  <c r="I1183" i="12" a="1"/>
  <c r="J1183" i="12" a="1"/>
  <c r="K1183" i="12" a="1"/>
  <c r="H1184" i="12"/>
  <c r="I1184" i="12" a="1"/>
  <c r="J1184" i="12" a="1"/>
  <c r="K1184" i="12" a="1"/>
  <c r="H1185" i="12"/>
  <c r="I1185" i="12" a="1"/>
  <c r="J1185" i="12" a="1"/>
  <c r="K1185" i="12" a="1"/>
  <c r="H1186" i="12"/>
  <c r="I1186" i="12" a="1"/>
  <c r="J1186" i="12" a="1"/>
  <c r="K1186" i="12" a="1"/>
  <c r="H1187" i="12"/>
  <c r="I1187" i="12" a="1"/>
  <c r="J1187" i="12" a="1"/>
  <c r="K1187" i="12" a="1"/>
  <c r="H1188" i="12"/>
  <c r="I1188" i="12" a="1"/>
  <c r="J1188" i="12" a="1"/>
  <c r="K1188" i="12" a="1"/>
  <c r="H1189" i="12"/>
  <c r="I1189" i="12" a="1"/>
  <c r="J1189" i="12" a="1"/>
  <c r="K1189" i="12" a="1"/>
  <c r="H1190" i="12"/>
  <c r="I1190" i="12" a="1"/>
  <c r="J1190" i="12" a="1"/>
  <c r="K1190" i="12" a="1"/>
  <c r="H1191" i="12"/>
  <c r="I1191" i="12" a="1"/>
  <c r="J1191" i="12" a="1"/>
  <c r="K1191" i="12" a="1"/>
  <c r="H1192" i="12"/>
  <c r="I1192" i="12" a="1"/>
  <c r="J1192" i="12" a="1"/>
  <c r="K1192" i="12" a="1"/>
  <c r="H1193" i="12"/>
  <c r="I1193" i="12" a="1"/>
  <c r="J1193" i="12" a="1"/>
  <c r="K1193" i="12" a="1"/>
  <c r="H1194" i="12"/>
  <c r="I1194" i="12" a="1"/>
  <c r="J1194" i="12" a="1"/>
  <c r="K1194" i="12" a="1"/>
  <c r="H1195" i="12"/>
  <c r="I1195" i="12" a="1"/>
  <c r="J1195" i="12" a="1"/>
  <c r="K1195" i="12" a="1"/>
  <c r="H1196" i="12"/>
  <c r="I1196" i="12" a="1"/>
  <c r="J1196" i="12" a="1"/>
  <c r="K1196" i="12" a="1"/>
  <c r="H1197" i="12"/>
  <c r="I1197" i="12" a="1"/>
  <c r="J1197" i="12" a="1"/>
  <c r="K1197" i="12" a="1"/>
  <c r="H1198" i="12"/>
  <c r="I1198" i="12" a="1"/>
  <c r="J1198" i="12" a="1"/>
  <c r="K1198" i="12" a="1"/>
  <c r="H1199" i="12"/>
  <c r="I1199" i="12" a="1"/>
  <c r="J1199" i="12" a="1"/>
  <c r="K1199" i="12" a="1"/>
  <c r="H1200" i="12"/>
  <c r="I1200" i="12" a="1"/>
  <c r="J1200" i="12" a="1"/>
  <c r="K1200" i="12" a="1"/>
  <c r="H1201" i="12"/>
  <c r="I1201" i="12" a="1"/>
  <c r="J1201" i="12" a="1"/>
  <c r="K1201" i="12" a="1"/>
  <c r="H1202" i="12"/>
  <c r="I1202" i="12" a="1"/>
  <c r="J1202" i="12" a="1"/>
  <c r="K1202" i="12" a="1"/>
  <c r="H1203" i="12"/>
  <c r="I1203" i="12" a="1"/>
  <c r="J1203" i="12" a="1"/>
  <c r="K1203" i="12" a="1"/>
  <c r="H1204" i="12"/>
  <c r="I1204" i="12" a="1"/>
  <c r="J1204" i="12" a="1"/>
  <c r="K1204" i="12" a="1"/>
  <c r="H1205" i="12"/>
  <c r="I1205" i="12" a="1"/>
  <c r="J1205" i="12" a="1"/>
  <c r="K1205" i="12" a="1"/>
  <c r="H1206" i="12"/>
  <c r="I1206" i="12" a="1"/>
  <c r="J1206" i="12" a="1"/>
  <c r="K1206" i="12" a="1"/>
  <c r="H1207" i="12"/>
  <c r="I1207" i="12" a="1"/>
  <c r="J1207" i="12" a="1"/>
  <c r="K1207" i="12" a="1"/>
  <c r="D68" i="9"/>
  <c r="W68" i="9"/>
  <c r="D69" i="9"/>
  <c r="W69" i="9" s="1"/>
  <c r="D68" i="8"/>
  <c r="D69" i="8"/>
  <c r="W68" i="8"/>
  <c r="W69" i="8"/>
  <c r="D68" i="7"/>
  <c r="D69" i="7"/>
  <c r="Z68" i="7" a="1"/>
  <c r="Z69" i="7" a="1"/>
  <c r="AA68" i="7" a="1"/>
  <c r="AA69" i="7" a="1"/>
  <c r="AB68" i="7" a="1"/>
  <c r="AB69" i="7" a="1"/>
  <c r="D69" i="5"/>
  <c r="Z69" i="5" a="1"/>
  <c r="AA69" i="5" a="1"/>
  <c r="AB69" i="5" a="1"/>
  <c r="D68" i="5"/>
  <c r="Z68" i="5" a="1"/>
  <c r="AA68" i="5" a="1"/>
  <c r="AB68" i="5" a="1"/>
  <c r="F23" i="4" a="1"/>
  <c r="G23" i="4" a="1"/>
  <c r="F26" i="4" a="1"/>
  <c r="G26" i="4" a="1"/>
  <c r="F71" i="2"/>
  <c r="Q71" i="2"/>
  <c r="F70" i="2"/>
  <c r="Q70" i="2"/>
  <c r="F24" i="6"/>
  <c r="D67" i="9"/>
  <c r="W67" i="9"/>
  <c r="D66" i="9"/>
  <c r="W66" i="9"/>
  <c r="W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D67" i="8"/>
  <c r="D66" i="8"/>
  <c r="D67" i="7"/>
  <c r="Z67" i="7" a="1"/>
  <c r="AA67" i="7" a="1"/>
  <c r="AB67" i="7" a="1"/>
  <c r="D66" i="7"/>
  <c r="Z66" i="7" a="1"/>
  <c r="AA66" i="7" a="1"/>
  <c r="AB66" i="7" a="1"/>
  <c r="D67" i="5"/>
  <c r="Z67" i="5" a="1"/>
  <c r="AA67" i="5" a="1"/>
  <c r="AB67" i="5" a="1"/>
  <c r="D66" i="5"/>
  <c r="Z66" i="5" a="1"/>
  <c r="AA66" i="5" a="1"/>
  <c r="AB66" i="5" a="1"/>
  <c r="I1136" i="12" a="1"/>
  <c r="J1136" i="12" a="1"/>
  <c r="K1136" i="12" a="1"/>
  <c r="I1137" i="12" a="1"/>
  <c r="J1137" i="12" a="1"/>
  <c r="K1137" i="12" a="1"/>
  <c r="I1138" i="12" a="1"/>
  <c r="J1138" i="12" a="1"/>
  <c r="K1138" i="12" a="1"/>
  <c r="I1139" i="12" a="1"/>
  <c r="J1139" i="12" a="1"/>
  <c r="K1139" i="12" a="1"/>
  <c r="I1140" i="12" a="1"/>
  <c r="J1140" i="12" a="1"/>
  <c r="K1140" i="12" a="1"/>
  <c r="I1141" i="12" a="1"/>
  <c r="J1141" i="12" a="1"/>
  <c r="K1141" i="12" a="1"/>
  <c r="I1142" i="12" a="1"/>
  <c r="J1142" i="12" a="1"/>
  <c r="K1142" i="12" a="1"/>
  <c r="I1143" i="12" a="1"/>
  <c r="J1143" i="12" a="1"/>
  <c r="K1143" i="12" a="1"/>
  <c r="I1144" i="12" a="1"/>
  <c r="J1144" i="12" a="1"/>
  <c r="K1144" i="12" a="1"/>
  <c r="I1145" i="12" a="1"/>
  <c r="J1145" i="12" a="1"/>
  <c r="K1145" i="12" a="1"/>
  <c r="I1146" i="12" a="1"/>
  <c r="J1146" i="12" a="1"/>
  <c r="K1146" i="12" a="1"/>
  <c r="I1147" i="12" a="1"/>
  <c r="J1147" i="12" a="1"/>
  <c r="K1147" i="12" a="1"/>
  <c r="I1148" i="12" a="1"/>
  <c r="J1148" i="12" a="1"/>
  <c r="K1148" i="12" a="1"/>
  <c r="I1149" i="12" a="1"/>
  <c r="J1149" i="12" a="1"/>
  <c r="K1149" i="12" a="1"/>
  <c r="I1150" i="12" a="1"/>
  <c r="J1150" i="12" a="1"/>
  <c r="K1150" i="12" a="1"/>
  <c r="I1151" i="12" a="1"/>
  <c r="J1151" i="12" a="1"/>
  <c r="K1151" i="12" a="1"/>
  <c r="I1152" i="12" a="1"/>
  <c r="J1152" i="12" a="1"/>
  <c r="K1152" i="12" a="1"/>
  <c r="I1153" i="12" a="1"/>
  <c r="J1153" i="12" a="1"/>
  <c r="K1153" i="12" a="1"/>
  <c r="I1154" i="12" a="1"/>
  <c r="J1154" i="12" a="1"/>
  <c r="K1154" i="12" a="1"/>
  <c r="I1155" i="12" a="1"/>
  <c r="J1155" i="12" a="1"/>
  <c r="K1155" i="12" a="1"/>
  <c r="I1156" i="12" a="1"/>
  <c r="J1156" i="12" a="1"/>
  <c r="K1156" i="12" a="1"/>
  <c r="I1157" i="12" a="1"/>
  <c r="J1157" i="12" a="1"/>
  <c r="K1157" i="12" a="1"/>
  <c r="I1158" i="12" a="1"/>
  <c r="J1158" i="12" a="1"/>
  <c r="K1158" i="12" a="1"/>
  <c r="I1159" i="12" a="1"/>
  <c r="J1159" i="12" a="1"/>
  <c r="K1159" i="12" a="1"/>
  <c r="I1160" i="12" a="1"/>
  <c r="J1160" i="12" a="1"/>
  <c r="K1160" i="12" a="1"/>
  <c r="I1161" i="12" a="1"/>
  <c r="J1161" i="12" a="1"/>
  <c r="K1161" i="12" a="1"/>
  <c r="I1162" i="12" a="1"/>
  <c r="J1162" i="12" a="1"/>
  <c r="K1162" i="12" a="1"/>
  <c r="I1163" i="12" a="1"/>
  <c r="J1163" i="12" a="1"/>
  <c r="K1163" i="12" a="1"/>
  <c r="I1164" i="12" a="1"/>
  <c r="J1164" i="12" a="1"/>
  <c r="K1164" i="12" a="1"/>
  <c r="I1165" i="12" a="1"/>
  <c r="J1165" i="12" a="1"/>
  <c r="K1165" i="12" a="1"/>
  <c r="I1166" i="12" a="1"/>
  <c r="J1166" i="12" a="1"/>
  <c r="K1166" i="12" a="1"/>
  <c r="I1167" i="12" a="1"/>
  <c r="J1167" i="12" a="1"/>
  <c r="K1167" i="12" a="1"/>
  <c r="I1168" i="12" a="1"/>
  <c r="J1168" i="12" a="1"/>
  <c r="K1168" i="12" a="1"/>
  <c r="I1169" i="12" a="1"/>
  <c r="J1169" i="12" a="1"/>
  <c r="K1169" i="12" a="1"/>
  <c r="I1170" i="12" a="1"/>
  <c r="J1170" i="12" a="1"/>
  <c r="K1170" i="12" a="1"/>
  <c r="I1171" i="12" a="1"/>
  <c r="J1171" i="12" a="1"/>
  <c r="K1171" i="12" a="1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F57" i="4" a="1"/>
  <c r="G57" i="4" a="1"/>
  <c r="F56" i="4" a="1"/>
  <c r="G56" i="4" a="1"/>
  <c r="F3" i="2"/>
  <c r="Q3" i="2"/>
  <c r="F2" i="2"/>
  <c r="Q2" i="2"/>
  <c r="W12" i="9"/>
  <c r="W50" i="9"/>
  <c r="D12" i="9"/>
  <c r="D48" i="9"/>
  <c r="W48" i="9"/>
  <c r="D65" i="9"/>
  <c r="W65" i="9"/>
  <c r="D65" i="8"/>
  <c r="D65" i="7"/>
  <c r="Z65" i="7" a="1"/>
  <c r="AA65" i="7" a="1"/>
  <c r="AB65" i="7" a="1"/>
  <c r="D65" i="5"/>
  <c r="Z65" i="5" a="1"/>
  <c r="AA65" i="5" a="1"/>
  <c r="AB65" i="5" a="1"/>
  <c r="F18" i="4" a="1"/>
  <c r="G18" i="4" a="1"/>
  <c r="F57" i="2"/>
  <c r="Q57" i="2"/>
  <c r="D64" i="9"/>
  <c r="W64" i="9"/>
  <c r="D64" i="8"/>
  <c r="D64" i="7"/>
  <c r="Z64" i="7" a="1"/>
  <c r="AA64" i="7" a="1"/>
  <c r="AB64" i="7" a="1"/>
  <c r="D64" i="5"/>
  <c r="Z64" i="5" a="1"/>
  <c r="AA64" i="5" a="1"/>
  <c r="AB64" i="5" a="1"/>
  <c r="F38" i="4" a="1"/>
  <c r="G38" i="4" a="1"/>
  <c r="F42" i="2"/>
  <c r="Q42" i="2"/>
  <c r="D63" i="9"/>
  <c r="W63" i="9" s="1"/>
  <c r="D63" i="8"/>
  <c r="D63" i="7"/>
  <c r="Z63" i="7" a="1"/>
  <c r="AA63" i="7" a="1"/>
  <c r="AB63" i="7" a="1"/>
  <c r="D63" i="5"/>
  <c r="Z63" i="5" a="1"/>
  <c r="AA63" i="5" a="1"/>
  <c r="AB63" i="5" a="1"/>
  <c r="F47" i="4" a="1"/>
  <c r="G47" i="4" a="1"/>
  <c r="F33" i="2"/>
  <c r="Q33" i="2"/>
  <c r="H1082" i="12"/>
  <c r="I1082" i="12" a="1"/>
  <c r="J1082" i="12" a="1"/>
  <c r="K1082" i="12" a="1"/>
  <c r="H1083" i="12"/>
  <c r="I1083" i="12" a="1"/>
  <c r="J1083" i="12" a="1"/>
  <c r="K1083" i="12" a="1"/>
  <c r="H1084" i="12"/>
  <c r="I1084" i="12" a="1"/>
  <c r="J1084" i="12" a="1"/>
  <c r="K1084" i="12" a="1"/>
  <c r="H1085" i="12"/>
  <c r="I1085" i="12" a="1"/>
  <c r="J1085" i="12" a="1"/>
  <c r="K1085" i="12" a="1"/>
  <c r="H1086" i="12"/>
  <c r="I1086" i="12" a="1"/>
  <c r="J1086" i="12" a="1"/>
  <c r="K1086" i="12" a="1"/>
  <c r="H1087" i="12"/>
  <c r="I1087" i="12" a="1"/>
  <c r="J1087" i="12" a="1"/>
  <c r="K1087" i="12" a="1"/>
  <c r="H1088" i="12"/>
  <c r="I1088" i="12" a="1"/>
  <c r="J1088" i="12" a="1"/>
  <c r="K1088" i="12" a="1"/>
  <c r="H1089" i="12"/>
  <c r="I1089" i="12" a="1"/>
  <c r="J1089" i="12" a="1"/>
  <c r="K1089" i="12" a="1"/>
  <c r="H1090" i="12"/>
  <c r="I1090" i="12" a="1"/>
  <c r="J1090" i="12" a="1"/>
  <c r="K1090" i="12" a="1"/>
  <c r="H1091" i="12"/>
  <c r="I1091" i="12" a="1"/>
  <c r="J1091" i="12" a="1"/>
  <c r="K1091" i="12" a="1"/>
  <c r="H1092" i="12"/>
  <c r="I1092" i="12" a="1"/>
  <c r="J1092" i="12" a="1"/>
  <c r="K1092" i="12" a="1"/>
  <c r="H1093" i="12"/>
  <c r="I1093" i="12" a="1"/>
  <c r="J1093" i="12" a="1"/>
  <c r="K1093" i="12" a="1"/>
  <c r="H1094" i="12"/>
  <c r="I1094" i="12" a="1"/>
  <c r="J1094" i="12" a="1"/>
  <c r="K1094" i="12" a="1"/>
  <c r="H1095" i="12"/>
  <c r="I1095" i="12" a="1"/>
  <c r="J1095" i="12" a="1"/>
  <c r="K1095" i="12" a="1"/>
  <c r="H1096" i="12"/>
  <c r="I1096" i="12" a="1"/>
  <c r="J1096" i="12" a="1"/>
  <c r="K1096" i="12" a="1"/>
  <c r="H1097" i="12"/>
  <c r="I1097" i="12" a="1"/>
  <c r="J1097" i="12" a="1"/>
  <c r="K1097" i="12" a="1"/>
  <c r="H1098" i="12"/>
  <c r="I1098" i="12" a="1"/>
  <c r="J1098" i="12" a="1"/>
  <c r="K1098" i="12" a="1"/>
  <c r="H1099" i="12"/>
  <c r="I1099" i="12" a="1"/>
  <c r="J1099" i="12" a="1"/>
  <c r="K1099" i="12" a="1"/>
  <c r="H1100" i="12"/>
  <c r="I1100" i="12" a="1"/>
  <c r="J1100" i="12" a="1"/>
  <c r="K1100" i="12" a="1"/>
  <c r="H1101" i="12"/>
  <c r="I1101" i="12" a="1"/>
  <c r="J1101" i="12" a="1"/>
  <c r="K1101" i="12" a="1"/>
  <c r="H1102" i="12"/>
  <c r="I1102" i="12" a="1"/>
  <c r="J1102" i="12" a="1"/>
  <c r="K1102" i="12" a="1"/>
  <c r="H1103" i="12"/>
  <c r="I1103" i="12" a="1"/>
  <c r="J1103" i="12" a="1"/>
  <c r="K1103" i="12" a="1"/>
  <c r="H1104" i="12"/>
  <c r="I1104" i="12" a="1"/>
  <c r="J1104" i="12" a="1"/>
  <c r="K1104" i="12" a="1"/>
  <c r="H1105" i="12"/>
  <c r="I1105" i="12" a="1"/>
  <c r="J1105" i="12" a="1"/>
  <c r="K1105" i="12" a="1"/>
  <c r="H1106" i="12"/>
  <c r="I1106" i="12" a="1"/>
  <c r="J1106" i="12" a="1"/>
  <c r="K1106" i="12" a="1"/>
  <c r="H1107" i="12"/>
  <c r="I1107" i="12" a="1"/>
  <c r="J1107" i="12" a="1"/>
  <c r="K1107" i="12" a="1"/>
  <c r="H1108" i="12"/>
  <c r="I1108" i="12" a="1"/>
  <c r="J1108" i="12" a="1"/>
  <c r="K1108" i="12" a="1"/>
  <c r="H1109" i="12"/>
  <c r="I1109" i="12" a="1"/>
  <c r="J1109" i="12" a="1"/>
  <c r="K1109" i="12" a="1"/>
  <c r="H1110" i="12"/>
  <c r="I1110" i="12" a="1"/>
  <c r="J1110" i="12" a="1"/>
  <c r="K1110" i="12" a="1"/>
  <c r="H1111" i="12"/>
  <c r="I1111" i="12" a="1"/>
  <c r="J1111" i="12" a="1"/>
  <c r="K1111" i="12" a="1"/>
  <c r="H1112" i="12"/>
  <c r="I1112" i="12" a="1"/>
  <c r="J1112" i="12" a="1"/>
  <c r="K1112" i="12" a="1"/>
  <c r="H1113" i="12"/>
  <c r="I1113" i="12" a="1"/>
  <c r="J1113" i="12" a="1"/>
  <c r="K1113" i="12" a="1"/>
  <c r="H1114" i="12"/>
  <c r="I1114" i="12" a="1"/>
  <c r="J1114" i="12" a="1"/>
  <c r="K1114" i="12" a="1"/>
  <c r="H1115" i="12"/>
  <c r="I1115" i="12" a="1"/>
  <c r="J1115" i="12" a="1"/>
  <c r="K1115" i="12" a="1"/>
  <c r="H1116" i="12"/>
  <c r="I1116" i="12" a="1"/>
  <c r="J1116" i="12" a="1"/>
  <c r="K1116" i="12" a="1"/>
  <c r="H1117" i="12"/>
  <c r="I1117" i="12" a="1"/>
  <c r="J1117" i="12" a="1"/>
  <c r="K1117" i="12" a="1"/>
  <c r="H1118" i="12"/>
  <c r="I1118" i="12" a="1"/>
  <c r="J1118" i="12" a="1"/>
  <c r="K1118" i="12" a="1"/>
  <c r="H1119" i="12"/>
  <c r="I1119" i="12" a="1"/>
  <c r="J1119" i="12" a="1"/>
  <c r="K1119" i="12" a="1"/>
  <c r="H1120" i="12"/>
  <c r="I1120" i="12" a="1"/>
  <c r="J1120" i="12" a="1"/>
  <c r="K1120" i="12" a="1"/>
  <c r="H1121" i="12"/>
  <c r="I1121" i="12" a="1"/>
  <c r="J1121" i="12" a="1"/>
  <c r="K1121" i="12" a="1"/>
  <c r="H1122" i="12"/>
  <c r="I1122" i="12" a="1"/>
  <c r="J1122" i="12" a="1"/>
  <c r="K1122" i="12" a="1"/>
  <c r="H1123" i="12"/>
  <c r="I1123" i="12" a="1"/>
  <c r="J1123" i="12" a="1"/>
  <c r="K1123" i="12" a="1"/>
  <c r="H1124" i="12"/>
  <c r="I1124" i="12" a="1"/>
  <c r="J1124" i="12" a="1"/>
  <c r="K1124" i="12" a="1"/>
  <c r="H1125" i="12"/>
  <c r="I1125" i="12" a="1"/>
  <c r="J1125" i="12" a="1"/>
  <c r="K1125" i="12" a="1"/>
  <c r="H1126" i="12"/>
  <c r="I1126" i="12" a="1"/>
  <c r="J1126" i="12" a="1"/>
  <c r="K1126" i="12" a="1"/>
  <c r="H1127" i="12"/>
  <c r="I1127" i="12" a="1"/>
  <c r="J1127" i="12" a="1"/>
  <c r="K1127" i="12" a="1"/>
  <c r="H1128" i="12"/>
  <c r="I1128" i="12" a="1"/>
  <c r="J1128" i="12" a="1"/>
  <c r="K1128" i="12" a="1"/>
  <c r="H1129" i="12"/>
  <c r="I1129" i="12" a="1"/>
  <c r="J1129" i="12" a="1"/>
  <c r="K1129" i="12" a="1"/>
  <c r="H1130" i="12"/>
  <c r="I1130" i="12" a="1"/>
  <c r="J1130" i="12" a="1"/>
  <c r="K1130" i="12" a="1"/>
  <c r="H1131" i="12"/>
  <c r="I1131" i="12" a="1"/>
  <c r="J1131" i="12" a="1"/>
  <c r="K1131" i="12" a="1"/>
  <c r="H1132" i="12"/>
  <c r="I1132" i="12" a="1"/>
  <c r="J1132" i="12" a="1"/>
  <c r="K1132" i="12" a="1"/>
  <c r="H1133" i="12"/>
  <c r="I1133" i="12" a="1"/>
  <c r="J1133" i="12" a="1"/>
  <c r="K1133" i="12" a="1"/>
  <c r="H1134" i="12"/>
  <c r="I1134" i="12" a="1"/>
  <c r="J1134" i="12" a="1"/>
  <c r="K1134" i="12" a="1"/>
  <c r="H1135" i="12"/>
  <c r="I1135" i="12" a="1"/>
  <c r="J1135" i="12" a="1"/>
  <c r="K1135" i="12" a="1"/>
  <c r="D62" i="9"/>
  <c r="W62" i="9"/>
  <c r="D62" i="8"/>
  <c r="D62" i="7"/>
  <c r="Z62" i="7" a="1"/>
  <c r="AA62" i="7" a="1"/>
  <c r="AB62" i="7" a="1"/>
  <c r="D62" i="5"/>
  <c r="Z62" i="5" a="1"/>
  <c r="AA62" i="5" a="1"/>
  <c r="AB62" i="5" a="1"/>
  <c r="F34" i="4" a="1"/>
  <c r="G34" i="4" a="1"/>
  <c r="F31" i="2"/>
  <c r="Q31" i="2"/>
  <c r="D61" i="9"/>
  <c r="W61" i="9" s="1"/>
  <c r="D61" i="8"/>
  <c r="D61" i="7"/>
  <c r="Z61" i="7" a="1"/>
  <c r="AA61" i="7" a="1"/>
  <c r="AB61" i="7" a="1"/>
  <c r="D61" i="5"/>
  <c r="Z61" i="5" a="1"/>
  <c r="AA61" i="5" a="1"/>
  <c r="AB61" i="5" a="1"/>
  <c r="F58" i="4" a="1"/>
  <c r="G58" i="4" a="1"/>
  <c r="F28" i="2"/>
  <c r="Q28" i="2"/>
  <c r="D60" i="9"/>
  <c r="W60" i="9" s="1"/>
  <c r="D60" i="8"/>
  <c r="D60" i="7"/>
  <c r="Z60" i="7" a="1"/>
  <c r="AA60" i="7" a="1"/>
  <c r="AB60" i="7" a="1"/>
  <c r="D60" i="5"/>
  <c r="Z60" i="5" a="1"/>
  <c r="AA60" i="5" a="1"/>
  <c r="AB60" i="5" a="1"/>
  <c r="F45" i="4" a="1"/>
  <c r="G45" i="4" a="1"/>
  <c r="Q24" i="2"/>
  <c r="F24" i="2"/>
  <c r="D59" i="9"/>
  <c r="W59" i="9" s="1"/>
  <c r="D59" i="8"/>
  <c r="D59" i="7"/>
  <c r="Z59" i="7" a="1"/>
  <c r="AA59" i="7" a="1"/>
  <c r="AB59" i="7" a="1"/>
  <c r="D59" i="5"/>
  <c r="Z59" i="5" a="1"/>
  <c r="AA59" i="5" a="1"/>
  <c r="AB59" i="5" a="1"/>
  <c r="F61" i="4" a="1"/>
  <c r="G61" i="4" a="1"/>
  <c r="F26" i="2"/>
  <c r="Q26" i="2"/>
  <c r="D58" i="9"/>
  <c r="W58" i="9"/>
  <c r="D58" i="8"/>
  <c r="D58" i="7"/>
  <c r="Z58" i="7" a="1"/>
  <c r="AA58" i="7" a="1"/>
  <c r="AB58" i="7" a="1"/>
  <c r="D58" i="5"/>
  <c r="Z58" i="5" a="1"/>
  <c r="AA58" i="5" a="1"/>
  <c r="AB58" i="5" a="1"/>
  <c r="F28" i="4" a="1"/>
  <c r="G28" i="4" a="1"/>
  <c r="F17" i="2"/>
  <c r="Q17" i="2"/>
  <c r="D57" i="9"/>
  <c r="W57" i="9"/>
  <c r="D57" i="8"/>
  <c r="D57" i="7"/>
  <c r="Z57" i="7" a="1"/>
  <c r="AA57" i="7" a="1"/>
  <c r="AB57" i="7" a="1"/>
  <c r="D57" i="5"/>
  <c r="Z57" i="5" a="1"/>
  <c r="AA57" i="5" a="1"/>
  <c r="AB57" i="5" a="1"/>
  <c r="F25" i="4" a="1"/>
  <c r="G25" i="4" a="1"/>
  <c r="F14" i="2"/>
  <c r="Q14" i="2"/>
  <c r="D56" i="9"/>
  <c r="W56" i="9"/>
  <c r="D56" i="8"/>
  <c r="D56" i="7"/>
  <c r="Z56" i="7" a="1"/>
  <c r="AA56" i="7" a="1"/>
  <c r="AB56" i="7" a="1"/>
  <c r="Z56" i="5" a="1"/>
  <c r="F29" i="4" a="1"/>
  <c r="G29" i="4" a="1"/>
  <c r="Q20" i="2"/>
  <c r="F20" i="2"/>
  <c r="D55" i="9"/>
  <c r="W55" i="9"/>
  <c r="D55" i="8"/>
  <c r="D55" i="7"/>
  <c r="Z55" i="7" a="1"/>
  <c r="AA55" i="7" a="1"/>
  <c r="AB55" i="7" a="1"/>
  <c r="D56" i="5"/>
  <c r="AA56" i="5" a="1"/>
  <c r="AB56" i="5" a="1"/>
  <c r="D55" i="5"/>
  <c r="Z55" i="5" a="1"/>
  <c r="AA55" i="5" a="1"/>
  <c r="AB55" i="5" a="1"/>
  <c r="F48" i="4" a="1"/>
  <c r="G48" i="4" a="1"/>
  <c r="Q5" i="2"/>
  <c r="F5" i="2"/>
  <c r="D54" i="9"/>
  <c r="W54" i="9"/>
  <c r="D54" i="8"/>
  <c r="D54" i="7"/>
  <c r="Z54" i="7" a="1"/>
  <c r="AA54" i="7" a="1"/>
  <c r="AB54" i="7" a="1"/>
  <c r="D54" i="5"/>
  <c r="Z54" i="5" a="1"/>
  <c r="AA54" i="5" a="1"/>
  <c r="AB54" i="5" a="1"/>
  <c r="F41" i="4" a="1"/>
  <c r="G41" i="4" a="1"/>
  <c r="Q69" i="2"/>
  <c r="Q68" i="2"/>
  <c r="Q66" i="2"/>
  <c r="Q67" i="2"/>
  <c r="Q65" i="2"/>
  <c r="Q64" i="2"/>
  <c r="Q63" i="2"/>
  <c r="Q62" i="2"/>
  <c r="Q61" i="2"/>
  <c r="Q60" i="2"/>
  <c r="Q58" i="2"/>
  <c r="Q56" i="2"/>
  <c r="Q55" i="2"/>
  <c r="Q54" i="2"/>
  <c r="Q53" i="2"/>
  <c r="Q51" i="2"/>
  <c r="Q50" i="2"/>
  <c r="Q49" i="2"/>
  <c r="Q47" i="2"/>
  <c r="Q46" i="2"/>
  <c r="Q45" i="2"/>
  <c r="Q44" i="2"/>
  <c r="Q43" i="2"/>
  <c r="Q41" i="2"/>
  <c r="Q39" i="2"/>
  <c r="Q38" i="2"/>
  <c r="Q37" i="2"/>
  <c r="Q35" i="2"/>
  <c r="Q32" i="2"/>
  <c r="Q30" i="2"/>
  <c r="Q29" i="2"/>
  <c r="Q27" i="2"/>
  <c r="Q25" i="2"/>
  <c r="Q23" i="2"/>
  <c r="Q22" i="2"/>
  <c r="Q19" i="2"/>
  <c r="Q18" i="2"/>
  <c r="Q16" i="2"/>
  <c r="Q13" i="2"/>
  <c r="Q12" i="2"/>
  <c r="Q10" i="2"/>
  <c r="Q8" i="2"/>
  <c r="Q6" i="2"/>
  <c r="Q4" i="2"/>
  <c r="Q7" i="2"/>
  <c r="Q15" i="2"/>
  <c r="Q21" i="2"/>
  <c r="Q34" i="2"/>
  <c r="Q40" i="2"/>
  <c r="Q52" i="2"/>
  <c r="Q59" i="2"/>
  <c r="Q48" i="2"/>
  <c r="Q36" i="2"/>
  <c r="Q9" i="2"/>
  <c r="Q11" i="2"/>
  <c r="F11" i="2"/>
  <c r="D53" i="9"/>
  <c r="W53" i="9" s="1"/>
  <c r="D53" i="8"/>
  <c r="D53" i="7"/>
  <c r="Z53" i="7" a="1"/>
  <c r="AA53" i="7" a="1"/>
  <c r="AB53" i="7" a="1"/>
  <c r="D53" i="5"/>
  <c r="Z53" i="5" a="1"/>
  <c r="AA53" i="5" a="1"/>
  <c r="AB53" i="5" a="1"/>
  <c r="F49" i="4" a="1"/>
  <c r="G49" i="4" a="1"/>
  <c r="H49" i="4" s="1"/>
  <c r="F9" i="2"/>
  <c r="D52" i="9"/>
  <c r="W52" i="9"/>
  <c r="D52" i="8"/>
  <c r="D52" i="7"/>
  <c r="Z52" i="7" a="1"/>
  <c r="AA52" i="7" a="1"/>
  <c r="AB52" i="7" a="1"/>
  <c r="D52" i="5"/>
  <c r="Z52" i="5" a="1"/>
  <c r="AA52" i="5" a="1"/>
  <c r="AB52" i="5" a="1"/>
  <c r="H848" i="12"/>
  <c r="I848" i="12" a="1"/>
  <c r="J848" i="12" a="1"/>
  <c r="K848" i="12" a="1"/>
  <c r="H849" i="12"/>
  <c r="I849" i="12" a="1"/>
  <c r="J849" i="12" a="1"/>
  <c r="K849" i="12" a="1"/>
  <c r="H850" i="12"/>
  <c r="I850" i="12" a="1"/>
  <c r="J850" i="12" a="1"/>
  <c r="K850" i="12" a="1"/>
  <c r="H851" i="12"/>
  <c r="I851" i="12" a="1"/>
  <c r="J851" i="12" a="1"/>
  <c r="K851" i="12" a="1"/>
  <c r="H852" i="12"/>
  <c r="I852" i="12" a="1"/>
  <c r="J852" i="12" a="1"/>
  <c r="K852" i="12" a="1"/>
  <c r="H853" i="12"/>
  <c r="I853" i="12" a="1"/>
  <c r="J853" i="12" a="1"/>
  <c r="K853" i="12" a="1"/>
  <c r="H854" i="12"/>
  <c r="I854" i="12" a="1"/>
  <c r="J854" i="12" a="1"/>
  <c r="K854" i="12" a="1"/>
  <c r="H855" i="12"/>
  <c r="I855" i="12" a="1"/>
  <c r="J855" i="12" a="1"/>
  <c r="K855" i="12" a="1"/>
  <c r="H856" i="12"/>
  <c r="I856" i="12" a="1"/>
  <c r="J856" i="12" a="1"/>
  <c r="K856" i="12" a="1"/>
  <c r="H857" i="12"/>
  <c r="I857" i="12" a="1"/>
  <c r="J857" i="12" a="1"/>
  <c r="K857" i="12" a="1"/>
  <c r="H858" i="12"/>
  <c r="I858" i="12" a="1"/>
  <c r="J858" i="12" a="1"/>
  <c r="K858" i="12" a="1"/>
  <c r="H859" i="12"/>
  <c r="I859" i="12" a="1"/>
  <c r="J859" i="12" a="1"/>
  <c r="K859" i="12" a="1"/>
  <c r="H860" i="12"/>
  <c r="I860" i="12" a="1"/>
  <c r="J860" i="12" a="1"/>
  <c r="K860" i="12" a="1"/>
  <c r="H861" i="12"/>
  <c r="I861" i="12" a="1"/>
  <c r="J861" i="12" a="1"/>
  <c r="K861" i="12" a="1"/>
  <c r="H862" i="12"/>
  <c r="I862" i="12" a="1"/>
  <c r="J862" i="12" a="1"/>
  <c r="K862" i="12" a="1"/>
  <c r="H863" i="12"/>
  <c r="I863" i="12" a="1"/>
  <c r="J863" i="12" a="1"/>
  <c r="K863" i="12" a="1"/>
  <c r="H864" i="12"/>
  <c r="I864" i="12" a="1"/>
  <c r="J864" i="12" a="1"/>
  <c r="K864" i="12" a="1"/>
  <c r="H865" i="12"/>
  <c r="I865" i="12" a="1"/>
  <c r="J865" i="12" a="1"/>
  <c r="K865" i="12" a="1"/>
  <c r="H866" i="12"/>
  <c r="I866" i="12" a="1"/>
  <c r="J866" i="12" a="1"/>
  <c r="K866" i="12" a="1"/>
  <c r="H867" i="12"/>
  <c r="I867" i="12" a="1"/>
  <c r="J867" i="12" a="1"/>
  <c r="K867" i="12" a="1"/>
  <c r="H868" i="12"/>
  <c r="I868" i="12" a="1"/>
  <c r="J868" i="12" a="1"/>
  <c r="K868" i="12" a="1"/>
  <c r="H869" i="12"/>
  <c r="I869" i="12" a="1"/>
  <c r="J869" i="12" a="1"/>
  <c r="K869" i="12" a="1"/>
  <c r="H870" i="12"/>
  <c r="I870" i="12" a="1"/>
  <c r="J870" i="12" a="1"/>
  <c r="K870" i="12" a="1"/>
  <c r="H871" i="12"/>
  <c r="I871" i="12" a="1"/>
  <c r="J871" i="12" a="1"/>
  <c r="K871" i="12" a="1"/>
  <c r="H872" i="12"/>
  <c r="I872" i="12" a="1"/>
  <c r="J872" i="12" a="1"/>
  <c r="K872" i="12" a="1"/>
  <c r="H873" i="12"/>
  <c r="I873" i="12" a="1"/>
  <c r="J873" i="12" a="1"/>
  <c r="K873" i="12" a="1"/>
  <c r="H874" i="12"/>
  <c r="I874" i="12" a="1"/>
  <c r="J874" i="12" a="1"/>
  <c r="K874" i="12" a="1"/>
  <c r="H875" i="12"/>
  <c r="I875" i="12" a="1"/>
  <c r="J875" i="12" a="1"/>
  <c r="K875" i="12" a="1"/>
  <c r="H876" i="12"/>
  <c r="I876" i="12" a="1"/>
  <c r="J876" i="12" a="1"/>
  <c r="K876" i="12" a="1"/>
  <c r="H877" i="12"/>
  <c r="I877" i="12" a="1"/>
  <c r="J877" i="12" a="1"/>
  <c r="K877" i="12" a="1"/>
  <c r="H878" i="12"/>
  <c r="I878" i="12" a="1"/>
  <c r="J878" i="12" a="1"/>
  <c r="K878" i="12" a="1"/>
  <c r="H879" i="12"/>
  <c r="I879" i="12" a="1"/>
  <c r="J879" i="12" a="1"/>
  <c r="K879" i="12" a="1"/>
  <c r="H880" i="12"/>
  <c r="I880" i="12" a="1"/>
  <c r="J880" i="12" a="1"/>
  <c r="K880" i="12" a="1"/>
  <c r="H881" i="12"/>
  <c r="I881" i="12" a="1"/>
  <c r="J881" i="12" a="1"/>
  <c r="K881" i="12" a="1"/>
  <c r="H882" i="12"/>
  <c r="I882" i="12" a="1"/>
  <c r="J882" i="12" a="1"/>
  <c r="K882" i="12" a="1"/>
  <c r="H883" i="12"/>
  <c r="I883" i="12" a="1"/>
  <c r="J883" i="12" a="1"/>
  <c r="K883" i="12" a="1"/>
  <c r="H884" i="12"/>
  <c r="I884" i="12" a="1"/>
  <c r="J884" i="12" a="1"/>
  <c r="K884" i="12" a="1"/>
  <c r="H885" i="12"/>
  <c r="I885" i="12" a="1"/>
  <c r="J885" i="12" a="1"/>
  <c r="K885" i="12" a="1"/>
  <c r="H886" i="12"/>
  <c r="I886" i="12" a="1"/>
  <c r="J886" i="12" a="1"/>
  <c r="K886" i="12" a="1"/>
  <c r="H887" i="12"/>
  <c r="I887" i="12" a="1"/>
  <c r="J887" i="12" a="1"/>
  <c r="K887" i="12" a="1"/>
  <c r="H888" i="12"/>
  <c r="I888" i="12" a="1"/>
  <c r="J888" i="12" a="1"/>
  <c r="K888" i="12" a="1"/>
  <c r="H889" i="12"/>
  <c r="I889" i="12" a="1"/>
  <c r="J889" i="12" a="1"/>
  <c r="K889" i="12" a="1"/>
  <c r="H890" i="12"/>
  <c r="I890" i="12" a="1"/>
  <c r="J890" i="12" a="1"/>
  <c r="K890" i="12" a="1"/>
  <c r="H891" i="12"/>
  <c r="I891" i="12" a="1"/>
  <c r="J891" i="12" a="1"/>
  <c r="K891" i="12" a="1"/>
  <c r="H892" i="12"/>
  <c r="I892" i="12" a="1"/>
  <c r="J892" i="12" a="1"/>
  <c r="K892" i="12" a="1"/>
  <c r="H893" i="12"/>
  <c r="I893" i="12" a="1"/>
  <c r="J893" i="12" a="1"/>
  <c r="K893" i="12" a="1"/>
  <c r="H894" i="12"/>
  <c r="I894" i="12" a="1"/>
  <c r="J894" i="12" a="1"/>
  <c r="K894" i="12" a="1"/>
  <c r="H895" i="12"/>
  <c r="I895" i="12" a="1"/>
  <c r="J895" i="12" a="1"/>
  <c r="K895" i="12" a="1"/>
  <c r="H896" i="12"/>
  <c r="I896" i="12" a="1"/>
  <c r="J896" i="12" a="1"/>
  <c r="K896" i="12" a="1"/>
  <c r="H897" i="12"/>
  <c r="I897" i="12" a="1"/>
  <c r="J897" i="12" a="1"/>
  <c r="K897" i="12" a="1"/>
  <c r="H898" i="12"/>
  <c r="I898" i="12" a="1"/>
  <c r="J898" i="12" a="1"/>
  <c r="K898" i="12" a="1"/>
  <c r="H899" i="12"/>
  <c r="I899" i="12" a="1"/>
  <c r="J899" i="12" a="1"/>
  <c r="K899" i="12" a="1"/>
  <c r="H900" i="12"/>
  <c r="I900" i="12" a="1"/>
  <c r="J900" i="12" a="1"/>
  <c r="K900" i="12" a="1"/>
  <c r="H901" i="12"/>
  <c r="I901" i="12" a="1"/>
  <c r="J901" i="12" a="1"/>
  <c r="K901" i="12" a="1"/>
  <c r="H902" i="12"/>
  <c r="I902" i="12" a="1"/>
  <c r="J902" i="12" a="1"/>
  <c r="K902" i="12" a="1"/>
  <c r="H903" i="12"/>
  <c r="I903" i="12" a="1"/>
  <c r="J903" i="12" a="1"/>
  <c r="K903" i="12" a="1"/>
  <c r="H904" i="12"/>
  <c r="I904" i="12" a="1"/>
  <c r="J904" i="12" a="1"/>
  <c r="K904" i="12" a="1"/>
  <c r="H905" i="12"/>
  <c r="I905" i="12" a="1"/>
  <c r="J905" i="12" a="1"/>
  <c r="K905" i="12" a="1"/>
  <c r="H906" i="12"/>
  <c r="I906" i="12" a="1"/>
  <c r="J906" i="12" a="1"/>
  <c r="K906" i="12" a="1"/>
  <c r="H907" i="12"/>
  <c r="I907" i="12" a="1"/>
  <c r="J907" i="12" a="1"/>
  <c r="K907" i="12" a="1"/>
  <c r="H908" i="12"/>
  <c r="I908" i="12" a="1"/>
  <c r="J908" i="12" a="1"/>
  <c r="K908" i="12" a="1"/>
  <c r="H909" i="12"/>
  <c r="I909" i="12" a="1"/>
  <c r="J909" i="12" a="1"/>
  <c r="K909" i="12" a="1"/>
  <c r="H910" i="12"/>
  <c r="I910" i="12" a="1"/>
  <c r="J910" i="12" a="1"/>
  <c r="K910" i="12" a="1"/>
  <c r="H911" i="12"/>
  <c r="I911" i="12" a="1"/>
  <c r="J911" i="12" a="1"/>
  <c r="K911" i="12" a="1"/>
  <c r="H912" i="12"/>
  <c r="I912" i="12" a="1"/>
  <c r="J912" i="12" a="1"/>
  <c r="K912" i="12" a="1"/>
  <c r="H913" i="12"/>
  <c r="I913" i="12" a="1"/>
  <c r="J913" i="12" a="1"/>
  <c r="K913" i="12" a="1"/>
  <c r="H914" i="12"/>
  <c r="I914" i="12" a="1"/>
  <c r="J914" i="12" a="1"/>
  <c r="K914" i="12" a="1"/>
  <c r="H915" i="12"/>
  <c r="I915" i="12" a="1"/>
  <c r="J915" i="12" a="1"/>
  <c r="K915" i="12" a="1"/>
  <c r="H916" i="12"/>
  <c r="I916" i="12" a="1"/>
  <c r="J916" i="12" a="1"/>
  <c r="K916" i="12" a="1"/>
  <c r="H917" i="12"/>
  <c r="I917" i="12" a="1"/>
  <c r="J917" i="12" a="1"/>
  <c r="K917" i="12" a="1"/>
  <c r="H918" i="12"/>
  <c r="I918" i="12" a="1"/>
  <c r="J918" i="12" a="1"/>
  <c r="K918" i="12" a="1"/>
  <c r="H919" i="12"/>
  <c r="I919" i="12" a="1"/>
  <c r="J919" i="12" a="1"/>
  <c r="K919" i="12" a="1"/>
  <c r="H920" i="12"/>
  <c r="I920" i="12" a="1"/>
  <c r="J920" i="12" a="1"/>
  <c r="K920" i="12" a="1"/>
  <c r="H921" i="12"/>
  <c r="I921" i="12" a="1"/>
  <c r="J921" i="12" a="1"/>
  <c r="K921" i="12" a="1"/>
  <c r="H922" i="12"/>
  <c r="I922" i="12" a="1"/>
  <c r="J922" i="12" a="1"/>
  <c r="K922" i="12" a="1"/>
  <c r="H923" i="12"/>
  <c r="I923" i="12" a="1"/>
  <c r="J923" i="12" a="1"/>
  <c r="K923" i="12" a="1"/>
  <c r="H924" i="12"/>
  <c r="I924" i="12" a="1"/>
  <c r="J924" i="12" a="1"/>
  <c r="K924" i="12" a="1"/>
  <c r="H925" i="12"/>
  <c r="I925" i="12" a="1"/>
  <c r="J925" i="12" a="1"/>
  <c r="K925" i="12" a="1"/>
  <c r="H926" i="12"/>
  <c r="I926" i="12" a="1"/>
  <c r="J926" i="12" a="1"/>
  <c r="K926" i="12" a="1"/>
  <c r="H927" i="12"/>
  <c r="I927" i="12" a="1"/>
  <c r="J927" i="12" a="1"/>
  <c r="K927" i="12" a="1"/>
  <c r="H928" i="12"/>
  <c r="I928" i="12" a="1"/>
  <c r="J928" i="12" a="1"/>
  <c r="K928" i="12" a="1"/>
  <c r="H929" i="12"/>
  <c r="I929" i="12" a="1"/>
  <c r="J929" i="12" a="1"/>
  <c r="K929" i="12" a="1"/>
  <c r="H930" i="12"/>
  <c r="I930" i="12" a="1"/>
  <c r="J930" i="12" a="1"/>
  <c r="K930" i="12" a="1"/>
  <c r="H931" i="12"/>
  <c r="I931" i="12" a="1"/>
  <c r="J931" i="12" a="1"/>
  <c r="K931" i="12" a="1"/>
  <c r="H932" i="12"/>
  <c r="I932" i="12" a="1"/>
  <c r="J932" i="12" a="1"/>
  <c r="K932" i="12" a="1"/>
  <c r="H933" i="12"/>
  <c r="I933" i="12" a="1"/>
  <c r="J933" i="12" a="1"/>
  <c r="K933" i="12" a="1"/>
  <c r="H934" i="12"/>
  <c r="I934" i="12" a="1"/>
  <c r="J934" i="12" a="1"/>
  <c r="K934" i="12" a="1"/>
  <c r="H935" i="12"/>
  <c r="I935" i="12" a="1"/>
  <c r="J935" i="12" a="1"/>
  <c r="K935" i="12" a="1"/>
  <c r="H936" i="12"/>
  <c r="I936" i="12" a="1"/>
  <c r="J936" i="12" a="1"/>
  <c r="K936" i="12" a="1"/>
  <c r="H937" i="12"/>
  <c r="I937" i="12" a="1"/>
  <c r="J937" i="12" a="1"/>
  <c r="K937" i="12" a="1"/>
  <c r="H938" i="12"/>
  <c r="I938" i="12" a="1"/>
  <c r="J938" i="12" a="1"/>
  <c r="K938" i="12" a="1"/>
  <c r="H939" i="12"/>
  <c r="I939" i="12" a="1"/>
  <c r="J939" i="12" a="1"/>
  <c r="K939" i="12" a="1"/>
  <c r="H940" i="12"/>
  <c r="I940" i="12" a="1"/>
  <c r="J940" i="12" a="1"/>
  <c r="K940" i="12" a="1"/>
  <c r="H941" i="12"/>
  <c r="I941" i="12" a="1"/>
  <c r="J941" i="12" a="1"/>
  <c r="K941" i="12" a="1"/>
  <c r="H942" i="12"/>
  <c r="I942" i="12" a="1"/>
  <c r="J942" i="12" a="1"/>
  <c r="K942" i="12" a="1"/>
  <c r="H943" i="12"/>
  <c r="I943" i="12" a="1"/>
  <c r="J943" i="12" a="1"/>
  <c r="K943" i="12" a="1"/>
  <c r="H944" i="12"/>
  <c r="I944" i="12" a="1"/>
  <c r="J944" i="12" a="1"/>
  <c r="K944" i="12" a="1"/>
  <c r="H945" i="12"/>
  <c r="I945" i="12" a="1"/>
  <c r="J945" i="12" a="1"/>
  <c r="K945" i="12" a="1"/>
  <c r="H946" i="12"/>
  <c r="I946" i="12" a="1"/>
  <c r="J946" i="12" a="1"/>
  <c r="K946" i="12" a="1"/>
  <c r="H947" i="12"/>
  <c r="I947" i="12" a="1"/>
  <c r="J947" i="12" a="1"/>
  <c r="K947" i="12" a="1"/>
  <c r="H948" i="12"/>
  <c r="I948" i="12" a="1"/>
  <c r="J948" i="12" a="1"/>
  <c r="K948" i="12" a="1"/>
  <c r="H949" i="12"/>
  <c r="I949" i="12" a="1"/>
  <c r="J949" i="12" a="1"/>
  <c r="K949" i="12" a="1"/>
  <c r="H950" i="12"/>
  <c r="I950" i="12" a="1"/>
  <c r="J950" i="12" a="1"/>
  <c r="K950" i="12" a="1"/>
  <c r="H951" i="12"/>
  <c r="I951" i="12" a="1"/>
  <c r="J951" i="12" a="1"/>
  <c r="K951" i="12" a="1"/>
  <c r="H952" i="12"/>
  <c r="I952" i="12" a="1"/>
  <c r="J952" i="12" a="1"/>
  <c r="K952" i="12" a="1"/>
  <c r="H953" i="12"/>
  <c r="I953" i="12" a="1"/>
  <c r="J953" i="12" a="1"/>
  <c r="K953" i="12" a="1"/>
  <c r="H954" i="12"/>
  <c r="I954" i="12" a="1"/>
  <c r="J954" i="12" a="1"/>
  <c r="K954" i="12" a="1"/>
  <c r="H955" i="12"/>
  <c r="I955" i="12" a="1"/>
  <c r="J955" i="12" a="1"/>
  <c r="K955" i="12" a="1"/>
  <c r="H956" i="12"/>
  <c r="I956" i="12" a="1"/>
  <c r="J956" i="12" a="1"/>
  <c r="K956" i="12" a="1"/>
  <c r="H957" i="12"/>
  <c r="I957" i="12" a="1"/>
  <c r="J957" i="12" a="1"/>
  <c r="K957" i="12" a="1"/>
  <c r="H958" i="12"/>
  <c r="I958" i="12" a="1"/>
  <c r="J958" i="12" a="1"/>
  <c r="K958" i="12" a="1"/>
  <c r="H959" i="12"/>
  <c r="I959" i="12" a="1"/>
  <c r="J959" i="12" a="1"/>
  <c r="K959" i="12" a="1"/>
  <c r="H960" i="12"/>
  <c r="I960" i="12" a="1"/>
  <c r="J960" i="12" a="1"/>
  <c r="K960" i="12" a="1"/>
  <c r="H961" i="12"/>
  <c r="I961" i="12" a="1"/>
  <c r="J961" i="12" a="1"/>
  <c r="K961" i="12" a="1"/>
  <c r="H962" i="12"/>
  <c r="I962" i="12" a="1"/>
  <c r="J962" i="12" a="1"/>
  <c r="K962" i="12" a="1"/>
  <c r="H963" i="12"/>
  <c r="I963" i="12" a="1"/>
  <c r="J963" i="12" a="1"/>
  <c r="K963" i="12" a="1"/>
  <c r="H964" i="12"/>
  <c r="I964" i="12" a="1"/>
  <c r="J964" i="12" a="1"/>
  <c r="K964" i="12" a="1"/>
  <c r="H965" i="12"/>
  <c r="I965" i="12" a="1"/>
  <c r="J965" i="12" a="1"/>
  <c r="K965" i="12" a="1"/>
  <c r="H966" i="12"/>
  <c r="I966" i="12" a="1"/>
  <c r="J966" i="12" a="1"/>
  <c r="K966" i="12" a="1"/>
  <c r="H967" i="12"/>
  <c r="I967" i="12" a="1"/>
  <c r="J967" i="12" a="1"/>
  <c r="K967" i="12" a="1"/>
  <c r="H968" i="12"/>
  <c r="I968" i="12" a="1"/>
  <c r="J968" i="12" a="1"/>
  <c r="K968" i="12" a="1"/>
  <c r="H969" i="12"/>
  <c r="I969" i="12" a="1"/>
  <c r="J969" i="12" a="1"/>
  <c r="K969" i="12" a="1"/>
  <c r="H970" i="12"/>
  <c r="I970" i="12" a="1"/>
  <c r="J970" i="12" a="1"/>
  <c r="K970" i="12" a="1"/>
  <c r="H971" i="12"/>
  <c r="I971" i="12" a="1"/>
  <c r="J971" i="12" a="1"/>
  <c r="K971" i="12" a="1"/>
  <c r="H972" i="12"/>
  <c r="I972" i="12" a="1"/>
  <c r="J972" i="12" a="1"/>
  <c r="K972" i="12" a="1"/>
  <c r="H973" i="12"/>
  <c r="I973" i="12" a="1"/>
  <c r="J973" i="12" a="1"/>
  <c r="K973" i="12" a="1"/>
  <c r="H974" i="12"/>
  <c r="I974" i="12" a="1"/>
  <c r="J974" i="12" a="1"/>
  <c r="K974" i="12" a="1"/>
  <c r="H975" i="12"/>
  <c r="I975" i="12" a="1"/>
  <c r="J975" i="12" a="1"/>
  <c r="K975" i="12" a="1"/>
  <c r="H976" i="12"/>
  <c r="I976" i="12" a="1"/>
  <c r="J976" i="12" a="1"/>
  <c r="K976" i="12" a="1"/>
  <c r="H977" i="12"/>
  <c r="I977" i="12" a="1"/>
  <c r="J977" i="12" a="1"/>
  <c r="K977" i="12" a="1"/>
  <c r="H978" i="12"/>
  <c r="I978" i="12" a="1"/>
  <c r="J978" i="12" a="1"/>
  <c r="K978" i="12" a="1"/>
  <c r="H979" i="12"/>
  <c r="I979" i="12" a="1"/>
  <c r="J979" i="12" a="1"/>
  <c r="K979" i="12" a="1"/>
  <c r="H980" i="12"/>
  <c r="I980" i="12" a="1"/>
  <c r="J980" i="12" a="1"/>
  <c r="K980" i="12" a="1"/>
  <c r="H981" i="12"/>
  <c r="I981" i="12" a="1"/>
  <c r="J981" i="12" a="1"/>
  <c r="K981" i="12" a="1"/>
  <c r="H982" i="12"/>
  <c r="I982" i="12" a="1"/>
  <c r="J982" i="12" a="1"/>
  <c r="K982" i="12" a="1"/>
  <c r="H983" i="12"/>
  <c r="I983" i="12" a="1"/>
  <c r="J983" i="12" a="1"/>
  <c r="K983" i="12" a="1"/>
  <c r="H984" i="12"/>
  <c r="I984" i="12" a="1"/>
  <c r="J984" i="12" a="1"/>
  <c r="K984" i="12" a="1"/>
  <c r="H985" i="12"/>
  <c r="I985" i="12" a="1"/>
  <c r="J985" i="12" a="1"/>
  <c r="K985" i="12" a="1"/>
  <c r="H986" i="12"/>
  <c r="I986" i="12" a="1"/>
  <c r="J986" i="12" a="1"/>
  <c r="K986" i="12" a="1"/>
  <c r="H987" i="12"/>
  <c r="I987" i="12" a="1"/>
  <c r="J987" i="12" a="1"/>
  <c r="K987" i="12" a="1"/>
  <c r="H988" i="12"/>
  <c r="I988" i="12" a="1"/>
  <c r="J988" i="12" a="1"/>
  <c r="K988" i="12" a="1"/>
  <c r="H989" i="12"/>
  <c r="I989" i="12" a="1"/>
  <c r="J989" i="12" a="1"/>
  <c r="K989" i="12" a="1"/>
  <c r="H990" i="12"/>
  <c r="I990" i="12" a="1"/>
  <c r="J990" i="12" a="1"/>
  <c r="K990" i="12" a="1"/>
  <c r="H991" i="12"/>
  <c r="I991" i="12" a="1"/>
  <c r="J991" i="12" a="1"/>
  <c r="K991" i="12" a="1"/>
  <c r="H992" i="12"/>
  <c r="I992" i="12" a="1"/>
  <c r="J992" i="12" a="1"/>
  <c r="K992" i="12" a="1"/>
  <c r="H993" i="12"/>
  <c r="I993" i="12" a="1"/>
  <c r="J993" i="12" a="1"/>
  <c r="K993" i="12" a="1"/>
  <c r="H994" i="12"/>
  <c r="I994" i="12" a="1"/>
  <c r="J994" i="12" a="1"/>
  <c r="K994" i="12" a="1"/>
  <c r="H995" i="12"/>
  <c r="I995" i="12" a="1"/>
  <c r="J995" i="12" a="1"/>
  <c r="K995" i="12" a="1"/>
  <c r="H996" i="12"/>
  <c r="I996" i="12" a="1"/>
  <c r="J996" i="12" a="1"/>
  <c r="K996" i="12" a="1"/>
  <c r="H997" i="12"/>
  <c r="I997" i="12" a="1"/>
  <c r="J997" i="12" a="1"/>
  <c r="K997" i="12" a="1"/>
  <c r="H998" i="12"/>
  <c r="I998" i="12" a="1"/>
  <c r="J998" i="12" a="1"/>
  <c r="K998" i="12" a="1"/>
  <c r="H999" i="12"/>
  <c r="I999" i="12" a="1"/>
  <c r="J999" i="12" a="1"/>
  <c r="K999" i="12" a="1"/>
  <c r="H1000" i="12"/>
  <c r="I1000" i="12" a="1"/>
  <c r="J1000" i="12" a="1"/>
  <c r="K1000" i="12" a="1"/>
  <c r="H1001" i="12"/>
  <c r="I1001" i="12" a="1"/>
  <c r="J1001" i="12" a="1"/>
  <c r="K1001" i="12" a="1"/>
  <c r="H1002" i="12"/>
  <c r="I1002" i="12" a="1"/>
  <c r="J1002" i="12" a="1"/>
  <c r="K1002" i="12" a="1"/>
  <c r="H1003" i="12"/>
  <c r="I1003" i="12" a="1"/>
  <c r="J1003" i="12" a="1"/>
  <c r="K1003" i="12" a="1"/>
  <c r="H1004" i="12"/>
  <c r="I1004" i="12" a="1"/>
  <c r="J1004" i="12" a="1"/>
  <c r="K1004" i="12" a="1"/>
  <c r="H1005" i="12"/>
  <c r="I1005" i="12" a="1"/>
  <c r="J1005" i="12" a="1"/>
  <c r="K1005" i="12" a="1"/>
  <c r="H1006" i="12"/>
  <c r="I1006" i="12" a="1"/>
  <c r="J1006" i="12" a="1"/>
  <c r="K1006" i="12" a="1"/>
  <c r="H1007" i="12"/>
  <c r="I1007" i="12" a="1"/>
  <c r="J1007" i="12" a="1"/>
  <c r="K1007" i="12" a="1"/>
  <c r="H1008" i="12"/>
  <c r="I1008" i="12" a="1"/>
  <c r="J1008" i="12" a="1"/>
  <c r="K1008" i="12" a="1"/>
  <c r="H1009" i="12"/>
  <c r="I1009" i="12" a="1"/>
  <c r="J1009" i="12" a="1"/>
  <c r="K1009" i="12" a="1"/>
  <c r="H1010" i="12"/>
  <c r="I1010" i="12" a="1"/>
  <c r="J1010" i="12" a="1"/>
  <c r="K1010" i="12" a="1"/>
  <c r="H1011" i="12"/>
  <c r="I1011" i="12" a="1"/>
  <c r="J1011" i="12" a="1"/>
  <c r="K1011" i="12" a="1"/>
  <c r="H1012" i="12"/>
  <c r="I1012" i="12" a="1"/>
  <c r="J1012" i="12" a="1"/>
  <c r="K1012" i="12" a="1"/>
  <c r="H1013" i="12"/>
  <c r="I1013" i="12" a="1"/>
  <c r="J1013" i="12" a="1"/>
  <c r="K1013" i="12" a="1"/>
  <c r="H1014" i="12"/>
  <c r="I1014" i="12" a="1"/>
  <c r="J1014" i="12" a="1"/>
  <c r="K1014" i="12" a="1"/>
  <c r="H1015" i="12"/>
  <c r="I1015" i="12" a="1"/>
  <c r="J1015" i="12" a="1"/>
  <c r="K1015" i="12" a="1"/>
  <c r="H1016" i="12"/>
  <c r="I1016" i="12" a="1"/>
  <c r="J1016" i="12" a="1"/>
  <c r="K1016" i="12" a="1"/>
  <c r="H1017" i="12"/>
  <c r="I1017" i="12" a="1"/>
  <c r="J1017" i="12" a="1"/>
  <c r="K1017" i="12" a="1"/>
  <c r="H1018" i="12"/>
  <c r="I1018" i="12" a="1"/>
  <c r="J1018" i="12" a="1"/>
  <c r="K1018" i="12" a="1"/>
  <c r="H1019" i="12"/>
  <c r="I1019" i="12" a="1"/>
  <c r="J1019" i="12" a="1"/>
  <c r="K1019" i="12" a="1"/>
  <c r="H1020" i="12"/>
  <c r="I1020" i="12" a="1"/>
  <c r="J1020" i="12" a="1"/>
  <c r="K1020" i="12" a="1"/>
  <c r="H1021" i="12"/>
  <c r="I1021" i="12" a="1"/>
  <c r="J1021" i="12" a="1"/>
  <c r="K1021" i="12" a="1"/>
  <c r="H1022" i="12"/>
  <c r="I1022" i="12" a="1"/>
  <c r="J1022" i="12" a="1"/>
  <c r="K1022" i="12" a="1"/>
  <c r="H1023" i="12"/>
  <c r="I1023" i="12" a="1"/>
  <c r="J1023" i="12" a="1"/>
  <c r="K1023" i="12" a="1"/>
  <c r="H1024" i="12"/>
  <c r="I1024" i="12" a="1"/>
  <c r="J1024" i="12" a="1"/>
  <c r="K1024" i="12" a="1"/>
  <c r="H1025" i="12"/>
  <c r="I1025" i="12" a="1"/>
  <c r="J1025" i="12" a="1"/>
  <c r="K1025" i="12" a="1"/>
  <c r="H1026" i="12"/>
  <c r="I1026" i="12" a="1"/>
  <c r="J1026" i="12" a="1"/>
  <c r="K1026" i="12" a="1"/>
  <c r="H1027" i="12"/>
  <c r="I1027" i="12" a="1"/>
  <c r="J1027" i="12" a="1"/>
  <c r="K1027" i="12" a="1"/>
  <c r="H1028" i="12"/>
  <c r="I1028" i="12" a="1"/>
  <c r="J1028" i="12" a="1"/>
  <c r="K1028" i="12" a="1"/>
  <c r="H1029" i="12"/>
  <c r="I1029" i="12" a="1"/>
  <c r="J1029" i="12" a="1"/>
  <c r="K1029" i="12" a="1"/>
  <c r="H1030" i="12"/>
  <c r="I1030" i="12" a="1"/>
  <c r="J1030" i="12" a="1"/>
  <c r="K1030" i="12" a="1"/>
  <c r="H1031" i="12"/>
  <c r="I1031" i="12" a="1"/>
  <c r="J1031" i="12" a="1"/>
  <c r="K1031" i="12" a="1"/>
  <c r="H1032" i="12"/>
  <c r="I1032" i="12" a="1"/>
  <c r="J1032" i="12" a="1"/>
  <c r="K1032" i="12" a="1"/>
  <c r="H1033" i="12"/>
  <c r="I1033" i="12" a="1"/>
  <c r="J1033" i="12" a="1"/>
  <c r="K1033" i="12" a="1"/>
  <c r="H1034" i="12"/>
  <c r="I1034" i="12" a="1"/>
  <c r="J1034" i="12" a="1"/>
  <c r="K1034" i="12" a="1"/>
  <c r="H1035" i="12"/>
  <c r="I1035" i="12" a="1"/>
  <c r="J1035" i="12" a="1"/>
  <c r="K1035" i="12" a="1"/>
  <c r="H1036" i="12"/>
  <c r="I1036" i="12" a="1"/>
  <c r="J1036" i="12" a="1"/>
  <c r="K1036" i="12" a="1"/>
  <c r="H1037" i="12"/>
  <c r="I1037" i="12" a="1"/>
  <c r="J1037" i="12" a="1"/>
  <c r="K1037" i="12" a="1"/>
  <c r="H1038" i="12"/>
  <c r="I1038" i="12" a="1"/>
  <c r="J1038" i="12" a="1"/>
  <c r="K1038" i="12" a="1"/>
  <c r="H1039" i="12"/>
  <c r="I1039" i="12" a="1"/>
  <c r="J1039" i="12" a="1"/>
  <c r="K1039" i="12" a="1"/>
  <c r="H1040" i="12"/>
  <c r="I1040" i="12" a="1"/>
  <c r="J1040" i="12" a="1"/>
  <c r="K1040" i="12" a="1"/>
  <c r="H1041" i="12"/>
  <c r="I1041" i="12" a="1"/>
  <c r="J1041" i="12" a="1"/>
  <c r="K1041" i="12" a="1"/>
  <c r="H1042" i="12"/>
  <c r="I1042" i="12" a="1"/>
  <c r="J1042" i="12" a="1"/>
  <c r="K1042" i="12" a="1"/>
  <c r="H1043" i="12"/>
  <c r="I1043" i="12" a="1"/>
  <c r="J1043" i="12" a="1"/>
  <c r="K1043" i="12" a="1"/>
  <c r="H1044" i="12"/>
  <c r="I1044" i="12" a="1"/>
  <c r="J1044" i="12" a="1"/>
  <c r="K1044" i="12" a="1"/>
  <c r="H1045" i="12"/>
  <c r="I1045" i="12" a="1"/>
  <c r="J1045" i="12" a="1"/>
  <c r="K1045" i="12" a="1"/>
  <c r="H1046" i="12"/>
  <c r="I1046" i="12" a="1"/>
  <c r="J1046" i="12" a="1"/>
  <c r="K1046" i="12" a="1"/>
  <c r="H1047" i="12"/>
  <c r="I1047" i="12" a="1"/>
  <c r="J1047" i="12" a="1"/>
  <c r="K1047" i="12" a="1"/>
  <c r="H1048" i="12"/>
  <c r="I1048" i="12" a="1"/>
  <c r="J1048" i="12" a="1"/>
  <c r="K1048" i="12" a="1"/>
  <c r="H1049" i="12"/>
  <c r="I1049" i="12" a="1"/>
  <c r="J1049" i="12" a="1"/>
  <c r="K1049" i="12" a="1"/>
  <c r="H1050" i="12"/>
  <c r="I1050" i="12" a="1"/>
  <c r="J1050" i="12" a="1"/>
  <c r="K1050" i="12" a="1"/>
  <c r="H1051" i="12"/>
  <c r="I1051" i="12" a="1"/>
  <c r="J1051" i="12" a="1"/>
  <c r="K1051" i="12" a="1"/>
  <c r="H1052" i="12"/>
  <c r="I1052" i="12" a="1"/>
  <c r="J1052" i="12" a="1"/>
  <c r="K1052" i="12" a="1"/>
  <c r="H1053" i="12"/>
  <c r="I1053" i="12" a="1"/>
  <c r="J1053" i="12" a="1"/>
  <c r="K1053" i="12" a="1"/>
  <c r="H1054" i="12"/>
  <c r="I1054" i="12" a="1"/>
  <c r="J1054" i="12" a="1"/>
  <c r="K1054" i="12" a="1"/>
  <c r="H1055" i="12"/>
  <c r="I1055" i="12" a="1"/>
  <c r="J1055" i="12" a="1"/>
  <c r="K1055" i="12" a="1"/>
  <c r="H1056" i="12"/>
  <c r="I1056" i="12" a="1"/>
  <c r="J1056" i="12" a="1"/>
  <c r="K1056" i="12" a="1"/>
  <c r="H1057" i="12"/>
  <c r="I1057" i="12" a="1"/>
  <c r="J1057" i="12" a="1"/>
  <c r="K1057" i="12" a="1"/>
  <c r="H1058" i="12"/>
  <c r="I1058" i="12" a="1"/>
  <c r="J1058" i="12" a="1"/>
  <c r="K1058" i="12" a="1"/>
  <c r="H1059" i="12"/>
  <c r="I1059" i="12" a="1"/>
  <c r="J1059" i="12" a="1"/>
  <c r="K1059" i="12" a="1"/>
  <c r="H1060" i="12"/>
  <c r="I1060" i="12" a="1"/>
  <c r="J1060" i="12" a="1"/>
  <c r="K1060" i="12" a="1"/>
  <c r="H1061" i="12"/>
  <c r="I1061" i="12" a="1"/>
  <c r="J1061" i="12" a="1"/>
  <c r="K1061" i="12" a="1"/>
  <c r="H1062" i="12"/>
  <c r="I1062" i="12" a="1"/>
  <c r="J1062" i="12" a="1"/>
  <c r="K1062" i="12" a="1"/>
  <c r="H1063" i="12"/>
  <c r="I1063" i="12" a="1"/>
  <c r="J1063" i="12" a="1"/>
  <c r="K1063" i="12" a="1"/>
  <c r="H1064" i="12"/>
  <c r="I1064" i="12" a="1"/>
  <c r="J1064" i="12" a="1"/>
  <c r="K1064" i="12" a="1"/>
  <c r="H1065" i="12"/>
  <c r="I1065" i="12" a="1"/>
  <c r="J1065" i="12" a="1"/>
  <c r="K1065" i="12" a="1"/>
  <c r="H1066" i="12"/>
  <c r="I1066" i="12" a="1"/>
  <c r="J1066" i="12" a="1"/>
  <c r="K1066" i="12" a="1"/>
  <c r="H1067" i="12"/>
  <c r="I1067" i="12" a="1"/>
  <c r="J1067" i="12" a="1"/>
  <c r="K1067" i="12" a="1"/>
  <c r="H1068" i="12"/>
  <c r="I1068" i="12" a="1"/>
  <c r="J1068" i="12" a="1"/>
  <c r="K1068" i="12" a="1"/>
  <c r="H1069" i="12"/>
  <c r="I1069" i="12" a="1"/>
  <c r="J1069" i="12" a="1"/>
  <c r="K1069" i="12" a="1"/>
  <c r="H1070" i="12"/>
  <c r="I1070" i="12" a="1"/>
  <c r="J1070" i="12" a="1"/>
  <c r="K1070" i="12" a="1"/>
  <c r="H1071" i="12"/>
  <c r="I1071" i="12" a="1"/>
  <c r="J1071" i="12" a="1"/>
  <c r="K1071" i="12" a="1"/>
  <c r="H1072" i="12"/>
  <c r="I1072" i="12" a="1"/>
  <c r="J1072" i="12" a="1"/>
  <c r="K1072" i="12" a="1"/>
  <c r="H1073" i="12"/>
  <c r="I1073" i="12" a="1"/>
  <c r="J1073" i="12" a="1"/>
  <c r="K1073" i="12" a="1"/>
  <c r="H1074" i="12"/>
  <c r="I1074" i="12" a="1"/>
  <c r="J1074" i="12" a="1"/>
  <c r="K1074" i="12" a="1"/>
  <c r="H1075" i="12"/>
  <c r="I1075" i="12" a="1"/>
  <c r="J1075" i="12" a="1"/>
  <c r="K1075" i="12" a="1"/>
  <c r="H1076" i="12"/>
  <c r="I1076" i="12" a="1"/>
  <c r="J1076" i="12" a="1"/>
  <c r="K1076" i="12" a="1"/>
  <c r="H1077" i="12"/>
  <c r="I1077" i="12" a="1"/>
  <c r="J1077" i="12" a="1"/>
  <c r="K1077" i="12" a="1"/>
  <c r="H1078" i="12"/>
  <c r="I1078" i="12" a="1"/>
  <c r="J1078" i="12" a="1"/>
  <c r="K1078" i="12" a="1"/>
  <c r="H1079" i="12"/>
  <c r="I1079" i="12" a="1"/>
  <c r="J1079" i="12" a="1"/>
  <c r="K1079" i="12" a="1"/>
  <c r="H1080" i="12"/>
  <c r="I1080" i="12" a="1"/>
  <c r="J1080" i="12" a="1"/>
  <c r="K1080" i="12" a="1"/>
  <c r="H1081" i="12"/>
  <c r="I1081" i="12" a="1"/>
  <c r="J1081" i="12" a="1"/>
  <c r="K1081" i="12" a="1"/>
  <c r="F52" i="4" a="1"/>
  <c r="G52" i="4" a="1"/>
  <c r="F36" i="2"/>
  <c r="D51" i="9"/>
  <c r="W51" i="9" s="1"/>
  <c r="D51" i="8"/>
  <c r="D51" i="7"/>
  <c r="Z51" i="7" a="1"/>
  <c r="AA51" i="7" a="1"/>
  <c r="AB51" i="7" a="1"/>
  <c r="D51" i="5"/>
  <c r="Z51" i="5" a="1"/>
  <c r="AA51" i="5" a="1"/>
  <c r="AB51" i="5" a="1"/>
  <c r="F64" i="4" a="1"/>
  <c r="G64" i="4" a="1"/>
  <c r="F48" i="2"/>
  <c r="D50" i="7"/>
  <c r="Z50" i="7" a="1"/>
  <c r="AA50" i="7" a="1"/>
  <c r="AB50" i="7" a="1"/>
  <c r="F35" i="4" a="1"/>
  <c r="G35" i="4" a="1"/>
  <c r="D50" i="5"/>
  <c r="Z50" i="5" a="1"/>
  <c r="AA50" i="5" a="1"/>
  <c r="AB50" i="5" a="1"/>
  <c r="F59" i="2"/>
  <c r="D49" i="9"/>
  <c r="W49" i="9" s="1"/>
  <c r="D49" i="8"/>
  <c r="D49" i="7"/>
  <c r="Z49" i="7" a="1"/>
  <c r="AA49" i="7" a="1"/>
  <c r="AB49" i="7" a="1"/>
  <c r="D49" i="5"/>
  <c r="Z49" i="5" a="1"/>
  <c r="AA49" i="5" a="1"/>
  <c r="AB49" i="5" a="1"/>
  <c r="H830" i="12"/>
  <c r="I830" i="12" a="1"/>
  <c r="J830" i="12" a="1"/>
  <c r="K830" i="12" a="1"/>
  <c r="H831" i="12"/>
  <c r="I831" i="12" a="1"/>
  <c r="J831" i="12" a="1"/>
  <c r="K831" i="12" a="1"/>
  <c r="H832" i="12"/>
  <c r="I832" i="12" a="1"/>
  <c r="J832" i="12" a="1"/>
  <c r="K832" i="12" a="1"/>
  <c r="H833" i="12"/>
  <c r="I833" i="12" a="1"/>
  <c r="J833" i="12" a="1"/>
  <c r="K833" i="12" a="1"/>
  <c r="H834" i="12"/>
  <c r="I834" i="12" a="1"/>
  <c r="J834" i="12" a="1"/>
  <c r="K834" i="12" a="1"/>
  <c r="H835" i="12"/>
  <c r="I835" i="12" a="1"/>
  <c r="J835" i="12" a="1"/>
  <c r="K835" i="12" a="1"/>
  <c r="H836" i="12"/>
  <c r="I836" i="12" a="1"/>
  <c r="J836" i="12" a="1"/>
  <c r="K836" i="12" a="1"/>
  <c r="H837" i="12"/>
  <c r="I837" i="12" a="1"/>
  <c r="J837" i="12" a="1"/>
  <c r="K837" i="12" a="1"/>
  <c r="H838" i="12"/>
  <c r="I838" i="12" a="1"/>
  <c r="J838" i="12" a="1"/>
  <c r="K838" i="12" a="1"/>
  <c r="H839" i="12"/>
  <c r="I839" i="12" a="1"/>
  <c r="J839" i="12" a="1"/>
  <c r="K839" i="12" a="1"/>
  <c r="H840" i="12"/>
  <c r="I840" i="12" a="1"/>
  <c r="J840" i="12" a="1"/>
  <c r="K840" i="12" a="1"/>
  <c r="H841" i="12"/>
  <c r="I841" i="12" a="1"/>
  <c r="J841" i="12" a="1"/>
  <c r="K841" i="12" a="1"/>
  <c r="H842" i="12"/>
  <c r="I842" i="12" a="1"/>
  <c r="J842" i="12" a="1"/>
  <c r="K842" i="12" a="1"/>
  <c r="H843" i="12"/>
  <c r="I843" i="12" a="1"/>
  <c r="J843" i="12" a="1"/>
  <c r="K843" i="12" a="1"/>
  <c r="H844" i="12"/>
  <c r="I844" i="12" a="1"/>
  <c r="J844" i="12" a="1"/>
  <c r="K844" i="12" a="1"/>
  <c r="H845" i="12"/>
  <c r="I845" i="12" a="1"/>
  <c r="J845" i="12" a="1"/>
  <c r="K845" i="12" a="1"/>
  <c r="H846" i="12"/>
  <c r="I846" i="12" a="1"/>
  <c r="J846" i="12" a="1"/>
  <c r="K846" i="12" a="1"/>
  <c r="H847" i="12"/>
  <c r="I847" i="12" a="1"/>
  <c r="J847" i="12" a="1"/>
  <c r="K847" i="12" a="1"/>
  <c r="F68" i="4" a="1"/>
  <c r="G68" i="4" a="1"/>
  <c r="F52" i="2"/>
  <c r="D48" i="8"/>
  <c r="D48" i="7"/>
  <c r="Z48" i="7" a="1"/>
  <c r="AA48" i="7" a="1"/>
  <c r="AB48" i="7" a="1"/>
  <c r="D48" i="5"/>
  <c r="Z48" i="5" a="1"/>
  <c r="AA48" i="5" a="1"/>
  <c r="AB48" i="5" a="1"/>
  <c r="F66" i="4" a="1"/>
  <c r="G66" i="4" a="1"/>
  <c r="F40" i="2"/>
  <c r="D47" i="9"/>
  <c r="W47" i="9" s="1"/>
  <c r="D47" i="8"/>
  <c r="D47" i="7"/>
  <c r="Z47" i="7" a="1"/>
  <c r="AA47" i="7" a="1"/>
  <c r="AB47" i="7" a="1"/>
  <c r="D47" i="5"/>
  <c r="Z47" i="5" a="1"/>
  <c r="AA47" i="5" a="1"/>
  <c r="AB47" i="5" a="1"/>
  <c r="F65" i="4" a="1"/>
  <c r="G65" i="4" a="1"/>
  <c r="F34" i="2"/>
  <c r="D46" i="9"/>
  <c r="W46" i="9"/>
  <c r="D46" i="8"/>
  <c r="D46" i="7"/>
  <c r="Z46" i="7" a="1"/>
  <c r="AA46" i="7" a="1"/>
  <c r="AB46" i="7" a="1"/>
  <c r="D46" i="5"/>
  <c r="Z46" i="5" a="1"/>
  <c r="AA46" i="5" a="1"/>
  <c r="AB46" i="5" a="1"/>
  <c r="F23" i="6"/>
  <c r="F21" i="2"/>
  <c r="F69" i="4" a="1"/>
  <c r="G69" i="4" a="1"/>
  <c r="F67" i="4" a="1"/>
  <c r="G67" i="4" a="1"/>
  <c r="F22" i="6"/>
  <c r="H758" i="12"/>
  <c r="I758" i="12" a="1"/>
  <c r="J758" i="12" a="1"/>
  <c r="K758" i="12" a="1"/>
  <c r="H759" i="12"/>
  <c r="I759" i="12" a="1"/>
  <c r="J759" i="12" a="1"/>
  <c r="K759" i="12" a="1"/>
  <c r="H760" i="12"/>
  <c r="I760" i="12" a="1"/>
  <c r="J760" i="12" a="1"/>
  <c r="K760" i="12" a="1"/>
  <c r="H761" i="12"/>
  <c r="I761" i="12" a="1"/>
  <c r="J761" i="12" a="1"/>
  <c r="K761" i="12" a="1"/>
  <c r="H762" i="12"/>
  <c r="I762" i="12" a="1"/>
  <c r="J762" i="12" a="1"/>
  <c r="K762" i="12" a="1"/>
  <c r="H763" i="12"/>
  <c r="I763" i="12" a="1"/>
  <c r="J763" i="12" a="1"/>
  <c r="K763" i="12" a="1"/>
  <c r="H764" i="12"/>
  <c r="I764" i="12" a="1"/>
  <c r="J764" i="12" a="1"/>
  <c r="K764" i="12" a="1"/>
  <c r="H765" i="12"/>
  <c r="I765" i="12" a="1"/>
  <c r="J765" i="12" a="1"/>
  <c r="K765" i="12" a="1"/>
  <c r="H766" i="12"/>
  <c r="I766" i="12" a="1"/>
  <c r="J766" i="12" a="1"/>
  <c r="K766" i="12" a="1"/>
  <c r="H767" i="12"/>
  <c r="I767" i="12" a="1"/>
  <c r="J767" i="12" a="1"/>
  <c r="K767" i="12" a="1"/>
  <c r="H768" i="12"/>
  <c r="I768" i="12" a="1"/>
  <c r="J768" i="12" a="1"/>
  <c r="K768" i="12" a="1"/>
  <c r="H769" i="12"/>
  <c r="I769" i="12" a="1"/>
  <c r="J769" i="12" a="1"/>
  <c r="K769" i="12" a="1"/>
  <c r="H770" i="12"/>
  <c r="I770" i="12" a="1"/>
  <c r="J770" i="12" a="1"/>
  <c r="K770" i="12" a="1"/>
  <c r="H771" i="12"/>
  <c r="I771" i="12" a="1"/>
  <c r="J771" i="12" a="1"/>
  <c r="K771" i="12" a="1"/>
  <c r="H772" i="12"/>
  <c r="I772" i="12" a="1"/>
  <c r="J772" i="12" a="1"/>
  <c r="K772" i="12" a="1"/>
  <c r="H773" i="12"/>
  <c r="I773" i="12" a="1"/>
  <c r="J773" i="12" a="1"/>
  <c r="K773" i="12" a="1"/>
  <c r="H774" i="12"/>
  <c r="I774" i="12" a="1"/>
  <c r="J774" i="12" a="1"/>
  <c r="K774" i="12" a="1"/>
  <c r="H775" i="12"/>
  <c r="I775" i="12" a="1"/>
  <c r="J775" i="12" a="1"/>
  <c r="K775" i="12" a="1"/>
  <c r="H776" i="12"/>
  <c r="I776" i="12" a="1"/>
  <c r="J776" i="12" a="1"/>
  <c r="K776" i="12" a="1"/>
  <c r="H777" i="12"/>
  <c r="I777" i="12" a="1"/>
  <c r="J777" i="12" a="1"/>
  <c r="K777" i="12" a="1"/>
  <c r="H778" i="12"/>
  <c r="I778" i="12" a="1"/>
  <c r="J778" i="12" a="1"/>
  <c r="K778" i="12" a="1"/>
  <c r="H779" i="12"/>
  <c r="I779" i="12" a="1"/>
  <c r="J779" i="12" a="1"/>
  <c r="K779" i="12" a="1"/>
  <c r="H780" i="12"/>
  <c r="I780" i="12" a="1"/>
  <c r="J780" i="12" a="1"/>
  <c r="K780" i="12" a="1"/>
  <c r="H781" i="12"/>
  <c r="I781" i="12" a="1"/>
  <c r="J781" i="12" a="1"/>
  <c r="K781" i="12" a="1"/>
  <c r="H782" i="12"/>
  <c r="I782" i="12" a="1"/>
  <c r="J782" i="12" a="1"/>
  <c r="K782" i="12" a="1"/>
  <c r="H783" i="12"/>
  <c r="I783" i="12" a="1"/>
  <c r="J783" i="12" a="1"/>
  <c r="K783" i="12" a="1"/>
  <c r="H784" i="12"/>
  <c r="I784" i="12" a="1"/>
  <c r="J784" i="12" a="1"/>
  <c r="K784" i="12" a="1"/>
  <c r="H785" i="12"/>
  <c r="I785" i="12" a="1"/>
  <c r="J785" i="12" a="1"/>
  <c r="K785" i="12" a="1"/>
  <c r="H786" i="12"/>
  <c r="I786" i="12" a="1"/>
  <c r="J786" i="12" a="1"/>
  <c r="K786" i="12" a="1"/>
  <c r="H787" i="12"/>
  <c r="I787" i="12" a="1"/>
  <c r="J787" i="12" a="1"/>
  <c r="K787" i="12" a="1"/>
  <c r="H788" i="12"/>
  <c r="I788" i="12" a="1"/>
  <c r="J788" i="12" a="1"/>
  <c r="K788" i="12" a="1"/>
  <c r="H789" i="12"/>
  <c r="I789" i="12" a="1"/>
  <c r="J789" i="12" a="1"/>
  <c r="K789" i="12" a="1"/>
  <c r="H790" i="12"/>
  <c r="I790" i="12" a="1"/>
  <c r="J790" i="12" a="1"/>
  <c r="K790" i="12" a="1"/>
  <c r="H791" i="12"/>
  <c r="I791" i="12" a="1"/>
  <c r="J791" i="12" a="1"/>
  <c r="K791" i="12" a="1"/>
  <c r="H792" i="12"/>
  <c r="I792" i="12" a="1"/>
  <c r="J792" i="12" a="1"/>
  <c r="K792" i="12" a="1"/>
  <c r="H793" i="12"/>
  <c r="I793" i="12" a="1"/>
  <c r="J793" i="12" a="1"/>
  <c r="K793" i="12" a="1"/>
  <c r="H794" i="12"/>
  <c r="I794" i="12" a="1"/>
  <c r="J794" i="12" a="1"/>
  <c r="K794" i="12" a="1"/>
  <c r="H795" i="12"/>
  <c r="I795" i="12" a="1"/>
  <c r="J795" i="12" a="1"/>
  <c r="K795" i="12" a="1"/>
  <c r="H796" i="12"/>
  <c r="I796" i="12" a="1"/>
  <c r="J796" i="12" a="1"/>
  <c r="K796" i="12" a="1"/>
  <c r="H797" i="12"/>
  <c r="I797" i="12" a="1"/>
  <c r="J797" i="12" a="1"/>
  <c r="K797" i="12" a="1"/>
  <c r="H798" i="12"/>
  <c r="I798" i="12" a="1"/>
  <c r="J798" i="12" a="1"/>
  <c r="K798" i="12" a="1"/>
  <c r="H799" i="12"/>
  <c r="I799" i="12" a="1"/>
  <c r="J799" i="12" a="1"/>
  <c r="K799" i="12" a="1"/>
  <c r="H800" i="12"/>
  <c r="I800" i="12" a="1"/>
  <c r="J800" i="12" a="1"/>
  <c r="K800" i="12" a="1"/>
  <c r="H801" i="12"/>
  <c r="I801" i="12" a="1"/>
  <c r="J801" i="12" a="1"/>
  <c r="K801" i="12" a="1"/>
  <c r="H802" i="12"/>
  <c r="I802" i="12" a="1"/>
  <c r="J802" i="12" a="1"/>
  <c r="K802" i="12" a="1"/>
  <c r="H803" i="12"/>
  <c r="I803" i="12" a="1"/>
  <c r="J803" i="12" a="1"/>
  <c r="K803" i="12" a="1"/>
  <c r="H804" i="12"/>
  <c r="I804" i="12" a="1"/>
  <c r="J804" i="12" a="1"/>
  <c r="K804" i="12" a="1"/>
  <c r="H805" i="12"/>
  <c r="I805" i="12" a="1"/>
  <c r="J805" i="12" a="1"/>
  <c r="K805" i="12" a="1"/>
  <c r="H806" i="12"/>
  <c r="I806" i="12" a="1"/>
  <c r="J806" i="12" a="1"/>
  <c r="K806" i="12" a="1"/>
  <c r="H807" i="12"/>
  <c r="I807" i="12" a="1"/>
  <c r="J807" i="12" a="1"/>
  <c r="K807" i="12" a="1"/>
  <c r="H808" i="12"/>
  <c r="I808" i="12" a="1"/>
  <c r="J808" i="12" a="1"/>
  <c r="K808" i="12" a="1"/>
  <c r="H809" i="12"/>
  <c r="I809" i="12" a="1"/>
  <c r="J809" i="12" a="1"/>
  <c r="K809" i="12" a="1"/>
  <c r="H810" i="12"/>
  <c r="I810" i="12" a="1"/>
  <c r="J810" i="12" a="1"/>
  <c r="K810" i="12" a="1"/>
  <c r="H811" i="12"/>
  <c r="I811" i="12" a="1"/>
  <c r="J811" i="12" a="1"/>
  <c r="K811" i="12" a="1"/>
  <c r="H812" i="12"/>
  <c r="I812" i="12" a="1"/>
  <c r="J812" i="12" a="1"/>
  <c r="K812" i="12" a="1"/>
  <c r="H813" i="12"/>
  <c r="I813" i="12" a="1"/>
  <c r="J813" i="12" a="1"/>
  <c r="K813" i="12" a="1"/>
  <c r="H814" i="12"/>
  <c r="I814" i="12" a="1"/>
  <c r="J814" i="12" a="1"/>
  <c r="K814" i="12" a="1"/>
  <c r="H815" i="12"/>
  <c r="I815" i="12" a="1"/>
  <c r="J815" i="12" a="1"/>
  <c r="K815" i="12" a="1"/>
  <c r="H816" i="12"/>
  <c r="I816" i="12" a="1"/>
  <c r="J816" i="12" a="1"/>
  <c r="K816" i="12" a="1"/>
  <c r="H817" i="12"/>
  <c r="I817" i="12" a="1"/>
  <c r="J817" i="12" a="1"/>
  <c r="K817" i="12" a="1"/>
  <c r="H818" i="12"/>
  <c r="I818" i="12" a="1"/>
  <c r="J818" i="12" a="1"/>
  <c r="K818" i="12" a="1"/>
  <c r="H819" i="12"/>
  <c r="I819" i="12" a="1"/>
  <c r="J819" i="12" a="1"/>
  <c r="K819" i="12" a="1"/>
  <c r="H820" i="12"/>
  <c r="I820" i="12" a="1"/>
  <c r="J820" i="12" a="1"/>
  <c r="K820" i="12" a="1"/>
  <c r="H821" i="12"/>
  <c r="I821" i="12" a="1"/>
  <c r="J821" i="12" a="1"/>
  <c r="K821" i="12" a="1"/>
  <c r="H822" i="12"/>
  <c r="I822" i="12" a="1"/>
  <c r="J822" i="12" a="1"/>
  <c r="K822" i="12" a="1"/>
  <c r="H823" i="12"/>
  <c r="I823" i="12" a="1"/>
  <c r="J823" i="12" a="1"/>
  <c r="K823" i="12" a="1"/>
  <c r="H824" i="12"/>
  <c r="I824" i="12" a="1"/>
  <c r="J824" i="12" a="1"/>
  <c r="K824" i="12" a="1"/>
  <c r="H825" i="12"/>
  <c r="I825" i="12" a="1"/>
  <c r="J825" i="12" a="1"/>
  <c r="K825" i="12" a="1"/>
  <c r="H826" i="12"/>
  <c r="I826" i="12" a="1"/>
  <c r="J826" i="12" a="1"/>
  <c r="K826" i="12" a="1"/>
  <c r="H827" i="12"/>
  <c r="I827" i="12" a="1"/>
  <c r="J827" i="12" a="1"/>
  <c r="K827" i="12" a="1"/>
  <c r="H828" i="12"/>
  <c r="I828" i="12" a="1"/>
  <c r="J828" i="12" a="1"/>
  <c r="K828" i="12" a="1"/>
  <c r="H829" i="12"/>
  <c r="I829" i="12" a="1"/>
  <c r="J829" i="12" a="1"/>
  <c r="K829" i="12" a="1"/>
  <c r="D45" i="9"/>
  <c r="W45" i="9"/>
  <c r="D45" i="8"/>
  <c r="D45" i="7"/>
  <c r="Z45" i="7" a="1"/>
  <c r="AA45" i="7" a="1"/>
  <c r="AB45" i="7" a="1"/>
  <c r="D45" i="5"/>
  <c r="Z45" i="5" a="1"/>
  <c r="AA45" i="5" a="1"/>
  <c r="AB45" i="5" a="1"/>
  <c r="F15" i="2"/>
  <c r="D44" i="9"/>
  <c r="W44" i="9"/>
  <c r="D44" i="8"/>
  <c r="D44" i="7"/>
  <c r="Z44" i="7" a="1"/>
  <c r="AA44" i="7" a="1"/>
  <c r="AB44" i="7" a="1"/>
  <c r="D44" i="5"/>
  <c r="Z44" i="5" a="1"/>
  <c r="AA44" i="5" a="1"/>
  <c r="AB44" i="5" a="1"/>
  <c r="H740" i="12"/>
  <c r="I740" i="12" a="1"/>
  <c r="J740" i="12" a="1"/>
  <c r="K740" i="12" a="1"/>
  <c r="H741" i="12"/>
  <c r="I741" i="12" a="1"/>
  <c r="J741" i="12" a="1"/>
  <c r="K741" i="12" a="1"/>
  <c r="H742" i="12"/>
  <c r="I742" i="12" a="1"/>
  <c r="J742" i="12" a="1"/>
  <c r="K742" i="12" a="1"/>
  <c r="H743" i="12"/>
  <c r="I743" i="12" a="1"/>
  <c r="J743" i="12" a="1"/>
  <c r="K743" i="12" a="1"/>
  <c r="H744" i="12"/>
  <c r="I744" i="12" a="1"/>
  <c r="J744" i="12" a="1"/>
  <c r="K744" i="12" a="1"/>
  <c r="H745" i="12"/>
  <c r="I745" i="12" a="1"/>
  <c r="J745" i="12" a="1"/>
  <c r="K745" i="12" a="1"/>
  <c r="H746" i="12"/>
  <c r="I746" i="12" a="1"/>
  <c r="J746" i="12" a="1"/>
  <c r="K746" i="12" a="1"/>
  <c r="H747" i="12"/>
  <c r="I747" i="12" a="1"/>
  <c r="J747" i="12" a="1"/>
  <c r="K747" i="12" a="1"/>
  <c r="H748" i="12"/>
  <c r="I748" i="12" a="1"/>
  <c r="J748" i="12" a="1"/>
  <c r="K748" i="12" a="1"/>
  <c r="H749" i="12"/>
  <c r="I749" i="12" a="1"/>
  <c r="J749" i="12" a="1"/>
  <c r="K749" i="12" a="1"/>
  <c r="H750" i="12"/>
  <c r="I750" i="12" a="1"/>
  <c r="J750" i="12" a="1"/>
  <c r="K750" i="12" a="1"/>
  <c r="H751" i="12"/>
  <c r="I751" i="12" a="1"/>
  <c r="J751" i="12" a="1"/>
  <c r="K751" i="12" a="1"/>
  <c r="H752" i="12"/>
  <c r="I752" i="12" a="1"/>
  <c r="J752" i="12" a="1"/>
  <c r="K752" i="12" a="1"/>
  <c r="H753" i="12"/>
  <c r="I753" i="12" a="1"/>
  <c r="J753" i="12" a="1"/>
  <c r="K753" i="12" a="1"/>
  <c r="H754" i="12"/>
  <c r="I754" i="12" a="1"/>
  <c r="J754" i="12" a="1"/>
  <c r="K754" i="12" a="1"/>
  <c r="H755" i="12"/>
  <c r="I755" i="12" a="1"/>
  <c r="J755" i="12" a="1"/>
  <c r="K755" i="12" a="1"/>
  <c r="H756" i="12"/>
  <c r="I756" i="12" a="1"/>
  <c r="J756" i="12" a="1"/>
  <c r="K756" i="12" a="1"/>
  <c r="H757" i="12"/>
  <c r="I757" i="12" a="1"/>
  <c r="J757" i="12" a="1"/>
  <c r="K757" i="12" a="1"/>
  <c r="F70" i="4" a="1"/>
  <c r="G70" i="4" a="1"/>
  <c r="F7" i="2"/>
  <c r="D43" i="9"/>
  <c r="W43" i="9" s="1"/>
  <c r="D43" i="8"/>
  <c r="D43" i="7"/>
  <c r="Z43" i="7" a="1"/>
  <c r="AA43" i="7" a="1"/>
  <c r="AB43" i="7" a="1"/>
  <c r="D43" i="5"/>
  <c r="Z43" i="5" a="1"/>
  <c r="AA43" i="5" a="1"/>
  <c r="AB43" i="5" a="1"/>
  <c r="H722" i="12"/>
  <c r="I722" i="12" a="1"/>
  <c r="J722" i="12" a="1"/>
  <c r="K722" i="12" a="1"/>
  <c r="H723" i="12"/>
  <c r="I723" i="12" a="1"/>
  <c r="J723" i="12" a="1"/>
  <c r="K723" i="12" a="1"/>
  <c r="H724" i="12"/>
  <c r="I724" i="12" a="1"/>
  <c r="J724" i="12" a="1"/>
  <c r="K724" i="12" a="1"/>
  <c r="H725" i="12"/>
  <c r="I725" i="12" a="1"/>
  <c r="J725" i="12" a="1"/>
  <c r="K725" i="12" a="1"/>
  <c r="H726" i="12"/>
  <c r="I726" i="12" a="1"/>
  <c r="J726" i="12" a="1"/>
  <c r="K726" i="12" a="1"/>
  <c r="H727" i="12"/>
  <c r="I727" i="12" a="1"/>
  <c r="J727" i="12" a="1"/>
  <c r="K727" i="12" a="1"/>
  <c r="H728" i="12"/>
  <c r="I728" i="12" a="1"/>
  <c r="J728" i="12" a="1"/>
  <c r="K728" i="12" a="1"/>
  <c r="H729" i="12"/>
  <c r="I729" i="12" a="1"/>
  <c r="J729" i="12" a="1"/>
  <c r="K729" i="12" a="1"/>
  <c r="H730" i="12"/>
  <c r="I730" i="12" a="1"/>
  <c r="J730" i="12" a="1"/>
  <c r="K730" i="12" a="1"/>
  <c r="H731" i="12"/>
  <c r="I731" i="12" a="1"/>
  <c r="J731" i="12" a="1"/>
  <c r="K731" i="12" a="1"/>
  <c r="H732" i="12"/>
  <c r="I732" i="12" a="1"/>
  <c r="J732" i="12" a="1"/>
  <c r="K732" i="12" a="1"/>
  <c r="H733" i="12"/>
  <c r="I733" i="12" a="1"/>
  <c r="J733" i="12" a="1"/>
  <c r="K733" i="12" a="1"/>
  <c r="H734" i="12"/>
  <c r="I734" i="12" a="1"/>
  <c r="J734" i="12" a="1"/>
  <c r="K734" i="12" a="1"/>
  <c r="H735" i="12"/>
  <c r="I735" i="12" a="1"/>
  <c r="J735" i="12" a="1"/>
  <c r="K735" i="12" a="1"/>
  <c r="H736" i="12"/>
  <c r="I736" i="12" a="1"/>
  <c r="J736" i="12" a="1"/>
  <c r="K736" i="12" a="1"/>
  <c r="H737" i="12"/>
  <c r="I737" i="12" a="1"/>
  <c r="J737" i="12" a="1"/>
  <c r="K737" i="12" a="1"/>
  <c r="H738" i="12"/>
  <c r="I738" i="12" a="1"/>
  <c r="J738" i="12" a="1"/>
  <c r="K738" i="12" a="1"/>
  <c r="H739" i="12"/>
  <c r="I739" i="12" a="1"/>
  <c r="J739" i="12" a="1"/>
  <c r="K739" i="12" a="1"/>
  <c r="F40" i="4" a="1"/>
  <c r="G40" i="4" a="1"/>
  <c r="F4" i="2"/>
  <c r="D42" i="9"/>
  <c r="W42" i="9"/>
  <c r="D42" i="8"/>
  <c r="D42" i="7"/>
  <c r="Z42" i="7" a="1"/>
  <c r="AA42" i="7" a="1"/>
  <c r="AB42" i="7" a="1"/>
  <c r="D42" i="5"/>
  <c r="Z42" i="5" a="1"/>
  <c r="AA42" i="5" a="1"/>
  <c r="AB42" i="5" a="1"/>
  <c r="H704" i="12"/>
  <c r="I704" i="12" a="1"/>
  <c r="J704" i="12" a="1"/>
  <c r="K704" i="12" a="1"/>
  <c r="H705" i="12"/>
  <c r="I705" i="12" a="1"/>
  <c r="J705" i="12" a="1"/>
  <c r="K705" i="12" a="1"/>
  <c r="H706" i="12"/>
  <c r="I706" i="12" a="1"/>
  <c r="J706" i="12" a="1"/>
  <c r="K706" i="12" a="1"/>
  <c r="H707" i="12"/>
  <c r="I707" i="12" a="1"/>
  <c r="J707" i="12" a="1"/>
  <c r="K707" i="12" a="1"/>
  <c r="H708" i="12"/>
  <c r="I708" i="12" a="1"/>
  <c r="J708" i="12" a="1"/>
  <c r="K708" i="12" a="1"/>
  <c r="H709" i="12"/>
  <c r="I709" i="12" a="1"/>
  <c r="J709" i="12" a="1"/>
  <c r="K709" i="12" a="1"/>
  <c r="H710" i="12"/>
  <c r="I710" i="12" a="1"/>
  <c r="J710" i="12" a="1"/>
  <c r="K710" i="12" a="1"/>
  <c r="H711" i="12"/>
  <c r="I711" i="12" a="1"/>
  <c r="J711" i="12" a="1"/>
  <c r="K711" i="12" a="1"/>
  <c r="H712" i="12"/>
  <c r="I712" i="12" a="1"/>
  <c r="J712" i="12" a="1"/>
  <c r="K712" i="12" a="1"/>
  <c r="H713" i="12"/>
  <c r="I713" i="12" a="1"/>
  <c r="J713" i="12" a="1"/>
  <c r="K713" i="12" a="1"/>
  <c r="H714" i="12"/>
  <c r="I714" i="12" a="1"/>
  <c r="J714" i="12" a="1"/>
  <c r="K714" i="12" a="1"/>
  <c r="H715" i="12"/>
  <c r="I715" i="12" a="1"/>
  <c r="J715" i="12" a="1"/>
  <c r="K715" i="12" a="1"/>
  <c r="H716" i="12"/>
  <c r="I716" i="12" a="1"/>
  <c r="J716" i="12" a="1"/>
  <c r="K716" i="12" a="1"/>
  <c r="H717" i="12"/>
  <c r="I717" i="12" a="1"/>
  <c r="J717" i="12" a="1"/>
  <c r="K717" i="12" a="1"/>
  <c r="H718" i="12"/>
  <c r="I718" i="12" a="1"/>
  <c r="J718" i="12" a="1"/>
  <c r="K718" i="12" a="1"/>
  <c r="H719" i="12"/>
  <c r="I719" i="12" a="1"/>
  <c r="J719" i="12" a="1"/>
  <c r="K719" i="12" a="1"/>
  <c r="H720" i="12"/>
  <c r="I720" i="12" a="1"/>
  <c r="J720" i="12" a="1"/>
  <c r="K720" i="12" a="1"/>
  <c r="H721" i="12"/>
  <c r="I721" i="12" a="1"/>
  <c r="J721" i="12" a="1"/>
  <c r="K721" i="12" a="1"/>
  <c r="F59" i="4" a="1"/>
  <c r="G59" i="4" a="1"/>
  <c r="F6" i="2"/>
  <c r="D41" i="9"/>
  <c r="W41" i="9" s="1"/>
  <c r="D41" i="8"/>
  <c r="D41" i="7"/>
  <c r="Z41" i="7" a="1"/>
  <c r="AA41" i="7" a="1"/>
  <c r="AB41" i="7" a="1"/>
  <c r="D39" i="5"/>
  <c r="D41" i="5"/>
  <c r="Z41" i="5" a="1"/>
  <c r="AA41" i="5" a="1"/>
  <c r="AB41" i="5" a="1"/>
  <c r="H686" i="12"/>
  <c r="I686" i="12" a="1"/>
  <c r="J686" i="12" a="1"/>
  <c r="K686" i="12" a="1"/>
  <c r="H687" i="12"/>
  <c r="I687" i="12" a="1"/>
  <c r="J687" i="12" a="1"/>
  <c r="K687" i="12" a="1"/>
  <c r="H688" i="12"/>
  <c r="I688" i="12" a="1"/>
  <c r="J688" i="12" a="1"/>
  <c r="K688" i="12" a="1"/>
  <c r="H689" i="12"/>
  <c r="I689" i="12" a="1"/>
  <c r="J689" i="12" a="1"/>
  <c r="K689" i="12" a="1"/>
  <c r="H690" i="12"/>
  <c r="I690" i="12" a="1"/>
  <c r="J690" i="12" a="1"/>
  <c r="K690" i="12" a="1"/>
  <c r="H691" i="12"/>
  <c r="I691" i="12" a="1"/>
  <c r="J691" i="12" a="1"/>
  <c r="K691" i="12" a="1"/>
  <c r="H692" i="12"/>
  <c r="I692" i="12" a="1"/>
  <c r="J692" i="12" a="1"/>
  <c r="K692" i="12" a="1"/>
  <c r="H693" i="12"/>
  <c r="I693" i="12" a="1"/>
  <c r="J693" i="12" a="1"/>
  <c r="K693" i="12" a="1"/>
  <c r="H694" i="12"/>
  <c r="I694" i="12" a="1"/>
  <c r="J694" i="12" a="1"/>
  <c r="K694" i="12" a="1"/>
  <c r="H695" i="12"/>
  <c r="I695" i="12" a="1"/>
  <c r="J695" i="12" a="1"/>
  <c r="K695" i="12" a="1"/>
  <c r="H696" i="12"/>
  <c r="I696" i="12" a="1"/>
  <c r="J696" i="12" a="1"/>
  <c r="K696" i="12" a="1"/>
  <c r="H697" i="12"/>
  <c r="I697" i="12" a="1"/>
  <c r="J697" i="12" a="1"/>
  <c r="K697" i="12" a="1"/>
  <c r="H698" i="12"/>
  <c r="I698" i="12" a="1"/>
  <c r="J698" i="12" a="1"/>
  <c r="K698" i="12" a="1"/>
  <c r="H699" i="12"/>
  <c r="I699" i="12" a="1"/>
  <c r="J699" i="12" a="1"/>
  <c r="K699" i="12" a="1"/>
  <c r="H700" i="12"/>
  <c r="I700" i="12" a="1"/>
  <c r="J700" i="12" a="1"/>
  <c r="K700" i="12" a="1"/>
  <c r="H701" i="12"/>
  <c r="I701" i="12" a="1"/>
  <c r="J701" i="12" a="1"/>
  <c r="K701" i="12" a="1"/>
  <c r="H702" i="12"/>
  <c r="I702" i="12" a="1"/>
  <c r="J702" i="12" a="1"/>
  <c r="K702" i="12" a="1"/>
  <c r="H703" i="12"/>
  <c r="I703" i="12" a="1"/>
  <c r="J703" i="12" a="1"/>
  <c r="K703" i="12" a="1"/>
  <c r="F24" i="4" a="1"/>
  <c r="G24" i="4" a="1"/>
  <c r="F8" i="2"/>
  <c r="D40" i="9"/>
  <c r="W40" i="9"/>
  <c r="D40" i="8"/>
  <c r="D40" i="7"/>
  <c r="Z40" i="7" a="1"/>
  <c r="AA40" i="7" a="1"/>
  <c r="AB40" i="7" a="1"/>
  <c r="D40" i="5"/>
  <c r="Z40" i="5" a="1"/>
  <c r="AA40" i="5" a="1"/>
  <c r="AB40" i="5" a="1"/>
  <c r="H668" i="12"/>
  <c r="I668" i="12" a="1"/>
  <c r="J668" i="12" a="1"/>
  <c r="K668" i="12" a="1"/>
  <c r="H669" i="12"/>
  <c r="I669" i="12" a="1"/>
  <c r="J669" i="12" a="1"/>
  <c r="K669" i="12" a="1"/>
  <c r="H670" i="12"/>
  <c r="I670" i="12" a="1"/>
  <c r="J670" i="12" a="1"/>
  <c r="K670" i="12" a="1"/>
  <c r="H671" i="12"/>
  <c r="I671" i="12" a="1"/>
  <c r="J671" i="12" a="1"/>
  <c r="K671" i="12" a="1"/>
  <c r="H672" i="12"/>
  <c r="I672" i="12" a="1"/>
  <c r="J672" i="12" a="1"/>
  <c r="K672" i="12" a="1"/>
  <c r="H673" i="12"/>
  <c r="I673" i="12" a="1"/>
  <c r="J673" i="12" a="1"/>
  <c r="K673" i="12" a="1"/>
  <c r="H674" i="12"/>
  <c r="I674" i="12" a="1"/>
  <c r="J674" i="12" a="1"/>
  <c r="K674" i="12" a="1"/>
  <c r="H675" i="12"/>
  <c r="I675" i="12" a="1"/>
  <c r="J675" i="12" a="1"/>
  <c r="K675" i="12" a="1"/>
  <c r="H676" i="12"/>
  <c r="I676" i="12" a="1"/>
  <c r="J676" i="12" a="1"/>
  <c r="K676" i="12" a="1"/>
  <c r="H677" i="12"/>
  <c r="I677" i="12" a="1"/>
  <c r="J677" i="12" a="1"/>
  <c r="K677" i="12" a="1"/>
  <c r="H678" i="12"/>
  <c r="I678" i="12" a="1"/>
  <c r="J678" i="12" a="1"/>
  <c r="K678" i="12" a="1"/>
  <c r="H679" i="12"/>
  <c r="I679" i="12" a="1"/>
  <c r="J679" i="12" a="1"/>
  <c r="K679" i="12" a="1"/>
  <c r="H680" i="12"/>
  <c r="I680" i="12" a="1"/>
  <c r="J680" i="12" a="1"/>
  <c r="K680" i="12" a="1"/>
  <c r="H681" i="12"/>
  <c r="I681" i="12" a="1"/>
  <c r="J681" i="12" a="1"/>
  <c r="K681" i="12" a="1"/>
  <c r="H682" i="12"/>
  <c r="I682" i="12" a="1"/>
  <c r="J682" i="12" a="1"/>
  <c r="K682" i="12" a="1"/>
  <c r="H683" i="12"/>
  <c r="I683" i="12" a="1"/>
  <c r="J683" i="12" a="1"/>
  <c r="K683" i="12" a="1"/>
  <c r="H684" i="12"/>
  <c r="I684" i="12" a="1"/>
  <c r="J684" i="12" a="1"/>
  <c r="K684" i="12" a="1"/>
  <c r="H685" i="12"/>
  <c r="I685" i="12" a="1"/>
  <c r="J685" i="12" a="1"/>
  <c r="K685" i="12" a="1"/>
  <c r="F21" i="6"/>
  <c r="F20" i="4" a="1"/>
  <c r="G20" i="4" a="1"/>
  <c r="F10" i="2"/>
  <c r="J650" i="12" a="1"/>
  <c r="K650" i="12" a="1"/>
  <c r="J651" i="12" a="1"/>
  <c r="K651" i="12" a="1"/>
  <c r="J652" i="12" a="1"/>
  <c r="K652" i="12" a="1"/>
  <c r="J653" i="12" a="1"/>
  <c r="K653" i="12" a="1"/>
  <c r="J654" i="12" a="1"/>
  <c r="K654" i="12" a="1"/>
  <c r="J655" i="12" a="1"/>
  <c r="K655" i="12" a="1"/>
  <c r="J656" i="12" a="1"/>
  <c r="K656" i="12" a="1"/>
  <c r="J657" i="12" a="1"/>
  <c r="K657" i="12" a="1"/>
  <c r="J658" i="12" a="1"/>
  <c r="K658" i="12" a="1"/>
  <c r="J659" i="12" a="1"/>
  <c r="K659" i="12" a="1"/>
  <c r="J660" i="12" a="1"/>
  <c r="K660" i="12" a="1"/>
  <c r="J661" i="12" a="1"/>
  <c r="K661" i="12" a="1"/>
  <c r="J662" i="12" a="1"/>
  <c r="K662" i="12" a="1"/>
  <c r="J663" i="12" a="1"/>
  <c r="K663" i="12" a="1"/>
  <c r="J664" i="12" a="1"/>
  <c r="K664" i="12" a="1"/>
  <c r="J665" i="12" a="1"/>
  <c r="K665" i="12" a="1"/>
  <c r="J666" i="12" a="1"/>
  <c r="K666" i="12" a="1"/>
  <c r="J667" i="12" a="1"/>
  <c r="K667" i="12" a="1"/>
  <c r="I650" i="12" a="1"/>
  <c r="I651" i="12" a="1"/>
  <c r="I652" i="12" a="1"/>
  <c r="I653" i="12" a="1"/>
  <c r="I654" i="12" a="1"/>
  <c r="I655" i="12" a="1"/>
  <c r="I656" i="12" a="1"/>
  <c r="I657" i="12" a="1"/>
  <c r="I658" i="12" a="1"/>
  <c r="I659" i="12" a="1"/>
  <c r="I660" i="12" a="1"/>
  <c r="I661" i="12" a="1"/>
  <c r="I662" i="12" a="1"/>
  <c r="I663" i="12" a="1"/>
  <c r="I664" i="12" a="1"/>
  <c r="I665" i="12" a="1"/>
  <c r="I666" i="12" a="1"/>
  <c r="I667" i="12" a="1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F6" i="4" a="1"/>
  <c r="G6" i="4" a="1"/>
  <c r="F12" i="2"/>
  <c r="D39" i="9"/>
  <c r="W39" i="9"/>
  <c r="D39" i="8"/>
  <c r="D39" i="7"/>
  <c r="Z39" i="7" a="1"/>
  <c r="AA39" i="7" a="1"/>
  <c r="AB39" i="7" a="1"/>
  <c r="Z39" i="5" a="1"/>
  <c r="AA39" i="5" a="1"/>
  <c r="AB39" i="5" a="1"/>
  <c r="D38" i="9"/>
  <c r="W38" i="9"/>
  <c r="D38" i="8"/>
  <c r="D38" i="7"/>
  <c r="Z38" i="7" a="1"/>
  <c r="AA38" i="7" a="1"/>
  <c r="AB38" i="7" a="1"/>
  <c r="D38" i="5"/>
  <c r="Z38" i="5" a="1"/>
  <c r="AA38" i="5" a="1"/>
  <c r="AB38" i="5" a="1"/>
  <c r="I632" i="12" a="1"/>
  <c r="J632" i="12" a="1"/>
  <c r="K632" i="12" a="1"/>
  <c r="I633" i="12" a="1"/>
  <c r="J633" i="12" a="1"/>
  <c r="K633" i="12" a="1"/>
  <c r="I634" i="12" a="1"/>
  <c r="J634" i="12" a="1"/>
  <c r="K634" i="12" a="1"/>
  <c r="I635" i="12" a="1"/>
  <c r="J635" i="12" a="1"/>
  <c r="K635" i="12" a="1"/>
  <c r="I636" i="12" a="1"/>
  <c r="J636" i="12" a="1"/>
  <c r="K636" i="12" a="1"/>
  <c r="I637" i="12" a="1"/>
  <c r="J637" i="12" a="1"/>
  <c r="K637" i="12" a="1"/>
  <c r="I638" i="12" a="1"/>
  <c r="J638" i="12" a="1"/>
  <c r="K638" i="12" a="1"/>
  <c r="I639" i="12" a="1"/>
  <c r="J639" i="12" a="1"/>
  <c r="K639" i="12" a="1"/>
  <c r="I640" i="12" a="1"/>
  <c r="J640" i="12" a="1"/>
  <c r="K640" i="12" a="1"/>
  <c r="I641" i="12" a="1"/>
  <c r="J641" i="12" a="1"/>
  <c r="K641" i="12" a="1"/>
  <c r="I642" i="12" a="1"/>
  <c r="J642" i="12" a="1"/>
  <c r="K642" i="12" a="1"/>
  <c r="I643" i="12" a="1"/>
  <c r="J643" i="12" a="1"/>
  <c r="K643" i="12" a="1"/>
  <c r="I644" i="12" a="1"/>
  <c r="J644" i="12" a="1"/>
  <c r="K644" i="12" a="1"/>
  <c r="I645" i="12" a="1"/>
  <c r="J645" i="12" a="1"/>
  <c r="K645" i="12" a="1"/>
  <c r="I646" i="12" a="1"/>
  <c r="J646" i="12" a="1"/>
  <c r="K646" i="12" a="1"/>
  <c r="I647" i="12" a="1"/>
  <c r="J647" i="12" a="1"/>
  <c r="K647" i="12" a="1"/>
  <c r="I648" i="12" a="1"/>
  <c r="J648" i="12" a="1"/>
  <c r="K648" i="12" a="1"/>
  <c r="I649" i="12" a="1"/>
  <c r="J649" i="12" a="1"/>
  <c r="K649" i="12" a="1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F5" i="4" a="1"/>
  <c r="G5" i="4" a="1"/>
  <c r="F13" i="2"/>
  <c r="D37" i="9"/>
  <c r="W37" i="9"/>
  <c r="D37" i="8"/>
  <c r="D37" i="7"/>
  <c r="Z37" i="7" a="1"/>
  <c r="AA37" i="7" a="1"/>
  <c r="AB37" i="7" a="1"/>
  <c r="D37" i="5"/>
  <c r="Z37" i="5" a="1"/>
  <c r="AA37" i="5" a="1"/>
  <c r="AB37" i="5" a="1"/>
  <c r="K614" i="12" a="1"/>
  <c r="K615" i="12" a="1"/>
  <c r="K616" i="12" a="1"/>
  <c r="K617" i="12" a="1"/>
  <c r="K618" i="12" a="1"/>
  <c r="K619" i="12" a="1"/>
  <c r="K620" i="12" a="1"/>
  <c r="K621" i="12" a="1"/>
  <c r="K622" i="12" a="1"/>
  <c r="K623" i="12" a="1"/>
  <c r="K624" i="12" a="1"/>
  <c r="K625" i="12" a="1"/>
  <c r="K626" i="12" a="1"/>
  <c r="K627" i="12" a="1"/>
  <c r="K628" i="12" a="1"/>
  <c r="K629" i="12" a="1"/>
  <c r="K630" i="12" a="1"/>
  <c r="K631" i="12" a="1"/>
  <c r="J614" i="12" a="1"/>
  <c r="J615" i="12" a="1"/>
  <c r="J616" i="12" a="1"/>
  <c r="J617" i="12" a="1"/>
  <c r="J618" i="12" a="1"/>
  <c r="J619" i="12" a="1"/>
  <c r="J620" i="12" a="1"/>
  <c r="J621" i="12" a="1"/>
  <c r="J622" i="12" a="1"/>
  <c r="J623" i="12" a="1"/>
  <c r="J624" i="12" a="1"/>
  <c r="J625" i="12" a="1"/>
  <c r="J626" i="12" a="1"/>
  <c r="J627" i="12" a="1"/>
  <c r="J628" i="12" a="1"/>
  <c r="J629" i="12" a="1"/>
  <c r="J630" i="12" a="1"/>
  <c r="J631" i="12" a="1"/>
  <c r="I614" i="12" a="1"/>
  <c r="I615" i="12" a="1"/>
  <c r="I616" i="12" a="1"/>
  <c r="I617" i="12" a="1"/>
  <c r="I618" i="12" a="1"/>
  <c r="I619" i="12" a="1"/>
  <c r="I620" i="12" a="1"/>
  <c r="I621" i="12" a="1"/>
  <c r="I622" i="12" a="1"/>
  <c r="I623" i="12" a="1"/>
  <c r="I624" i="12" a="1"/>
  <c r="I625" i="12" a="1"/>
  <c r="I626" i="12" a="1"/>
  <c r="I627" i="12" a="1"/>
  <c r="I628" i="12" a="1"/>
  <c r="I629" i="12" a="1"/>
  <c r="I630" i="12" a="1"/>
  <c r="I631" i="12" a="1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17" i="12"/>
  <c r="H616" i="12"/>
  <c r="H615" i="12"/>
  <c r="H614" i="12"/>
  <c r="F15" i="4" a="1"/>
  <c r="G15" i="4" a="1"/>
  <c r="F16" i="2"/>
  <c r="D36" i="9"/>
  <c r="W36" i="9" s="1"/>
  <c r="D36" i="8"/>
  <c r="D36" i="7"/>
  <c r="Z36" i="7" a="1"/>
  <c r="AA36" i="7" a="1"/>
  <c r="AB36" i="7" a="1"/>
  <c r="D36" i="5"/>
  <c r="Z36" i="5" a="1"/>
  <c r="AA36" i="5" a="1"/>
  <c r="AB36" i="5" a="1"/>
  <c r="J596" i="12" a="1"/>
  <c r="K596" i="12" a="1"/>
  <c r="J597" i="12" a="1"/>
  <c r="K597" i="12" a="1"/>
  <c r="J598" i="12" a="1"/>
  <c r="K598" i="12" a="1"/>
  <c r="J599" i="12" a="1"/>
  <c r="K599" i="12" a="1"/>
  <c r="J600" i="12" a="1"/>
  <c r="K600" i="12" a="1"/>
  <c r="J601" i="12" a="1"/>
  <c r="K601" i="12" a="1"/>
  <c r="J602" i="12" a="1"/>
  <c r="K602" i="12" a="1"/>
  <c r="J603" i="12" a="1"/>
  <c r="K603" i="12" a="1"/>
  <c r="J604" i="12" a="1"/>
  <c r="K604" i="12" a="1"/>
  <c r="J605" i="12" a="1"/>
  <c r="K605" i="12" a="1"/>
  <c r="J606" i="12" a="1"/>
  <c r="K606" i="12" a="1"/>
  <c r="J607" i="12" a="1"/>
  <c r="K607" i="12" a="1"/>
  <c r="J608" i="12" a="1"/>
  <c r="K608" i="12" a="1"/>
  <c r="J609" i="12" a="1"/>
  <c r="K609" i="12" a="1"/>
  <c r="J610" i="12" a="1"/>
  <c r="K610" i="12" a="1"/>
  <c r="J611" i="12" a="1"/>
  <c r="K611" i="12" a="1"/>
  <c r="J612" i="12" a="1"/>
  <c r="K612" i="12" a="1"/>
  <c r="J613" i="12" a="1"/>
  <c r="K613" i="12" a="1"/>
  <c r="I596" i="12" a="1"/>
  <c r="I597" i="12" a="1"/>
  <c r="I598" i="12" a="1"/>
  <c r="I599" i="12" a="1"/>
  <c r="I600" i="12" a="1"/>
  <c r="I601" i="12" a="1"/>
  <c r="I602" i="12" a="1"/>
  <c r="I603" i="12" a="1"/>
  <c r="I604" i="12" a="1"/>
  <c r="I605" i="12" a="1"/>
  <c r="I606" i="12" a="1"/>
  <c r="I607" i="12" a="1"/>
  <c r="I608" i="12" a="1"/>
  <c r="I609" i="12" a="1"/>
  <c r="I610" i="12" a="1"/>
  <c r="I611" i="12" a="1"/>
  <c r="I612" i="12" a="1"/>
  <c r="I613" i="12" a="1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F4" i="4" a="1"/>
  <c r="G4" i="4" a="1"/>
  <c r="F18" i="2"/>
  <c r="K578" i="12" a="1"/>
  <c r="K579" i="12" a="1"/>
  <c r="K580" i="12" a="1"/>
  <c r="K581" i="12" a="1"/>
  <c r="K582" i="12" a="1"/>
  <c r="K583" i="12" a="1"/>
  <c r="K584" i="12" a="1"/>
  <c r="K585" i="12" a="1"/>
  <c r="K586" i="12" a="1"/>
  <c r="K587" i="12" a="1"/>
  <c r="K588" i="12" a="1"/>
  <c r="K589" i="12" a="1"/>
  <c r="K590" i="12" a="1"/>
  <c r="K591" i="12" a="1"/>
  <c r="K592" i="12" a="1"/>
  <c r="K593" i="12" a="1"/>
  <c r="K594" i="12" a="1"/>
  <c r="K595" i="12" a="1"/>
  <c r="J578" i="12" a="1"/>
  <c r="J579" i="12" a="1"/>
  <c r="J580" i="12" a="1"/>
  <c r="J581" i="12" a="1"/>
  <c r="J582" i="12" a="1"/>
  <c r="J583" i="12" a="1"/>
  <c r="J584" i="12" a="1"/>
  <c r="J585" i="12" a="1"/>
  <c r="J586" i="12" a="1"/>
  <c r="J587" i="12" a="1"/>
  <c r="J588" i="12" a="1"/>
  <c r="J589" i="12" a="1"/>
  <c r="J590" i="12" a="1"/>
  <c r="J591" i="12" a="1"/>
  <c r="J592" i="12" a="1"/>
  <c r="J593" i="12" a="1"/>
  <c r="J594" i="12" a="1"/>
  <c r="J595" i="12" a="1"/>
  <c r="I578" i="12" a="1"/>
  <c r="I579" i="12" a="1"/>
  <c r="I580" i="12" a="1"/>
  <c r="I581" i="12" a="1"/>
  <c r="I582" i="12" a="1"/>
  <c r="I583" i="12" a="1"/>
  <c r="I584" i="12" a="1"/>
  <c r="I585" i="12" a="1"/>
  <c r="I586" i="12" a="1"/>
  <c r="I587" i="12" a="1"/>
  <c r="I588" i="12" a="1"/>
  <c r="I589" i="12" a="1"/>
  <c r="I590" i="12" a="1"/>
  <c r="I591" i="12" a="1"/>
  <c r="I592" i="12" a="1"/>
  <c r="I593" i="12" a="1"/>
  <c r="I594" i="12" a="1"/>
  <c r="I595" i="12" a="1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D35" i="9"/>
  <c r="W35" i="9" s="1"/>
  <c r="D35" i="8"/>
  <c r="D35" i="7"/>
  <c r="Z35" i="7" a="1"/>
  <c r="AA35" i="7" a="1"/>
  <c r="AB35" i="7" a="1"/>
  <c r="D35" i="5"/>
  <c r="Z35" i="5" a="1"/>
  <c r="AA35" i="5" a="1"/>
  <c r="AB35" i="5" a="1"/>
  <c r="F20" i="6"/>
  <c r="F10" i="4" a="1"/>
  <c r="G10" i="4" a="1"/>
  <c r="F19" i="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3" i="12"/>
  <c r="H4" i="12"/>
  <c r="H5" i="12"/>
  <c r="H6" i="12"/>
  <c r="H7" i="12"/>
  <c r="H8" i="12"/>
  <c r="H9" i="12"/>
  <c r="H10" i="12"/>
  <c r="H11" i="12"/>
  <c r="H2" i="12"/>
  <c r="I470" i="12" a="1"/>
  <c r="J470" i="12" a="1"/>
  <c r="K470" i="12" a="1"/>
  <c r="I471" i="12" a="1"/>
  <c r="J471" i="12" a="1"/>
  <c r="K471" i="12" a="1"/>
  <c r="I472" i="12" a="1"/>
  <c r="J472" i="12" a="1"/>
  <c r="K472" i="12" a="1"/>
  <c r="I473" i="12" a="1"/>
  <c r="J473" i="12" a="1"/>
  <c r="K473" i="12" a="1"/>
  <c r="I474" i="12" a="1"/>
  <c r="J474" i="12" a="1"/>
  <c r="K474" i="12" a="1"/>
  <c r="I475" i="12" a="1"/>
  <c r="J475" i="12" a="1"/>
  <c r="K475" i="12" a="1"/>
  <c r="I476" i="12" a="1"/>
  <c r="J476" i="12" a="1"/>
  <c r="K476" i="12" a="1"/>
  <c r="I477" i="12" a="1"/>
  <c r="J477" i="12" a="1"/>
  <c r="K477" i="12" a="1"/>
  <c r="I478" i="12" a="1"/>
  <c r="J478" i="12" a="1"/>
  <c r="K478" i="12" a="1"/>
  <c r="I479" i="12" a="1"/>
  <c r="J479" i="12" a="1"/>
  <c r="K479" i="12" a="1"/>
  <c r="I480" i="12" a="1"/>
  <c r="J480" i="12" a="1"/>
  <c r="K480" i="12" a="1"/>
  <c r="I481" i="12" a="1"/>
  <c r="J481" i="12" a="1"/>
  <c r="K481" i="12" a="1"/>
  <c r="I482" i="12" a="1"/>
  <c r="J482" i="12" a="1"/>
  <c r="K482" i="12" a="1"/>
  <c r="I483" i="12" a="1"/>
  <c r="J483" i="12" a="1"/>
  <c r="K483" i="12" a="1"/>
  <c r="I484" i="12" a="1"/>
  <c r="J484" i="12" a="1"/>
  <c r="K484" i="12" a="1"/>
  <c r="I485" i="12" a="1"/>
  <c r="J485" i="12" a="1"/>
  <c r="K485" i="12" a="1"/>
  <c r="I486" i="12" a="1"/>
  <c r="J486" i="12" a="1"/>
  <c r="K486" i="12" a="1"/>
  <c r="I487" i="12" a="1"/>
  <c r="J487" i="12" a="1"/>
  <c r="K487" i="12" a="1"/>
  <c r="I488" i="12" a="1"/>
  <c r="J488" i="12" a="1"/>
  <c r="K488" i="12" a="1"/>
  <c r="I489" i="12" a="1"/>
  <c r="J489" i="12" a="1"/>
  <c r="K489" i="12" a="1"/>
  <c r="I490" i="12" a="1"/>
  <c r="J490" i="12" a="1"/>
  <c r="K490" i="12" a="1"/>
  <c r="I491" i="12" a="1"/>
  <c r="J491" i="12" a="1"/>
  <c r="K491" i="12" a="1"/>
  <c r="I492" i="12" a="1"/>
  <c r="J492" i="12" a="1"/>
  <c r="K492" i="12" a="1"/>
  <c r="I493" i="12" a="1"/>
  <c r="J493" i="12" a="1"/>
  <c r="K493" i="12" a="1"/>
  <c r="I494" i="12" a="1"/>
  <c r="J494" i="12" a="1"/>
  <c r="K494" i="12" a="1"/>
  <c r="I495" i="12" a="1"/>
  <c r="J495" i="12" a="1"/>
  <c r="K495" i="12" a="1"/>
  <c r="I496" i="12" a="1"/>
  <c r="J496" i="12" a="1"/>
  <c r="K496" i="12" a="1"/>
  <c r="I497" i="12" a="1"/>
  <c r="J497" i="12" a="1"/>
  <c r="K497" i="12" a="1"/>
  <c r="I498" i="12" a="1"/>
  <c r="J498" i="12" a="1"/>
  <c r="K498" i="12" a="1"/>
  <c r="I499" i="12" a="1"/>
  <c r="J499" i="12" a="1"/>
  <c r="K499" i="12" a="1"/>
  <c r="I500" i="12" a="1"/>
  <c r="J500" i="12" a="1"/>
  <c r="K500" i="12" a="1"/>
  <c r="I501" i="12" a="1"/>
  <c r="J501" i="12" a="1"/>
  <c r="K501" i="12" a="1"/>
  <c r="I502" i="12" a="1"/>
  <c r="J502" i="12" a="1"/>
  <c r="K502" i="12" a="1"/>
  <c r="I503" i="12" a="1"/>
  <c r="J503" i="12" a="1"/>
  <c r="K503" i="12" a="1"/>
  <c r="I504" i="12" a="1"/>
  <c r="J504" i="12" a="1"/>
  <c r="K504" i="12" a="1"/>
  <c r="I505" i="12" a="1"/>
  <c r="J505" i="12" a="1"/>
  <c r="K505" i="12" a="1"/>
  <c r="I506" i="12" a="1"/>
  <c r="J506" i="12" a="1"/>
  <c r="K506" i="12" a="1"/>
  <c r="I507" i="12" a="1"/>
  <c r="J507" i="12" a="1"/>
  <c r="K507" i="12" a="1"/>
  <c r="I508" i="12" a="1"/>
  <c r="J508" i="12" a="1"/>
  <c r="K508" i="12" a="1"/>
  <c r="I509" i="12" a="1"/>
  <c r="J509" i="12" a="1"/>
  <c r="K509" i="12" a="1"/>
  <c r="I510" i="12" a="1"/>
  <c r="J510" i="12" a="1"/>
  <c r="K510" i="12" a="1"/>
  <c r="I511" i="12" a="1"/>
  <c r="J511" i="12" a="1"/>
  <c r="K511" i="12" a="1"/>
  <c r="I512" i="12" a="1"/>
  <c r="J512" i="12" a="1"/>
  <c r="K512" i="12" a="1"/>
  <c r="I513" i="12" a="1"/>
  <c r="J513" i="12" a="1"/>
  <c r="K513" i="12" a="1"/>
  <c r="I514" i="12" a="1"/>
  <c r="J514" i="12" a="1"/>
  <c r="K514" i="12" a="1"/>
  <c r="I515" i="12" a="1"/>
  <c r="J515" i="12" a="1"/>
  <c r="K515" i="12" a="1"/>
  <c r="I516" i="12" a="1"/>
  <c r="J516" i="12" a="1"/>
  <c r="K516" i="12" a="1"/>
  <c r="I517" i="12" a="1"/>
  <c r="J517" i="12" a="1"/>
  <c r="K517" i="12" a="1"/>
  <c r="I518" i="12" a="1"/>
  <c r="J518" i="12" a="1"/>
  <c r="K518" i="12" a="1"/>
  <c r="I519" i="12" a="1"/>
  <c r="J519" i="12" a="1"/>
  <c r="K519" i="12" a="1"/>
  <c r="I520" i="12" a="1"/>
  <c r="J520" i="12" a="1"/>
  <c r="K520" i="12" a="1"/>
  <c r="I521" i="12" a="1"/>
  <c r="J521" i="12" a="1"/>
  <c r="K521" i="12" a="1"/>
  <c r="I522" i="12" a="1"/>
  <c r="J522" i="12" a="1"/>
  <c r="K522" i="12" a="1"/>
  <c r="I523" i="12" a="1"/>
  <c r="J523" i="12" a="1"/>
  <c r="K523" i="12" a="1"/>
  <c r="I524" i="12" a="1"/>
  <c r="J524" i="12" a="1"/>
  <c r="K524" i="12" a="1"/>
  <c r="I525" i="12" a="1"/>
  <c r="J525" i="12" a="1"/>
  <c r="K525" i="12" a="1"/>
  <c r="I526" i="12" a="1"/>
  <c r="J526" i="12" a="1"/>
  <c r="K526" i="12" a="1"/>
  <c r="I527" i="12" a="1"/>
  <c r="J527" i="12" a="1"/>
  <c r="K527" i="12" a="1"/>
  <c r="I528" i="12" a="1"/>
  <c r="J528" i="12" a="1"/>
  <c r="K528" i="12" a="1"/>
  <c r="I529" i="12" a="1"/>
  <c r="J529" i="12" a="1"/>
  <c r="K529" i="12" a="1"/>
  <c r="I530" i="12" a="1"/>
  <c r="J530" i="12" a="1"/>
  <c r="K530" i="12" a="1"/>
  <c r="I531" i="12" a="1"/>
  <c r="J531" i="12" a="1"/>
  <c r="K531" i="12" a="1"/>
  <c r="I532" i="12" a="1"/>
  <c r="J532" i="12" a="1"/>
  <c r="K532" i="12" a="1"/>
  <c r="I533" i="12" a="1"/>
  <c r="J533" i="12" a="1"/>
  <c r="K533" i="12" a="1"/>
  <c r="I534" i="12" a="1"/>
  <c r="J534" i="12" a="1"/>
  <c r="K534" i="12" a="1"/>
  <c r="I535" i="12" a="1"/>
  <c r="J535" i="12" a="1"/>
  <c r="K535" i="12" a="1"/>
  <c r="I536" i="12" a="1"/>
  <c r="J536" i="12" a="1"/>
  <c r="K536" i="12" a="1"/>
  <c r="I537" i="12" a="1"/>
  <c r="J537" i="12" a="1"/>
  <c r="K537" i="12" a="1"/>
  <c r="I538" i="12" a="1"/>
  <c r="J538" i="12" a="1"/>
  <c r="K538" i="12" a="1"/>
  <c r="I539" i="12" a="1"/>
  <c r="J539" i="12" a="1"/>
  <c r="K539" i="12" a="1"/>
  <c r="I540" i="12" a="1"/>
  <c r="J540" i="12" a="1"/>
  <c r="K540" i="12" a="1"/>
  <c r="I541" i="12" a="1"/>
  <c r="J541" i="12" a="1"/>
  <c r="K541" i="12" a="1"/>
  <c r="I542" i="12" a="1"/>
  <c r="J542" i="12" a="1"/>
  <c r="K542" i="12" a="1"/>
  <c r="I543" i="12" a="1"/>
  <c r="J543" i="12" a="1"/>
  <c r="K543" i="12" a="1"/>
  <c r="I544" i="12" a="1"/>
  <c r="J544" i="12" a="1"/>
  <c r="K544" i="12" a="1"/>
  <c r="I545" i="12" a="1"/>
  <c r="J545" i="12" a="1"/>
  <c r="K545" i="12" a="1"/>
  <c r="I546" i="12" a="1"/>
  <c r="J546" i="12" a="1"/>
  <c r="K546" i="12" a="1"/>
  <c r="I547" i="12" a="1"/>
  <c r="J547" i="12" a="1"/>
  <c r="K547" i="12" a="1"/>
  <c r="I548" i="12" a="1"/>
  <c r="J548" i="12" a="1"/>
  <c r="K548" i="12" a="1"/>
  <c r="I549" i="12" a="1"/>
  <c r="J549" i="12" a="1"/>
  <c r="K549" i="12" a="1"/>
  <c r="I550" i="12" a="1"/>
  <c r="J550" i="12" a="1"/>
  <c r="K550" i="12" a="1"/>
  <c r="I551" i="12" a="1"/>
  <c r="J551" i="12" a="1"/>
  <c r="K551" i="12" a="1"/>
  <c r="I552" i="12" a="1"/>
  <c r="J552" i="12" a="1"/>
  <c r="K552" i="12" a="1"/>
  <c r="I553" i="12" a="1"/>
  <c r="J553" i="12" a="1"/>
  <c r="K553" i="12" a="1"/>
  <c r="I554" i="12" a="1"/>
  <c r="J554" i="12" a="1"/>
  <c r="K554" i="12" a="1"/>
  <c r="I555" i="12" a="1"/>
  <c r="J555" i="12" a="1"/>
  <c r="K555" i="12" a="1"/>
  <c r="I556" i="12" a="1"/>
  <c r="J556" i="12" a="1"/>
  <c r="K556" i="12" a="1"/>
  <c r="I557" i="12" a="1"/>
  <c r="J557" i="12" a="1"/>
  <c r="K557" i="12" a="1"/>
  <c r="I558" i="12" a="1"/>
  <c r="J558" i="12" a="1"/>
  <c r="K558" i="12" a="1"/>
  <c r="I559" i="12" a="1"/>
  <c r="J559" i="12" a="1"/>
  <c r="K559" i="12" a="1"/>
  <c r="I560" i="12" a="1"/>
  <c r="J560" i="12" a="1"/>
  <c r="K560" i="12" a="1"/>
  <c r="I561" i="12" a="1"/>
  <c r="J561" i="12" a="1"/>
  <c r="K561" i="12" a="1"/>
  <c r="I562" i="12" a="1"/>
  <c r="J562" i="12" a="1"/>
  <c r="K562" i="12" a="1"/>
  <c r="I563" i="12" a="1"/>
  <c r="J563" i="12" a="1"/>
  <c r="K563" i="12" a="1"/>
  <c r="I564" i="12" a="1"/>
  <c r="J564" i="12" a="1"/>
  <c r="K564" i="12" a="1"/>
  <c r="I565" i="12" a="1"/>
  <c r="J565" i="12" a="1"/>
  <c r="K565" i="12" a="1"/>
  <c r="I566" i="12" a="1"/>
  <c r="J566" i="12" a="1"/>
  <c r="K566" i="12" a="1"/>
  <c r="I567" i="12" a="1"/>
  <c r="J567" i="12" a="1"/>
  <c r="K567" i="12" a="1"/>
  <c r="I568" i="12" a="1"/>
  <c r="J568" i="12" a="1"/>
  <c r="K568" i="12" a="1"/>
  <c r="I569" i="12" a="1"/>
  <c r="J569" i="12" a="1"/>
  <c r="K569" i="12" a="1"/>
  <c r="I570" i="12" a="1"/>
  <c r="J570" i="12" a="1"/>
  <c r="K570" i="12" a="1"/>
  <c r="I571" i="12" a="1"/>
  <c r="J571" i="12" a="1"/>
  <c r="K571" i="12" a="1"/>
  <c r="I572" i="12" a="1"/>
  <c r="J572" i="12" a="1"/>
  <c r="K572" i="12" a="1"/>
  <c r="I573" i="12" a="1"/>
  <c r="J573" i="12" a="1"/>
  <c r="K573" i="12" a="1"/>
  <c r="I574" i="12" a="1"/>
  <c r="J574" i="12" a="1"/>
  <c r="K574" i="12" a="1"/>
  <c r="I575" i="12" a="1"/>
  <c r="J575" i="12" a="1"/>
  <c r="K575" i="12" a="1"/>
  <c r="I576" i="12" a="1"/>
  <c r="J576" i="12" a="1"/>
  <c r="K576" i="12" a="1"/>
  <c r="I577" i="12" a="1"/>
  <c r="J577" i="12" a="1"/>
  <c r="K577" i="12" a="1"/>
  <c r="I128" i="12" a="1"/>
  <c r="J128" i="12" a="1"/>
  <c r="K128" i="12" a="1"/>
  <c r="I129" i="12" a="1"/>
  <c r="J129" i="12" a="1"/>
  <c r="K129" i="12" a="1"/>
  <c r="I130" i="12" a="1"/>
  <c r="J130" i="12" a="1"/>
  <c r="K130" i="12" a="1"/>
  <c r="I131" i="12" a="1"/>
  <c r="J131" i="12" a="1"/>
  <c r="K131" i="12" a="1"/>
  <c r="I132" i="12" a="1"/>
  <c r="J132" i="12" a="1"/>
  <c r="K132" i="12" a="1"/>
  <c r="I133" i="12" a="1"/>
  <c r="J133" i="12" a="1"/>
  <c r="K133" i="12" a="1"/>
  <c r="I134" i="12" a="1"/>
  <c r="J134" i="12" a="1"/>
  <c r="K134" i="12" a="1"/>
  <c r="I135" i="12" a="1"/>
  <c r="J135" i="12" a="1"/>
  <c r="K135" i="12" a="1"/>
  <c r="I136" i="12" a="1"/>
  <c r="J136" i="12" a="1"/>
  <c r="K136" i="12" a="1"/>
  <c r="I137" i="12" a="1"/>
  <c r="J137" i="12" a="1"/>
  <c r="K137" i="12" a="1"/>
  <c r="I138" i="12" a="1"/>
  <c r="J138" i="12" a="1"/>
  <c r="K138" i="12" a="1"/>
  <c r="I139" i="12" a="1"/>
  <c r="J139" i="12" a="1"/>
  <c r="K139" i="12" a="1"/>
  <c r="I140" i="12" a="1"/>
  <c r="J140" i="12" a="1"/>
  <c r="K140" i="12" a="1"/>
  <c r="I141" i="12" a="1"/>
  <c r="J141" i="12" a="1"/>
  <c r="K141" i="12" a="1"/>
  <c r="I142" i="12" a="1"/>
  <c r="J142" i="12" a="1"/>
  <c r="K142" i="12" a="1"/>
  <c r="I143" i="12" a="1"/>
  <c r="J143" i="12" a="1"/>
  <c r="K143" i="12" a="1"/>
  <c r="I144" i="12" a="1"/>
  <c r="J144" i="12" a="1"/>
  <c r="K144" i="12" a="1"/>
  <c r="I145" i="12" a="1"/>
  <c r="J145" i="12" a="1"/>
  <c r="K145" i="12" a="1"/>
  <c r="I146" i="12" a="1"/>
  <c r="J146" i="12" a="1"/>
  <c r="K146" i="12" a="1"/>
  <c r="I147" i="12" a="1"/>
  <c r="J147" i="12" a="1"/>
  <c r="K147" i="12" a="1"/>
  <c r="I148" i="12" a="1"/>
  <c r="J148" i="12" a="1"/>
  <c r="K148" i="12" a="1"/>
  <c r="I149" i="12" a="1"/>
  <c r="J149" i="12" a="1"/>
  <c r="K149" i="12" a="1"/>
  <c r="I150" i="12" a="1"/>
  <c r="J150" i="12" a="1"/>
  <c r="K150" i="12" a="1"/>
  <c r="I151" i="12" a="1"/>
  <c r="J151" i="12" a="1"/>
  <c r="K151" i="12" a="1"/>
  <c r="I152" i="12" a="1"/>
  <c r="J152" i="12" a="1"/>
  <c r="K152" i="12" a="1"/>
  <c r="I153" i="12" a="1"/>
  <c r="J153" i="12" a="1"/>
  <c r="K153" i="12" a="1"/>
  <c r="I154" i="12" a="1"/>
  <c r="J154" i="12" a="1"/>
  <c r="K154" i="12" a="1"/>
  <c r="I155" i="12" a="1"/>
  <c r="J155" i="12" a="1"/>
  <c r="K155" i="12" a="1"/>
  <c r="I156" i="12" a="1"/>
  <c r="J156" i="12" a="1"/>
  <c r="K156" i="12" a="1"/>
  <c r="I157" i="12" a="1"/>
  <c r="J157" i="12" a="1"/>
  <c r="K157" i="12" a="1"/>
  <c r="I158" i="12" a="1"/>
  <c r="J158" i="12" a="1"/>
  <c r="K158" i="12" a="1"/>
  <c r="I159" i="12" a="1"/>
  <c r="J159" i="12" a="1"/>
  <c r="K159" i="12" a="1"/>
  <c r="I160" i="12" a="1"/>
  <c r="J160" i="12" a="1"/>
  <c r="K160" i="12" a="1"/>
  <c r="I161" i="12" a="1"/>
  <c r="J161" i="12" a="1"/>
  <c r="K161" i="12" a="1"/>
  <c r="I162" i="12" a="1"/>
  <c r="J162" i="12" a="1"/>
  <c r="K162" i="12" a="1"/>
  <c r="I163" i="12" a="1"/>
  <c r="J163" i="12" a="1"/>
  <c r="K163" i="12" a="1"/>
  <c r="I164" i="12" a="1"/>
  <c r="J164" i="12" a="1"/>
  <c r="K164" i="12" a="1"/>
  <c r="I165" i="12" a="1"/>
  <c r="J165" i="12" a="1"/>
  <c r="K165" i="12" a="1"/>
  <c r="I166" i="12" a="1"/>
  <c r="J166" i="12" a="1"/>
  <c r="K166" i="12" a="1"/>
  <c r="I167" i="12" a="1"/>
  <c r="J167" i="12" a="1"/>
  <c r="K167" i="12" a="1"/>
  <c r="I168" i="12" a="1"/>
  <c r="J168" i="12" a="1"/>
  <c r="K168" i="12" a="1"/>
  <c r="I169" i="12" a="1"/>
  <c r="J169" i="12" a="1"/>
  <c r="K169" i="12" a="1"/>
  <c r="I170" i="12" a="1"/>
  <c r="J170" i="12" a="1"/>
  <c r="K170" i="12" a="1"/>
  <c r="I171" i="12" a="1"/>
  <c r="J171" i="12" a="1"/>
  <c r="K171" i="12" a="1"/>
  <c r="I172" i="12" a="1"/>
  <c r="J172" i="12" a="1"/>
  <c r="K172" i="12" a="1"/>
  <c r="I173" i="12" a="1"/>
  <c r="J173" i="12" a="1"/>
  <c r="K173" i="12" a="1"/>
  <c r="I174" i="12" a="1"/>
  <c r="J174" i="12" a="1"/>
  <c r="K174" i="12" a="1"/>
  <c r="I175" i="12" a="1"/>
  <c r="J175" i="12" a="1"/>
  <c r="K175" i="12" a="1"/>
  <c r="I176" i="12" a="1"/>
  <c r="J176" i="12" a="1"/>
  <c r="K176" i="12" a="1"/>
  <c r="I177" i="12" a="1"/>
  <c r="J177" i="12" a="1"/>
  <c r="K177" i="12" a="1"/>
  <c r="I178" i="12" a="1"/>
  <c r="J178" i="12" a="1"/>
  <c r="K178" i="12" a="1"/>
  <c r="I179" i="12" a="1"/>
  <c r="J179" i="12" a="1"/>
  <c r="K179" i="12" a="1"/>
  <c r="I180" i="12" a="1"/>
  <c r="J180" i="12" a="1"/>
  <c r="K180" i="12" a="1"/>
  <c r="I181" i="12" a="1"/>
  <c r="J181" i="12" a="1"/>
  <c r="K181" i="12" a="1"/>
  <c r="I182" i="12" a="1"/>
  <c r="J182" i="12" a="1"/>
  <c r="K182" i="12" a="1"/>
  <c r="I183" i="12" a="1"/>
  <c r="J183" i="12" a="1"/>
  <c r="K183" i="12" a="1"/>
  <c r="I184" i="12" a="1"/>
  <c r="J184" i="12" a="1"/>
  <c r="K184" i="12" a="1"/>
  <c r="I185" i="12" a="1"/>
  <c r="J185" i="12" a="1"/>
  <c r="K185" i="12" a="1"/>
  <c r="I186" i="12" a="1"/>
  <c r="J186" i="12" a="1"/>
  <c r="K186" i="12" a="1"/>
  <c r="I187" i="12" a="1"/>
  <c r="J187" i="12" a="1"/>
  <c r="K187" i="12" a="1"/>
  <c r="I188" i="12" a="1"/>
  <c r="J188" i="12" a="1"/>
  <c r="K188" i="12" a="1"/>
  <c r="I189" i="12" a="1"/>
  <c r="J189" i="12" a="1"/>
  <c r="K189" i="12" a="1"/>
  <c r="I190" i="12" a="1"/>
  <c r="J190" i="12" a="1"/>
  <c r="K190" i="12" a="1"/>
  <c r="I191" i="12" a="1"/>
  <c r="J191" i="12" a="1"/>
  <c r="K191" i="12" a="1"/>
  <c r="I192" i="12" a="1"/>
  <c r="J192" i="12" a="1"/>
  <c r="K192" i="12" a="1"/>
  <c r="I193" i="12" a="1"/>
  <c r="J193" i="12" a="1"/>
  <c r="K193" i="12" a="1"/>
  <c r="I194" i="12" a="1"/>
  <c r="J194" i="12" a="1"/>
  <c r="K194" i="12" a="1"/>
  <c r="I195" i="12" a="1"/>
  <c r="J195" i="12" a="1"/>
  <c r="K195" i="12" a="1"/>
  <c r="I196" i="12" a="1"/>
  <c r="J196" i="12" a="1"/>
  <c r="K196" i="12" a="1"/>
  <c r="I197" i="12" a="1"/>
  <c r="J197" i="12" a="1"/>
  <c r="K197" i="12" a="1"/>
  <c r="I198" i="12" a="1"/>
  <c r="J198" i="12" a="1"/>
  <c r="K198" i="12" a="1"/>
  <c r="I199" i="12" a="1"/>
  <c r="J199" i="12" a="1"/>
  <c r="K199" i="12" a="1"/>
  <c r="I200" i="12" a="1"/>
  <c r="J200" i="12" a="1"/>
  <c r="K200" i="12" a="1"/>
  <c r="I201" i="12" a="1"/>
  <c r="J201" i="12" a="1"/>
  <c r="K201" i="12" a="1"/>
  <c r="I202" i="12" a="1"/>
  <c r="J202" i="12" a="1"/>
  <c r="K202" i="12" a="1"/>
  <c r="I203" i="12" a="1"/>
  <c r="J203" i="12" a="1"/>
  <c r="K203" i="12" a="1"/>
  <c r="I204" i="12" a="1"/>
  <c r="J204" i="12" a="1"/>
  <c r="K204" i="12" a="1"/>
  <c r="I205" i="12" a="1"/>
  <c r="J205" i="12" a="1"/>
  <c r="K205" i="12" a="1"/>
  <c r="I206" i="12" a="1"/>
  <c r="J206" i="12" a="1"/>
  <c r="K206" i="12" a="1"/>
  <c r="I207" i="12" a="1"/>
  <c r="J207" i="12" a="1"/>
  <c r="K207" i="12" a="1"/>
  <c r="I208" i="12" a="1"/>
  <c r="J208" i="12" a="1"/>
  <c r="K208" i="12" a="1"/>
  <c r="I209" i="12" a="1"/>
  <c r="J209" i="12" a="1"/>
  <c r="K209" i="12" a="1"/>
  <c r="I210" i="12" a="1"/>
  <c r="J210" i="12" a="1"/>
  <c r="K210" i="12" a="1"/>
  <c r="I211" i="12" a="1"/>
  <c r="J211" i="12" a="1"/>
  <c r="K211" i="12" a="1"/>
  <c r="I212" i="12" a="1"/>
  <c r="J212" i="12" a="1"/>
  <c r="K212" i="12" a="1"/>
  <c r="I213" i="12" a="1"/>
  <c r="J213" i="12" a="1"/>
  <c r="K213" i="12" a="1"/>
  <c r="I214" i="12" a="1"/>
  <c r="J214" i="12" a="1"/>
  <c r="K214" i="12" a="1"/>
  <c r="I215" i="12" a="1"/>
  <c r="J215" i="12" a="1"/>
  <c r="K215" i="12" a="1"/>
  <c r="I216" i="12" a="1"/>
  <c r="J216" i="12" a="1"/>
  <c r="K216" i="12" a="1"/>
  <c r="I217" i="12" a="1"/>
  <c r="J217" i="12" a="1"/>
  <c r="K217" i="12" a="1"/>
  <c r="I218" i="12" a="1"/>
  <c r="J218" i="12" a="1"/>
  <c r="K218" i="12" a="1"/>
  <c r="I219" i="12" a="1"/>
  <c r="J219" i="12" a="1"/>
  <c r="K219" i="12" a="1"/>
  <c r="I220" i="12" a="1"/>
  <c r="J220" i="12" a="1"/>
  <c r="K220" i="12" a="1"/>
  <c r="I221" i="12" a="1"/>
  <c r="J221" i="12" a="1"/>
  <c r="K221" i="12" a="1"/>
  <c r="I222" i="12" a="1"/>
  <c r="J222" i="12" a="1"/>
  <c r="K222" i="12" a="1"/>
  <c r="I223" i="12" a="1"/>
  <c r="J223" i="12" a="1"/>
  <c r="K223" i="12" a="1"/>
  <c r="I224" i="12" a="1"/>
  <c r="J224" i="12" a="1"/>
  <c r="K224" i="12" a="1"/>
  <c r="I225" i="12" a="1"/>
  <c r="J225" i="12" a="1"/>
  <c r="K225" i="12" a="1"/>
  <c r="I226" i="12" a="1"/>
  <c r="J226" i="12" a="1"/>
  <c r="K226" i="12" a="1"/>
  <c r="I227" i="12" a="1"/>
  <c r="J227" i="12" a="1"/>
  <c r="K227" i="12" a="1"/>
  <c r="I228" i="12" a="1"/>
  <c r="J228" i="12" a="1"/>
  <c r="K228" i="12" a="1"/>
  <c r="I229" i="12" a="1"/>
  <c r="J229" i="12" a="1"/>
  <c r="K229" i="12" a="1"/>
  <c r="I230" i="12" a="1"/>
  <c r="J230" i="12" a="1"/>
  <c r="K230" i="12" a="1"/>
  <c r="I231" i="12" a="1"/>
  <c r="J231" i="12" a="1"/>
  <c r="K231" i="12" a="1"/>
  <c r="I232" i="12" a="1"/>
  <c r="J232" i="12" a="1"/>
  <c r="K232" i="12" a="1"/>
  <c r="I233" i="12" a="1"/>
  <c r="J233" i="12" a="1"/>
  <c r="K233" i="12" a="1"/>
  <c r="I234" i="12" a="1"/>
  <c r="J234" i="12" a="1"/>
  <c r="K234" i="12" a="1"/>
  <c r="I235" i="12" a="1"/>
  <c r="J235" i="12" a="1"/>
  <c r="K235" i="12" a="1"/>
  <c r="I236" i="12" a="1"/>
  <c r="J236" i="12" a="1"/>
  <c r="K236" i="12" a="1"/>
  <c r="I237" i="12" a="1"/>
  <c r="J237" i="12" a="1"/>
  <c r="K237" i="12" a="1"/>
  <c r="I238" i="12" a="1"/>
  <c r="J238" i="12" a="1"/>
  <c r="K238" i="12" a="1"/>
  <c r="I239" i="12" a="1"/>
  <c r="J239" i="12" a="1"/>
  <c r="K239" i="12" a="1"/>
  <c r="I240" i="12" a="1"/>
  <c r="J240" i="12" a="1"/>
  <c r="K240" i="12" a="1"/>
  <c r="I241" i="12" a="1"/>
  <c r="J241" i="12" a="1"/>
  <c r="K241" i="12" a="1"/>
  <c r="I242" i="12" a="1"/>
  <c r="J242" i="12" a="1"/>
  <c r="K242" i="12" a="1"/>
  <c r="I243" i="12" a="1"/>
  <c r="J243" i="12" a="1"/>
  <c r="K243" i="12" a="1"/>
  <c r="I244" i="12" a="1"/>
  <c r="J244" i="12" a="1"/>
  <c r="K244" i="12" a="1"/>
  <c r="I245" i="12" a="1"/>
  <c r="J245" i="12" a="1"/>
  <c r="K245" i="12" a="1"/>
  <c r="I246" i="12" a="1"/>
  <c r="J246" i="12" a="1"/>
  <c r="K246" i="12" a="1"/>
  <c r="I247" i="12" a="1"/>
  <c r="J247" i="12" a="1"/>
  <c r="K247" i="12" a="1"/>
  <c r="I248" i="12" a="1"/>
  <c r="J248" i="12" a="1"/>
  <c r="K248" i="12" a="1"/>
  <c r="I249" i="12" a="1"/>
  <c r="J249" i="12" a="1"/>
  <c r="K249" i="12" a="1"/>
  <c r="I250" i="12" a="1"/>
  <c r="J250" i="12" a="1"/>
  <c r="K250" i="12" a="1"/>
  <c r="I251" i="12" a="1"/>
  <c r="J251" i="12" a="1"/>
  <c r="K251" i="12" a="1"/>
  <c r="I252" i="12" a="1"/>
  <c r="J252" i="12" a="1"/>
  <c r="K252" i="12" a="1"/>
  <c r="I253" i="12" a="1"/>
  <c r="J253" i="12" a="1"/>
  <c r="K253" i="12" a="1"/>
  <c r="I254" i="12" a="1"/>
  <c r="J254" i="12" a="1"/>
  <c r="K254" i="12" a="1"/>
  <c r="I255" i="12" a="1"/>
  <c r="J255" i="12" a="1"/>
  <c r="K255" i="12" a="1"/>
  <c r="I256" i="12" a="1"/>
  <c r="J256" i="12" a="1"/>
  <c r="K256" i="12" a="1"/>
  <c r="I257" i="12" a="1"/>
  <c r="J257" i="12" a="1"/>
  <c r="K257" i="12" a="1"/>
  <c r="I258" i="12" a="1"/>
  <c r="J258" i="12" a="1"/>
  <c r="K258" i="12" a="1"/>
  <c r="I259" i="12" a="1"/>
  <c r="J259" i="12" a="1"/>
  <c r="K259" i="12" a="1"/>
  <c r="I260" i="12" a="1"/>
  <c r="J260" i="12" a="1"/>
  <c r="K260" i="12" a="1"/>
  <c r="I261" i="12" a="1"/>
  <c r="J261" i="12" a="1"/>
  <c r="K261" i="12" a="1"/>
  <c r="I262" i="12" a="1"/>
  <c r="J262" i="12" a="1"/>
  <c r="K262" i="12" a="1"/>
  <c r="I263" i="12" a="1"/>
  <c r="J263" i="12" a="1"/>
  <c r="K263" i="12" a="1"/>
  <c r="I264" i="12" a="1"/>
  <c r="J264" i="12" a="1"/>
  <c r="K264" i="12" a="1"/>
  <c r="I265" i="12" a="1"/>
  <c r="J265" i="12" a="1"/>
  <c r="K265" i="12" a="1"/>
  <c r="I266" i="12" a="1"/>
  <c r="J266" i="12" a="1"/>
  <c r="K266" i="12" a="1"/>
  <c r="I267" i="12" a="1"/>
  <c r="J267" i="12" a="1"/>
  <c r="K267" i="12" a="1"/>
  <c r="I268" i="12" a="1"/>
  <c r="J268" i="12" a="1"/>
  <c r="K268" i="12" a="1"/>
  <c r="I269" i="12" a="1"/>
  <c r="J269" i="12" a="1"/>
  <c r="K269" i="12" a="1"/>
  <c r="I270" i="12" a="1"/>
  <c r="J270" i="12" a="1"/>
  <c r="K270" i="12" a="1"/>
  <c r="I271" i="12" a="1"/>
  <c r="J271" i="12" a="1"/>
  <c r="K271" i="12" a="1"/>
  <c r="I272" i="12" a="1"/>
  <c r="J272" i="12" a="1"/>
  <c r="K272" i="12" a="1"/>
  <c r="I273" i="12" a="1"/>
  <c r="J273" i="12" a="1"/>
  <c r="K273" i="12" a="1"/>
  <c r="I274" i="12" a="1"/>
  <c r="J274" i="12" a="1"/>
  <c r="K274" i="12" a="1"/>
  <c r="I275" i="12" a="1"/>
  <c r="J275" i="12" a="1"/>
  <c r="K275" i="12" a="1"/>
  <c r="I276" i="12" a="1"/>
  <c r="J276" i="12" a="1"/>
  <c r="K276" i="12" a="1"/>
  <c r="I277" i="12" a="1"/>
  <c r="J277" i="12" a="1"/>
  <c r="K277" i="12" a="1"/>
  <c r="I278" i="12" a="1"/>
  <c r="J278" i="12" a="1"/>
  <c r="K278" i="12" a="1"/>
  <c r="I279" i="12" a="1"/>
  <c r="J279" i="12" a="1"/>
  <c r="K279" i="12" a="1"/>
  <c r="I280" i="12" a="1"/>
  <c r="J280" i="12" a="1"/>
  <c r="K280" i="12" a="1"/>
  <c r="I281" i="12" a="1"/>
  <c r="J281" i="12" a="1"/>
  <c r="K281" i="12" a="1"/>
  <c r="I282" i="12" a="1"/>
  <c r="J282" i="12" a="1"/>
  <c r="K282" i="12" a="1"/>
  <c r="I283" i="12" a="1"/>
  <c r="J283" i="12" a="1"/>
  <c r="K283" i="12" a="1"/>
  <c r="I284" i="12" a="1"/>
  <c r="J284" i="12" a="1"/>
  <c r="K284" i="12" a="1"/>
  <c r="I285" i="12" a="1"/>
  <c r="J285" i="12" a="1"/>
  <c r="K285" i="12" a="1"/>
  <c r="I286" i="12" a="1"/>
  <c r="J286" i="12" a="1"/>
  <c r="K286" i="12" a="1"/>
  <c r="I287" i="12" a="1"/>
  <c r="J287" i="12" a="1"/>
  <c r="K287" i="12" a="1"/>
  <c r="I288" i="12" a="1"/>
  <c r="J288" i="12" a="1"/>
  <c r="K288" i="12" a="1"/>
  <c r="I289" i="12" a="1"/>
  <c r="J289" i="12" a="1"/>
  <c r="K289" i="12" a="1"/>
  <c r="I290" i="12" a="1"/>
  <c r="J290" i="12" a="1"/>
  <c r="K290" i="12" a="1"/>
  <c r="I291" i="12" a="1"/>
  <c r="J291" i="12" a="1"/>
  <c r="K291" i="12" a="1"/>
  <c r="I292" i="12" a="1"/>
  <c r="J292" i="12" a="1"/>
  <c r="K292" i="12" a="1"/>
  <c r="I293" i="12" a="1"/>
  <c r="J293" i="12" a="1"/>
  <c r="K293" i="12" a="1"/>
  <c r="I294" i="12" a="1"/>
  <c r="J294" i="12" a="1"/>
  <c r="K294" i="12" a="1"/>
  <c r="I295" i="12" a="1"/>
  <c r="J295" i="12" a="1"/>
  <c r="K295" i="12" a="1"/>
  <c r="I296" i="12" a="1"/>
  <c r="J296" i="12" a="1"/>
  <c r="K296" i="12" a="1"/>
  <c r="I297" i="12" a="1"/>
  <c r="J297" i="12" a="1"/>
  <c r="K297" i="12" a="1"/>
  <c r="I298" i="12" a="1"/>
  <c r="J298" i="12" a="1"/>
  <c r="K298" i="12" a="1"/>
  <c r="I299" i="12" a="1"/>
  <c r="J299" i="12" a="1"/>
  <c r="K299" i="12" a="1"/>
  <c r="I300" i="12" a="1"/>
  <c r="J300" i="12" a="1"/>
  <c r="K300" i="12" a="1"/>
  <c r="I301" i="12" a="1"/>
  <c r="J301" i="12" a="1"/>
  <c r="K301" i="12" a="1"/>
  <c r="I302" i="12" a="1"/>
  <c r="J302" i="12" a="1"/>
  <c r="K302" i="12" a="1"/>
  <c r="I303" i="12" a="1"/>
  <c r="J303" i="12" a="1"/>
  <c r="K303" i="12" a="1"/>
  <c r="I304" i="12" a="1"/>
  <c r="J304" i="12" a="1"/>
  <c r="K304" i="12" a="1"/>
  <c r="I305" i="12" a="1"/>
  <c r="J305" i="12" a="1"/>
  <c r="K305" i="12" a="1"/>
  <c r="I306" i="12" a="1"/>
  <c r="J306" i="12" a="1"/>
  <c r="K306" i="12" a="1"/>
  <c r="I307" i="12" a="1"/>
  <c r="J307" i="12" a="1"/>
  <c r="K307" i="12" a="1"/>
  <c r="I308" i="12" a="1"/>
  <c r="J308" i="12" a="1"/>
  <c r="K308" i="12" a="1"/>
  <c r="I309" i="12" a="1"/>
  <c r="J309" i="12" a="1"/>
  <c r="K309" i="12" a="1"/>
  <c r="I310" i="12" a="1"/>
  <c r="J310" i="12" a="1"/>
  <c r="K310" i="12" a="1"/>
  <c r="I311" i="12" a="1"/>
  <c r="J311" i="12" a="1"/>
  <c r="K311" i="12" a="1"/>
  <c r="I312" i="12" a="1"/>
  <c r="J312" i="12" a="1"/>
  <c r="K312" i="12" a="1"/>
  <c r="I313" i="12" a="1"/>
  <c r="J313" i="12" a="1"/>
  <c r="K313" i="12" a="1"/>
  <c r="I314" i="12" a="1"/>
  <c r="J314" i="12" a="1"/>
  <c r="K314" i="12" a="1"/>
  <c r="I315" i="12" a="1"/>
  <c r="J315" i="12" a="1"/>
  <c r="K315" i="12" a="1"/>
  <c r="I316" i="12" a="1"/>
  <c r="J316" i="12" a="1"/>
  <c r="K316" i="12" a="1"/>
  <c r="I317" i="12" a="1"/>
  <c r="J317" i="12" a="1"/>
  <c r="K317" i="12" a="1"/>
  <c r="I318" i="12" a="1"/>
  <c r="J318" i="12" a="1"/>
  <c r="K318" i="12" a="1"/>
  <c r="I319" i="12" a="1"/>
  <c r="J319" i="12" a="1"/>
  <c r="K319" i="12" a="1"/>
  <c r="I320" i="12" a="1"/>
  <c r="J320" i="12" a="1"/>
  <c r="K320" i="12" a="1"/>
  <c r="I321" i="12" a="1"/>
  <c r="J321" i="12" a="1"/>
  <c r="K321" i="12" a="1"/>
  <c r="I322" i="12" a="1"/>
  <c r="J322" i="12" a="1"/>
  <c r="K322" i="12" a="1"/>
  <c r="I323" i="12" a="1"/>
  <c r="J323" i="12" a="1"/>
  <c r="K323" i="12" a="1"/>
  <c r="I324" i="12" a="1"/>
  <c r="J324" i="12" a="1"/>
  <c r="K324" i="12" a="1"/>
  <c r="I325" i="12" a="1"/>
  <c r="J325" i="12" a="1"/>
  <c r="K325" i="12" a="1"/>
  <c r="I326" i="12" a="1"/>
  <c r="J326" i="12" a="1"/>
  <c r="K326" i="12" a="1"/>
  <c r="I327" i="12" a="1"/>
  <c r="J327" i="12" a="1"/>
  <c r="K327" i="12" a="1"/>
  <c r="I328" i="12" a="1"/>
  <c r="J328" i="12" a="1"/>
  <c r="K328" i="12" a="1"/>
  <c r="I329" i="12" a="1"/>
  <c r="J329" i="12" a="1"/>
  <c r="K329" i="12" a="1"/>
  <c r="I330" i="12" a="1"/>
  <c r="J330" i="12" a="1"/>
  <c r="K330" i="12" a="1"/>
  <c r="I331" i="12" a="1"/>
  <c r="J331" i="12" a="1"/>
  <c r="K331" i="12" a="1"/>
  <c r="I332" i="12" a="1"/>
  <c r="J332" i="12" a="1"/>
  <c r="K332" i="12" a="1"/>
  <c r="I333" i="12" a="1"/>
  <c r="J333" i="12" a="1"/>
  <c r="K333" i="12" a="1"/>
  <c r="I334" i="12" a="1"/>
  <c r="J334" i="12" a="1"/>
  <c r="K334" i="12" a="1"/>
  <c r="I335" i="12" a="1"/>
  <c r="J335" i="12" a="1"/>
  <c r="K335" i="12" a="1"/>
  <c r="I336" i="12" a="1"/>
  <c r="J336" i="12" a="1"/>
  <c r="K336" i="12" a="1"/>
  <c r="I337" i="12" a="1"/>
  <c r="J337" i="12" a="1"/>
  <c r="K337" i="12" a="1"/>
  <c r="I338" i="12" a="1"/>
  <c r="J338" i="12" a="1"/>
  <c r="K338" i="12" a="1"/>
  <c r="I339" i="12" a="1"/>
  <c r="J339" i="12" a="1"/>
  <c r="K339" i="12" a="1"/>
  <c r="I340" i="12" a="1"/>
  <c r="J340" i="12" a="1"/>
  <c r="K340" i="12" a="1"/>
  <c r="I341" i="12" a="1"/>
  <c r="J341" i="12" a="1"/>
  <c r="K341" i="12" a="1"/>
  <c r="I342" i="12" a="1"/>
  <c r="J342" i="12" a="1"/>
  <c r="K342" i="12" a="1"/>
  <c r="I343" i="12" a="1"/>
  <c r="J343" i="12" a="1"/>
  <c r="K343" i="12" a="1"/>
  <c r="I344" i="12" a="1"/>
  <c r="J344" i="12" a="1"/>
  <c r="K344" i="12" a="1"/>
  <c r="I345" i="12" a="1"/>
  <c r="J345" i="12" a="1"/>
  <c r="K345" i="12" a="1"/>
  <c r="I346" i="12" a="1"/>
  <c r="J346" i="12" a="1"/>
  <c r="K346" i="12" a="1"/>
  <c r="I347" i="12" a="1"/>
  <c r="J347" i="12" a="1"/>
  <c r="K347" i="12" a="1"/>
  <c r="I348" i="12" a="1"/>
  <c r="J348" i="12" a="1"/>
  <c r="K348" i="12" a="1"/>
  <c r="I349" i="12" a="1"/>
  <c r="J349" i="12" a="1"/>
  <c r="K349" i="12" a="1"/>
  <c r="I350" i="12" a="1"/>
  <c r="J350" i="12" a="1"/>
  <c r="K350" i="12" a="1"/>
  <c r="I351" i="12" a="1"/>
  <c r="J351" i="12" a="1"/>
  <c r="K351" i="12" a="1"/>
  <c r="I352" i="12" a="1"/>
  <c r="J352" i="12" a="1"/>
  <c r="K352" i="12" a="1"/>
  <c r="I353" i="12" a="1"/>
  <c r="J353" i="12" a="1"/>
  <c r="K353" i="12" a="1"/>
  <c r="I354" i="12" a="1"/>
  <c r="J354" i="12" a="1"/>
  <c r="K354" i="12" a="1"/>
  <c r="I355" i="12" a="1"/>
  <c r="J355" i="12" a="1"/>
  <c r="K355" i="12" a="1"/>
  <c r="I356" i="12" a="1"/>
  <c r="J356" i="12" a="1"/>
  <c r="K356" i="12" a="1"/>
  <c r="I357" i="12" a="1"/>
  <c r="J357" i="12" a="1"/>
  <c r="K357" i="12" a="1"/>
  <c r="I358" i="12" a="1"/>
  <c r="J358" i="12" a="1"/>
  <c r="K358" i="12" a="1"/>
  <c r="I359" i="12" a="1"/>
  <c r="J359" i="12" a="1"/>
  <c r="K359" i="12" a="1"/>
  <c r="I360" i="12" a="1"/>
  <c r="J360" i="12" a="1"/>
  <c r="K360" i="12" a="1"/>
  <c r="I361" i="12" a="1"/>
  <c r="J361" i="12" a="1"/>
  <c r="K361" i="12" a="1"/>
  <c r="I362" i="12" a="1"/>
  <c r="J362" i="12" a="1"/>
  <c r="K362" i="12" a="1"/>
  <c r="I363" i="12" a="1"/>
  <c r="J363" i="12" a="1"/>
  <c r="K363" i="12" a="1"/>
  <c r="I364" i="12" a="1"/>
  <c r="J364" i="12" a="1"/>
  <c r="K364" i="12" a="1"/>
  <c r="I365" i="12" a="1"/>
  <c r="J365" i="12" a="1"/>
  <c r="K365" i="12" a="1"/>
  <c r="I366" i="12" a="1"/>
  <c r="J366" i="12" a="1"/>
  <c r="K366" i="12" a="1"/>
  <c r="I367" i="12" a="1"/>
  <c r="J367" i="12" a="1"/>
  <c r="K367" i="12" a="1"/>
  <c r="I368" i="12" a="1"/>
  <c r="J368" i="12" a="1"/>
  <c r="K368" i="12" a="1"/>
  <c r="I369" i="12" a="1"/>
  <c r="J369" i="12" a="1"/>
  <c r="K369" i="12" a="1"/>
  <c r="I370" i="12" a="1"/>
  <c r="J370" i="12" a="1"/>
  <c r="K370" i="12" a="1"/>
  <c r="I371" i="12" a="1"/>
  <c r="J371" i="12" a="1"/>
  <c r="K371" i="12" a="1"/>
  <c r="I372" i="12" a="1"/>
  <c r="J372" i="12" a="1"/>
  <c r="K372" i="12" a="1"/>
  <c r="I373" i="12" a="1"/>
  <c r="J373" i="12" a="1"/>
  <c r="K373" i="12" a="1"/>
  <c r="I374" i="12" a="1"/>
  <c r="J374" i="12" a="1"/>
  <c r="K374" i="12" a="1"/>
  <c r="I375" i="12" a="1"/>
  <c r="J375" i="12" a="1"/>
  <c r="K375" i="12" a="1"/>
  <c r="I376" i="12" a="1"/>
  <c r="J376" i="12" a="1"/>
  <c r="K376" i="12" a="1"/>
  <c r="I377" i="12" a="1"/>
  <c r="J377" i="12" a="1"/>
  <c r="K377" i="12" a="1"/>
  <c r="I378" i="12" a="1"/>
  <c r="J378" i="12" a="1"/>
  <c r="K378" i="12" a="1"/>
  <c r="I379" i="12" a="1"/>
  <c r="J379" i="12" a="1"/>
  <c r="K379" i="12" a="1"/>
  <c r="I380" i="12" a="1"/>
  <c r="J380" i="12" a="1"/>
  <c r="K380" i="12" a="1"/>
  <c r="I381" i="12" a="1"/>
  <c r="J381" i="12" a="1"/>
  <c r="K381" i="12" a="1"/>
  <c r="I382" i="12" a="1"/>
  <c r="J382" i="12" a="1"/>
  <c r="K382" i="12" a="1"/>
  <c r="I383" i="12" a="1"/>
  <c r="J383" i="12" a="1"/>
  <c r="K383" i="12" a="1"/>
  <c r="I384" i="12" a="1"/>
  <c r="J384" i="12" a="1"/>
  <c r="K384" i="12" a="1"/>
  <c r="I385" i="12" a="1"/>
  <c r="J385" i="12" a="1"/>
  <c r="K385" i="12" a="1"/>
  <c r="I386" i="12" a="1"/>
  <c r="J386" i="12" a="1"/>
  <c r="K386" i="12" a="1"/>
  <c r="I387" i="12" a="1"/>
  <c r="J387" i="12" a="1"/>
  <c r="K387" i="12" a="1"/>
  <c r="I388" i="12" a="1"/>
  <c r="J388" i="12" a="1"/>
  <c r="K388" i="12" a="1"/>
  <c r="I389" i="12" a="1"/>
  <c r="J389" i="12" a="1"/>
  <c r="K389" i="12" a="1"/>
  <c r="I390" i="12" a="1"/>
  <c r="J390" i="12" a="1"/>
  <c r="K390" i="12" a="1"/>
  <c r="I391" i="12" a="1"/>
  <c r="J391" i="12" a="1"/>
  <c r="K391" i="12" a="1"/>
  <c r="I392" i="12" a="1"/>
  <c r="J392" i="12" a="1"/>
  <c r="K392" i="12" a="1"/>
  <c r="I393" i="12" a="1"/>
  <c r="J393" i="12" a="1"/>
  <c r="K393" i="12" a="1"/>
  <c r="I394" i="12" a="1"/>
  <c r="J394" i="12" a="1"/>
  <c r="K394" i="12" a="1"/>
  <c r="I395" i="12" a="1"/>
  <c r="J395" i="12" a="1"/>
  <c r="K395" i="12" a="1"/>
  <c r="I396" i="12" a="1"/>
  <c r="J396" i="12" a="1"/>
  <c r="K396" i="12" a="1"/>
  <c r="I397" i="12" a="1"/>
  <c r="J397" i="12" a="1"/>
  <c r="K397" i="12" a="1"/>
  <c r="I398" i="12" a="1"/>
  <c r="J398" i="12" a="1"/>
  <c r="K398" i="12" a="1"/>
  <c r="I399" i="12" a="1"/>
  <c r="J399" i="12" a="1"/>
  <c r="K399" i="12" a="1"/>
  <c r="I400" i="12" a="1"/>
  <c r="J400" i="12" a="1"/>
  <c r="K400" i="12" a="1"/>
  <c r="I401" i="12" a="1"/>
  <c r="J401" i="12" a="1"/>
  <c r="K401" i="12" a="1"/>
  <c r="I402" i="12" a="1"/>
  <c r="J402" i="12" a="1"/>
  <c r="K402" i="12" a="1"/>
  <c r="I403" i="12" a="1"/>
  <c r="J403" i="12" a="1"/>
  <c r="K403" i="12" a="1"/>
  <c r="I404" i="12" a="1"/>
  <c r="J404" i="12" a="1"/>
  <c r="K404" i="12" a="1"/>
  <c r="I405" i="12" a="1"/>
  <c r="J405" i="12" a="1"/>
  <c r="K405" i="12" a="1"/>
  <c r="I406" i="12" a="1"/>
  <c r="J406" i="12" a="1"/>
  <c r="K406" i="12" a="1"/>
  <c r="I407" i="12" a="1"/>
  <c r="J407" i="12" a="1"/>
  <c r="K407" i="12" a="1"/>
  <c r="I408" i="12" a="1"/>
  <c r="J408" i="12" a="1"/>
  <c r="K408" i="12" a="1"/>
  <c r="I409" i="12" a="1"/>
  <c r="J409" i="12" a="1"/>
  <c r="K409" i="12" a="1"/>
  <c r="I410" i="12" a="1"/>
  <c r="J410" i="12" a="1"/>
  <c r="K410" i="12" a="1"/>
  <c r="I411" i="12" a="1"/>
  <c r="J411" i="12" a="1"/>
  <c r="K411" i="12" a="1"/>
  <c r="I412" i="12" a="1"/>
  <c r="J412" i="12" a="1"/>
  <c r="K412" i="12" a="1"/>
  <c r="I413" i="12" a="1"/>
  <c r="J413" i="12" a="1"/>
  <c r="K413" i="12" a="1"/>
  <c r="I414" i="12" a="1"/>
  <c r="J414" i="12" a="1"/>
  <c r="K414" i="12" a="1"/>
  <c r="I415" i="12" a="1"/>
  <c r="J415" i="12" a="1"/>
  <c r="K415" i="12" a="1"/>
  <c r="I416" i="12" a="1"/>
  <c r="J416" i="12" a="1"/>
  <c r="K416" i="12" a="1"/>
  <c r="I417" i="12" a="1"/>
  <c r="J417" i="12" a="1"/>
  <c r="K417" i="12" a="1"/>
  <c r="I418" i="12" a="1"/>
  <c r="J418" i="12" a="1"/>
  <c r="K418" i="12" a="1"/>
  <c r="I419" i="12" a="1"/>
  <c r="J419" i="12" a="1"/>
  <c r="K419" i="12" a="1"/>
  <c r="I420" i="12" a="1"/>
  <c r="J420" i="12" a="1"/>
  <c r="K420" i="12" a="1"/>
  <c r="I421" i="12" a="1"/>
  <c r="J421" i="12" a="1"/>
  <c r="K421" i="12" a="1"/>
  <c r="I422" i="12" a="1"/>
  <c r="J422" i="12" a="1"/>
  <c r="K422" i="12" a="1"/>
  <c r="I423" i="12" a="1"/>
  <c r="J423" i="12" a="1"/>
  <c r="K423" i="12" a="1"/>
  <c r="I424" i="12" a="1"/>
  <c r="J424" i="12" a="1"/>
  <c r="K424" i="12" a="1"/>
  <c r="I425" i="12" a="1"/>
  <c r="J425" i="12" a="1"/>
  <c r="K425" i="12" a="1"/>
  <c r="I426" i="12" a="1"/>
  <c r="J426" i="12" a="1"/>
  <c r="K426" i="12" a="1"/>
  <c r="I427" i="12" a="1"/>
  <c r="J427" i="12" a="1"/>
  <c r="K427" i="12" a="1"/>
  <c r="I428" i="12" a="1"/>
  <c r="J428" i="12" a="1"/>
  <c r="K428" i="12" a="1"/>
  <c r="I429" i="12" a="1"/>
  <c r="J429" i="12" a="1"/>
  <c r="K429" i="12" a="1"/>
  <c r="I430" i="12" a="1"/>
  <c r="J430" i="12" a="1"/>
  <c r="K430" i="12" a="1"/>
  <c r="I431" i="12" a="1"/>
  <c r="J431" i="12" a="1"/>
  <c r="K431" i="12" a="1"/>
  <c r="I432" i="12" a="1"/>
  <c r="J432" i="12" a="1"/>
  <c r="K432" i="12" a="1"/>
  <c r="I433" i="12" a="1"/>
  <c r="J433" i="12" a="1"/>
  <c r="K433" i="12" a="1"/>
  <c r="I434" i="12" a="1"/>
  <c r="J434" i="12" a="1"/>
  <c r="K434" i="12" a="1"/>
  <c r="I435" i="12" a="1"/>
  <c r="J435" i="12" a="1"/>
  <c r="K435" i="12" a="1"/>
  <c r="I436" i="12" a="1"/>
  <c r="J436" i="12" a="1"/>
  <c r="K436" i="12" a="1"/>
  <c r="I437" i="12" a="1"/>
  <c r="J437" i="12" a="1"/>
  <c r="K437" i="12" a="1"/>
  <c r="I438" i="12" a="1"/>
  <c r="J438" i="12" a="1"/>
  <c r="K438" i="12" a="1"/>
  <c r="I439" i="12" a="1"/>
  <c r="J439" i="12" a="1"/>
  <c r="K439" i="12" a="1"/>
  <c r="I440" i="12" a="1"/>
  <c r="J440" i="12" a="1"/>
  <c r="K440" i="12" a="1"/>
  <c r="I441" i="12" a="1"/>
  <c r="J441" i="12" a="1"/>
  <c r="K441" i="12" a="1"/>
  <c r="I442" i="12" a="1"/>
  <c r="J442" i="12" a="1"/>
  <c r="K442" i="12" a="1"/>
  <c r="I443" i="12" a="1"/>
  <c r="J443" i="12" a="1"/>
  <c r="K443" i="12" a="1"/>
  <c r="I444" i="12" a="1"/>
  <c r="J444" i="12" a="1"/>
  <c r="K444" i="12" a="1"/>
  <c r="I445" i="12" a="1"/>
  <c r="J445" i="12" a="1"/>
  <c r="K445" i="12" a="1"/>
  <c r="I446" i="12" a="1"/>
  <c r="J446" i="12" a="1"/>
  <c r="K446" i="12" a="1"/>
  <c r="I447" i="12" a="1"/>
  <c r="J447" i="12" a="1"/>
  <c r="K447" i="12" a="1"/>
  <c r="I448" i="12" a="1"/>
  <c r="J448" i="12" a="1"/>
  <c r="K448" i="12" a="1"/>
  <c r="I449" i="12" a="1"/>
  <c r="J449" i="12" a="1"/>
  <c r="K449" i="12" a="1"/>
  <c r="I450" i="12" a="1"/>
  <c r="J450" i="12" a="1"/>
  <c r="K450" i="12" a="1"/>
  <c r="I451" i="12" a="1"/>
  <c r="J451" i="12" a="1"/>
  <c r="K451" i="12" a="1"/>
  <c r="I452" i="12" a="1"/>
  <c r="J452" i="12" a="1"/>
  <c r="K452" i="12" a="1"/>
  <c r="I453" i="12" a="1"/>
  <c r="J453" i="12" a="1"/>
  <c r="K453" i="12" a="1"/>
  <c r="I454" i="12" a="1"/>
  <c r="J454" i="12" a="1"/>
  <c r="K454" i="12" a="1"/>
  <c r="I455" i="12" a="1"/>
  <c r="J455" i="12" a="1"/>
  <c r="K455" i="12" a="1"/>
  <c r="I456" i="12" a="1"/>
  <c r="J456" i="12" a="1"/>
  <c r="K456" i="12" a="1"/>
  <c r="I457" i="12" a="1"/>
  <c r="J457" i="12" a="1"/>
  <c r="K457" i="12" a="1"/>
  <c r="I458" i="12" a="1"/>
  <c r="J458" i="12" a="1"/>
  <c r="K458" i="12" a="1"/>
  <c r="I459" i="12" a="1"/>
  <c r="J459" i="12" a="1"/>
  <c r="K459" i="12" a="1"/>
  <c r="I460" i="12" a="1"/>
  <c r="J460" i="12" a="1"/>
  <c r="K460" i="12" a="1"/>
  <c r="I461" i="12" a="1"/>
  <c r="J461" i="12" a="1"/>
  <c r="K461" i="12" a="1"/>
  <c r="I462" i="12" a="1"/>
  <c r="J462" i="12" a="1"/>
  <c r="K462" i="12" a="1"/>
  <c r="I463" i="12" a="1"/>
  <c r="J463" i="12" a="1"/>
  <c r="K463" i="12" a="1"/>
  <c r="I464" i="12" a="1"/>
  <c r="J464" i="12" a="1"/>
  <c r="K464" i="12" a="1"/>
  <c r="I465" i="12" a="1"/>
  <c r="J465" i="12" a="1"/>
  <c r="K465" i="12" a="1"/>
  <c r="I466" i="12" a="1"/>
  <c r="J466" i="12" a="1"/>
  <c r="K466" i="12" a="1"/>
  <c r="I467" i="12" a="1"/>
  <c r="J467" i="12" a="1"/>
  <c r="K467" i="12" a="1"/>
  <c r="I468" i="12" a="1"/>
  <c r="J468" i="12" a="1"/>
  <c r="K468" i="12" a="1"/>
  <c r="I469" i="12" a="1"/>
  <c r="J469" i="12" a="1"/>
  <c r="K469" i="12" a="1"/>
  <c r="I118" i="12" a="1"/>
  <c r="J118" i="12" a="1"/>
  <c r="K118" i="12" a="1"/>
  <c r="I119" i="12" a="1"/>
  <c r="J119" i="12" a="1"/>
  <c r="K119" i="12" a="1"/>
  <c r="I120" i="12" a="1"/>
  <c r="J120" i="12" a="1"/>
  <c r="K120" i="12" a="1"/>
  <c r="I121" i="12" a="1"/>
  <c r="J121" i="12" a="1"/>
  <c r="K121" i="12" a="1"/>
  <c r="I122" i="12" a="1"/>
  <c r="J122" i="12" a="1"/>
  <c r="K122" i="12" a="1"/>
  <c r="I123" i="12" a="1"/>
  <c r="J123" i="12" a="1"/>
  <c r="K123" i="12" a="1"/>
  <c r="I124" i="12" a="1"/>
  <c r="J124" i="12" a="1"/>
  <c r="K124" i="12" a="1"/>
  <c r="I125" i="12" a="1"/>
  <c r="J125" i="12" a="1"/>
  <c r="K125" i="12" a="1"/>
  <c r="I126" i="12" a="1"/>
  <c r="J126" i="12" a="1"/>
  <c r="K126" i="12" a="1"/>
  <c r="I127" i="12" a="1"/>
  <c r="J127" i="12" a="1"/>
  <c r="K127" i="12" a="1"/>
  <c r="I108" i="12" a="1"/>
  <c r="J108" i="12" a="1"/>
  <c r="K108" i="12" a="1"/>
  <c r="I109" i="12" a="1"/>
  <c r="J109" i="12" a="1"/>
  <c r="K109" i="12" a="1"/>
  <c r="I93" i="12" a="1"/>
  <c r="J93" i="12" a="1"/>
  <c r="K93" i="12" a="1"/>
  <c r="I94" i="12" a="1"/>
  <c r="J94" i="12" a="1"/>
  <c r="K94" i="12" a="1"/>
  <c r="I95" i="12" a="1"/>
  <c r="J95" i="12" a="1"/>
  <c r="K95" i="12" a="1"/>
  <c r="I96" i="12" a="1"/>
  <c r="J96" i="12" a="1"/>
  <c r="K96" i="12" a="1"/>
  <c r="I97" i="12" a="1"/>
  <c r="J97" i="12" a="1"/>
  <c r="K97" i="12" a="1"/>
  <c r="I98" i="12" a="1"/>
  <c r="J98" i="12" a="1"/>
  <c r="K98" i="12" a="1"/>
  <c r="I99" i="12" a="1"/>
  <c r="J99" i="12" a="1"/>
  <c r="K99" i="12" a="1"/>
  <c r="I100" i="12" a="1"/>
  <c r="J100" i="12" a="1"/>
  <c r="K100" i="12" a="1"/>
  <c r="I101" i="12" a="1"/>
  <c r="J101" i="12" a="1"/>
  <c r="K101" i="12" a="1"/>
  <c r="I102" i="12" a="1"/>
  <c r="J102" i="12" a="1"/>
  <c r="K102" i="12" a="1"/>
  <c r="I103" i="12" a="1"/>
  <c r="J103" i="12" a="1"/>
  <c r="K103" i="12" a="1"/>
  <c r="I104" i="12" a="1"/>
  <c r="J104" i="12" a="1"/>
  <c r="K104" i="12" a="1"/>
  <c r="I105" i="12" a="1"/>
  <c r="J105" i="12" a="1"/>
  <c r="K105" i="12" a="1"/>
  <c r="I106" i="12" a="1"/>
  <c r="J106" i="12" a="1"/>
  <c r="K106" i="12" a="1"/>
  <c r="I107" i="12" a="1"/>
  <c r="J107" i="12" a="1"/>
  <c r="K107" i="12" a="1"/>
  <c r="J3" i="12" a="1"/>
  <c r="J4" i="12" a="1"/>
  <c r="J5" i="12" a="1"/>
  <c r="J6" i="12" a="1"/>
  <c r="J7" i="12" a="1"/>
  <c r="J8" i="12" a="1"/>
  <c r="J9" i="12" a="1"/>
  <c r="J10" i="12" a="1"/>
  <c r="J11" i="12" a="1"/>
  <c r="J12" i="12" a="1"/>
  <c r="J13" i="12" a="1"/>
  <c r="J14" i="12" a="1"/>
  <c r="J15" i="12" a="1"/>
  <c r="J16" i="12" a="1"/>
  <c r="J17" i="12" a="1"/>
  <c r="J18" i="12" a="1"/>
  <c r="J19" i="12" a="1"/>
  <c r="J20" i="12" a="1"/>
  <c r="J21" i="12" a="1"/>
  <c r="J22" i="12" a="1"/>
  <c r="J23" i="12" a="1"/>
  <c r="J24" i="12" a="1"/>
  <c r="J25" i="12" a="1"/>
  <c r="J26" i="12" a="1"/>
  <c r="J27" i="12" a="1"/>
  <c r="J28" i="12" a="1"/>
  <c r="J29" i="12" a="1"/>
  <c r="J30" i="12" a="1"/>
  <c r="J31" i="12" a="1"/>
  <c r="J32" i="12" a="1"/>
  <c r="J33" i="12" a="1"/>
  <c r="J34" i="12" a="1"/>
  <c r="J35" i="12" a="1"/>
  <c r="J36" i="12" a="1"/>
  <c r="J37" i="12" a="1"/>
  <c r="J38" i="12" a="1"/>
  <c r="J39" i="12" a="1"/>
  <c r="J40" i="12" a="1"/>
  <c r="J41" i="12" a="1"/>
  <c r="J42" i="12" a="1"/>
  <c r="J43" i="12" a="1"/>
  <c r="J44" i="12" a="1"/>
  <c r="J45" i="12" a="1"/>
  <c r="J46" i="12" a="1"/>
  <c r="J47" i="12" a="1"/>
  <c r="J48" i="12" a="1"/>
  <c r="J49" i="12" a="1"/>
  <c r="J50" i="12" a="1"/>
  <c r="J51" i="12" a="1"/>
  <c r="J52" i="12" a="1"/>
  <c r="J53" i="12" a="1"/>
  <c r="J54" i="12" a="1"/>
  <c r="J55" i="12" a="1"/>
  <c r="J56" i="12" a="1"/>
  <c r="J57" i="12" a="1"/>
  <c r="J58" i="12" a="1"/>
  <c r="J59" i="12" a="1"/>
  <c r="J60" i="12" a="1"/>
  <c r="J61" i="12" a="1"/>
  <c r="J62" i="12" a="1"/>
  <c r="J63" i="12" a="1"/>
  <c r="J64" i="12" a="1"/>
  <c r="J65" i="12" a="1"/>
  <c r="J66" i="12" a="1"/>
  <c r="J67" i="12" a="1"/>
  <c r="J68" i="12" a="1"/>
  <c r="J69" i="12" a="1"/>
  <c r="J70" i="12" a="1"/>
  <c r="J71" i="12" a="1"/>
  <c r="J72" i="12" a="1"/>
  <c r="J73" i="12" a="1"/>
  <c r="J74" i="12" a="1"/>
  <c r="J75" i="12" a="1"/>
  <c r="J76" i="12" a="1"/>
  <c r="J77" i="12" a="1"/>
  <c r="J78" i="12" a="1"/>
  <c r="J79" i="12" a="1"/>
  <c r="J80" i="12" a="1"/>
  <c r="J81" i="12" a="1"/>
  <c r="J82" i="12" a="1"/>
  <c r="J83" i="12" a="1"/>
  <c r="J84" i="12" a="1"/>
  <c r="J85" i="12" a="1"/>
  <c r="J86" i="12" a="1"/>
  <c r="J87" i="12" a="1"/>
  <c r="J88" i="12" a="1"/>
  <c r="J89" i="12" a="1"/>
  <c r="J90" i="12" a="1"/>
  <c r="J91" i="12" a="1"/>
  <c r="J92" i="12" a="1"/>
  <c r="J110" i="12" a="1"/>
  <c r="J111" i="12" a="1"/>
  <c r="J112" i="12" a="1"/>
  <c r="J113" i="12" a="1"/>
  <c r="J114" i="12" a="1"/>
  <c r="J115" i="12" a="1"/>
  <c r="J116" i="12" a="1"/>
  <c r="J117" i="12" a="1"/>
  <c r="J2" i="12" a="1"/>
  <c r="I74" i="12" a="1"/>
  <c r="K74" i="12" a="1"/>
  <c r="I75" i="12" a="1"/>
  <c r="K75" i="12" a="1"/>
  <c r="I76" i="12" a="1"/>
  <c r="K76" i="12" a="1"/>
  <c r="I77" i="12" a="1"/>
  <c r="K77" i="12" a="1"/>
  <c r="I78" i="12" a="1"/>
  <c r="K78" i="12" a="1"/>
  <c r="I79" i="12" a="1"/>
  <c r="K79" i="12" a="1"/>
  <c r="I80" i="12" a="1"/>
  <c r="K80" i="12" a="1"/>
  <c r="I81" i="12" a="1"/>
  <c r="K81" i="12" a="1"/>
  <c r="I82" i="12" a="1"/>
  <c r="K82" i="12" a="1"/>
  <c r="I83" i="12" a="1"/>
  <c r="K83" i="12" a="1"/>
  <c r="I84" i="12" a="1"/>
  <c r="K84" i="12" a="1"/>
  <c r="I85" i="12" a="1"/>
  <c r="K85" i="12" a="1"/>
  <c r="I86" i="12" a="1"/>
  <c r="K86" i="12" a="1"/>
  <c r="I87" i="12" a="1"/>
  <c r="K87" i="12" a="1"/>
  <c r="I88" i="12" a="1"/>
  <c r="K88" i="12" a="1"/>
  <c r="I89" i="12" a="1"/>
  <c r="K89" i="12" a="1"/>
  <c r="I90" i="12" a="1"/>
  <c r="K90" i="12" a="1"/>
  <c r="I91" i="12" a="1"/>
  <c r="K91" i="12" a="1"/>
  <c r="I92" i="12" a="1"/>
  <c r="K92" i="12" a="1"/>
  <c r="I110" i="12" a="1"/>
  <c r="K110" i="12" a="1"/>
  <c r="I111" i="12" a="1"/>
  <c r="K111" i="12" a="1"/>
  <c r="I112" i="12" a="1"/>
  <c r="K112" i="12" a="1"/>
  <c r="I113" i="12" a="1"/>
  <c r="K113" i="12" a="1"/>
  <c r="I114" i="12" a="1"/>
  <c r="K114" i="12" a="1"/>
  <c r="I115" i="12" a="1"/>
  <c r="K115" i="12" a="1"/>
  <c r="I116" i="12" a="1"/>
  <c r="K116" i="12" a="1"/>
  <c r="I117" i="12" a="1"/>
  <c r="K117" i="12" a="1"/>
  <c r="K3" i="12" a="1"/>
  <c r="K4" i="12" a="1"/>
  <c r="K5" i="12" a="1"/>
  <c r="K6" i="12" a="1"/>
  <c r="K7" i="12" a="1"/>
  <c r="K8" i="12" a="1"/>
  <c r="K9" i="12" a="1"/>
  <c r="K10" i="12" a="1"/>
  <c r="K11" i="12" a="1"/>
  <c r="K12" i="12" a="1"/>
  <c r="K13" i="12" a="1"/>
  <c r="K14" i="12" a="1"/>
  <c r="K15" i="12" a="1"/>
  <c r="K16" i="12" a="1"/>
  <c r="K17" i="12" a="1"/>
  <c r="K18" i="12" a="1"/>
  <c r="K19" i="12" a="1"/>
  <c r="K20" i="12" a="1"/>
  <c r="K21" i="12" a="1"/>
  <c r="K22" i="12" a="1"/>
  <c r="K23" i="12" a="1"/>
  <c r="K24" i="12" a="1"/>
  <c r="K25" i="12" a="1"/>
  <c r="K26" i="12" a="1"/>
  <c r="K27" i="12" a="1"/>
  <c r="K28" i="12" a="1"/>
  <c r="K29" i="12" a="1"/>
  <c r="K30" i="12" a="1"/>
  <c r="K31" i="12" a="1"/>
  <c r="K32" i="12" a="1"/>
  <c r="K33" i="12" a="1"/>
  <c r="K34" i="12" a="1"/>
  <c r="K35" i="12" a="1"/>
  <c r="K36" i="12" a="1"/>
  <c r="K37" i="12" a="1"/>
  <c r="K38" i="12" a="1"/>
  <c r="K39" i="12" a="1"/>
  <c r="K40" i="12" a="1"/>
  <c r="K41" i="12" a="1"/>
  <c r="K42" i="12" a="1"/>
  <c r="K43" i="12" a="1"/>
  <c r="K44" i="12" a="1"/>
  <c r="K45" i="12" a="1"/>
  <c r="K46" i="12" a="1"/>
  <c r="K47" i="12" a="1"/>
  <c r="K48" i="12" a="1"/>
  <c r="K49" i="12" a="1"/>
  <c r="K50" i="12" a="1"/>
  <c r="K51" i="12" a="1"/>
  <c r="K52" i="12" a="1"/>
  <c r="K53" i="12" a="1"/>
  <c r="K54" i="12" a="1"/>
  <c r="K55" i="12" a="1"/>
  <c r="K56" i="12" a="1"/>
  <c r="K57" i="12" a="1"/>
  <c r="K58" i="12" a="1"/>
  <c r="K59" i="12" a="1"/>
  <c r="K60" i="12" a="1"/>
  <c r="K61" i="12" a="1"/>
  <c r="K62" i="12" a="1"/>
  <c r="K63" i="12" a="1"/>
  <c r="K64" i="12" a="1"/>
  <c r="K65" i="12" a="1"/>
  <c r="K66" i="12" a="1"/>
  <c r="K67" i="12" a="1"/>
  <c r="K68" i="12" a="1"/>
  <c r="K69" i="12" a="1"/>
  <c r="K70" i="12" a="1"/>
  <c r="K71" i="12" a="1"/>
  <c r="K72" i="12" a="1"/>
  <c r="K73" i="12" a="1"/>
  <c r="K2" i="12" a="1"/>
  <c r="I3" i="12" a="1"/>
  <c r="I4" i="12" a="1"/>
  <c r="I5" i="12" a="1"/>
  <c r="I6" i="12" a="1"/>
  <c r="I7" i="12" a="1"/>
  <c r="I8" i="12" a="1"/>
  <c r="I9" i="12" a="1"/>
  <c r="I10" i="12" a="1"/>
  <c r="I11" i="12" a="1"/>
  <c r="I12" i="12" a="1"/>
  <c r="I13" i="12" a="1"/>
  <c r="I14" i="12" a="1"/>
  <c r="I15" i="12" a="1"/>
  <c r="I16" i="12" a="1"/>
  <c r="I17" i="12" a="1"/>
  <c r="I18" i="12" a="1"/>
  <c r="I19" i="12" a="1"/>
  <c r="I20" i="12" a="1"/>
  <c r="I21" i="12" a="1"/>
  <c r="I22" i="12" a="1"/>
  <c r="I23" i="12" a="1"/>
  <c r="I24" i="12" a="1"/>
  <c r="I25" i="12" a="1"/>
  <c r="I26" i="12" a="1"/>
  <c r="I27" i="12" a="1"/>
  <c r="I28" i="12" a="1"/>
  <c r="I29" i="12" a="1"/>
  <c r="I30" i="12" a="1"/>
  <c r="I31" i="12" a="1"/>
  <c r="I32" i="12" a="1"/>
  <c r="I33" i="12" a="1"/>
  <c r="I34" i="12" a="1"/>
  <c r="I35" i="12" a="1"/>
  <c r="I36" i="12" a="1"/>
  <c r="I37" i="12" a="1"/>
  <c r="I38" i="12" a="1"/>
  <c r="I39" i="12" a="1"/>
  <c r="I40" i="12" a="1"/>
  <c r="I41" i="12" a="1"/>
  <c r="I42" i="12" a="1"/>
  <c r="I43" i="12" a="1"/>
  <c r="I44" i="12" a="1"/>
  <c r="I45" i="12" a="1"/>
  <c r="I46" i="12" a="1"/>
  <c r="I47" i="12" a="1"/>
  <c r="I48" i="12" a="1"/>
  <c r="I49" i="12" a="1"/>
  <c r="I50" i="12" a="1"/>
  <c r="I51" i="12" a="1"/>
  <c r="I52" i="12" a="1"/>
  <c r="I53" i="12" a="1"/>
  <c r="I54" i="12" a="1"/>
  <c r="I55" i="12" a="1"/>
  <c r="I56" i="12" a="1"/>
  <c r="I57" i="12" a="1"/>
  <c r="I58" i="12" a="1"/>
  <c r="I59" i="12" a="1"/>
  <c r="I60" i="12" a="1"/>
  <c r="I61" i="12" a="1"/>
  <c r="I62" i="12" a="1"/>
  <c r="I63" i="12" a="1"/>
  <c r="I64" i="12" a="1"/>
  <c r="I65" i="12" a="1"/>
  <c r="I66" i="12" a="1"/>
  <c r="I67" i="12" a="1"/>
  <c r="I68" i="12" a="1"/>
  <c r="I69" i="12" a="1"/>
  <c r="I70" i="12" a="1"/>
  <c r="I71" i="12" a="1"/>
  <c r="I72" i="12" a="1"/>
  <c r="I73" i="12" a="1"/>
  <c r="I2" i="12" a="1"/>
  <c r="D26" i="9"/>
  <c r="W26" i="9"/>
  <c r="D77" i="9"/>
  <c r="D76" i="9"/>
  <c r="D34" i="9"/>
  <c r="W34" i="9" s="1"/>
  <c r="D33" i="9"/>
  <c r="W33" i="9" s="1"/>
  <c r="D32" i="9"/>
  <c r="W32" i="9"/>
  <c r="D31" i="9"/>
  <c r="W31" i="9" s="1"/>
  <c r="D30" i="9"/>
  <c r="W30" i="9" s="1"/>
  <c r="D29" i="9"/>
  <c r="W29" i="9" s="1"/>
  <c r="D28" i="9"/>
  <c r="W28" i="9"/>
  <c r="D27" i="9"/>
  <c r="W27" i="9" s="1"/>
  <c r="D25" i="9"/>
  <c r="W25" i="9" s="1"/>
  <c r="D24" i="9"/>
  <c r="W24" i="9" s="1"/>
  <c r="D23" i="9"/>
  <c r="W23" i="9"/>
  <c r="D22" i="9"/>
  <c r="W22" i="9" s="1"/>
  <c r="D21" i="9"/>
  <c r="W21" i="9" s="1"/>
  <c r="D20" i="9"/>
  <c r="W20" i="9" s="1"/>
  <c r="D19" i="9"/>
  <c r="W19" i="9"/>
  <c r="D18" i="9"/>
  <c r="W18" i="9" s="1"/>
  <c r="D17" i="9"/>
  <c r="W17" i="9" s="1"/>
  <c r="D16" i="9"/>
  <c r="W16" i="9" s="1"/>
  <c r="D15" i="9"/>
  <c r="W15" i="9"/>
  <c r="D14" i="9"/>
  <c r="W14" i="9" s="1"/>
  <c r="D13" i="9"/>
  <c r="W13" i="9" s="1"/>
  <c r="D11" i="9"/>
  <c r="W11" i="9" s="1"/>
  <c r="D10" i="9"/>
  <c r="W10" i="9"/>
  <c r="D9" i="9"/>
  <c r="W9" i="9" s="1"/>
  <c r="D8" i="9"/>
  <c r="W8" i="9" s="1"/>
  <c r="D7" i="9"/>
  <c r="W7" i="9" s="1"/>
  <c r="D6" i="9"/>
  <c r="W6" i="9"/>
  <c r="D5" i="9"/>
  <c r="W5" i="9" s="1"/>
  <c r="D4" i="9"/>
  <c r="W4" i="9" s="1"/>
  <c r="D3" i="9"/>
  <c r="W3" i="9" s="1"/>
  <c r="D2" i="9"/>
  <c r="W2" i="9"/>
  <c r="D77" i="8"/>
  <c r="D76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77" i="7"/>
  <c r="D76" i="7"/>
  <c r="AB34" i="7" a="1"/>
  <c r="AA34" i="7" a="1"/>
  <c r="Z34" i="7" a="1"/>
  <c r="D34" i="7"/>
  <c r="AB33" i="7" a="1"/>
  <c r="AA33" i="7" a="1"/>
  <c r="Z33" i="7" a="1"/>
  <c r="D33" i="7"/>
  <c r="AB32" i="7" a="1"/>
  <c r="AA32" i="7" a="1"/>
  <c r="Z32" i="7" a="1"/>
  <c r="D32" i="7"/>
  <c r="AB31" i="7" a="1"/>
  <c r="AA31" i="7" a="1"/>
  <c r="Z31" i="7" a="1"/>
  <c r="D31" i="7"/>
  <c r="AB30" i="7" a="1"/>
  <c r="AA30" i="7" a="1"/>
  <c r="Z30" i="7" a="1"/>
  <c r="D30" i="7"/>
  <c r="AB29" i="7" a="1"/>
  <c r="AA29" i="7" a="1"/>
  <c r="Z29" i="7" a="1"/>
  <c r="D29" i="7"/>
  <c r="AB28" i="7" a="1"/>
  <c r="AA28" i="7" a="1"/>
  <c r="Z28" i="7" a="1"/>
  <c r="D28" i="7"/>
  <c r="AB27" i="7" a="1"/>
  <c r="AA27" i="7" a="1"/>
  <c r="Z27" i="7" a="1"/>
  <c r="D27" i="7"/>
  <c r="AB26" i="7" a="1"/>
  <c r="AA26" i="7" a="1"/>
  <c r="Z26" i="7" a="1"/>
  <c r="D26" i="7"/>
  <c r="AB25" i="7" a="1"/>
  <c r="AA25" i="7" a="1"/>
  <c r="Z25" i="7" a="1"/>
  <c r="D25" i="7"/>
  <c r="AB24" i="7" a="1"/>
  <c r="AA24" i="7" a="1"/>
  <c r="Z24" i="7" a="1"/>
  <c r="D24" i="7"/>
  <c r="AB23" i="7" a="1"/>
  <c r="AA23" i="7" a="1"/>
  <c r="Z23" i="7" a="1"/>
  <c r="D23" i="7"/>
  <c r="AB22" i="7" a="1"/>
  <c r="AA22" i="7" a="1"/>
  <c r="Z22" i="7" a="1"/>
  <c r="D22" i="7"/>
  <c r="AB21" i="7" a="1"/>
  <c r="AA21" i="7" a="1"/>
  <c r="Z21" i="7" a="1"/>
  <c r="D21" i="7"/>
  <c r="AB20" i="7" a="1"/>
  <c r="AA20" i="7" a="1"/>
  <c r="Z20" i="7" a="1"/>
  <c r="D20" i="7"/>
  <c r="AB19" i="7" a="1"/>
  <c r="AA19" i="7" a="1"/>
  <c r="Z19" i="7" a="1"/>
  <c r="D19" i="7"/>
  <c r="AB18" i="7" a="1"/>
  <c r="AA18" i="7" a="1"/>
  <c r="Z18" i="7" a="1"/>
  <c r="D18" i="7"/>
  <c r="AB17" i="7" a="1"/>
  <c r="AA17" i="7" a="1"/>
  <c r="Z17" i="7" a="1"/>
  <c r="D17" i="7"/>
  <c r="AB16" i="7" a="1"/>
  <c r="AA16" i="7" a="1"/>
  <c r="Z16" i="7" a="1"/>
  <c r="D16" i="7"/>
  <c r="AB15" i="7" a="1"/>
  <c r="AA15" i="7" a="1"/>
  <c r="Z15" i="7" a="1"/>
  <c r="D15" i="7"/>
  <c r="AB14" i="7" a="1"/>
  <c r="AA14" i="7" a="1"/>
  <c r="Z14" i="7" a="1"/>
  <c r="D14" i="7"/>
  <c r="AB13" i="7" a="1"/>
  <c r="AA13" i="7" a="1"/>
  <c r="Z13" i="7" a="1"/>
  <c r="D13" i="7"/>
  <c r="AB12" i="7" a="1"/>
  <c r="AA12" i="7" a="1"/>
  <c r="Z12" i="7" a="1"/>
  <c r="D12" i="7"/>
  <c r="AB11" i="7" a="1"/>
  <c r="AA11" i="7" a="1"/>
  <c r="Z11" i="7" a="1"/>
  <c r="D11" i="7"/>
  <c r="AB10" i="7" a="1"/>
  <c r="AA10" i="7" a="1"/>
  <c r="Z10" i="7" a="1"/>
  <c r="D10" i="7"/>
  <c r="AB9" i="7" a="1"/>
  <c r="AA9" i="7" a="1"/>
  <c r="Z9" i="7" a="1"/>
  <c r="D9" i="7"/>
  <c r="AB8" i="7" a="1"/>
  <c r="AA8" i="7" a="1"/>
  <c r="Z8" i="7" a="1"/>
  <c r="D8" i="7"/>
  <c r="AB7" i="7" a="1"/>
  <c r="AA7" i="7" a="1"/>
  <c r="Z7" i="7" a="1"/>
  <c r="D7" i="7"/>
  <c r="AB6" i="7" a="1"/>
  <c r="AA6" i="7" a="1"/>
  <c r="Z6" i="7" a="1"/>
  <c r="D6" i="7"/>
  <c r="AB5" i="7" a="1"/>
  <c r="AA5" i="7" a="1"/>
  <c r="Z5" i="7" a="1"/>
  <c r="D5" i="7"/>
  <c r="AB4" i="7" a="1"/>
  <c r="AA4" i="7" a="1"/>
  <c r="Z4" i="7" a="1"/>
  <c r="D4" i="7"/>
  <c r="AB3" i="7" a="1"/>
  <c r="AA3" i="7" a="1"/>
  <c r="Z3" i="7" a="1"/>
  <c r="D3" i="7"/>
  <c r="AB2" i="7" a="1"/>
  <c r="AA2" i="7" a="1"/>
  <c r="Z2" i="7" a="1"/>
  <c r="D2" i="7"/>
  <c r="D77" i="5"/>
  <c r="D78" i="5"/>
  <c r="AB2" i="5" a="1"/>
  <c r="AB3" i="5" a="1"/>
  <c r="AB4" i="5" a="1"/>
  <c r="AB5" i="5" a="1"/>
  <c r="AB6" i="5" a="1"/>
  <c r="AB7" i="5" a="1"/>
  <c r="AB8" i="5" a="1"/>
  <c r="AB9" i="5" a="1"/>
  <c r="AB10" i="5" a="1"/>
  <c r="AB11" i="5" a="1"/>
  <c r="AB12" i="5" a="1"/>
  <c r="AB13" i="5" a="1"/>
  <c r="AB14" i="5" a="1"/>
  <c r="AB15" i="5" a="1"/>
  <c r="AB16" i="5" a="1"/>
  <c r="AB17" i="5" a="1"/>
  <c r="AB18" i="5" a="1"/>
  <c r="AB19" i="5" a="1"/>
  <c r="AB20" i="5" a="1"/>
  <c r="AB21" i="5" a="1"/>
  <c r="AB22" i="5" a="1"/>
  <c r="AB23" i="5" a="1"/>
  <c r="AB24" i="5" a="1"/>
  <c r="AB25" i="5" a="1"/>
  <c r="AB26" i="5" a="1"/>
  <c r="AB27" i="5" a="1"/>
  <c r="AB28" i="5" a="1"/>
  <c r="AB29" i="5" a="1"/>
  <c r="AB30" i="5" a="1"/>
  <c r="AB31" i="5" a="1"/>
  <c r="AB32" i="5" a="1"/>
  <c r="AB33" i="5" a="1"/>
  <c r="AB34" i="5" a="1"/>
  <c r="AA2" i="5" a="1"/>
  <c r="AA3" i="5" a="1"/>
  <c r="AA4" i="5" a="1"/>
  <c r="AA5" i="5" a="1"/>
  <c r="AA6" i="5" a="1"/>
  <c r="AA7" i="5" a="1"/>
  <c r="AA8" i="5" a="1"/>
  <c r="AA9" i="5" a="1"/>
  <c r="AA10" i="5" a="1"/>
  <c r="AA11" i="5" a="1"/>
  <c r="AA12" i="5" a="1"/>
  <c r="AA13" i="5" a="1"/>
  <c r="AA14" i="5" a="1"/>
  <c r="AA15" i="5" a="1"/>
  <c r="AA16" i="5" a="1"/>
  <c r="AA17" i="5" a="1"/>
  <c r="AA18" i="5" a="1"/>
  <c r="AA19" i="5" a="1"/>
  <c r="AA20" i="5" a="1"/>
  <c r="AA21" i="5" a="1"/>
  <c r="AA22" i="5" a="1"/>
  <c r="AA23" i="5" a="1"/>
  <c r="AA24" i="5" a="1"/>
  <c r="AA25" i="5" a="1"/>
  <c r="AA26" i="5" a="1"/>
  <c r="AA27" i="5" a="1"/>
  <c r="AA28" i="5" a="1"/>
  <c r="AA29" i="5" a="1"/>
  <c r="AA30" i="5" a="1"/>
  <c r="AA31" i="5" a="1"/>
  <c r="AA32" i="5" a="1"/>
  <c r="AA33" i="5" a="1"/>
  <c r="AA34" i="5" a="1"/>
  <c r="Z24" i="5" a="1"/>
  <c r="G76" i="4" a="1"/>
  <c r="G77" i="4" a="1"/>
  <c r="F76" i="4" a="1"/>
  <c r="H76" i="4" s="1"/>
  <c r="F77" i="4" a="1"/>
  <c r="G7" i="4" a="1"/>
  <c r="G22" i="4" a="1"/>
  <c r="G17" i="4" a="1"/>
  <c r="G42" i="4" a="1"/>
  <c r="G14" i="4" a="1"/>
  <c r="G16" i="4" a="1"/>
  <c r="G46" i="4" a="1"/>
  <c r="G27" i="4" a="1"/>
  <c r="G19" i="4" a="1"/>
  <c r="G13" i="4" a="1"/>
  <c r="G21" i="4" a="1"/>
  <c r="G8" i="4" a="1"/>
  <c r="G3" i="4" a="1"/>
  <c r="G2" i="4" a="1"/>
  <c r="G9" i="4" a="1"/>
  <c r="G11" i="4" a="1"/>
  <c r="G63" i="4" a="1"/>
  <c r="G60" i="4" a="1"/>
  <c r="G33" i="4" a="1"/>
  <c r="G43" i="4" a="1"/>
  <c r="G51" i="4" a="1"/>
  <c r="G30" i="4" a="1"/>
  <c r="G50" i="4" a="1"/>
  <c r="G53" i="4" a="1"/>
  <c r="G44" i="4" a="1"/>
  <c r="G37" i="4" a="1"/>
  <c r="G31" i="4" a="1"/>
  <c r="G32" i="4" a="1"/>
  <c r="G36" i="4" a="1"/>
  <c r="G55" i="4" a="1"/>
  <c r="G62" i="4" a="1"/>
  <c r="G39" i="4" a="1"/>
  <c r="G54" i="4" a="1"/>
  <c r="F7" i="4" a="1"/>
  <c r="F22" i="4" a="1"/>
  <c r="F17" i="4" a="1"/>
  <c r="F42" i="4" a="1"/>
  <c r="F14" i="4" a="1"/>
  <c r="H14" i="4" s="1"/>
  <c r="F16" i="4" a="1"/>
  <c r="H16" i="4" s="1"/>
  <c r="F46" i="4" a="1"/>
  <c r="H46" i="4" s="1"/>
  <c r="F27" i="4" a="1"/>
  <c r="F19" i="4" a="1"/>
  <c r="H19" i="4" s="1"/>
  <c r="F13" i="4" a="1"/>
  <c r="F21" i="4" a="1"/>
  <c r="F8" i="4" a="1"/>
  <c r="F3" i="4" a="1"/>
  <c r="H3" i="4" s="1"/>
  <c r="F2" i="4" a="1"/>
  <c r="F9" i="4" a="1"/>
  <c r="H9" i="4" s="1"/>
  <c r="F11" i="4" a="1"/>
  <c r="F63" i="4" a="1"/>
  <c r="F60" i="4" a="1"/>
  <c r="F33" i="4" a="1"/>
  <c r="H33" i="4" s="1"/>
  <c r="F43" i="4" a="1"/>
  <c r="F51" i="4" a="1"/>
  <c r="H51" i="4" s="1"/>
  <c r="F30" i="4" a="1"/>
  <c r="H30" i="4" s="1"/>
  <c r="F50" i="4" a="1"/>
  <c r="F53" i="4" a="1"/>
  <c r="F44" i="4" a="1"/>
  <c r="F37" i="4" a="1"/>
  <c r="F31" i="4" a="1"/>
  <c r="F32" i="4" a="1"/>
  <c r="H32" i="4" s="1"/>
  <c r="F36" i="4" a="1"/>
  <c r="F55" i="4" a="1"/>
  <c r="H55" i="4" s="1"/>
  <c r="F62" i="4" a="1"/>
  <c r="F39" i="4" a="1"/>
  <c r="F54" i="4" a="1"/>
  <c r="Z2" i="5" a="1"/>
  <c r="Z3" i="5" a="1"/>
  <c r="Z4" i="5" a="1"/>
  <c r="Z5" i="5" a="1"/>
  <c r="Z6" i="5" a="1"/>
  <c r="Z7" i="5" a="1"/>
  <c r="Z8" i="5" a="1"/>
  <c r="Z9" i="5" a="1"/>
  <c r="Z10" i="5" a="1"/>
  <c r="Z11" i="5" a="1"/>
  <c r="Z12" i="5" a="1"/>
  <c r="Z13" i="5" a="1"/>
  <c r="Z14" i="5" a="1"/>
  <c r="Z15" i="5" a="1"/>
  <c r="Z16" i="5" a="1"/>
  <c r="Z17" i="5" a="1"/>
  <c r="Z18" i="5" a="1"/>
  <c r="Z19" i="5" a="1"/>
  <c r="Z20" i="5" a="1"/>
  <c r="Z21" i="5" a="1"/>
  <c r="Z22" i="5" a="1"/>
  <c r="Z23" i="5" a="1"/>
  <c r="Z25" i="5" a="1"/>
  <c r="Z26" i="5" a="1"/>
  <c r="Z27" i="5" a="1"/>
  <c r="Z28" i="5" a="1"/>
  <c r="Z29" i="5" a="1"/>
  <c r="Z30" i="5" a="1"/>
  <c r="Z31" i="5" a="1"/>
  <c r="Z32" i="5" a="1"/>
  <c r="Z33" i="5" a="1"/>
  <c r="Z34" i="5" a="1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F69" i="2"/>
  <c r="F68" i="2"/>
  <c r="F67" i="2"/>
  <c r="F66" i="2"/>
  <c r="F65" i="2"/>
  <c r="F64" i="2"/>
  <c r="F63" i="2"/>
  <c r="F62" i="2"/>
  <c r="F61" i="2"/>
  <c r="F60" i="2"/>
  <c r="F23" i="2"/>
  <c r="F25" i="2"/>
  <c r="F27" i="2"/>
  <c r="F29" i="2"/>
  <c r="F30" i="2"/>
  <c r="F32" i="2"/>
  <c r="F35" i="2"/>
  <c r="F37" i="2"/>
  <c r="F38" i="2"/>
  <c r="F39" i="2"/>
  <c r="F41" i="2"/>
  <c r="F43" i="2"/>
  <c r="F44" i="2"/>
  <c r="F45" i="2"/>
  <c r="F46" i="2"/>
  <c r="F47" i="2"/>
  <c r="F49" i="2"/>
  <c r="F50" i="2"/>
  <c r="F51" i="2"/>
  <c r="F53" i="2"/>
  <c r="F54" i="2"/>
  <c r="F55" i="2"/>
  <c r="F56" i="2"/>
  <c r="F58" i="2"/>
  <c r="F22" i="2"/>
  <c r="P1259" i="12" l="1" a="1"/>
  <c r="P1261" i="12" a="1"/>
  <c r="P1258" i="12" a="1"/>
  <c r="P1256" i="12" a="1"/>
  <c r="P1255" i="12" a="1"/>
  <c r="P1246" i="12" a="1"/>
  <c r="P1254" i="12" a="1"/>
  <c r="P1250" i="12" a="1"/>
  <c r="P1245" i="12" a="1"/>
  <c r="P565" i="12" a="1"/>
  <c r="P352" i="12" a="1"/>
  <c r="P353" i="12" a="1"/>
  <c r="P354" i="12" a="1"/>
  <c r="P355" i="12" a="1"/>
  <c r="P356" i="12" a="1"/>
  <c r="P357" i="12" a="1"/>
  <c r="P358" i="12" a="1"/>
  <c r="P359" i="12" a="1"/>
  <c r="P360" i="12" a="1"/>
  <c r="P361" i="12" a="1"/>
  <c r="P362" i="12" a="1"/>
  <c r="P363" i="12" a="1"/>
  <c r="P364" i="12" a="1"/>
  <c r="P365" i="12" a="1"/>
  <c r="P366" i="12" a="1"/>
  <c r="P367" i="12" a="1"/>
  <c r="P368" i="12" a="1"/>
  <c r="P369" i="12" a="1"/>
  <c r="P370" i="12" a="1"/>
  <c r="P371" i="12" a="1"/>
  <c r="P372" i="12" a="1"/>
  <c r="P373" i="12" a="1"/>
  <c r="P374" i="12" a="1"/>
  <c r="P375" i="12" a="1"/>
  <c r="P376" i="12" a="1"/>
  <c r="P378" i="12" a="1"/>
  <c r="P379" i="12" a="1"/>
  <c r="P381" i="12" a="1"/>
  <c r="P382" i="12" a="1"/>
  <c r="P384" i="12" a="1"/>
  <c r="P386" i="12" a="1"/>
  <c r="P388" i="12" a="1"/>
  <c r="P390" i="12" a="1"/>
  <c r="P392" i="12" a="1"/>
  <c r="P1247" i="12" a="1"/>
  <c r="P1244" i="12" a="1"/>
  <c r="P1257" i="12" a="1"/>
  <c r="P1248" i="12" a="1"/>
  <c r="P1249" i="12" a="1"/>
  <c r="P564" i="12" a="1"/>
  <c r="P377" i="12" a="1"/>
  <c r="P380" i="12" a="1"/>
  <c r="P383" i="12" a="1"/>
  <c r="P385" i="12" a="1"/>
  <c r="P387" i="12" a="1"/>
  <c r="P389" i="12" a="1"/>
  <c r="P391" i="12" a="1"/>
  <c r="P393" i="12" a="1"/>
  <c r="P1260" i="12" a="1"/>
  <c r="P1251" i="12" a="1"/>
  <c r="P1253" i="12" a="1"/>
  <c r="P1252" i="12" a="1"/>
  <c r="H64" i="4"/>
  <c r="H4" i="4"/>
  <c r="P797" i="12" a="1"/>
  <c r="P805" i="12" a="1"/>
  <c r="P809" i="12" a="1"/>
  <c r="P811" i="12" a="1"/>
  <c r="P815" i="12" a="1"/>
  <c r="P818" i="12" a="1"/>
  <c r="P821" i="12" a="1"/>
  <c r="P824" i="12" a="1"/>
  <c r="P827" i="12" a="1"/>
  <c r="P740" i="12" a="1"/>
  <c r="P743" i="12" a="1"/>
  <c r="P746" i="12" a="1"/>
  <c r="P749" i="12" a="1"/>
  <c r="P751" i="12" a="1"/>
  <c r="P753" i="12" a="1"/>
  <c r="P755" i="12" a="1"/>
  <c r="P757" i="12" a="1"/>
  <c r="P723" i="12" a="1"/>
  <c r="P726" i="12" a="1"/>
  <c r="P729" i="12" a="1"/>
  <c r="P732" i="12" a="1"/>
  <c r="P735" i="12" a="1"/>
  <c r="P736" i="12" a="1"/>
  <c r="P472" i="12" a="1"/>
  <c r="P475" i="12" a="1"/>
  <c r="P478" i="12" a="1"/>
  <c r="P481" i="12" a="1"/>
  <c r="P484" i="12" a="1"/>
  <c r="P487" i="12" a="1"/>
  <c r="P490" i="12" a="1"/>
  <c r="P494" i="12" a="1"/>
  <c r="P496" i="12" a="1"/>
  <c r="P499" i="12" a="1"/>
  <c r="P540" i="12" a="1"/>
  <c r="P544" i="12" a="1"/>
  <c r="P547" i="12" a="1"/>
  <c r="P550" i="12" a="1"/>
  <c r="P553" i="12" a="1"/>
  <c r="P558" i="12" a="1"/>
  <c r="P562" i="12" a="1"/>
  <c r="P566" i="12" a="1"/>
  <c r="P568" i="12" a="1"/>
  <c r="P570" i="12" a="1"/>
  <c r="P572" i="12" a="1"/>
  <c r="P574" i="12" a="1"/>
  <c r="P576" i="12" a="1"/>
  <c r="P577" i="12" a="1"/>
  <c r="P129" i="12" a="1"/>
  <c r="P131" i="12" a="1"/>
  <c r="P133" i="12" a="1"/>
  <c r="P135" i="12" a="1"/>
  <c r="P137" i="12" a="1"/>
  <c r="P139" i="12" a="1"/>
  <c r="P141" i="12" a="1"/>
  <c r="P143" i="12" a="1"/>
  <c r="P145" i="12" a="1"/>
  <c r="P147" i="12" a="1"/>
  <c r="P149" i="12" a="1"/>
  <c r="P151" i="12" a="1"/>
  <c r="P153" i="12" a="1"/>
  <c r="P155" i="12" a="1"/>
  <c r="P157" i="12" a="1"/>
  <c r="P159" i="12" a="1"/>
  <c r="P161" i="12" a="1"/>
  <c r="P164" i="12" a="1"/>
  <c r="P166" i="12" a="1"/>
  <c r="P167" i="12" a="1"/>
  <c r="P169" i="12" a="1"/>
  <c r="P171" i="12" a="1"/>
  <c r="P173" i="12" a="1"/>
  <c r="P175" i="12" a="1"/>
  <c r="P177" i="12" a="1"/>
  <c r="P179" i="12" a="1"/>
  <c r="P181" i="12" a="1"/>
  <c r="P183" i="12" a="1"/>
  <c r="P186" i="12" a="1"/>
  <c r="P187" i="12" a="1"/>
  <c r="P189" i="12" a="1"/>
  <c r="P191" i="12" a="1"/>
  <c r="P193" i="12" a="1"/>
  <c r="P195" i="12" a="1"/>
  <c r="P197" i="12" a="1"/>
  <c r="P199" i="12" a="1"/>
  <c r="P201" i="12" a="1"/>
  <c r="P202" i="12" a="1"/>
  <c r="P203" i="12" a="1"/>
  <c r="P209" i="12" a="1"/>
  <c r="P211" i="12" a="1"/>
  <c r="P213" i="12" a="1"/>
  <c r="P215" i="12" a="1"/>
  <c r="P217" i="12" a="1"/>
  <c r="P219" i="12" a="1"/>
  <c r="P221" i="12" a="1"/>
  <c r="P223" i="12" a="1"/>
  <c r="P225" i="12" a="1"/>
  <c r="P227" i="12" a="1"/>
  <c r="P229" i="12" a="1"/>
  <c r="P231" i="12" a="1"/>
  <c r="P233" i="12" a="1"/>
  <c r="P235" i="12" a="1"/>
  <c r="P237" i="12" a="1"/>
  <c r="P239" i="12" a="1"/>
  <c r="P241" i="12" a="1"/>
  <c r="P243" i="12" a="1"/>
  <c r="P245" i="12" a="1"/>
  <c r="P247" i="12" a="1"/>
  <c r="P249" i="12" a="1"/>
  <c r="P251" i="12" a="1"/>
  <c r="P253" i="12" a="1"/>
  <c r="P255" i="12" a="1"/>
  <c r="P257" i="12" a="1"/>
  <c r="P259" i="12" a="1"/>
  <c r="P261" i="12" a="1"/>
  <c r="P263" i="12" a="1"/>
  <c r="P265" i="12" a="1"/>
  <c r="P267" i="12" a="1"/>
  <c r="P269" i="12" a="1"/>
  <c r="P272" i="12" a="1"/>
  <c r="P274" i="12" a="1"/>
  <c r="P276" i="12" a="1"/>
  <c r="P278" i="12" a="1"/>
  <c r="P280" i="12" a="1"/>
  <c r="P282" i="12" a="1"/>
  <c r="P284" i="12" a="1"/>
  <c r="P286" i="12" a="1"/>
  <c r="P288" i="12" a="1"/>
  <c r="P290" i="12" a="1"/>
  <c r="P292" i="12" a="1"/>
  <c r="P294" i="12" a="1"/>
  <c r="P296" i="12" a="1"/>
  <c r="P298" i="12" a="1"/>
  <c r="P300" i="12" a="1"/>
  <c r="P302" i="12" a="1"/>
  <c r="P304" i="12" a="1"/>
  <c r="P306" i="12" a="1"/>
  <c r="P308" i="12" a="1"/>
  <c r="P310" i="12" a="1"/>
  <c r="P312" i="12" a="1"/>
  <c r="P314" i="12" a="1"/>
  <c r="P316" i="12" a="1"/>
  <c r="P318" i="12" a="1"/>
  <c r="P320" i="12" a="1"/>
  <c r="P322" i="12" a="1"/>
  <c r="P324" i="12" a="1"/>
  <c r="P326" i="12" a="1"/>
  <c r="P328" i="12" a="1"/>
  <c r="P330" i="12" a="1"/>
  <c r="P333" i="12" a="1"/>
  <c r="P335" i="12" a="1"/>
  <c r="P337" i="12" a="1"/>
  <c r="P339" i="12" a="1"/>
  <c r="P343" i="12" a="1"/>
  <c r="P346" i="12" a="1"/>
  <c r="P350" i="12" a="1"/>
  <c r="P792" i="12" a="1"/>
  <c r="P798" i="12" a="1"/>
  <c r="P800" i="12" a="1"/>
  <c r="P803" i="12" a="1"/>
  <c r="P806" i="12" a="1"/>
  <c r="P808" i="12" a="1"/>
  <c r="P812" i="12" a="1"/>
  <c r="P813" i="12" a="1"/>
  <c r="P816" i="12" a="1"/>
  <c r="P819" i="12" a="1"/>
  <c r="P822" i="12" a="1"/>
  <c r="P825" i="12" a="1"/>
  <c r="P828" i="12" a="1"/>
  <c r="P741" i="12" a="1"/>
  <c r="P745" i="12" a="1"/>
  <c r="P748" i="12" a="1"/>
  <c r="P750" i="12" a="1"/>
  <c r="P752" i="12" a="1"/>
  <c r="P754" i="12" a="1"/>
  <c r="P756" i="12" a="1"/>
  <c r="P722" i="12" a="1"/>
  <c r="P725" i="12" a="1"/>
  <c r="P728" i="12" a="1"/>
  <c r="P731" i="12" a="1"/>
  <c r="P734" i="12" a="1"/>
  <c r="P471" i="12" a="1"/>
  <c r="P474" i="12" a="1"/>
  <c r="P477" i="12" a="1"/>
  <c r="P480" i="12" a="1"/>
  <c r="P483" i="12" a="1"/>
  <c r="P486" i="12" a="1"/>
  <c r="P489" i="12" a="1"/>
  <c r="P492" i="12" a="1"/>
  <c r="P495" i="12" a="1"/>
  <c r="P498" i="12" a="1"/>
  <c r="P500" i="12" a="1"/>
  <c r="P541" i="12" a="1"/>
  <c r="P545" i="12" a="1"/>
  <c r="P549" i="12" a="1"/>
  <c r="P555" i="12" a="1"/>
  <c r="P559" i="12" a="1"/>
  <c r="P342" i="12" a="1"/>
  <c r="P347" i="12" a="1"/>
  <c r="P351" i="12" a="1"/>
  <c r="P501" i="12" a="1"/>
  <c r="P502" i="12" a="1"/>
  <c r="P503" i="12" a="1"/>
  <c r="P504" i="12" a="1"/>
  <c r="P505" i="12" a="1"/>
  <c r="P506" i="12" a="1"/>
  <c r="P507" i="12" a="1"/>
  <c r="P508" i="12" a="1"/>
  <c r="P509" i="12" a="1"/>
  <c r="P510" i="12" a="1"/>
  <c r="P511" i="12" a="1"/>
  <c r="P512" i="12" a="1"/>
  <c r="P513" i="12" a="1"/>
  <c r="P514" i="12" a="1"/>
  <c r="P515" i="12" a="1"/>
  <c r="P516" i="12" a="1"/>
  <c r="P517" i="12" a="1"/>
  <c r="P518" i="12" a="1"/>
  <c r="P519" i="12" a="1"/>
  <c r="P520" i="12" a="1"/>
  <c r="P521" i="12" a="1"/>
  <c r="P522" i="12" a="1"/>
  <c r="P523" i="12" a="1"/>
  <c r="P524" i="12" a="1"/>
  <c r="P525" i="12" a="1"/>
  <c r="P526" i="12" a="1"/>
  <c r="P527" i="12" a="1"/>
  <c r="P528" i="12" a="1"/>
  <c r="P529" i="12" a="1"/>
  <c r="P530" i="12" a="1"/>
  <c r="P531" i="12" a="1"/>
  <c r="P532" i="12" a="1"/>
  <c r="P533" i="12" a="1"/>
  <c r="P534" i="12" a="1"/>
  <c r="P535" i="12" a="1"/>
  <c r="P536" i="12" a="1"/>
  <c r="P537" i="12" a="1"/>
  <c r="P539" i="12" a="1"/>
  <c r="P543" i="12" a="1"/>
  <c r="P548" i="12" a="1"/>
  <c r="P552" i="12" a="1"/>
  <c r="P556" i="12" a="1"/>
  <c r="P560" i="12" a="1"/>
  <c r="P563" i="12" a="1"/>
  <c r="P567" i="12" a="1"/>
  <c r="P569" i="12" a="1"/>
  <c r="P571" i="12" a="1"/>
  <c r="P573" i="12" a="1"/>
  <c r="P575" i="12" a="1"/>
  <c r="P128" i="12" a="1"/>
  <c r="P130" i="12" a="1"/>
  <c r="P132" i="12" a="1"/>
  <c r="P134" i="12" a="1"/>
  <c r="P136" i="12" a="1"/>
  <c r="P138" i="12" a="1"/>
  <c r="P140" i="12" a="1"/>
  <c r="P142" i="12" a="1"/>
  <c r="P144" i="12" a="1"/>
  <c r="P146" i="12" a="1"/>
  <c r="P148" i="12" a="1"/>
  <c r="P150" i="12" a="1"/>
  <c r="P152" i="12" a="1"/>
  <c r="P154" i="12" a="1"/>
  <c r="P156" i="12" a="1"/>
  <c r="P158" i="12" a="1"/>
  <c r="P160" i="12" a="1"/>
  <c r="P162" i="12" a="1"/>
  <c r="P163" i="12" a="1"/>
  <c r="P165" i="12" a="1"/>
  <c r="P168" i="12" a="1"/>
  <c r="P170" i="12" a="1"/>
  <c r="P172" i="12" a="1"/>
  <c r="P174" i="12" a="1"/>
  <c r="P176" i="12" a="1"/>
  <c r="P178" i="12" a="1"/>
  <c r="P180" i="12" a="1"/>
  <c r="P182" i="12" a="1"/>
  <c r="P184" i="12" a="1"/>
  <c r="P185" i="12" a="1"/>
  <c r="P188" i="12" a="1"/>
  <c r="P190" i="12" a="1"/>
  <c r="P192" i="12" a="1"/>
  <c r="P194" i="12" a="1"/>
  <c r="P196" i="12" a="1"/>
  <c r="P198" i="12" a="1"/>
  <c r="P200" i="12" a="1"/>
  <c r="P204" i="12" a="1"/>
  <c r="P205" i="12" a="1"/>
  <c r="P206" i="12" a="1"/>
  <c r="P207" i="12" a="1"/>
  <c r="P208" i="12" a="1"/>
  <c r="P210" i="12" a="1"/>
  <c r="P212" i="12" a="1"/>
  <c r="P214" i="12" a="1"/>
  <c r="P216" i="12" a="1"/>
  <c r="P218" i="12" a="1"/>
  <c r="P220" i="12" a="1"/>
  <c r="P222" i="12" a="1"/>
  <c r="P224" i="12" a="1"/>
  <c r="P226" i="12" a="1"/>
  <c r="P228" i="12" a="1"/>
  <c r="P230" i="12" a="1"/>
  <c r="P232" i="12" a="1"/>
  <c r="P234" i="12" a="1"/>
  <c r="P236" i="12" a="1"/>
  <c r="P238" i="12" a="1"/>
  <c r="P240" i="12" a="1"/>
  <c r="P242" i="12" a="1"/>
  <c r="P244" i="12" a="1"/>
  <c r="P246" i="12" a="1"/>
  <c r="P248" i="12" a="1"/>
  <c r="P250" i="12" a="1"/>
  <c r="P252" i="12" a="1"/>
  <c r="P254" i="12" a="1"/>
  <c r="P256" i="12" a="1"/>
  <c r="P258" i="12" a="1"/>
  <c r="P260" i="12" a="1"/>
  <c r="P262" i="12" a="1"/>
  <c r="P264" i="12" a="1"/>
  <c r="P266" i="12" a="1"/>
  <c r="P268" i="12" a="1"/>
  <c r="P270" i="12" a="1"/>
  <c r="P271" i="12" a="1"/>
  <c r="P273" i="12" a="1"/>
  <c r="P275" i="12" a="1"/>
  <c r="P277" i="12" a="1"/>
  <c r="P279" i="12" a="1"/>
  <c r="P281" i="12" a="1"/>
  <c r="P283" i="12" a="1"/>
  <c r="P285" i="12" a="1"/>
  <c r="P287" i="12" a="1"/>
  <c r="P289" i="12" a="1"/>
  <c r="P291" i="12" a="1"/>
  <c r="P293" i="12" a="1"/>
  <c r="P295" i="12" a="1"/>
  <c r="P297" i="12" a="1"/>
  <c r="P299" i="12" a="1"/>
  <c r="P301" i="12" a="1"/>
  <c r="P303" i="12" a="1"/>
  <c r="P305" i="12" a="1"/>
  <c r="P307" i="12" a="1"/>
  <c r="P309" i="12" a="1"/>
  <c r="P311" i="12" a="1"/>
  <c r="P313" i="12" a="1"/>
  <c r="P315" i="12" a="1"/>
  <c r="P317" i="12" a="1"/>
  <c r="P319" i="12" a="1"/>
  <c r="P321" i="12" a="1"/>
  <c r="P323" i="12" a="1"/>
  <c r="P325" i="12" a="1"/>
  <c r="P327" i="12" a="1"/>
  <c r="P329" i="12" a="1"/>
  <c r="P331" i="12" a="1"/>
  <c r="P332" i="12" a="1"/>
  <c r="P334" i="12" a="1"/>
  <c r="P336" i="12" a="1"/>
  <c r="P338" i="12" a="1"/>
  <c r="P341" i="12" a="1"/>
  <c r="P345" i="12" a="1"/>
  <c r="P349" i="12" a="1"/>
  <c r="P1067" i="12" a="1"/>
  <c r="P1068" i="12" a="1"/>
  <c r="P1069" i="12" a="1"/>
  <c r="P1070" i="12" a="1"/>
  <c r="P1071" i="12" a="1"/>
  <c r="P1072" i="12" a="1"/>
  <c r="P1073" i="12" a="1"/>
  <c r="P1074" i="12" a="1"/>
  <c r="P1075" i="12" a="1"/>
  <c r="P1076" i="12" a="1"/>
  <c r="P1077" i="12" a="1"/>
  <c r="P1078" i="12" a="1"/>
  <c r="P1079" i="12" a="1"/>
  <c r="P1080" i="12" a="1"/>
  <c r="P1081" i="12" a="1"/>
  <c r="P830" i="12" a="1"/>
  <c r="P831" i="12" a="1"/>
  <c r="P832" i="12" a="1"/>
  <c r="P833" i="12" a="1"/>
  <c r="P834" i="12" a="1"/>
  <c r="P835" i="12" a="1"/>
  <c r="P836" i="12" a="1"/>
  <c r="P837" i="12" a="1"/>
  <c r="P838" i="12" a="1"/>
  <c r="P839" i="12" a="1"/>
  <c r="P840" i="12" a="1"/>
  <c r="P841" i="12" a="1"/>
  <c r="P842" i="12" a="1"/>
  <c r="P843" i="12" a="1"/>
  <c r="P844" i="12" a="1"/>
  <c r="P845" i="12" a="1"/>
  <c r="P846" i="12" a="1"/>
  <c r="P847" i="12" a="1"/>
  <c r="P758" i="12" a="1"/>
  <c r="P759" i="12" a="1"/>
  <c r="P760" i="12" a="1"/>
  <c r="P761" i="12" a="1"/>
  <c r="P762" i="12" a="1"/>
  <c r="P763" i="12" a="1"/>
  <c r="P764" i="12" a="1"/>
  <c r="P765" i="12" a="1"/>
  <c r="P766" i="12" a="1"/>
  <c r="P767" i="12" a="1"/>
  <c r="P768" i="12" a="1"/>
  <c r="P769" i="12" a="1"/>
  <c r="P770" i="12" a="1"/>
  <c r="P771" i="12" a="1"/>
  <c r="P772" i="12" a="1"/>
  <c r="P773" i="12" a="1"/>
  <c r="P774" i="12" a="1"/>
  <c r="P775" i="12" a="1"/>
  <c r="P776" i="12" a="1"/>
  <c r="P777" i="12" a="1"/>
  <c r="P778" i="12" a="1"/>
  <c r="P779" i="12" a="1"/>
  <c r="P780" i="12" a="1"/>
  <c r="P781" i="12" a="1"/>
  <c r="P782" i="12" a="1"/>
  <c r="P783" i="12" a="1"/>
  <c r="P784" i="12" a="1"/>
  <c r="P785" i="12" a="1"/>
  <c r="P786" i="12" a="1"/>
  <c r="P787" i="12" a="1"/>
  <c r="P788" i="12" a="1"/>
  <c r="P789" i="12" a="1"/>
  <c r="P790" i="12" a="1"/>
  <c r="P791" i="12" a="1"/>
  <c r="P793" i="12" a="1"/>
  <c r="P794" i="12" a="1"/>
  <c r="P795" i="12" a="1"/>
  <c r="P796" i="12" a="1"/>
  <c r="P799" i="12" a="1"/>
  <c r="P801" i="12" a="1"/>
  <c r="P802" i="12" a="1"/>
  <c r="P804" i="12" a="1"/>
  <c r="P807" i="12" a="1"/>
  <c r="P810" i="12" a="1"/>
  <c r="P814" i="12" a="1"/>
  <c r="P817" i="12" a="1"/>
  <c r="P820" i="12" a="1"/>
  <c r="P823" i="12" a="1"/>
  <c r="P826" i="12" a="1"/>
  <c r="P829" i="12" a="1"/>
  <c r="P742" i="12" a="1"/>
  <c r="P744" i="12" a="1"/>
  <c r="P747" i="12" a="1"/>
  <c r="P724" i="12" a="1"/>
  <c r="P727" i="12" a="1"/>
  <c r="P730" i="12" a="1"/>
  <c r="P733" i="12" a="1"/>
  <c r="P470" i="12" a="1"/>
  <c r="P473" i="12" a="1"/>
  <c r="P476" i="12" a="1"/>
  <c r="P479" i="12" a="1"/>
  <c r="P482" i="12" a="1"/>
  <c r="P485" i="12" a="1"/>
  <c r="P488" i="12" a="1"/>
  <c r="P491" i="12" a="1"/>
  <c r="P493" i="12" a="1"/>
  <c r="P497" i="12" a="1"/>
  <c r="P538" i="12" a="1"/>
  <c r="P542" i="12" a="1"/>
  <c r="P546" i="12" a="1"/>
  <c r="P551" i="12" a="1"/>
  <c r="P554" i="12" a="1"/>
  <c r="P557" i="12" a="1"/>
  <c r="P561" i="12" a="1"/>
  <c r="P340" i="12" a="1"/>
  <c r="P344" i="12" a="1"/>
  <c r="P348" i="12" a="1"/>
  <c r="P1010" i="12" a="1"/>
  <c r="P1011" i="12" a="1"/>
  <c r="P1012" i="12" a="1"/>
  <c r="P1013" i="12" a="1"/>
  <c r="P1014" i="12" a="1"/>
  <c r="P1015" i="12" a="1"/>
  <c r="P1016" i="12" a="1"/>
  <c r="P1017" i="12" a="1"/>
  <c r="P1018" i="12" a="1"/>
  <c r="P1019" i="12" a="1"/>
  <c r="P1020" i="12" a="1"/>
  <c r="P1021" i="12" a="1"/>
  <c r="P1022" i="12" a="1"/>
  <c r="P1023" i="12" a="1"/>
  <c r="P1024" i="12" a="1"/>
  <c r="P1025" i="12" a="1"/>
  <c r="P1026" i="12" a="1"/>
  <c r="P1027" i="12" a="1"/>
  <c r="P1028" i="12" a="1"/>
  <c r="P1029" i="12" a="1"/>
  <c r="P1030" i="12" a="1"/>
  <c r="P1031" i="12" a="1"/>
  <c r="P1032" i="12" a="1"/>
  <c r="P1033" i="12" a="1"/>
  <c r="P1034" i="12" a="1"/>
  <c r="P1035" i="12" a="1"/>
  <c r="P1036" i="12" a="1"/>
  <c r="P1037" i="12" a="1"/>
  <c r="P1038" i="12" a="1"/>
  <c r="P1039" i="12" a="1"/>
  <c r="P1040" i="12" a="1"/>
  <c r="P1041" i="12" a="1"/>
  <c r="P1042" i="12" a="1"/>
  <c r="P1043" i="12" a="1"/>
  <c r="P1044" i="12" a="1"/>
  <c r="P1045" i="12" a="1"/>
  <c r="P1046" i="12" a="1"/>
  <c r="P1047" i="12" a="1"/>
  <c r="P1048" i="12" a="1"/>
  <c r="P1049" i="12" a="1"/>
  <c r="P1050" i="12" a="1"/>
  <c r="P1051" i="12" a="1"/>
  <c r="P1052" i="12" a="1"/>
  <c r="P1053" i="12" a="1"/>
  <c r="P1054" i="12" a="1"/>
  <c r="P1055" i="12" a="1"/>
  <c r="P1056" i="12" a="1"/>
  <c r="P1057" i="12" a="1"/>
  <c r="P1058" i="12" a="1"/>
  <c r="P1059" i="12" a="1"/>
  <c r="P1060" i="12" a="1"/>
  <c r="P1061" i="12" a="1"/>
  <c r="P1062" i="12" a="1"/>
  <c r="P1063" i="12" a="1"/>
  <c r="P1064" i="12" a="1"/>
  <c r="P1065" i="12" a="1"/>
  <c r="P1066" i="12" a="1"/>
  <c r="P737" i="12" a="1"/>
  <c r="P738" i="12" a="1"/>
  <c r="P739" i="12" a="1"/>
  <c r="P704" i="12" a="1"/>
  <c r="P705" i="12" a="1"/>
  <c r="P706" i="12" a="1"/>
  <c r="P707" i="12" a="1"/>
  <c r="P708" i="12" a="1"/>
  <c r="P709" i="12" a="1"/>
  <c r="P710" i="12" a="1"/>
  <c r="P711" i="12" a="1"/>
  <c r="P712" i="12" a="1"/>
  <c r="P713" i="12" a="1"/>
  <c r="P714" i="12" a="1"/>
  <c r="P715" i="12" a="1"/>
  <c r="P716" i="12" a="1"/>
  <c r="P717" i="12" a="1"/>
  <c r="P718" i="12" a="1"/>
  <c r="P719" i="12" a="1"/>
  <c r="P720" i="12" a="1"/>
  <c r="P721" i="12" a="1"/>
  <c r="P686" i="12" a="1"/>
  <c r="P687" i="12" a="1"/>
  <c r="P688" i="12" a="1"/>
  <c r="P689" i="12" a="1"/>
  <c r="P690" i="12" a="1"/>
  <c r="P691" i="12" a="1"/>
  <c r="P692" i="12" a="1"/>
  <c r="P693" i="12" a="1"/>
  <c r="P694" i="12" a="1"/>
  <c r="P695" i="12" a="1"/>
  <c r="P696" i="12" a="1"/>
  <c r="P697" i="12" a="1"/>
  <c r="P698" i="12" a="1"/>
  <c r="P699" i="12" a="1"/>
  <c r="P700" i="12" a="1"/>
  <c r="P701" i="12" a="1"/>
  <c r="P702" i="12" a="1"/>
  <c r="P703" i="12" a="1"/>
  <c r="P668" i="12" a="1"/>
  <c r="P669" i="12" a="1"/>
  <c r="P670" i="12" a="1"/>
  <c r="P671" i="12" a="1"/>
  <c r="P672" i="12" a="1"/>
  <c r="P673" i="12" a="1"/>
  <c r="P674" i="12" a="1"/>
  <c r="P675" i="12" a="1"/>
  <c r="P676" i="12" a="1"/>
  <c r="P677" i="12" a="1"/>
  <c r="P678" i="12" a="1"/>
  <c r="P679" i="12" a="1"/>
  <c r="P680" i="12" a="1"/>
  <c r="P681" i="12" a="1"/>
  <c r="P682" i="12" a="1"/>
  <c r="P683" i="12" a="1"/>
  <c r="P684" i="12" a="1"/>
  <c r="P685" i="12" a="1"/>
  <c r="P650" i="12" a="1"/>
  <c r="P651" i="12" a="1"/>
  <c r="P652" i="12" a="1"/>
  <c r="P653" i="12" a="1"/>
  <c r="P654" i="12" a="1"/>
  <c r="P655" i="12" a="1"/>
  <c r="P656" i="12" a="1"/>
  <c r="P657" i="12" a="1"/>
  <c r="P658" i="12" a="1"/>
  <c r="P659" i="12" a="1"/>
  <c r="P660" i="12" a="1"/>
  <c r="P661" i="12" a="1"/>
  <c r="P662" i="12" a="1"/>
  <c r="P663" i="12" a="1"/>
  <c r="P664" i="12" a="1"/>
  <c r="P665" i="12" a="1"/>
  <c r="P666" i="12" a="1"/>
  <c r="P667" i="12" a="1"/>
  <c r="P632" i="12" a="1"/>
  <c r="P633" i="12" a="1"/>
  <c r="P634" i="12" a="1"/>
  <c r="P635" i="12" a="1"/>
  <c r="P636" i="12" a="1"/>
  <c r="P637" i="12" a="1"/>
  <c r="P638" i="12" a="1"/>
  <c r="P639" i="12" a="1"/>
  <c r="P640" i="12" a="1"/>
  <c r="P641" i="12" a="1"/>
  <c r="P642" i="12" a="1"/>
  <c r="P643" i="12" a="1"/>
  <c r="P644" i="12" a="1"/>
  <c r="P645" i="12" a="1"/>
  <c r="P646" i="12" a="1"/>
  <c r="P647" i="12" a="1"/>
  <c r="P648" i="12" a="1"/>
  <c r="P649" i="12" a="1"/>
  <c r="P614" i="12" a="1"/>
  <c r="P615" i="12" a="1"/>
  <c r="P616" i="12" a="1"/>
  <c r="P617" i="12" a="1"/>
  <c r="P618" i="12" a="1"/>
  <c r="P619" i="12" a="1"/>
  <c r="P620" i="12" a="1"/>
  <c r="P621" i="12" a="1"/>
  <c r="P622" i="12" a="1"/>
  <c r="P623" i="12" a="1"/>
  <c r="P624" i="12" a="1"/>
  <c r="P625" i="12" a="1"/>
  <c r="P626" i="12" a="1"/>
  <c r="P627" i="12" a="1"/>
  <c r="P628" i="12" a="1"/>
  <c r="P629" i="12" a="1"/>
  <c r="P630" i="12" a="1"/>
  <c r="P631" i="12" a="1"/>
  <c r="P596" i="12" a="1"/>
  <c r="P597" i="12" a="1"/>
  <c r="P598" i="12" a="1"/>
  <c r="P599" i="12" a="1"/>
  <c r="P600" i="12" a="1"/>
  <c r="P601" i="12" a="1"/>
  <c r="P602" i="12" a="1"/>
  <c r="P603" i="12" a="1"/>
  <c r="P604" i="12" a="1"/>
  <c r="P605" i="12" a="1"/>
  <c r="P606" i="12" a="1"/>
  <c r="P607" i="12" a="1"/>
  <c r="P608" i="12" a="1"/>
  <c r="P609" i="12" a="1"/>
  <c r="P610" i="12" a="1"/>
  <c r="P611" i="12" a="1"/>
  <c r="P612" i="12" a="1"/>
  <c r="P613" i="12" a="1"/>
  <c r="P578" i="12" a="1"/>
  <c r="P579" i="12" a="1"/>
  <c r="P580" i="12" a="1"/>
  <c r="P581" i="12" a="1"/>
  <c r="P582" i="12" a="1"/>
  <c r="P583" i="12" a="1"/>
  <c r="P584" i="12" a="1"/>
  <c r="P585" i="12" a="1"/>
  <c r="P586" i="12" a="1"/>
  <c r="P587" i="12" a="1"/>
  <c r="P588" i="12" a="1"/>
  <c r="P589" i="12" a="1"/>
  <c r="P590" i="12" a="1"/>
  <c r="P591" i="12" a="1"/>
  <c r="P592" i="12" a="1"/>
  <c r="P593" i="12" a="1"/>
  <c r="P594" i="12" a="1"/>
  <c r="P595" i="12" a="1"/>
  <c r="H38" i="4"/>
  <c r="H77" i="4"/>
  <c r="P1231" i="12" a="1"/>
  <c r="P1236" i="12" a="1"/>
  <c r="P1238" i="12" a="1"/>
  <c r="P1240" i="12" a="1"/>
  <c r="P1242" i="12" a="1"/>
  <c r="P1172" i="12" a="1"/>
  <c r="P1174" i="12" a="1"/>
  <c r="P1176" i="12" a="1"/>
  <c r="P1178" i="12" a="1"/>
  <c r="P1182" i="12" a="1"/>
  <c r="P1184" i="12" a="1"/>
  <c r="P1187" i="12" a="1"/>
  <c r="P1189" i="12" a="1"/>
  <c r="P1191" i="12" a="1"/>
  <c r="P1193" i="12" a="1"/>
  <c r="P1195" i="12" a="1"/>
  <c r="P1198" i="12" a="1"/>
  <c r="P1200" i="12" a="1"/>
  <c r="P1203" i="12" a="1"/>
  <c r="P1205" i="12" a="1"/>
  <c r="P1207" i="12" a="1"/>
  <c r="P1164" i="12" a="1"/>
  <c r="P1146" i="12" a="1"/>
  <c r="P1136" i="12" a="1"/>
  <c r="P1138" i="12" a="1"/>
  <c r="P1141" i="12" a="1"/>
  <c r="P1143" i="12" a="1"/>
  <c r="P1147" i="12" a="1"/>
  <c r="P1149" i="12" a="1"/>
  <c r="P1151" i="12" a="1"/>
  <c r="P1154" i="12" a="1"/>
  <c r="P1158" i="12" a="1"/>
  <c r="P1161" i="12" a="1"/>
  <c r="P1166" i="12" a="1"/>
  <c r="P1168" i="12" a="1"/>
  <c r="P1169" i="12" a="1"/>
  <c r="P1171" i="12" a="1"/>
  <c r="P1165" i="12" a="1"/>
  <c r="P1156" i="12" a="1"/>
  <c r="P1181" i="12" a="1"/>
  <c r="P1197" i="12" a="1"/>
  <c r="P1083" i="12" a="1"/>
  <c r="P1085" i="12" a="1"/>
  <c r="P1087" i="12" a="1"/>
  <c r="P1089" i="12" a="1"/>
  <c r="P1092" i="12" a="1"/>
  <c r="P1093" i="12" a="1"/>
  <c r="P1095" i="12" a="1"/>
  <c r="P1097" i="12" a="1"/>
  <c r="P1100" i="12" a="1"/>
  <c r="P1102" i="12" a="1"/>
  <c r="P1104" i="12" a="1"/>
  <c r="P1106" i="12" a="1"/>
  <c r="P1108" i="12" a="1"/>
  <c r="P1110" i="12" a="1"/>
  <c r="P1112" i="12" a="1"/>
  <c r="P1113" i="12" a="1"/>
  <c r="P1115" i="12" a="1"/>
  <c r="P1117" i="12" a="1"/>
  <c r="P1119" i="12" a="1"/>
  <c r="P1121" i="12" a="1"/>
  <c r="P1123" i="12" a="1"/>
  <c r="P1125" i="12" a="1"/>
  <c r="P1127" i="12" a="1"/>
  <c r="P1129" i="12" a="1"/>
  <c r="P1131" i="12" a="1"/>
  <c r="P1134" i="12" a="1"/>
  <c r="P848" i="12" a="1"/>
  <c r="P850" i="12" a="1"/>
  <c r="P852" i="12" a="1"/>
  <c r="P855" i="12" a="1"/>
  <c r="P857" i="12" a="1"/>
  <c r="P859" i="12" a="1"/>
  <c r="P861" i="12" a="1"/>
  <c r="P863" i="12" a="1"/>
  <c r="P864" i="12" a="1"/>
  <c r="P865" i="12" a="1"/>
  <c r="P866" i="12" a="1"/>
  <c r="P867" i="12" a="1"/>
  <c r="P868" i="12" a="1"/>
  <c r="P869" i="12" a="1"/>
  <c r="P870" i="12" a="1"/>
  <c r="P871" i="12" a="1"/>
  <c r="P872" i="12" a="1"/>
  <c r="P874" i="12" a="1"/>
  <c r="P876" i="12" a="1"/>
  <c r="P883" i="12" a="1"/>
  <c r="P886" i="12" a="1"/>
  <c r="P888" i="12" a="1"/>
  <c r="P890" i="12" a="1"/>
  <c r="P892" i="12" a="1"/>
  <c r="P894" i="12" a="1"/>
  <c r="P896" i="12" a="1"/>
  <c r="P898" i="12" a="1"/>
  <c r="P900" i="12" a="1"/>
  <c r="P901" i="12" a="1"/>
  <c r="P903" i="12" a="1"/>
  <c r="P905" i="12" a="1"/>
  <c r="P907" i="12" a="1"/>
  <c r="P909" i="12" a="1"/>
  <c r="P912" i="12" a="1"/>
  <c r="P914" i="12" a="1"/>
  <c r="P916" i="12" a="1"/>
  <c r="P917" i="12" a="1"/>
  <c r="P919" i="12" a="1"/>
  <c r="P920" i="12" a="1"/>
  <c r="P922" i="12" a="1"/>
  <c r="P924" i="12" a="1"/>
  <c r="P926" i="12" a="1"/>
  <c r="P928" i="12" a="1"/>
  <c r="P930" i="12" a="1"/>
  <c r="P932" i="12" a="1"/>
  <c r="P934" i="12" a="1"/>
  <c r="P936" i="12" a="1"/>
  <c r="P938" i="12" a="1"/>
  <c r="P940" i="12" a="1"/>
  <c r="P942" i="12" a="1"/>
  <c r="P944" i="12" a="1"/>
  <c r="P946" i="12" a="1"/>
  <c r="P948" i="12" a="1"/>
  <c r="P950" i="12" a="1"/>
  <c r="P952" i="12" a="1"/>
  <c r="P954" i="12" a="1"/>
  <c r="P955" i="12" a="1"/>
  <c r="P958" i="12" a="1"/>
  <c r="P959" i="12" a="1"/>
  <c r="P961" i="12" a="1"/>
  <c r="P1226" i="12" a="1"/>
  <c r="P1227" i="12" a="1"/>
  <c r="P1228" i="12" a="1"/>
  <c r="P1229" i="12" a="1"/>
  <c r="P1230" i="12" a="1"/>
  <c r="P1232" i="12" a="1"/>
  <c r="P1233" i="12" a="1"/>
  <c r="P1234" i="12" a="1"/>
  <c r="P1235" i="12" a="1"/>
  <c r="P1237" i="12" a="1"/>
  <c r="P1239" i="12" a="1"/>
  <c r="P1241" i="12" a="1"/>
  <c r="P1243" i="12" a="1"/>
  <c r="P1221" i="12" a="1"/>
  <c r="P1173" i="12" a="1"/>
  <c r="P1175" i="12" a="1"/>
  <c r="P1177" i="12" a="1"/>
  <c r="P1179" i="12" a="1"/>
  <c r="P1180" i="12" a="1"/>
  <c r="P1183" i="12" a="1"/>
  <c r="P1185" i="12" a="1"/>
  <c r="P1188" i="12" a="1"/>
  <c r="P1190" i="12" a="1"/>
  <c r="P1192" i="12" a="1"/>
  <c r="P1194" i="12" a="1"/>
  <c r="P1196" i="12" a="1"/>
  <c r="P1199" i="12" a="1"/>
  <c r="P1201" i="12" a="1"/>
  <c r="P1204" i="12" a="1"/>
  <c r="P1206" i="12" a="1"/>
  <c r="P1163" i="12" a="1"/>
  <c r="P1145" i="12" a="1"/>
  <c r="P1137" i="12" a="1"/>
  <c r="P1139" i="12" a="1"/>
  <c r="P1142" i="12" a="1"/>
  <c r="P1144" i="12" a="1"/>
  <c r="P1148" i="12" a="1"/>
  <c r="P1150" i="12" a="1"/>
  <c r="P1152" i="12" a="1"/>
  <c r="P1153" i="12" a="1"/>
  <c r="P1155" i="12" a="1"/>
  <c r="P1159" i="12" a="1"/>
  <c r="P1162" i="12" a="1"/>
  <c r="P1167" i="12" a="1"/>
  <c r="P1170" i="12" a="1"/>
  <c r="P1160" i="12" a="1"/>
  <c r="P1140" i="12" a="1"/>
  <c r="P1157" i="12" a="1"/>
  <c r="P1186" i="12" a="1"/>
  <c r="P1202" i="12" a="1"/>
  <c r="P1082" i="12" a="1"/>
  <c r="P1084" i="12" a="1"/>
  <c r="P1086" i="12" a="1"/>
  <c r="P1088" i="12" a="1"/>
  <c r="P1090" i="12" a="1"/>
  <c r="P1091" i="12" a="1"/>
  <c r="P1094" i="12" a="1"/>
  <c r="P1096" i="12" a="1"/>
  <c r="P1098" i="12" a="1"/>
  <c r="P1099" i="12" a="1"/>
  <c r="P1101" i="12" a="1"/>
  <c r="P1103" i="12" a="1"/>
  <c r="P1105" i="12" a="1"/>
  <c r="P1107" i="12" a="1"/>
  <c r="P1109" i="12" a="1"/>
  <c r="P1111" i="12" a="1"/>
  <c r="P1114" i="12" a="1"/>
  <c r="P1116" i="12" a="1"/>
  <c r="P1118" i="12" a="1"/>
  <c r="P1120" i="12" a="1"/>
  <c r="P1122" i="12" a="1"/>
  <c r="P1124" i="12" a="1"/>
  <c r="P1126" i="12" a="1"/>
  <c r="P1128" i="12" a="1"/>
  <c r="P1130" i="12" a="1"/>
  <c r="P1132" i="12" a="1"/>
  <c r="P1133" i="12" a="1"/>
  <c r="P1135" i="12" a="1"/>
  <c r="P849" i="12" a="1"/>
  <c r="P851" i="12" a="1"/>
  <c r="P853" i="12" a="1"/>
  <c r="P854" i="12" a="1"/>
  <c r="P856" i="12" a="1"/>
  <c r="P858" i="12" a="1"/>
  <c r="P860" i="12" a="1"/>
  <c r="P862" i="12" a="1"/>
  <c r="P873" i="12" a="1"/>
  <c r="P875" i="12" a="1"/>
  <c r="P877" i="12" a="1"/>
  <c r="P878" i="12" a="1"/>
  <c r="P879" i="12" a="1"/>
  <c r="P880" i="12" a="1"/>
  <c r="P881" i="12" a="1"/>
  <c r="P882" i="12" a="1"/>
  <c r="P884" i="12" a="1"/>
  <c r="P885" i="12" a="1"/>
  <c r="P887" i="12" a="1"/>
  <c r="P889" i="12" a="1"/>
  <c r="P891" i="12" a="1"/>
  <c r="P893" i="12" a="1"/>
  <c r="P895" i="12" a="1"/>
  <c r="P897" i="12" a="1"/>
  <c r="P899" i="12" a="1"/>
  <c r="P902" i="12" a="1"/>
  <c r="P904" i="12" a="1"/>
  <c r="P906" i="12" a="1"/>
  <c r="P908" i="12" a="1"/>
  <c r="P910" i="12" a="1"/>
  <c r="P911" i="12" a="1"/>
  <c r="P913" i="12" a="1"/>
  <c r="P915" i="12" a="1"/>
  <c r="P918" i="12" a="1"/>
  <c r="P921" i="12" a="1"/>
  <c r="P923" i="12" a="1"/>
  <c r="P925" i="12" a="1"/>
  <c r="P927" i="12" a="1"/>
  <c r="P929" i="12" a="1"/>
  <c r="P931" i="12" a="1"/>
  <c r="P933" i="12" a="1"/>
  <c r="P935" i="12" a="1"/>
  <c r="P937" i="12" a="1"/>
  <c r="P939" i="12" a="1"/>
  <c r="P941" i="12" a="1"/>
  <c r="P943" i="12" a="1"/>
  <c r="P945" i="12" a="1"/>
  <c r="P947" i="12" a="1"/>
  <c r="P949" i="12" a="1"/>
  <c r="P951" i="12" a="1"/>
  <c r="P953" i="12" a="1"/>
  <c r="P956" i="12" a="1"/>
  <c r="P957" i="12" a="1"/>
  <c r="P960" i="12" a="1"/>
  <c r="P962" i="12" a="1"/>
  <c r="P963" i="12" a="1"/>
  <c r="P964" i="12" a="1"/>
  <c r="P965" i="12" a="1"/>
  <c r="P966" i="12" a="1"/>
  <c r="P967" i="12" a="1"/>
  <c r="P968" i="12" a="1"/>
  <c r="P969" i="12" a="1"/>
  <c r="P970" i="12" a="1"/>
  <c r="P971" i="12" a="1"/>
  <c r="P972" i="12" a="1"/>
  <c r="P973" i="12" a="1"/>
  <c r="P974" i="12" a="1"/>
  <c r="P975" i="12" a="1"/>
  <c r="P976" i="12" a="1"/>
  <c r="P977" i="12" a="1"/>
  <c r="P978" i="12" a="1"/>
  <c r="P979" i="12" a="1"/>
  <c r="P980" i="12" a="1"/>
  <c r="P981" i="12" a="1"/>
  <c r="P982" i="12" a="1"/>
  <c r="P983" i="12" a="1"/>
  <c r="P984" i="12" a="1"/>
  <c r="P985" i="12" a="1"/>
  <c r="P986" i="12" a="1"/>
  <c r="P987" i="12" a="1"/>
  <c r="P988" i="12" a="1"/>
  <c r="P989" i="12" a="1"/>
  <c r="P990" i="12" a="1"/>
  <c r="P991" i="12" a="1"/>
  <c r="P992" i="12" a="1"/>
  <c r="P993" i="12" a="1"/>
  <c r="P994" i="12" a="1"/>
  <c r="P995" i="12" a="1"/>
  <c r="P996" i="12" a="1"/>
  <c r="P997" i="12" a="1"/>
  <c r="P998" i="12" a="1"/>
  <c r="P999" i="12" a="1"/>
  <c r="P1000" i="12" a="1"/>
  <c r="P1001" i="12" a="1"/>
  <c r="P1002" i="12" a="1"/>
  <c r="P1003" i="12" a="1"/>
  <c r="P1004" i="12" a="1"/>
  <c r="P1005" i="12" a="1"/>
  <c r="P1006" i="12" a="1"/>
  <c r="P1007" i="12" a="1"/>
  <c r="P1008" i="12" a="1"/>
  <c r="P1009" i="12" a="1"/>
  <c r="P394" i="12" a="1"/>
  <c r="P395" i="12" a="1"/>
  <c r="P396" i="12" a="1"/>
  <c r="P397" i="12" a="1"/>
  <c r="P398" i="12" a="1"/>
  <c r="P399" i="12" a="1"/>
  <c r="P400" i="12" a="1"/>
  <c r="P401" i="12" a="1"/>
  <c r="P402" i="12" a="1"/>
  <c r="P403" i="12" a="1"/>
  <c r="P404" i="12" a="1"/>
  <c r="P405" i="12" a="1"/>
  <c r="P406" i="12" a="1"/>
  <c r="P407" i="12" a="1"/>
  <c r="P408" i="12" a="1"/>
  <c r="P409" i="12" a="1"/>
  <c r="P410" i="12" a="1"/>
  <c r="P411" i="12" a="1"/>
  <c r="P412" i="12" a="1"/>
  <c r="P413" i="12" a="1"/>
  <c r="P414" i="12" a="1"/>
  <c r="P415" i="12" a="1"/>
  <c r="P416" i="12" a="1"/>
  <c r="P417" i="12" a="1"/>
  <c r="P418" i="12" a="1"/>
  <c r="P419" i="12" a="1"/>
  <c r="P420" i="12" a="1"/>
  <c r="P421" i="12" a="1"/>
  <c r="P422" i="12" a="1"/>
  <c r="P423" i="12" a="1"/>
  <c r="P424" i="12" a="1"/>
  <c r="P425" i="12" a="1"/>
  <c r="P426" i="12" a="1"/>
  <c r="P427" i="12" a="1"/>
  <c r="P428" i="12" a="1"/>
  <c r="P429" i="12" a="1"/>
  <c r="P430" i="12" a="1"/>
  <c r="P431" i="12" a="1"/>
  <c r="P432" i="12" a="1"/>
  <c r="P433" i="12" a="1"/>
  <c r="P434" i="12" a="1"/>
  <c r="P435" i="12" a="1"/>
  <c r="P436" i="12" a="1"/>
  <c r="P437" i="12" a="1"/>
  <c r="P438" i="12" a="1"/>
  <c r="P439" i="12" a="1"/>
  <c r="P440" i="12" a="1"/>
  <c r="P441" i="12" a="1"/>
  <c r="P442" i="12" a="1"/>
  <c r="P443" i="12" a="1"/>
  <c r="P444" i="12" a="1"/>
  <c r="P445" i="12" a="1"/>
  <c r="P446" i="12" a="1"/>
  <c r="P447" i="12" a="1"/>
  <c r="P448" i="12" a="1"/>
  <c r="P449" i="12" a="1"/>
  <c r="P450" i="12" a="1"/>
  <c r="P451" i="12" a="1"/>
  <c r="P452" i="12" a="1"/>
  <c r="P453" i="12" a="1"/>
  <c r="P454" i="12" a="1"/>
  <c r="P455" i="12" a="1"/>
  <c r="P456" i="12" a="1"/>
  <c r="P457" i="12" a="1"/>
  <c r="P458" i="12" a="1"/>
  <c r="P459" i="12" a="1"/>
  <c r="P460" i="12" a="1"/>
  <c r="P461" i="12" a="1"/>
  <c r="P462" i="12" a="1"/>
  <c r="P463" i="12" a="1"/>
  <c r="P464" i="12" a="1"/>
  <c r="P465" i="12" a="1"/>
  <c r="P466" i="12" a="1"/>
  <c r="P467" i="12" a="1"/>
  <c r="P468" i="12" a="1"/>
  <c r="P469" i="12" a="1"/>
  <c r="P118" i="12" a="1"/>
  <c r="P119" i="12" a="1"/>
  <c r="P120" i="12" a="1"/>
  <c r="P121" i="12" a="1"/>
  <c r="P122" i="12" a="1"/>
  <c r="P123" i="12" a="1"/>
  <c r="P124" i="12" a="1"/>
  <c r="P125" i="12" a="1"/>
  <c r="P126" i="12" a="1"/>
  <c r="P127" i="12" a="1"/>
  <c r="P108" i="12" a="1"/>
  <c r="P109" i="12" a="1"/>
  <c r="P93" i="12" a="1"/>
  <c r="P94" i="12" a="1"/>
  <c r="P95" i="12" a="1"/>
  <c r="P96" i="12" a="1"/>
  <c r="P97" i="12" a="1"/>
  <c r="P98" i="12" a="1"/>
  <c r="P99" i="12" a="1"/>
  <c r="P100" i="12" a="1"/>
  <c r="P101" i="12" a="1"/>
  <c r="P102" i="12" a="1"/>
  <c r="P103" i="12" a="1"/>
  <c r="P104" i="12" a="1"/>
  <c r="P105" i="12" a="1"/>
  <c r="P106" i="12" a="1"/>
  <c r="P107" i="12" a="1"/>
  <c r="P74" i="12" a="1"/>
  <c r="P75" i="12" a="1"/>
  <c r="P76" i="12" a="1"/>
  <c r="P77" i="12" a="1"/>
  <c r="P78" i="12" a="1"/>
  <c r="P79" i="12" a="1"/>
  <c r="P80" i="12" a="1"/>
  <c r="P81" i="12" a="1"/>
  <c r="P82" i="12" a="1"/>
  <c r="P83" i="12" a="1"/>
  <c r="P84" i="12" a="1"/>
  <c r="P85" i="12" a="1"/>
  <c r="P86" i="12" a="1"/>
  <c r="P87" i="12" a="1"/>
  <c r="P88" i="12" a="1"/>
  <c r="P89" i="12" a="1"/>
  <c r="P90" i="12" a="1"/>
  <c r="P91" i="12" a="1"/>
  <c r="P92" i="12" a="1"/>
  <c r="P110" i="12" a="1"/>
  <c r="P111" i="12" a="1"/>
  <c r="P112" i="12" a="1"/>
  <c r="P113" i="12" a="1"/>
  <c r="P114" i="12" a="1"/>
  <c r="P115" i="12" a="1"/>
  <c r="P116" i="12" a="1"/>
  <c r="P117" i="12" a="1"/>
  <c r="P3" i="12" a="1"/>
  <c r="P4" i="12" a="1"/>
  <c r="P5" i="12" a="1"/>
  <c r="P6" i="12" a="1"/>
  <c r="P7" i="12" a="1"/>
  <c r="P8" i="12" a="1"/>
  <c r="P9" i="12" a="1"/>
  <c r="P10" i="12" a="1"/>
  <c r="P11" i="12" a="1"/>
  <c r="P12" i="12" a="1"/>
  <c r="P13" i="12" a="1"/>
  <c r="P14" i="12" a="1"/>
  <c r="P15" i="12" a="1"/>
  <c r="P16" i="12" a="1"/>
  <c r="P17" i="12" a="1"/>
  <c r="P18" i="12" a="1"/>
  <c r="P19" i="12" a="1"/>
  <c r="P20" i="12" a="1"/>
  <c r="P21" i="12" a="1"/>
  <c r="P22" i="12" a="1"/>
  <c r="P23" i="12" a="1"/>
  <c r="P24" i="12" a="1"/>
  <c r="P25" i="12" a="1"/>
  <c r="P26" i="12" a="1"/>
  <c r="P27" i="12" a="1"/>
  <c r="P28" i="12" a="1"/>
  <c r="P29" i="12" a="1"/>
  <c r="P30" i="12" a="1"/>
  <c r="P31" i="12" a="1"/>
  <c r="P32" i="12" a="1"/>
  <c r="P33" i="12" a="1"/>
  <c r="P34" i="12" a="1"/>
  <c r="P35" i="12" a="1"/>
  <c r="P36" i="12" a="1"/>
  <c r="P37" i="12" a="1"/>
  <c r="P38" i="12" a="1"/>
  <c r="P39" i="12" a="1"/>
  <c r="P40" i="12" a="1"/>
  <c r="P41" i="12" a="1"/>
  <c r="P42" i="12" a="1"/>
  <c r="P43" i="12" a="1"/>
  <c r="P44" i="12" a="1"/>
  <c r="P45" i="12" a="1"/>
  <c r="P46" i="12" a="1"/>
  <c r="P47" i="12" a="1"/>
  <c r="P48" i="12" a="1"/>
  <c r="P49" i="12" a="1"/>
  <c r="P50" i="12" a="1"/>
  <c r="P51" i="12" a="1"/>
  <c r="P52" i="12" a="1"/>
  <c r="P53" i="12" a="1"/>
  <c r="P54" i="12" a="1"/>
  <c r="P55" i="12" a="1"/>
  <c r="P56" i="12" a="1"/>
  <c r="P57" i="12" a="1"/>
  <c r="P58" i="12" a="1"/>
  <c r="P59" i="12" a="1"/>
  <c r="P60" i="12" a="1"/>
  <c r="P61" i="12" a="1"/>
  <c r="P62" i="12" a="1"/>
  <c r="P63" i="12" a="1"/>
  <c r="P64" i="12" a="1"/>
  <c r="P65" i="12" a="1"/>
  <c r="P66" i="12" a="1"/>
  <c r="P67" i="12" a="1"/>
  <c r="P68" i="12" a="1"/>
  <c r="P69" i="12" a="1"/>
  <c r="P70" i="12" a="1"/>
  <c r="P71" i="12" a="1"/>
  <c r="P72" i="12" a="1"/>
  <c r="P73" i="12" a="1"/>
  <c r="P2" i="12" a="1"/>
  <c r="P1208" i="12" a="1"/>
  <c r="P1209" i="12" a="1"/>
  <c r="P1210" i="12" a="1"/>
  <c r="P1211" i="12" a="1"/>
  <c r="P1212" i="12" a="1"/>
  <c r="P1214" i="12" a="1"/>
  <c r="P1215" i="12" a="1"/>
  <c r="P1216" i="12" a="1"/>
  <c r="P1217" i="12" a="1"/>
  <c r="P1218" i="12" a="1"/>
  <c r="P1219" i="12" a="1"/>
  <c r="P1220" i="12" a="1"/>
  <c r="P1222" i="12" a="1"/>
  <c r="P1223" i="12" a="1"/>
  <c r="P1224" i="12" a="1"/>
  <c r="P1225" i="12" a="1"/>
  <c r="P1213" i="12" a="1"/>
  <c r="H26" i="4"/>
  <c r="H61" i="4"/>
  <c r="H58" i="4"/>
  <c r="H47" i="4"/>
  <c r="H48" i="4"/>
  <c r="H52" i="4"/>
  <c r="H5" i="4"/>
  <c r="H24" i="4"/>
  <c r="H10" i="4"/>
  <c r="W72" i="9"/>
  <c r="M412" i="12"/>
  <c r="N412" i="12" s="1"/>
  <c r="M413" i="12"/>
  <c r="N413" i="12" s="1"/>
  <c r="M1119" i="12"/>
  <c r="N1119" i="12" s="1"/>
  <c r="M1128" i="12"/>
  <c r="N1128" i="12" s="1"/>
  <c r="M1132" i="12"/>
  <c r="N1132" i="12" s="1"/>
  <c r="M849" i="12"/>
  <c r="N849" i="12" s="1"/>
  <c r="M853" i="12"/>
  <c r="N853" i="12" s="1"/>
  <c r="M857" i="12"/>
  <c r="N857" i="12" s="1"/>
  <c r="M861" i="12"/>
  <c r="N861" i="12" s="1"/>
  <c r="M864" i="12"/>
  <c r="N864" i="12" s="1"/>
  <c r="M868" i="12"/>
  <c r="N868" i="12" s="1"/>
  <c r="M876" i="12"/>
  <c r="N876" i="12" s="1"/>
  <c r="M880" i="12"/>
  <c r="N880" i="12" s="1"/>
  <c r="M883" i="12"/>
  <c r="N883" i="12" s="1"/>
  <c r="M886" i="12"/>
  <c r="N886" i="12" s="1"/>
  <c r="M1032" i="12"/>
  <c r="N1032" i="12" s="1"/>
  <c r="M1039" i="12"/>
  <c r="N1039" i="12" s="1"/>
  <c r="M1044" i="12"/>
  <c r="N1044" i="12" s="1"/>
  <c r="M1049" i="12"/>
  <c r="N1049" i="12" s="1"/>
  <c r="M1055" i="12"/>
  <c r="N1055" i="12" s="1"/>
  <c r="M1061" i="12"/>
  <c r="N1061" i="12" s="1"/>
  <c r="M1065" i="12"/>
  <c r="N1065" i="12" s="1"/>
  <c r="M1069" i="12"/>
  <c r="N1069" i="12" s="1"/>
  <c r="M1074" i="12"/>
  <c r="N1074" i="12" s="1"/>
  <c r="M1078" i="12"/>
  <c r="N1078" i="12" s="1"/>
  <c r="M1081" i="12"/>
  <c r="N1081" i="12" s="1"/>
  <c r="M834" i="12"/>
  <c r="N834" i="12" s="1"/>
  <c r="M837" i="12"/>
  <c r="N837" i="12" s="1"/>
  <c r="M844" i="12"/>
  <c r="N844" i="12" s="1"/>
  <c r="M759" i="12"/>
  <c r="N759" i="12" s="1"/>
  <c r="M765" i="12"/>
  <c r="N765" i="12" s="1"/>
  <c r="M772" i="12"/>
  <c r="N772" i="12" s="1"/>
  <c r="M779" i="12"/>
  <c r="N779" i="12" s="1"/>
  <c r="M785" i="12"/>
  <c r="N785" i="12" s="1"/>
  <c r="M790" i="12"/>
  <c r="N790" i="12" s="1"/>
  <c r="M795" i="12"/>
  <c r="N795" i="12" s="1"/>
  <c r="M801" i="12"/>
  <c r="N801" i="12" s="1"/>
  <c r="M806" i="12"/>
  <c r="N806" i="12" s="1"/>
  <c r="M810" i="12"/>
  <c r="N810" i="12" s="1"/>
  <c r="M815" i="12"/>
  <c r="N815" i="12" s="1"/>
  <c r="M820" i="12"/>
  <c r="N820" i="12" s="1"/>
  <c r="M823" i="12"/>
  <c r="N823" i="12" s="1"/>
  <c r="M829" i="12"/>
  <c r="N829" i="12" s="1"/>
  <c r="M6" i="12"/>
  <c r="N6" i="12" s="1"/>
  <c r="M9" i="12"/>
  <c r="N9" i="12" s="1"/>
  <c r="M12" i="12"/>
  <c r="N12" i="12" s="1"/>
  <c r="M16" i="12"/>
  <c r="N16" i="12" s="1"/>
  <c r="M20" i="12"/>
  <c r="N20" i="12" s="1"/>
  <c r="M27" i="12"/>
  <c r="N27" i="12" s="1"/>
  <c r="M31" i="12"/>
  <c r="N31" i="12" s="1"/>
  <c r="M35" i="12"/>
  <c r="N35" i="12" s="1"/>
  <c r="M40" i="12"/>
  <c r="N40" i="12" s="1"/>
  <c r="M45" i="12"/>
  <c r="N45" i="12" s="1"/>
  <c r="M50" i="12"/>
  <c r="N50" i="12" s="1"/>
  <c r="M54" i="12"/>
  <c r="N54" i="12" s="1"/>
  <c r="M58" i="12"/>
  <c r="N58" i="12" s="1"/>
  <c r="M62" i="12"/>
  <c r="N62" i="12" s="1"/>
  <c r="M66" i="12"/>
  <c r="N66" i="12" s="1"/>
  <c r="M69" i="12"/>
  <c r="N69" i="12" s="1"/>
  <c r="M72" i="12"/>
  <c r="N72" i="12" s="1"/>
  <c r="M76" i="12"/>
  <c r="N76" i="12" s="1"/>
  <c r="M82" i="12"/>
  <c r="N82" i="12" s="1"/>
  <c r="M88" i="12"/>
  <c r="N88" i="12" s="1"/>
  <c r="M93" i="12"/>
  <c r="N93" i="12" s="1"/>
  <c r="M98" i="12"/>
  <c r="N98" i="12" s="1"/>
  <c r="M103" i="12"/>
  <c r="N103" i="12" s="1"/>
  <c r="M108" i="12"/>
  <c r="N108" i="12" s="1"/>
  <c r="M113" i="12"/>
  <c r="N113" i="12" s="1"/>
  <c r="M120" i="12"/>
  <c r="N120" i="12" s="1"/>
  <c r="M125" i="12"/>
  <c r="N125" i="12" s="1"/>
  <c r="M131" i="12"/>
  <c r="N131" i="12" s="1"/>
  <c r="M134" i="12"/>
  <c r="N134" i="12" s="1"/>
  <c r="M138" i="12"/>
  <c r="N138" i="12" s="1"/>
  <c r="M142" i="12"/>
  <c r="N142" i="12" s="1"/>
  <c r="M146" i="12"/>
  <c r="N146" i="12" s="1"/>
  <c r="M149" i="12"/>
  <c r="N149" i="12" s="1"/>
  <c r="M153" i="12"/>
  <c r="N153" i="12" s="1"/>
  <c r="M157" i="12"/>
  <c r="N157" i="12" s="1"/>
  <c r="M161" i="12"/>
  <c r="N161" i="12" s="1"/>
  <c r="M165" i="12"/>
  <c r="N165" i="12" s="1"/>
  <c r="M169" i="12"/>
  <c r="N169" i="12" s="1"/>
  <c r="M173" i="12"/>
  <c r="N173" i="12" s="1"/>
  <c r="M343" i="12"/>
  <c r="N343" i="12" s="1"/>
  <c r="M346" i="12"/>
  <c r="N346" i="12" s="1"/>
  <c r="M351" i="12"/>
  <c r="N351" i="12" s="1"/>
  <c r="M354" i="12"/>
  <c r="N354" i="12" s="1"/>
  <c r="M360" i="12"/>
  <c r="N360" i="12" s="1"/>
  <c r="M366" i="12"/>
  <c r="N366" i="12" s="1"/>
  <c r="M396" i="12"/>
  <c r="N396" i="12" s="1"/>
  <c r="M399" i="12"/>
  <c r="N399" i="12" s="1"/>
  <c r="M404" i="12"/>
  <c r="N404" i="12" s="1"/>
  <c r="M407" i="12"/>
  <c r="N407" i="12" s="1"/>
  <c r="M411" i="12"/>
  <c r="N411" i="12" s="1"/>
  <c r="M417" i="12"/>
  <c r="N417" i="12" s="1"/>
  <c r="M421" i="12"/>
  <c r="N421" i="12" s="1"/>
  <c r="M425" i="12"/>
  <c r="N425" i="12" s="1"/>
  <c r="M430" i="12"/>
  <c r="N430" i="12" s="1"/>
  <c r="M435" i="12"/>
  <c r="N435" i="12" s="1"/>
  <c r="M440" i="12"/>
  <c r="N440" i="12" s="1"/>
  <c r="M444" i="12"/>
  <c r="N444" i="12" s="1"/>
  <c r="M448" i="12"/>
  <c r="N448" i="12" s="1"/>
  <c r="M452" i="12"/>
  <c r="N452" i="12" s="1"/>
  <c r="M455" i="12"/>
  <c r="N455" i="12" s="1"/>
  <c r="M459" i="12"/>
  <c r="N459" i="12" s="1"/>
  <c r="M465" i="12"/>
  <c r="N465" i="12" s="1"/>
  <c r="M470" i="12"/>
  <c r="N470" i="12" s="1"/>
  <c r="M475" i="12"/>
  <c r="N475" i="12" s="1"/>
  <c r="M480" i="12"/>
  <c r="N480" i="12" s="1"/>
  <c r="M486" i="12"/>
  <c r="N486" i="12" s="1"/>
  <c r="M490" i="12"/>
  <c r="N490" i="12" s="1"/>
  <c r="M496" i="12"/>
  <c r="N496" i="12" s="1"/>
  <c r="M501" i="12"/>
  <c r="N501" i="12" s="1"/>
  <c r="M506" i="12"/>
  <c r="N506" i="12" s="1"/>
  <c r="M511" i="12"/>
  <c r="N511" i="12" s="1"/>
  <c r="M518" i="12"/>
  <c r="N518" i="12" s="1"/>
  <c r="M523" i="12"/>
  <c r="N523" i="12" s="1"/>
  <c r="M527" i="12"/>
  <c r="N527" i="12" s="1"/>
  <c r="M533" i="12"/>
  <c r="N533" i="12" s="1"/>
  <c r="M539" i="12"/>
  <c r="N539" i="12" s="1"/>
  <c r="M544" i="12"/>
  <c r="N544" i="12" s="1"/>
  <c r="M550" i="12"/>
  <c r="N550" i="12" s="1"/>
  <c r="M556" i="12"/>
  <c r="N556" i="12" s="1"/>
  <c r="M561" i="12"/>
  <c r="N561" i="12" s="1"/>
  <c r="M567" i="12"/>
  <c r="N567" i="12" s="1"/>
  <c r="M573" i="12"/>
  <c r="N573" i="12" s="1"/>
  <c r="M579" i="12"/>
  <c r="N579" i="12" s="1"/>
  <c r="M585" i="12"/>
  <c r="N585" i="12" s="1"/>
  <c r="M591" i="12"/>
  <c r="N591" i="12" s="1"/>
  <c r="M596" i="12"/>
  <c r="N596" i="12" s="1"/>
  <c r="M603" i="12"/>
  <c r="N603" i="12" s="1"/>
  <c r="M611" i="12"/>
  <c r="N611" i="12" s="1"/>
  <c r="M616" i="12"/>
  <c r="N616" i="12" s="1"/>
  <c r="M620" i="12"/>
  <c r="N620" i="12" s="1"/>
  <c r="M624" i="12"/>
  <c r="N624" i="12" s="1"/>
  <c r="M629" i="12"/>
  <c r="N629" i="12" s="1"/>
  <c r="M1114" i="12"/>
  <c r="N1114" i="12" s="1"/>
  <c r="M1126" i="12"/>
  <c r="N1126" i="12" s="1"/>
  <c r="M1131" i="12"/>
  <c r="N1131" i="12" s="1"/>
  <c r="M1135" i="12"/>
  <c r="N1135" i="12" s="1"/>
  <c r="M851" i="12"/>
  <c r="N851" i="12" s="1"/>
  <c r="M855" i="12"/>
  <c r="N855" i="12" s="1"/>
  <c r="M860" i="12"/>
  <c r="N860" i="12" s="1"/>
  <c r="M865" i="12"/>
  <c r="N865" i="12" s="1"/>
  <c r="M869" i="12"/>
  <c r="N869" i="12" s="1"/>
  <c r="M874" i="12"/>
  <c r="N874" i="12" s="1"/>
  <c r="M879" i="12"/>
  <c r="N879" i="12" s="1"/>
  <c r="M884" i="12"/>
  <c r="N884" i="12" s="1"/>
  <c r="M1033" i="12"/>
  <c r="N1033" i="12" s="1"/>
  <c r="M1041" i="12"/>
  <c r="N1041" i="12" s="1"/>
  <c r="M1045" i="12"/>
  <c r="N1045" i="12" s="1"/>
  <c r="M1051" i="12"/>
  <c r="N1051" i="12" s="1"/>
  <c r="M1056" i="12"/>
  <c r="N1056" i="12" s="1"/>
  <c r="M1059" i="12"/>
  <c r="N1059" i="12" s="1"/>
  <c r="M1062" i="12"/>
  <c r="N1062" i="12" s="1"/>
  <c r="M1068" i="12"/>
  <c r="N1068" i="12" s="1"/>
  <c r="M1073" i="12"/>
  <c r="N1073" i="12" s="1"/>
  <c r="M1079" i="12"/>
  <c r="N1079" i="12" s="1"/>
  <c r="M832" i="12"/>
  <c r="N832" i="12" s="1"/>
  <c r="M835" i="12"/>
  <c r="N835" i="12" s="1"/>
  <c r="M840" i="12"/>
  <c r="N840" i="12" s="1"/>
  <c r="M845" i="12"/>
  <c r="N845" i="12" s="1"/>
  <c r="M761" i="12"/>
  <c r="N761" i="12" s="1"/>
  <c r="M766" i="12"/>
  <c r="N766" i="12" s="1"/>
  <c r="M771" i="12"/>
  <c r="N771" i="12" s="1"/>
  <c r="M776" i="12"/>
  <c r="N776" i="12" s="1"/>
  <c r="M782" i="12"/>
  <c r="N782" i="12" s="1"/>
  <c r="M786" i="12"/>
  <c r="N786" i="12" s="1"/>
  <c r="M791" i="12"/>
  <c r="N791" i="12" s="1"/>
  <c r="M796" i="12"/>
  <c r="N796" i="12" s="1"/>
  <c r="M800" i="12"/>
  <c r="N800" i="12" s="1"/>
  <c r="M805" i="12"/>
  <c r="N805" i="12" s="1"/>
  <c r="M811" i="12"/>
  <c r="N811" i="12" s="1"/>
  <c r="M816" i="12"/>
  <c r="N816" i="12" s="1"/>
  <c r="M821" i="12"/>
  <c r="N821" i="12" s="1"/>
  <c r="M826" i="12"/>
  <c r="N826" i="12" s="1"/>
  <c r="M3" i="12"/>
  <c r="N3" i="12" s="1"/>
  <c r="M7" i="12"/>
  <c r="N7" i="12" s="1"/>
  <c r="M14" i="12"/>
  <c r="N14" i="12" s="1"/>
  <c r="M18" i="12"/>
  <c r="N18" i="12" s="1"/>
  <c r="M22" i="12"/>
  <c r="N22" i="12" s="1"/>
  <c r="M26" i="12"/>
  <c r="N26" i="12" s="1"/>
  <c r="M30" i="12"/>
  <c r="N30" i="12" s="1"/>
  <c r="M36" i="12"/>
  <c r="N36" i="12" s="1"/>
  <c r="M39" i="12"/>
  <c r="N39" i="12" s="1"/>
  <c r="M44" i="12"/>
  <c r="N44" i="12" s="1"/>
  <c r="M49" i="12"/>
  <c r="N49" i="12" s="1"/>
  <c r="M53" i="12"/>
  <c r="N53" i="12" s="1"/>
  <c r="M56" i="12"/>
  <c r="N56" i="12" s="1"/>
  <c r="M60" i="12"/>
  <c r="N60" i="12" s="1"/>
  <c r="M63" i="12"/>
  <c r="N63" i="12" s="1"/>
  <c r="M68" i="12"/>
  <c r="N68" i="12" s="1"/>
  <c r="M73" i="12"/>
  <c r="N73" i="12" s="1"/>
  <c r="M77" i="12"/>
  <c r="N77" i="12" s="1"/>
  <c r="M80" i="12"/>
  <c r="N80" i="12" s="1"/>
  <c r="M84" i="12"/>
  <c r="N84" i="12" s="1"/>
  <c r="M89" i="12"/>
  <c r="N89" i="12" s="1"/>
  <c r="M94" i="12"/>
  <c r="N94" i="12" s="1"/>
  <c r="M99" i="12"/>
  <c r="N99" i="12" s="1"/>
  <c r="M104" i="12"/>
  <c r="N104" i="12" s="1"/>
  <c r="M109" i="12"/>
  <c r="N109" i="12" s="1"/>
  <c r="M115" i="12"/>
  <c r="N115" i="12" s="1"/>
  <c r="M119" i="12"/>
  <c r="N119" i="12" s="1"/>
  <c r="M124" i="12"/>
  <c r="N124" i="12" s="1"/>
  <c r="M130" i="12"/>
  <c r="N130" i="12" s="1"/>
  <c r="M136" i="12"/>
  <c r="N136" i="12" s="1"/>
  <c r="M140" i="12"/>
  <c r="N140" i="12" s="1"/>
  <c r="M144" i="12"/>
  <c r="N144" i="12" s="1"/>
  <c r="M148" i="12"/>
  <c r="N148" i="12" s="1"/>
  <c r="M152" i="12"/>
  <c r="N152" i="12" s="1"/>
  <c r="M156" i="12"/>
  <c r="N156" i="12" s="1"/>
  <c r="M160" i="12"/>
  <c r="N160" i="12" s="1"/>
  <c r="M162" i="12"/>
  <c r="N162" i="12" s="1"/>
  <c r="M167" i="12"/>
  <c r="N167" i="12" s="1"/>
  <c r="M174" i="12"/>
  <c r="N174" i="12" s="1"/>
  <c r="M348" i="12"/>
  <c r="N348" i="12" s="1"/>
  <c r="M358" i="12"/>
  <c r="N358" i="12" s="1"/>
  <c r="M363" i="12"/>
  <c r="N363" i="12" s="1"/>
  <c r="M369" i="12"/>
  <c r="N369" i="12" s="1"/>
  <c r="M375" i="12"/>
  <c r="N375" i="12" s="1"/>
  <c r="M379" i="12"/>
  <c r="N379" i="12" s="1"/>
  <c r="M383" i="12"/>
  <c r="N383" i="12" s="1"/>
  <c r="M415" i="12"/>
  <c r="N415" i="12" s="1"/>
  <c r="M420" i="12"/>
  <c r="N420" i="12" s="1"/>
  <c r="M424" i="12"/>
  <c r="N424" i="12" s="1"/>
  <c r="M428" i="12"/>
  <c r="N428" i="12" s="1"/>
  <c r="M432" i="12"/>
  <c r="N432" i="12" s="1"/>
  <c r="M436" i="12"/>
  <c r="N436" i="12" s="1"/>
  <c r="M439" i="12"/>
  <c r="N439" i="12" s="1"/>
  <c r="M443" i="12"/>
  <c r="N443" i="12" s="1"/>
  <c r="M447" i="12"/>
  <c r="N447" i="12" s="1"/>
  <c r="M451" i="12"/>
  <c r="N451" i="12" s="1"/>
  <c r="M454" i="12"/>
  <c r="N454" i="12" s="1"/>
  <c r="M458" i="12"/>
  <c r="N458" i="12" s="1"/>
  <c r="M462" i="12"/>
  <c r="N462" i="12" s="1"/>
  <c r="M466" i="12"/>
  <c r="N466" i="12" s="1"/>
  <c r="M473" i="12"/>
  <c r="N473" i="12" s="1"/>
  <c r="M479" i="12"/>
  <c r="N479" i="12" s="1"/>
  <c r="M483" i="12"/>
  <c r="N483" i="12" s="1"/>
  <c r="M489" i="12"/>
  <c r="N489" i="12" s="1"/>
  <c r="M495" i="12"/>
  <c r="N495" i="12" s="1"/>
  <c r="M502" i="12"/>
  <c r="N502" i="12" s="1"/>
  <c r="M507" i="12"/>
  <c r="N507" i="12" s="1"/>
  <c r="M514" i="12"/>
  <c r="N514" i="12" s="1"/>
  <c r="M520" i="12"/>
  <c r="N520" i="12" s="1"/>
  <c r="M525" i="12"/>
  <c r="N525" i="12" s="1"/>
  <c r="M531" i="12"/>
  <c r="N531" i="12" s="1"/>
  <c r="M538" i="12"/>
  <c r="N538" i="12" s="1"/>
  <c r="M543" i="12"/>
  <c r="N543" i="12" s="1"/>
  <c r="M549" i="12"/>
  <c r="N549" i="12" s="1"/>
  <c r="M555" i="12"/>
  <c r="N555" i="12" s="1"/>
  <c r="M563" i="12"/>
  <c r="N563" i="12" s="1"/>
  <c r="M569" i="12"/>
  <c r="N569" i="12" s="1"/>
  <c r="M574" i="12"/>
  <c r="N574" i="12" s="1"/>
  <c r="M581" i="12"/>
  <c r="N581" i="12" s="1"/>
  <c r="M587" i="12"/>
  <c r="N587" i="12" s="1"/>
  <c r="M595" i="12"/>
  <c r="N595" i="12" s="1"/>
  <c r="M601" i="12"/>
  <c r="N601" i="12" s="1"/>
  <c r="M607" i="12"/>
  <c r="N607" i="12" s="1"/>
  <c r="M612" i="12"/>
  <c r="N612" i="12" s="1"/>
  <c r="M617" i="12"/>
  <c r="N617" i="12" s="1"/>
  <c r="M626" i="12"/>
  <c r="N626" i="12" s="1"/>
  <c r="M632" i="12"/>
  <c r="N632" i="12" s="1"/>
  <c r="M1093" i="12"/>
  <c r="N1093" i="12" s="1"/>
  <c r="M1100" i="12"/>
  <c r="N1100" i="12" s="1"/>
  <c r="M1103" i="12"/>
  <c r="N1103" i="12" s="1"/>
  <c r="M1105" i="12"/>
  <c r="N1105" i="12" s="1"/>
  <c r="M1106" i="12"/>
  <c r="N1106" i="12" s="1"/>
  <c r="M1107" i="12"/>
  <c r="N1107" i="12" s="1"/>
  <c r="M1109" i="12"/>
  <c r="N1109" i="12" s="1"/>
  <c r="M1111" i="12"/>
  <c r="N1111" i="12" s="1"/>
  <c r="M1113" i="12"/>
  <c r="N1113" i="12" s="1"/>
  <c r="M1116" i="12"/>
  <c r="N1116" i="12" s="1"/>
  <c r="M1118" i="12"/>
  <c r="N1118" i="12" s="1"/>
  <c r="M1120" i="12"/>
  <c r="N1120" i="12" s="1"/>
  <c r="M1122" i="12"/>
  <c r="N1122" i="12" s="1"/>
  <c r="M1124" i="12"/>
  <c r="N1124" i="12" s="1"/>
  <c r="M1127" i="12"/>
  <c r="N1127" i="12" s="1"/>
  <c r="M1129" i="12"/>
  <c r="N1129" i="12" s="1"/>
  <c r="M1133" i="12"/>
  <c r="N1133" i="12" s="1"/>
  <c r="M848" i="12"/>
  <c r="N848" i="12" s="1"/>
  <c r="M852" i="12"/>
  <c r="N852" i="12" s="1"/>
  <c r="M856" i="12"/>
  <c r="N856" i="12" s="1"/>
  <c r="M859" i="12"/>
  <c r="N859" i="12" s="1"/>
  <c r="M863" i="12"/>
  <c r="N863" i="12" s="1"/>
  <c r="M867" i="12"/>
  <c r="N867" i="12" s="1"/>
  <c r="M871" i="12"/>
  <c r="N871" i="12" s="1"/>
  <c r="M875" i="12"/>
  <c r="N875" i="12" s="1"/>
  <c r="M878" i="12"/>
  <c r="N878" i="12" s="1"/>
  <c r="M882" i="12"/>
  <c r="N882" i="12" s="1"/>
  <c r="M887" i="12"/>
  <c r="N887" i="12" s="1"/>
  <c r="M1036" i="12"/>
  <c r="N1036" i="12" s="1"/>
  <c r="M1038" i="12"/>
  <c r="N1038" i="12" s="1"/>
  <c r="M1043" i="12"/>
  <c r="N1043" i="12" s="1"/>
  <c r="M1047" i="12"/>
  <c r="N1047" i="12" s="1"/>
  <c r="M1052" i="12"/>
  <c r="N1052" i="12" s="1"/>
  <c r="M1060" i="12"/>
  <c r="N1060" i="12" s="1"/>
  <c r="M1064" i="12"/>
  <c r="N1064" i="12" s="1"/>
  <c r="M1070" i="12"/>
  <c r="N1070" i="12" s="1"/>
  <c r="M1075" i="12"/>
  <c r="N1075" i="12" s="1"/>
  <c r="M1080" i="12"/>
  <c r="N1080" i="12" s="1"/>
  <c r="M833" i="12"/>
  <c r="N833" i="12" s="1"/>
  <c r="M839" i="12"/>
  <c r="N839" i="12" s="1"/>
  <c r="M842" i="12"/>
  <c r="N842" i="12" s="1"/>
  <c r="M846" i="12"/>
  <c r="N846" i="12" s="1"/>
  <c r="M762" i="12"/>
  <c r="N762" i="12" s="1"/>
  <c r="M767" i="12"/>
  <c r="N767" i="12" s="1"/>
  <c r="M769" i="12"/>
  <c r="N769" i="12" s="1"/>
  <c r="M774" i="12"/>
  <c r="N774" i="12" s="1"/>
  <c r="M777" i="12"/>
  <c r="N777" i="12" s="1"/>
  <c r="M781" i="12"/>
  <c r="N781" i="12" s="1"/>
  <c r="M788" i="12"/>
  <c r="N788" i="12" s="1"/>
  <c r="M793" i="12"/>
  <c r="N793" i="12" s="1"/>
  <c r="M799" i="12"/>
  <c r="N799" i="12" s="1"/>
  <c r="M803" i="12"/>
  <c r="N803" i="12" s="1"/>
  <c r="M809" i="12"/>
  <c r="N809" i="12" s="1"/>
  <c r="M814" i="12"/>
  <c r="N814" i="12" s="1"/>
  <c r="M818" i="12"/>
  <c r="N818" i="12" s="1"/>
  <c r="M825" i="12"/>
  <c r="N825" i="12" s="1"/>
  <c r="M4" i="12"/>
  <c r="N4" i="12" s="1"/>
  <c r="M10" i="12"/>
  <c r="N10" i="12" s="1"/>
  <c r="M13" i="12"/>
  <c r="N13" i="12" s="1"/>
  <c r="M17" i="12"/>
  <c r="N17" i="12" s="1"/>
  <c r="M21" i="12"/>
  <c r="N21" i="12" s="1"/>
  <c r="M24" i="12"/>
  <c r="N24" i="12" s="1"/>
  <c r="M28" i="12"/>
  <c r="N28" i="12" s="1"/>
  <c r="M33" i="12"/>
  <c r="N33" i="12" s="1"/>
  <c r="M38" i="12"/>
  <c r="N38" i="12" s="1"/>
  <c r="M43" i="12"/>
  <c r="N43" i="12" s="1"/>
  <c r="M48" i="12"/>
  <c r="N48" i="12" s="1"/>
  <c r="M51" i="12"/>
  <c r="N51" i="12" s="1"/>
  <c r="M55" i="12"/>
  <c r="N55" i="12" s="1"/>
  <c r="M59" i="12"/>
  <c r="N59" i="12" s="1"/>
  <c r="M64" i="12"/>
  <c r="N64" i="12" s="1"/>
  <c r="M67" i="12"/>
  <c r="N67" i="12" s="1"/>
  <c r="M71" i="12"/>
  <c r="N71" i="12" s="1"/>
  <c r="M75" i="12"/>
  <c r="N75" i="12" s="1"/>
  <c r="M81" i="12"/>
  <c r="N81" i="12" s="1"/>
  <c r="M86" i="12"/>
  <c r="N86" i="12" s="1"/>
  <c r="M90" i="12"/>
  <c r="N90" i="12" s="1"/>
  <c r="M95" i="12"/>
  <c r="N95" i="12" s="1"/>
  <c r="M100" i="12"/>
  <c r="N100" i="12" s="1"/>
  <c r="M105" i="12"/>
  <c r="N105" i="12" s="1"/>
  <c r="M110" i="12"/>
  <c r="N110" i="12" s="1"/>
  <c r="M114" i="12"/>
  <c r="N114" i="12" s="1"/>
  <c r="M118" i="12"/>
  <c r="N118" i="12" s="1"/>
  <c r="M123" i="12"/>
  <c r="N123" i="12" s="1"/>
  <c r="M128" i="12"/>
  <c r="N128" i="12" s="1"/>
  <c r="M133" i="12"/>
  <c r="N133" i="12" s="1"/>
  <c r="M166" i="12"/>
  <c r="N166" i="12" s="1"/>
  <c r="M171" i="12"/>
  <c r="N171" i="12" s="1"/>
  <c r="M176" i="12"/>
  <c r="N176" i="12" s="1"/>
  <c r="M350" i="12"/>
  <c r="N350" i="12" s="1"/>
  <c r="M355" i="12"/>
  <c r="N355" i="12" s="1"/>
  <c r="M361" i="12"/>
  <c r="N361" i="12" s="1"/>
  <c r="M367" i="12"/>
  <c r="N367" i="12" s="1"/>
  <c r="M372" i="12"/>
  <c r="N372" i="12" s="1"/>
  <c r="M376" i="12"/>
  <c r="N376" i="12" s="1"/>
  <c r="M380" i="12"/>
  <c r="N380" i="12" s="1"/>
  <c r="M384" i="12"/>
  <c r="N384" i="12" s="1"/>
  <c r="M387" i="12"/>
  <c r="N387" i="12" s="1"/>
  <c r="M389" i="12"/>
  <c r="N389" i="12" s="1"/>
  <c r="M391" i="12"/>
  <c r="N391" i="12" s="1"/>
  <c r="M394" i="12"/>
  <c r="N394" i="12" s="1"/>
  <c r="M401" i="12"/>
  <c r="N401" i="12" s="1"/>
  <c r="M406" i="12"/>
  <c r="N406" i="12" s="1"/>
  <c r="M469" i="12"/>
  <c r="N469" i="12" s="1"/>
  <c r="M476" i="12"/>
  <c r="N476" i="12" s="1"/>
  <c r="M481" i="12"/>
  <c r="N481" i="12" s="1"/>
  <c r="M487" i="12"/>
  <c r="N487" i="12" s="1"/>
  <c r="M493" i="12"/>
  <c r="N493" i="12" s="1"/>
  <c r="M500" i="12"/>
  <c r="N500" i="12" s="1"/>
  <c r="M508" i="12"/>
  <c r="N508" i="12" s="1"/>
  <c r="M513" i="12"/>
  <c r="N513" i="12" s="1"/>
  <c r="M519" i="12"/>
  <c r="N519" i="12" s="1"/>
  <c r="M529" i="12"/>
  <c r="N529" i="12" s="1"/>
  <c r="M537" i="12"/>
  <c r="N537" i="12" s="1"/>
  <c r="M540" i="12"/>
  <c r="N540" i="12" s="1"/>
  <c r="M545" i="12"/>
  <c r="N545" i="12" s="1"/>
  <c r="M551" i="12"/>
  <c r="N551" i="12" s="1"/>
  <c r="M558" i="12"/>
  <c r="N558" i="12" s="1"/>
  <c r="M566" i="12"/>
  <c r="N566" i="12" s="1"/>
  <c r="M572" i="12"/>
  <c r="N572" i="12" s="1"/>
  <c r="M578" i="12"/>
  <c r="N578" i="12" s="1"/>
  <c r="M584" i="12"/>
  <c r="N584" i="12" s="1"/>
  <c r="M590" i="12"/>
  <c r="N590" i="12" s="1"/>
  <c r="M594" i="12"/>
  <c r="N594" i="12" s="1"/>
  <c r="M600" i="12"/>
  <c r="N600" i="12" s="1"/>
  <c r="M606" i="12"/>
  <c r="N606" i="12" s="1"/>
  <c r="M610" i="12"/>
  <c r="N610" i="12" s="1"/>
  <c r="M615" i="12"/>
  <c r="N615" i="12" s="1"/>
  <c r="M622" i="12"/>
  <c r="N622" i="12" s="1"/>
  <c r="M628" i="12"/>
  <c r="N628" i="12" s="1"/>
  <c r="M1226" i="12"/>
  <c r="N1226" i="12" s="1"/>
  <c r="M1227" i="12"/>
  <c r="N1227" i="12" s="1"/>
  <c r="M1228" i="12"/>
  <c r="N1228" i="12" s="1"/>
  <c r="M1229" i="12"/>
  <c r="N1229" i="12" s="1"/>
  <c r="M1230" i="12"/>
  <c r="N1230" i="12" s="1"/>
  <c r="M1231" i="12"/>
  <c r="N1231" i="12" s="1"/>
  <c r="M1232" i="12"/>
  <c r="N1232" i="12" s="1"/>
  <c r="M1233" i="12"/>
  <c r="N1233" i="12" s="1"/>
  <c r="M1234" i="12"/>
  <c r="N1234" i="12" s="1"/>
  <c r="M1235" i="12"/>
  <c r="N1235" i="12" s="1"/>
  <c r="M1236" i="12"/>
  <c r="N1236" i="12" s="1"/>
  <c r="M1237" i="12"/>
  <c r="N1237" i="12" s="1"/>
  <c r="M1238" i="12"/>
  <c r="N1238" i="12" s="1"/>
  <c r="M1239" i="12"/>
  <c r="N1239" i="12" s="1"/>
  <c r="M1240" i="12"/>
  <c r="N1240" i="12" s="1"/>
  <c r="M1241" i="12"/>
  <c r="N1241" i="12" s="1"/>
  <c r="M1242" i="12"/>
  <c r="N1242" i="12" s="1"/>
  <c r="M1243" i="12"/>
  <c r="N1243" i="12" s="1"/>
  <c r="M1172" i="12"/>
  <c r="N1172" i="12" s="1"/>
  <c r="M1173" i="12"/>
  <c r="N1173" i="12" s="1"/>
  <c r="M1174" i="12"/>
  <c r="N1174" i="12" s="1"/>
  <c r="M1175" i="12"/>
  <c r="N1175" i="12" s="1"/>
  <c r="M1176" i="12"/>
  <c r="N1176" i="12" s="1"/>
  <c r="M1177" i="12"/>
  <c r="N1177" i="12" s="1"/>
  <c r="M1178" i="12"/>
  <c r="N1178" i="12" s="1"/>
  <c r="M1179" i="12"/>
  <c r="N1179" i="12" s="1"/>
  <c r="M1180" i="12"/>
  <c r="N1180" i="12" s="1"/>
  <c r="M1181" i="12"/>
  <c r="N1181" i="12" s="1"/>
  <c r="M1182" i="12"/>
  <c r="N1182" i="12" s="1"/>
  <c r="M1183" i="12"/>
  <c r="N1183" i="12" s="1"/>
  <c r="M1184" i="12"/>
  <c r="N1184" i="12" s="1"/>
  <c r="M1185" i="12"/>
  <c r="N1185" i="12" s="1"/>
  <c r="M1186" i="12"/>
  <c r="N1186" i="12" s="1"/>
  <c r="M1187" i="12"/>
  <c r="N1187" i="12" s="1"/>
  <c r="M1188" i="12"/>
  <c r="N1188" i="12" s="1"/>
  <c r="M1189" i="12"/>
  <c r="N1189" i="12" s="1"/>
  <c r="M1190" i="12"/>
  <c r="N1190" i="12" s="1"/>
  <c r="M1191" i="12"/>
  <c r="N1191" i="12" s="1"/>
  <c r="M1192" i="12"/>
  <c r="N1192" i="12" s="1"/>
  <c r="M1193" i="12"/>
  <c r="N1193" i="12" s="1"/>
  <c r="M1194" i="12"/>
  <c r="N1194" i="12" s="1"/>
  <c r="M1195" i="12"/>
  <c r="N1195" i="12" s="1"/>
  <c r="M1196" i="12"/>
  <c r="N1196" i="12" s="1"/>
  <c r="M1197" i="12"/>
  <c r="N1197" i="12" s="1"/>
  <c r="M1198" i="12"/>
  <c r="N1198" i="12" s="1"/>
  <c r="M1199" i="12"/>
  <c r="N1199" i="12" s="1"/>
  <c r="M1200" i="12"/>
  <c r="N1200" i="12" s="1"/>
  <c r="M1201" i="12"/>
  <c r="N1201" i="12" s="1"/>
  <c r="M1202" i="12"/>
  <c r="N1202" i="12" s="1"/>
  <c r="M1203" i="12"/>
  <c r="N1203" i="12" s="1"/>
  <c r="M1204" i="12"/>
  <c r="N1204" i="12" s="1"/>
  <c r="M1205" i="12"/>
  <c r="N1205" i="12" s="1"/>
  <c r="M1206" i="12"/>
  <c r="N1206" i="12" s="1"/>
  <c r="M1207" i="12"/>
  <c r="N1207" i="12" s="1"/>
  <c r="M1154" i="12"/>
  <c r="N1154" i="12" s="1"/>
  <c r="M1155" i="12"/>
  <c r="N1155" i="12" s="1"/>
  <c r="M1156" i="12"/>
  <c r="N1156" i="12" s="1"/>
  <c r="M1157" i="12"/>
  <c r="N1157" i="12" s="1"/>
  <c r="M1158" i="12"/>
  <c r="N1158" i="12" s="1"/>
  <c r="M1159" i="12"/>
  <c r="N1159" i="12" s="1"/>
  <c r="M1160" i="12"/>
  <c r="N1160" i="12" s="1"/>
  <c r="M1161" i="12"/>
  <c r="N1161" i="12" s="1"/>
  <c r="M1162" i="12"/>
  <c r="N1162" i="12" s="1"/>
  <c r="M1163" i="12"/>
  <c r="N1163" i="12" s="1"/>
  <c r="M1164" i="12"/>
  <c r="N1164" i="12" s="1"/>
  <c r="M1165" i="12"/>
  <c r="N1165" i="12" s="1"/>
  <c r="M1166" i="12"/>
  <c r="N1166" i="12" s="1"/>
  <c r="M1167" i="12"/>
  <c r="N1167" i="12" s="1"/>
  <c r="M1168" i="12"/>
  <c r="N1168" i="12" s="1"/>
  <c r="M1169" i="12"/>
  <c r="N1169" i="12" s="1"/>
  <c r="M1170" i="12"/>
  <c r="N1170" i="12" s="1"/>
  <c r="M1171" i="12"/>
  <c r="N1171" i="12" s="1"/>
  <c r="M1136" i="12"/>
  <c r="N1136" i="12" s="1"/>
  <c r="M1137" i="12"/>
  <c r="N1137" i="12" s="1"/>
  <c r="M1138" i="12"/>
  <c r="N1138" i="12" s="1"/>
  <c r="M1139" i="12"/>
  <c r="N1139" i="12" s="1"/>
  <c r="M1140" i="12"/>
  <c r="N1140" i="12" s="1"/>
  <c r="M1141" i="12"/>
  <c r="N1141" i="12" s="1"/>
  <c r="M1142" i="12"/>
  <c r="N1142" i="12" s="1"/>
  <c r="M1143" i="12"/>
  <c r="N1143" i="12" s="1"/>
  <c r="M1144" i="12"/>
  <c r="N1144" i="12" s="1"/>
  <c r="M1145" i="12"/>
  <c r="N1145" i="12" s="1"/>
  <c r="M1146" i="12"/>
  <c r="N1146" i="12" s="1"/>
  <c r="M1147" i="12"/>
  <c r="N1147" i="12" s="1"/>
  <c r="M1148" i="12"/>
  <c r="N1148" i="12" s="1"/>
  <c r="M1149" i="12"/>
  <c r="N1149" i="12" s="1"/>
  <c r="M1150" i="12"/>
  <c r="N1150" i="12" s="1"/>
  <c r="M1151" i="12"/>
  <c r="N1151" i="12" s="1"/>
  <c r="M1152" i="12"/>
  <c r="N1152" i="12" s="1"/>
  <c r="M1153" i="12"/>
  <c r="N1153" i="12" s="1"/>
  <c r="M1082" i="12"/>
  <c r="N1082" i="12" s="1"/>
  <c r="M1083" i="12"/>
  <c r="N1083" i="12" s="1"/>
  <c r="M1084" i="12"/>
  <c r="N1084" i="12" s="1"/>
  <c r="M1085" i="12"/>
  <c r="N1085" i="12" s="1"/>
  <c r="M1086" i="12"/>
  <c r="N1086" i="12" s="1"/>
  <c r="M1087" i="12"/>
  <c r="N1087" i="12" s="1"/>
  <c r="M1088" i="12"/>
  <c r="N1088" i="12" s="1"/>
  <c r="M1089" i="12"/>
  <c r="N1089" i="12" s="1"/>
  <c r="M1090" i="12"/>
  <c r="N1090" i="12" s="1"/>
  <c r="M1091" i="12"/>
  <c r="N1091" i="12" s="1"/>
  <c r="M1092" i="12"/>
  <c r="N1092" i="12" s="1"/>
  <c r="M1094" i="12"/>
  <c r="N1094" i="12" s="1"/>
  <c r="M1095" i="12"/>
  <c r="N1095" i="12" s="1"/>
  <c r="M1096" i="12"/>
  <c r="N1096" i="12" s="1"/>
  <c r="M1097" i="12"/>
  <c r="N1097" i="12" s="1"/>
  <c r="M1098" i="12"/>
  <c r="N1098" i="12" s="1"/>
  <c r="M1099" i="12"/>
  <c r="N1099" i="12" s="1"/>
  <c r="M1101" i="12"/>
  <c r="N1101" i="12" s="1"/>
  <c r="M1102" i="12"/>
  <c r="N1102" i="12" s="1"/>
  <c r="M1104" i="12"/>
  <c r="N1104" i="12" s="1"/>
  <c r="M1108" i="12"/>
  <c r="N1108" i="12" s="1"/>
  <c r="M1110" i="12"/>
  <c r="N1110" i="12" s="1"/>
  <c r="M1112" i="12"/>
  <c r="N1112" i="12" s="1"/>
  <c r="M1115" i="12"/>
  <c r="N1115" i="12" s="1"/>
  <c r="M1117" i="12"/>
  <c r="N1117" i="12" s="1"/>
  <c r="M1121" i="12"/>
  <c r="N1121" i="12" s="1"/>
  <c r="M1123" i="12"/>
  <c r="N1123" i="12" s="1"/>
  <c r="M1125" i="12"/>
  <c r="N1125" i="12" s="1"/>
  <c r="M1130" i="12"/>
  <c r="N1130" i="12" s="1"/>
  <c r="M1134" i="12"/>
  <c r="N1134" i="12" s="1"/>
  <c r="M850" i="12"/>
  <c r="N850" i="12" s="1"/>
  <c r="M854" i="12"/>
  <c r="N854" i="12" s="1"/>
  <c r="M858" i="12"/>
  <c r="N858" i="12" s="1"/>
  <c r="M862" i="12"/>
  <c r="N862" i="12" s="1"/>
  <c r="M866" i="12"/>
  <c r="N866" i="12" s="1"/>
  <c r="M870" i="12"/>
  <c r="N870" i="12" s="1"/>
  <c r="M872" i="12"/>
  <c r="N872" i="12" s="1"/>
  <c r="M873" i="12"/>
  <c r="N873" i="12" s="1"/>
  <c r="M877" i="12"/>
  <c r="N877" i="12" s="1"/>
  <c r="M881" i="12"/>
  <c r="N881" i="12" s="1"/>
  <c r="M885" i="12"/>
  <c r="N885" i="12" s="1"/>
  <c r="M888" i="12"/>
  <c r="N888" i="12" s="1"/>
  <c r="M1034" i="12"/>
  <c r="N1034" i="12" s="1"/>
  <c r="M1042" i="12"/>
  <c r="N1042" i="12" s="1"/>
  <c r="M1046" i="12"/>
  <c r="N1046" i="12" s="1"/>
  <c r="M1050" i="12"/>
  <c r="N1050" i="12" s="1"/>
  <c r="M1054" i="12"/>
  <c r="N1054" i="12" s="1"/>
  <c r="M1057" i="12"/>
  <c r="N1057" i="12" s="1"/>
  <c r="M1066" i="12"/>
  <c r="N1066" i="12" s="1"/>
  <c r="M1071" i="12"/>
  <c r="N1071" i="12" s="1"/>
  <c r="M1077" i="12"/>
  <c r="N1077" i="12" s="1"/>
  <c r="M830" i="12"/>
  <c r="N830" i="12" s="1"/>
  <c r="M836" i="12"/>
  <c r="N836" i="12" s="1"/>
  <c r="M841" i="12"/>
  <c r="N841" i="12" s="1"/>
  <c r="M847" i="12"/>
  <c r="N847" i="12" s="1"/>
  <c r="M760" i="12"/>
  <c r="N760" i="12" s="1"/>
  <c r="M764" i="12"/>
  <c r="N764" i="12" s="1"/>
  <c r="M768" i="12"/>
  <c r="N768" i="12" s="1"/>
  <c r="M773" i="12"/>
  <c r="N773" i="12" s="1"/>
  <c r="M778" i="12"/>
  <c r="N778" i="12" s="1"/>
  <c r="M783" i="12"/>
  <c r="N783" i="12" s="1"/>
  <c r="M787" i="12"/>
  <c r="N787" i="12" s="1"/>
  <c r="M792" i="12"/>
  <c r="N792" i="12" s="1"/>
  <c r="M797" i="12"/>
  <c r="N797" i="12" s="1"/>
  <c r="M802" i="12"/>
  <c r="N802" i="12" s="1"/>
  <c r="M807" i="12"/>
  <c r="N807" i="12" s="1"/>
  <c r="M812" i="12"/>
  <c r="N812" i="12" s="1"/>
  <c r="M819" i="12"/>
  <c r="N819" i="12" s="1"/>
  <c r="M824" i="12"/>
  <c r="N824" i="12" s="1"/>
  <c r="M827" i="12"/>
  <c r="N827" i="12" s="1"/>
  <c r="M5" i="12"/>
  <c r="N5" i="12" s="1"/>
  <c r="M8" i="12"/>
  <c r="N8" i="12" s="1"/>
  <c r="M11" i="12"/>
  <c r="N11" i="12" s="1"/>
  <c r="M15" i="12"/>
  <c r="N15" i="12" s="1"/>
  <c r="M19" i="12"/>
  <c r="N19" i="12" s="1"/>
  <c r="M23" i="12"/>
  <c r="N23" i="12" s="1"/>
  <c r="M25" i="12"/>
  <c r="N25" i="12" s="1"/>
  <c r="M29" i="12"/>
  <c r="N29" i="12" s="1"/>
  <c r="M34" i="12"/>
  <c r="N34" i="12" s="1"/>
  <c r="M42" i="12"/>
  <c r="N42" i="12" s="1"/>
  <c r="M47" i="12"/>
  <c r="N47" i="12" s="1"/>
  <c r="M79" i="12"/>
  <c r="N79" i="12" s="1"/>
  <c r="M85" i="12"/>
  <c r="N85" i="12" s="1"/>
  <c r="M91" i="12"/>
  <c r="N91" i="12" s="1"/>
  <c r="M96" i="12"/>
  <c r="N96" i="12" s="1"/>
  <c r="M101" i="12"/>
  <c r="N101" i="12" s="1"/>
  <c r="M106" i="12"/>
  <c r="N106" i="12" s="1"/>
  <c r="M111" i="12"/>
  <c r="N111" i="12" s="1"/>
  <c r="M117" i="12"/>
  <c r="N117" i="12" s="1"/>
  <c r="M121" i="12"/>
  <c r="N121" i="12" s="1"/>
  <c r="M126" i="12"/>
  <c r="N126" i="12" s="1"/>
  <c r="M129" i="12"/>
  <c r="N129" i="12" s="1"/>
  <c r="M135" i="12"/>
  <c r="N135" i="12" s="1"/>
  <c r="M141" i="12"/>
  <c r="N141" i="12" s="1"/>
  <c r="M145" i="12"/>
  <c r="N145" i="12" s="1"/>
  <c r="M150" i="12"/>
  <c r="N150" i="12" s="1"/>
  <c r="M154" i="12"/>
  <c r="N154" i="12" s="1"/>
  <c r="M158" i="12"/>
  <c r="N158" i="12" s="1"/>
  <c r="M164" i="12"/>
  <c r="N164" i="12" s="1"/>
  <c r="M170" i="12"/>
  <c r="N170" i="12" s="1"/>
  <c r="M175" i="12"/>
  <c r="N175" i="12" s="1"/>
  <c r="M347" i="12"/>
  <c r="N347" i="12" s="1"/>
  <c r="M353" i="12"/>
  <c r="N353" i="12" s="1"/>
  <c r="M359" i="12"/>
  <c r="N359" i="12" s="1"/>
  <c r="M365" i="12"/>
  <c r="N365" i="12" s="1"/>
  <c r="M368" i="12"/>
  <c r="N368" i="12" s="1"/>
  <c r="M373" i="12"/>
  <c r="N373" i="12" s="1"/>
  <c r="M377" i="12"/>
  <c r="N377" i="12" s="1"/>
  <c r="M382" i="12"/>
  <c r="N382" i="12" s="1"/>
  <c r="M386" i="12"/>
  <c r="N386" i="12" s="1"/>
  <c r="M390" i="12"/>
  <c r="N390" i="12" s="1"/>
  <c r="M393" i="12"/>
  <c r="N393" i="12" s="1"/>
  <c r="M397" i="12"/>
  <c r="N397" i="12" s="1"/>
  <c r="M400" i="12"/>
  <c r="N400" i="12" s="1"/>
  <c r="M405" i="12"/>
  <c r="N405" i="12" s="1"/>
  <c r="M410" i="12"/>
  <c r="N410" i="12" s="1"/>
  <c r="M416" i="12"/>
  <c r="N416" i="12" s="1"/>
  <c r="M419" i="12"/>
  <c r="N419" i="12" s="1"/>
  <c r="M423" i="12"/>
  <c r="N423" i="12" s="1"/>
  <c r="M427" i="12"/>
  <c r="N427" i="12" s="1"/>
  <c r="M431" i="12"/>
  <c r="N431" i="12" s="1"/>
  <c r="M434" i="12"/>
  <c r="N434" i="12" s="1"/>
  <c r="M437" i="12"/>
  <c r="N437" i="12" s="1"/>
  <c r="M442" i="12"/>
  <c r="N442" i="12" s="1"/>
  <c r="M446" i="12"/>
  <c r="N446" i="12" s="1"/>
  <c r="M450" i="12"/>
  <c r="N450" i="12" s="1"/>
  <c r="M456" i="12"/>
  <c r="N456" i="12" s="1"/>
  <c r="M460" i="12"/>
  <c r="N460" i="12" s="1"/>
  <c r="M464" i="12"/>
  <c r="N464" i="12" s="1"/>
  <c r="M471" i="12"/>
  <c r="N471" i="12" s="1"/>
  <c r="M485" i="12"/>
  <c r="N485" i="12" s="1"/>
  <c r="M492" i="12"/>
  <c r="N492" i="12" s="1"/>
  <c r="M498" i="12"/>
  <c r="N498" i="12" s="1"/>
  <c r="M504" i="12"/>
  <c r="N504" i="12" s="1"/>
  <c r="M512" i="12"/>
  <c r="N512" i="12" s="1"/>
  <c r="M516" i="12"/>
  <c r="N516" i="12" s="1"/>
  <c r="M522" i="12"/>
  <c r="N522" i="12" s="1"/>
  <c r="M528" i="12"/>
  <c r="N528" i="12" s="1"/>
  <c r="M534" i="12"/>
  <c r="N534" i="12" s="1"/>
  <c r="M546" i="12"/>
  <c r="N546" i="12" s="1"/>
  <c r="M553" i="12"/>
  <c r="N553" i="12" s="1"/>
  <c r="M559" i="12"/>
  <c r="N559" i="12" s="1"/>
  <c r="M565" i="12"/>
  <c r="N565" i="12" s="1"/>
  <c r="M571" i="12"/>
  <c r="N571" i="12" s="1"/>
  <c r="M577" i="12"/>
  <c r="N577" i="12" s="1"/>
  <c r="M583" i="12"/>
  <c r="N583" i="12" s="1"/>
  <c r="M589" i="12"/>
  <c r="N589" i="12" s="1"/>
  <c r="M598" i="12"/>
  <c r="N598" i="12" s="1"/>
  <c r="M604" i="12"/>
  <c r="N604" i="12" s="1"/>
  <c r="M608" i="12"/>
  <c r="N608" i="12" s="1"/>
  <c r="M614" i="12"/>
  <c r="N614" i="12" s="1"/>
  <c r="M619" i="12"/>
  <c r="N619" i="12" s="1"/>
  <c r="M625" i="12"/>
  <c r="N625" i="12" s="1"/>
  <c r="M631" i="12"/>
  <c r="N631" i="12" s="1"/>
  <c r="M889" i="12"/>
  <c r="N889" i="12" s="1"/>
  <c r="M890" i="12"/>
  <c r="N890" i="12" s="1"/>
  <c r="M891" i="12"/>
  <c r="N891" i="12" s="1"/>
  <c r="M892" i="12"/>
  <c r="N892" i="12" s="1"/>
  <c r="M893" i="12"/>
  <c r="N893" i="12" s="1"/>
  <c r="M894" i="12"/>
  <c r="N894" i="12" s="1"/>
  <c r="M895" i="12"/>
  <c r="N895" i="12" s="1"/>
  <c r="M896" i="12"/>
  <c r="N896" i="12" s="1"/>
  <c r="M897" i="12"/>
  <c r="N897" i="12" s="1"/>
  <c r="M898" i="12"/>
  <c r="N898" i="12" s="1"/>
  <c r="M899" i="12"/>
  <c r="N899" i="12" s="1"/>
  <c r="M900" i="12"/>
  <c r="N900" i="12" s="1"/>
  <c r="M901" i="12"/>
  <c r="N901" i="12" s="1"/>
  <c r="M902" i="12"/>
  <c r="N902" i="12" s="1"/>
  <c r="M903" i="12"/>
  <c r="N903" i="12" s="1"/>
  <c r="M904" i="12"/>
  <c r="N904" i="12" s="1"/>
  <c r="M905" i="12"/>
  <c r="N905" i="12" s="1"/>
  <c r="M906" i="12"/>
  <c r="N906" i="12" s="1"/>
  <c r="M907" i="12"/>
  <c r="N907" i="12" s="1"/>
  <c r="M908" i="12"/>
  <c r="N908" i="12" s="1"/>
  <c r="M909" i="12"/>
  <c r="N909" i="12" s="1"/>
  <c r="M910" i="12"/>
  <c r="N910" i="12" s="1"/>
  <c r="M911" i="12"/>
  <c r="N911" i="12" s="1"/>
  <c r="M912" i="12"/>
  <c r="N912" i="12" s="1"/>
  <c r="M913" i="12"/>
  <c r="N913" i="12" s="1"/>
  <c r="M914" i="12"/>
  <c r="N914" i="12" s="1"/>
  <c r="M915" i="12"/>
  <c r="N915" i="12" s="1"/>
  <c r="M916" i="12"/>
  <c r="N916" i="12" s="1"/>
  <c r="M917" i="12"/>
  <c r="N917" i="12" s="1"/>
  <c r="M918" i="12"/>
  <c r="N918" i="12" s="1"/>
  <c r="M919" i="12"/>
  <c r="N919" i="12" s="1"/>
  <c r="M920" i="12"/>
  <c r="N920" i="12" s="1"/>
  <c r="M921" i="12"/>
  <c r="N921" i="12" s="1"/>
  <c r="M922" i="12"/>
  <c r="N922" i="12" s="1"/>
  <c r="M923" i="12"/>
  <c r="N923" i="12" s="1"/>
  <c r="M924" i="12"/>
  <c r="N924" i="12" s="1"/>
  <c r="M925" i="12"/>
  <c r="N925" i="12" s="1"/>
  <c r="M926" i="12"/>
  <c r="N926" i="12" s="1"/>
  <c r="M927" i="12"/>
  <c r="N927" i="12" s="1"/>
  <c r="M928" i="12"/>
  <c r="N928" i="12" s="1"/>
  <c r="M929" i="12"/>
  <c r="N929" i="12" s="1"/>
  <c r="M930" i="12"/>
  <c r="N930" i="12" s="1"/>
  <c r="M931" i="12"/>
  <c r="N931" i="12" s="1"/>
  <c r="M932" i="12"/>
  <c r="N932" i="12" s="1"/>
  <c r="M933" i="12"/>
  <c r="N933" i="12" s="1"/>
  <c r="M934" i="12"/>
  <c r="N934" i="12" s="1"/>
  <c r="M935" i="12"/>
  <c r="N935" i="12" s="1"/>
  <c r="M936" i="12"/>
  <c r="N936" i="12" s="1"/>
  <c r="M937" i="12"/>
  <c r="N937" i="12" s="1"/>
  <c r="M938" i="12"/>
  <c r="N938" i="12" s="1"/>
  <c r="M939" i="12"/>
  <c r="N939" i="12" s="1"/>
  <c r="M940" i="12"/>
  <c r="N940" i="12" s="1"/>
  <c r="M941" i="12"/>
  <c r="N941" i="12" s="1"/>
  <c r="M942" i="12"/>
  <c r="N942" i="12" s="1"/>
  <c r="M943" i="12"/>
  <c r="N943" i="12" s="1"/>
  <c r="M944" i="12"/>
  <c r="N944" i="12" s="1"/>
  <c r="M945" i="12"/>
  <c r="N945" i="12" s="1"/>
  <c r="M946" i="12"/>
  <c r="N946" i="12" s="1"/>
  <c r="M947" i="12"/>
  <c r="N947" i="12" s="1"/>
  <c r="M948" i="12"/>
  <c r="N948" i="12" s="1"/>
  <c r="M949" i="12"/>
  <c r="N949" i="12" s="1"/>
  <c r="M950" i="12"/>
  <c r="N950" i="12" s="1"/>
  <c r="M951" i="12"/>
  <c r="N951" i="12" s="1"/>
  <c r="M952" i="12"/>
  <c r="N952" i="12" s="1"/>
  <c r="M953" i="12"/>
  <c r="N953" i="12" s="1"/>
  <c r="M954" i="12"/>
  <c r="N954" i="12" s="1"/>
  <c r="M955" i="12"/>
  <c r="N955" i="12" s="1"/>
  <c r="M956" i="12"/>
  <c r="N956" i="12" s="1"/>
  <c r="M957" i="12"/>
  <c r="N957" i="12" s="1"/>
  <c r="M958" i="12"/>
  <c r="N958" i="12" s="1"/>
  <c r="M959" i="12"/>
  <c r="N959" i="12" s="1"/>
  <c r="M960" i="12"/>
  <c r="N960" i="12" s="1"/>
  <c r="M961" i="12"/>
  <c r="N961" i="12" s="1"/>
  <c r="M962" i="12"/>
  <c r="N962" i="12" s="1"/>
  <c r="M963" i="12"/>
  <c r="N963" i="12" s="1"/>
  <c r="M964" i="12"/>
  <c r="N964" i="12" s="1"/>
  <c r="M965" i="12"/>
  <c r="N965" i="12" s="1"/>
  <c r="M966" i="12"/>
  <c r="N966" i="12" s="1"/>
  <c r="M967" i="12"/>
  <c r="N967" i="12" s="1"/>
  <c r="M968" i="12"/>
  <c r="N968" i="12" s="1"/>
  <c r="M969" i="12"/>
  <c r="N969" i="12" s="1"/>
  <c r="M970" i="12"/>
  <c r="N970" i="12" s="1"/>
  <c r="M971" i="12"/>
  <c r="N971" i="12" s="1"/>
  <c r="M972" i="12"/>
  <c r="N972" i="12" s="1"/>
  <c r="M973" i="12"/>
  <c r="N973" i="12" s="1"/>
  <c r="M974" i="12"/>
  <c r="N974" i="12" s="1"/>
  <c r="M975" i="12"/>
  <c r="N975" i="12" s="1"/>
  <c r="M976" i="12"/>
  <c r="N976" i="12" s="1"/>
  <c r="M977" i="12"/>
  <c r="N977" i="12" s="1"/>
  <c r="M978" i="12"/>
  <c r="N978" i="12" s="1"/>
  <c r="M979" i="12"/>
  <c r="N979" i="12" s="1"/>
  <c r="M980" i="12"/>
  <c r="N980" i="12" s="1"/>
  <c r="M981" i="12"/>
  <c r="N981" i="12" s="1"/>
  <c r="M982" i="12"/>
  <c r="N982" i="12" s="1"/>
  <c r="M983" i="12"/>
  <c r="N983" i="12" s="1"/>
  <c r="M984" i="12"/>
  <c r="N984" i="12" s="1"/>
  <c r="M985" i="12"/>
  <c r="N985" i="12" s="1"/>
  <c r="M986" i="12"/>
  <c r="N986" i="12" s="1"/>
  <c r="M987" i="12"/>
  <c r="N987" i="12" s="1"/>
  <c r="M988" i="12"/>
  <c r="N988" i="12" s="1"/>
  <c r="M989" i="12"/>
  <c r="N989" i="12" s="1"/>
  <c r="M990" i="12"/>
  <c r="N990" i="12" s="1"/>
  <c r="M991" i="12"/>
  <c r="N991" i="12" s="1"/>
  <c r="M992" i="12"/>
  <c r="N992" i="12" s="1"/>
  <c r="M993" i="12"/>
  <c r="N993" i="12" s="1"/>
  <c r="M994" i="12"/>
  <c r="N994" i="12" s="1"/>
  <c r="M995" i="12"/>
  <c r="N995" i="12" s="1"/>
  <c r="M996" i="12"/>
  <c r="N996" i="12" s="1"/>
  <c r="M997" i="12"/>
  <c r="N997" i="12" s="1"/>
  <c r="M998" i="12"/>
  <c r="N998" i="12" s="1"/>
  <c r="M999" i="12"/>
  <c r="N999" i="12" s="1"/>
  <c r="M1000" i="12"/>
  <c r="N1000" i="12" s="1"/>
  <c r="M1001" i="12"/>
  <c r="N1001" i="12" s="1"/>
  <c r="M1002" i="12"/>
  <c r="N1002" i="12" s="1"/>
  <c r="M1003" i="12"/>
  <c r="N1003" i="12" s="1"/>
  <c r="M1004" i="12"/>
  <c r="N1004" i="12" s="1"/>
  <c r="M1005" i="12"/>
  <c r="N1005" i="12" s="1"/>
  <c r="M1006" i="12"/>
  <c r="N1006" i="12" s="1"/>
  <c r="M1007" i="12"/>
  <c r="N1007" i="12" s="1"/>
  <c r="M1008" i="12"/>
  <c r="N1008" i="12" s="1"/>
  <c r="M1009" i="12"/>
  <c r="N1009" i="12" s="1"/>
  <c r="M1010" i="12"/>
  <c r="N1010" i="12" s="1"/>
  <c r="M1011" i="12"/>
  <c r="N1011" i="12" s="1"/>
  <c r="M1012" i="12"/>
  <c r="N1012" i="12" s="1"/>
  <c r="M1013" i="12"/>
  <c r="N1013" i="12" s="1"/>
  <c r="M1014" i="12"/>
  <c r="N1014" i="12" s="1"/>
  <c r="M1015" i="12"/>
  <c r="N1015" i="12" s="1"/>
  <c r="M1016" i="12"/>
  <c r="N1016" i="12" s="1"/>
  <c r="M1017" i="12"/>
  <c r="N1017" i="12" s="1"/>
  <c r="M1018" i="12"/>
  <c r="N1018" i="12" s="1"/>
  <c r="M1019" i="12"/>
  <c r="N1019" i="12" s="1"/>
  <c r="M1020" i="12"/>
  <c r="N1020" i="12" s="1"/>
  <c r="M1021" i="12"/>
  <c r="N1021" i="12" s="1"/>
  <c r="M1022" i="12"/>
  <c r="N1022" i="12" s="1"/>
  <c r="M1023" i="12"/>
  <c r="N1023" i="12" s="1"/>
  <c r="M1024" i="12"/>
  <c r="N1024" i="12" s="1"/>
  <c r="M1025" i="12"/>
  <c r="N1025" i="12" s="1"/>
  <c r="M1026" i="12"/>
  <c r="N1026" i="12" s="1"/>
  <c r="M1027" i="12"/>
  <c r="N1027" i="12" s="1"/>
  <c r="M1028" i="12"/>
  <c r="N1028" i="12" s="1"/>
  <c r="M1029" i="12"/>
  <c r="N1029" i="12" s="1"/>
  <c r="M1030" i="12"/>
  <c r="N1030" i="12" s="1"/>
  <c r="M1031" i="12"/>
  <c r="N1031" i="12" s="1"/>
  <c r="M1035" i="12"/>
  <c r="N1035" i="12" s="1"/>
  <c r="M1037" i="12"/>
  <c r="N1037" i="12" s="1"/>
  <c r="M1040" i="12"/>
  <c r="N1040" i="12" s="1"/>
  <c r="M1048" i="12"/>
  <c r="N1048" i="12" s="1"/>
  <c r="M1053" i="12"/>
  <c r="N1053" i="12" s="1"/>
  <c r="M1058" i="12"/>
  <c r="N1058" i="12" s="1"/>
  <c r="M1063" i="12"/>
  <c r="N1063" i="12" s="1"/>
  <c r="M1067" i="12"/>
  <c r="N1067" i="12" s="1"/>
  <c r="M1072" i="12"/>
  <c r="N1072" i="12" s="1"/>
  <c r="M1076" i="12"/>
  <c r="N1076" i="12" s="1"/>
  <c r="M831" i="12"/>
  <c r="N831" i="12" s="1"/>
  <c r="M838" i="12"/>
  <c r="N838" i="12" s="1"/>
  <c r="M843" i="12"/>
  <c r="N843" i="12" s="1"/>
  <c r="M758" i="12"/>
  <c r="N758" i="12" s="1"/>
  <c r="M763" i="12"/>
  <c r="N763" i="12" s="1"/>
  <c r="M770" i="12"/>
  <c r="N770" i="12" s="1"/>
  <c r="M775" i="12"/>
  <c r="N775" i="12" s="1"/>
  <c r="M780" i="12"/>
  <c r="N780" i="12" s="1"/>
  <c r="M784" i="12"/>
  <c r="N784" i="12" s="1"/>
  <c r="M789" i="12"/>
  <c r="N789" i="12" s="1"/>
  <c r="M794" i="12"/>
  <c r="N794" i="12" s="1"/>
  <c r="M798" i="12"/>
  <c r="N798" i="12" s="1"/>
  <c r="M804" i="12"/>
  <c r="N804" i="12" s="1"/>
  <c r="M808" i="12"/>
  <c r="N808" i="12" s="1"/>
  <c r="M813" i="12"/>
  <c r="N813" i="12" s="1"/>
  <c r="M817" i="12"/>
  <c r="N817" i="12" s="1"/>
  <c r="M822" i="12"/>
  <c r="N822" i="12" s="1"/>
  <c r="M828" i="12"/>
  <c r="N828" i="12" s="1"/>
  <c r="M32" i="12"/>
  <c r="N32" i="12" s="1"/>
  <c r="M37" i="12"/>
  <c r="N37" i="12" s="1"/>
  <c r="M41" i="12"/>
  <c r="N41" i="12" s="1"/>
  <c r="M46" i="12"/>
  <c r="N46" i="12" s="1"/>
  <c r="M52" i="12"/>
  <c r="N52" i="12" s="1"/>
  <c r="M57" i="12"/>
  <c r="N57" i="12" s="1"/>
  <c r="M61" i="12"/>
  <c r="N61" i="12" s="1"/>
  <c r="M65" i="12"/>
  <c r="N65" i="12" s="1"/>
  <c r="M70" i="12"/>
  <c r="N70" i="12" s="1"/>
  <c r="M74" i="12"/>
  <c r="N74" i="12" s="1"/>
  <c r="M78" i="12"/>
  <c r="N78" i="12" s="1"/>
  <c r="M83" i="12"/>
  <c r="N83" i="12" s="1"/>
  <c r="M87" i="12"/>
  <c r="N87" i="12" s="1"/>
  <c r="M92" i="12"/>
  <c r="N92" i="12" s="1"/>
  <c r="M97" i="12"/>
  <c r="N97" i="12" s="1"/>
  <c r="M102" i="12"/>
  <c r="N102" i="12" s="1"/>
  <c r="M107" i="12"/>
  <c r="N107" i="12" s="1"/>
  <c r="M112" i="12"/>
  <c r="N112" i="12" s="1"/>
  <c r="M116" i="12"/>
  <c r="N116" i="12" s="1"/>
  <c r="M122" i="12"/>
  <c r="N122" i="12" s="1"/>
  <c r="M127" i="12"/>
  <c r="N127" i="12" s="1"/>
  <c r="M132" i="12"/>
  <c r="N132" i="12" s="1"/>
  <c r="M137" i="12"/>
  <c r="N137" i="12" s="1"/>
  <c r="M139" i="12"/>
  <c r="N139" i="12" s="1"/>
  <c r="M143" i="12"/>
  <c r="N143" i="12" s="1"/>
  <c r="M147" i="12"/>
  <c r="N147" i="12" s="1"/>
  <c r="M151" i="12"/>
  <c r="N151" i="12" s="1"/>
  <c r="M155" i="12"/>
  <c r="N155" i="12" s="1"/>
  <c r="M159" i="12"/>
  <c r="N159" i="12" s="1"/>
  <c r="M163" i="12"/>
  <c r="N163" i="12" s="1"/>
  <c r="M168" i="12"/>
  <c r="N168" i="12" s="1"/>
  <c r="M172" i="12"/>
  <c r="N172" i="12" s="1"/>
  <c r="M344" i="12"/>
  <c r="N344" i="12" s="1"/>
  <c r="M352" i="12"/>
  <c r="N352" i="12" s="1"/>
  <c r="M357" i="12"/>
  <c r="N357" i="12" s="1"/>
  <c r="M364" i="12"/>
  <c r="N364" i="12" s="1"/>
  <c r="M370" i="12"/>
  <c r="N370" i="12" s="1"/>
  <c r="M374" i="12"/>
  <c r="N374" i="12" s="1"/>
  <c r="M378" i="12"/>
  <c r="N378" i="12" s="1"/>
  <c r="M381" i="12"/>
  <c r="N381" i="12" s="1"/>
  <c r="M385" i="12"/>
  <c r="N385" i="12" s="1"/>
  <c r="M388" i="12"/>
  <c r="N388" i="12" s="1"/>
  <c r="M392" i="12"/>
  <c r="N392" i="12" s="1"/>
  <c r="M395" i="12"/>
  <c r="N395" i="12" s="1"/>
  <c r="M402" i="12"/>
  <c r="N402" i="12" s="1"/>
  <c r="M409" i="12"/>
  <c r="N409" i="12" s="1"/>
  <c r="M414" i="12"/>
  <c r="N414" i="12" s="1"/>
  <c r="M418" i="12"/>
  <c r="N418" i="12" s="1"/>
  <c r="M422" i="12"/>
  <c r="N422" i="12" s="1"/>
  <c r="M426" i="12"/>
  <c r="N426" i="12" s="1"/>
  <c r="M429" i="12"/>
  <c r="N429" i="12" s="1"/>
  <c r="M433" i="12"/>
  <c r="N433" i="12" s="1"/>
  <c r="M438" i="12"/>
  <c r="N438" i="12" s="1"/>
  <c r="M441" i="12"/>
  <c r="N441" i="12" s="1"/>
  <c r="M445" i="12"/>
  <c r="N445" i="12" s="1"/>
  <c r="M449" i="12"/>
  <c r="N449" i="12" s="1"/>
  <c r="M453" i="12"/>
  <c r="N453" i="12" s="1"/>
  <c r="M457" i="12"/>
  <c r="N457" i="12" s="1"/>
  <c r="M461" i="12"/>
  <c r="N461" i="12" s="1"/>
  <c r="M463" i="12"/>
  <c r="N463" i="12" s="1"/>
  <c r="M468" i="12"/>
  <c r="N468" i="12" s="1"/>
  <c r="M474" i="12"/>
  <c r="N474" i="12" s="1"/>
  <c r="M478" i="12"/>
  <c r="N478" i="12" s="1"/>
  <c r="M484" i="12"/>
  <c r="N484" i="12" s="1"/>
  <c r="M491" i="12"/>
  <c r="N491" i="12" s="1"/>
  <c r="M497" i="12"/>
  <c r="N497" i="12" s="1"/>
  <c r="M503" i="12"/>
  <c r="N503" i="12" s="1"/>
  <c r="M509" i="12"/>
  <c r="N509" i="12" s="1"/>
  <c r="M515" i="12"/>
  <c r="N515" i="12" s="1"/>
  <c r="M524" i="12"/>
  <c r="N524" i="12" s="1"/>
  <c r="M530" i="12"/>
  <c r="N530" i="12" s="1"/>
  <c r="M536" i="12"/>
  <c r="N536" i="12" s="1"/>
  <c r="M541" i="12"/>
  <c r="N541" i="12" s="1"/>
  <c r="M548" i="12"/>
  <c r="N548" i="12" s="1"/>
  <c r="M554" i="12"/>
  <c r="N554" i="12" s="1"/>
  <c r="M560" i="12"/>
  <c r="N560" i="12" s="1"/>
  <c r="M564" i="12"/>
  <c r="N564" i="12" s="1"/>
  <c r="M568" i="12"/>
  <c r="N568" i="12" s="1"/>
  <c r="M576" i="12"/>
  <c r="N576" i="12" s="1"/>
  <c r="M582" i="12"/>
  <c r="N582" i="12" s="1"/>
  <c r="M588" i="12"/>
  <c r="N588" i="12" s="1"/>
  <c r="M593" i="12"/>
  <c r="N593" i="12" s="1"/>
  <c r="M599" i="12"/>
  <c r="N599" i="12" s="1"/>
  <c r="M605" i="12"/>
  <c r="N605" i="12" s="1"/>
  <c r="M613" i="12"/>
  <c r="N613" i="12" s="1"/>
  <c r="M621" i="12"/>
  <c r="N621" i="12" s="1"/>
  <c r="M627" i="12"/>
  <c r="N627" i="12" s="1"/>
  <c r="M177" i="12"/>
  <c r="N177" i="12" s="1"/>
  <c r="M178" i="12"/>
  <c r="N178" i="12" s="1"/>
  <c r="M179" i="12"/>
  <c r="N179" i="12" s="1"/>
  <c r="M180" i="12"/>
  <c r="N180" i="12" s="1"/>
  <c r="M181" i="12"/>
  <c r="N181" i="12" s="1"/>
  <c r="M182" i="12"/>
  <c r="N182" i="12" s="1"/>
  <c r="M183" i="12"/>
  <c r="N183" i="12" s="1"/>
  <c r="M184" i="12"/>
  <c r="N184" i="12" s="1"/>
  <c r="M185" i="12"/>
  <c r="N185" i="12" s="1"/>
  <c r="M186" i="12"/>
  <c r="N186" i="12" s="1"/>
  <c r="M187" i="12"/>
  <c r="N187" i="12" s="1"/>
  <c r="M188" i="12"/>
  <c r="N188" i="12" s="1"/>
  <c r="M189" i="12"/>
  <c r="N189" i="12" s="1"/>
  <c r="M190" i="12"/>
  <c r="N190" i="12" s="1"/>
  <c r="M191" i="12"/>
  <c r="N191" i="12" s="1"/>
  <c r="M192" i="12"/>
  <c r="N192" i="12" s="1"/>
  <c r="M193" i="12"/>
  <c r="N193" i="12" s="1"/>
  <c r="M194" i="12"/>
  <c r="N194" i="12" s="1"/>
  <c r="M195" i="12"/>
  <c r="N195" i="12" s="1"/>
  <c r="M196" i="12"/>
  <c r="N196" i="12" s="1"/>
  <c r="M197" i="12"/>
  <c r="N197" i="12" s="1"/>
  <c r="M198" i="12"/>
  <c r="N198" i="12" s="1"/>
  <c r="M199" i="12"/>
  <c r="N199" i="12" s="1"/>
  <c r="M200" i="12"/>
  <c r="N200" i="12" s="1"/>
  <c r="M201" i="12"/>
  <c r="N201" i="12" s="1"/>
  <c r="M202" i="12"/>
  <c r="N202" i="12" s="1"/>
  <c r="M203" i="12"/>
  <c r="N203" i="12" s="1"/>
  <c r="M204" i="12"/>
  <c r="N204" i="12" s="1"/>
  <c r="M205" i="12"/>
  <c r="N205" i="12" s="1"/>
  <c r="M206" i="12"/>
  <c r="N206" i="12" s="1"/>
  <c r="M207" i="12"/>
  <c r="N207" i="12" s="1"/>
  <c r="M208" i="12"/>
  <c r="N208" i="12" s="1"/>
  <c r="M209" i="12"/>
  <c r="N209" i="12" s="1"/>
  <c r="M210" i="12"/>
  <c r="N210" i="12" s="1"/>
  <c r="M211" i="12"/>
  <c r="N211" i="12" s="1"/>
  <c r="M212" i="12"/>
  <c r="N212" i="12" s="1"/>
  <c r="M213" i="12"/>
  <c r="N213" i="12" s="1"/>
  <c r="M214" i="12"/>
  <c r="N214" i="12" s="1"/>
  <c r="M215" i="12"/>
  <c r="N215" i="12" s="1"/>
  <c r="M216" i="12"/>
  <c r="N216" i="12" s="1"/>
  <c r="M217" i="12"/>
  <c r="N217" i="12" s="1"/>
  <c r="M218" i="12"/>
  <c r="N218" i="12" s="1"/>
  <c r="M219" i="12"/>
  <c r="N219" i="12" s="1"/>
  <c r="M220" i="12"/>
  <c r="N220" i="12" s="1"/>
  <c r="M221" i="12"/>
  <c r="N221" i="12" s="1"/>
  <c r="M222" i="12"/>
  <c r="N222" i="12" s="1"/>
  <c r="M223" i="12"/>
  <c r="N223" i="12" s="1"/>
  <c r="M224" i="12"/>
  <c r="N224" i="12" s="1"/>
  <c r="M225" i="12"/>
  <c r="N225" i="12" s="1"/>
  <c r="M226" i="12"/>
  <c r="N226" i="12" s="1"/>
  <c r="M227" i="12"/>
  <c r="N227" i="12" s="1"/>
  <c r="M228" i="12"/>
  <c r="N228" i="12" s="1"/>
  <c r="M229" i="12"/>
  <c r="N229" i="12" s="1"/>
  <c r="M230" i="12"/>
  <c r="N230" i="12" s="1"/>
  <c r="M231" i="12"/>
  <c r="N231" i="12" s="1"/>
  <c r="M232" i="12"/>
  <c r="N232" i="12" s="1"/>
  <c r="M233" i="12"/>
  <c r="N233" i="12" s="1"/>
  <c r="M234" i="12"/>
  <c r="N234" i="12" s="1"/>
  <c r="M235" i="12"/>
  <c r="N235" i="12" s="1"/>
  <c r="M236" i="12"/>
  <c r="N236" i="12" s="1"/>
  <c r="M237" i="12"/>
  <c r="N237" i="12" s="1"/>
  <c r="M238" i="12"/>
  <c r="N238" i="12" s="1"/>
  <c r="M239" i="12"/>
  <c r="N239" i="12" s="1"/>
  <c r="M240" i="12"/>
  <c r="N240" i="12" s="1"/>
  <c r="M241" i="12"/>
  <c r="N241" i="12" s="1"/>
  <c r="M242" i="12"/>
  <c r="N242" i="12" s="1"/>
  <c r="M243" i="12"/>
  <c r="N243" i="12" s="1"/>
  <c r="M244" i="12"/>
  <c r="N244" i="12" s="1"/>
  <c r="M245" i="12"/>
  <c r="N245" i="12" s="1"/>
  <c r="M246" i="12"/>
  <c r="N246" i="12" s="1"/>
  <c r="M247" i="12"/>
  <c r="N247" i="12" s="1"/>
  <c r="M248" i="12"/>
  <c r="N248" i="12" s="1"/>
  <c r="M249" i="12"/>
  <c r="N249" i="12" s="1"/>
  <c r="M250" i="12"/>
  <c r="N250" i="12" s="1"/>
  <c r="M251" i="12"/>
  <c r="N251" i="12" s="1"/>
  <c r="M252" i="12"/>
  <c r="N252" i="12" s="1"/>
  <c r="M253" i="12"/>
  <c r="N253" i="12" s="1"/>
  <c r="M254" i="12"/>
  <c r="N254" i="12" s="1"/>
  <c r="M255" i="12"/>
  <c r="N255" i="12" s="1"/>
  <c r="M256" i="12"/>
  <c r="N256" i="12" s="1"/>
  <c r="M257" i="12"/>
  <c r="N257" i="12" s="1"/>
  <c r="M258" i="12"/>
  <c r="N258" i="12" s="1"/>
  <c r="M259" i="12"/>
  <c r="N259" i="12" s="1"/>
  <c r="M260" i="12"/>
  <c r="N260" i="12" s="1"/>
  <c r="M261" i="12"/>
  <c r="N261" i="12" s="1"/>
  <c r="M262" i="12"/>
  <c r="N262" i="12" s="1"/>
  <c r="M263" i="12"/>
  <c r="N263" i="12" s="1"/>
  <c r="M264" i="12"/>
  <c r="N264" i="12" s="1"/>
  <c r="M265" i="12"/>
  <c r="N265" i="12" s="1"/>
  <c r="M266" i="12"/>
  <c r="N266" i="12" s="1"/>
  <c r="M267" i="12"/>
  <c r="N267" i="12" s="1"/>
  <c r="M268" i="12"/>
  <c r="N268" i="12" s="1"/>
  <c r="M269" i="12"/>
  <c r="N269" i="12" s="1"/>
  <c r="M270" i="12"/>
  <c r="N270" i="12" s="1"/>
  <c r="M271" i="12"/>
  <c r="N271" i="12" s="1"/>
  <c r="M272" i="12"/>
  <c r="N272" i="12" s="1"/>
  <c r="M273" i="12"/>
  <c r="N273" i="12" s="1"/>
  <c r="M274" i="12"/>
  <c r="N274" i="12" s="1"/>
  <c r="M275" i="12"/>
  <c r="N275" i="12" s="1"/>
  <c r="M276" i="12"/>
  <c r="N276" i="12" s="1"/>
  <c r="M277" i="12"/>
  <c r="N277" i="12" s="1"/>
  <c r="M278" i="12"/>
  <c r="N278" i="12" s="1"/>
  <c r="M279" i="12"/>
  <c r="N279" i="12" s="1"/>
  <c r="M280" i="12"/>
  <c r="N280" i="12" s="1"/>
  <c r="M281" i="12"/>
  <c r="N281" i="12" s="1"/>
  <c r="M282" i="12"/>
  <c r="N282" i="12" s="1"/>
  <c r="M283" i="12"/>
  <c r="N283" i="12" s="1"/>
  <c r="M284" i="12"/>
  <c r="N284" i="12" s="1"/>
  <c r="M285" i="12"/>
  <c r="N285" i="12" s="1"/>
  <c r="M286" i="12"/>
  <c r="N286" i="12" s="1"/>
  <c r="M287" i="12"/>
  <c r="N287" i="12" s="1"/>
  <c r="M288" i="12"/>
  <c r="N288" i="12" s="1"/>
  <c r="M289" i="12"/>
  <c r="N289" i="12" s="1"/>
  <c r="M290" i="12"/>
  <c r="N290" i="12" s="1"/>
  <c r="M291" i="12"/>
  <c r="N291" i="12" s="1"/>
  <c r="M292" i="12"/>
  <c r="N292" i="12" s="1"/>
  <c r="M293" i="12"/>
  <c r="N293" i="12" s="1"/>
  <c r="M294" i="12"/>
  <c r="N294" i="12" s="1"/>
  <c r="M295" i="12"/>
  <c r="N295" i="12" s="1"/>
  <c r="M296" i="12"/>
  <c r="N296" i="12" s="1"/>
  <c r="M297" i="12"/>
  <c r="N297" i="12" s="1"/>
  <c r="M298" i="12"/>
  <c r="N298" i="12" s="1"/>
  <c r="M299" i="12"/>
  <c r="N299" i="12" s="1"/>
  <c r="M300" i="12"/>
  <c r="N300" i="12" s="1"/>
  <c r="M301" i="12"/>
  <c r="N301" i="12" s="1"/>
  <c r="M302" i="12"/>
  <c r="N302" i="12" s="1"/>
  <c r="M303" i="12"/>
  <c r="N303" i="12" s="1"/>
  <c r="M304" i="12"/>
  <c r="N304" i="12" s="1"/>
  <c r="M305" i="12"/>
  <c r="N305" i="12" s="1"/>
  <c r="M306" i="12"/>
  <c r="N306" i="12" s="1"/>
  <c r="M307" i="12"/>
  <c r="N307" i="12" s="1"/>
  <c r="M308" i="12"/>
  <c r="N308" i="12" s="1"/>
  <c r="M309" i="12"/>
  <c r="N309" i="12" s="1"/>
  <c r="M310" i="12"/>
  <c r="N310" i="12" s="1"/>
  <c r="M311" i="12"/>
  <c r="N311" i="12" s="1"/>
  <c r="M312" i="12"/>
  <c r="N312" i="12" s="1"/>
  <c r="M313" i="12"/>
  <c r="N313" i="12" s="1"/>
  <c r="M314" i="12"/>
  <c r="N314" i="12" s="1"/>
  <c r="M315" i="12"/>
  <c r="N315" i="12" s="1"/>
  <c r="M316" i="12"/>
  <c r="N316" i="12" s="1"/>
  <c r="M317" i="12"/>
  <c r="N317" i="12" s="1"/>
  <c r="M318" i="12"/>
  <c r="N318" i="12" s="1"/>
  <c r="M319" i="12"/>
  <c r="N319" i="12" s="1"/>
  <c r="M320" i="12"/>
  <c r="N320" i="12" s="1"/>
  <c r="M321" i="12"/>
  <c r="N321" i="12" s="1"/>
  <c r="M322" i="12"/>
  <c r="N322" i="12" s="1"/>
  <c r="M323" i="12"/>
  <c r="N323" i="12" s="1"/>
  <c r="M324" i="12"/>
  <c r="N324" i="12" s="1"/>
  <c r="M325" i="12"/>
  <c r="N325" i="12" s="1"/>
  <c r="M326" i="12"/>
  <c r="N326" i="12" s="1"/>
  <c r="M327" i="12"/>
  <c r="N327" i="12" s="1"/>
  <c r="M328" i="12"/>
  <c r="N328" i="12" s="1"/>
  <c r="M329" i="12"/>
  <c r="N329" i="12" s="1"/>
  <c r="M330" i="12"/>
  <c r="N330" i="12" s="1"/>
  <c r="M331" i="12"/>
  <c r="N331" i="12" s="1"/>
  <c r="M332" i="12"/>
  <c r="N332" i="12" s="1"/>
  <c r="M333" i="12"/>
  <c r="N333" i="12" s="1"/>
  <c r="M334" i="12"/>
  <c r="N334" i="12" s="1"/>
  <c r="M335" i="12"/>
  <c r="N335" i="12" s="1"/>
  <c r="M336" i="12"/>
  <c r="N336" i="12" s="1"/>
  <c r="M337" i="12"/>
  <c r="N337" i="12" s="1"/>
  <c r="M338" i="12"/>
  <c r="N338" i="12" s="1"/>
  <c r="M339" i="12"/>
  <c r="N339" i="12" s="1"/>
  <c r="M340" i="12"/>
  <c r="N340" i="12" s="1"/>
  <c r="M341" i="12"/>
  <c r="N341" i="12" s="1"/>
  <c r="M342" i="12"/>
  <c r="N342" i="12" s="1"/>
  <c r="M345" i="12"/>
  <c r="N345" i="12" s="1"/>
  <c r="M349" i="12"/>
  <c r="N349" i="12" s="1"/>
  <c r="M356" i="12"/>
  <c r="N356" i="12" s="1"/>
  <c r="M362" i="12"/>
  <c r="N362" i="12" s="1"/>
  <c r="M371" i="12"/>
  <c r="N371" i="12" s="1"/>
  <c r="M398" i="12"/>
  <c r="N398" i="12" s="1"/>
  <c r="M403" i="12"/>
  <c r="N403" i="12" s="1"/>
  <c r="M408" i="12"/>
  <c r="N408" i="12" s="1"/>
  <c r="M467" i="12"/>
  <c r="N467" i="12" s="1"/>
  <c r="M472" i="12"/>
  <c r="N472" i="12" s="1"/>
  <c r="M477" i="12"/>
  <c r="N477" i="12" s="1"/>
  <c r="M482" i="12"/>
  <c r="N482" i="12" s="1"/>
  <c r="M488" i="12"/>
  <c r="N488" i="12" s="1"/>
  <c r="M494" i="12"/>
  <c r="N494" i="12" s="1"/>
  <c r="M499" i="12"/>
  <c r="N499" i="12" s="1"/>
  <c r="M505" i="12"/>
  <c r="N505" i="12" s="1"/>
  <c r="M510" i="12"/>
  <c r="N510" i="12" s="1"/>
  <c r="M517" i="12"/>
  <c r="N517" i="12" s="1"/>
  <c r="M521" i="12"/>
  <c r="N521" i="12" s="1"/>
  <c r="M526" i="12"/>
  <c r="N526" i="12" s="1"/>
  <c r="M532" i="12"/>
  <c r="N532" i="12" s="1"/>
  <c r="M535" i="12"/>
  <c r="N535" i="12" s="1"/>
  <c r="M542" i="12"/>
  <c r="N542" i="12" s="1"/>
  <c r="M547" i="12"/>
  <c r="N547" i="12" s="1"/>
  <c r="M552" i="12"/>
  <c r="N552" i="12" s="1"/>
  <c r="M557" i="12"/>
  <c r="N557" i="12" s="1"/>
  <c r="M562" i="12"/>
  <c r="N562" i="12" s="1"/>
  <c r="M570" i="12"/>
  <c r="N570" i="12" s="1"/>
  <c r="M575" i="12"/>
  <c r="N575" i="12" s="1"/>
  <c r="M580" i="12"/>
  <c r="N580" i="12" s="1"/>
  <c r="M586" i="12"/>
  <c r="N586" i="12" s="1"/>
  <c r="M592" i="12"/>
  <c r="N592" i="12" s="1"/>
  <c r="M597" i="12"/>
  <c r="N597" i="12" s="1"/>
  <c r="M602" i="12"/>
  <c r="N602" i="12" s="1"/>
  <c r="M609" i="12"/>
  <c r="N609" i="12" s="1"/>
  <c r="M618" i="12"/>
  <c r="N618" i="12" s="1"/>
  <c r="M623" i="12"/>
  <c r="N623" i="12" s="1"/>
  <c r="M630" i="12"/>
  <c r="N630" i="12" s="1"/>
  <c r="M633" i="12"/>
  <c r="N633" i="12" s="1"/>
  <c r="M634" i="12"/>
  <c r="N634" i="12" s="1"/>
  <c r="M635" i="12"/>
  <c r="N635" i="12" s="1"/>
  <c r="M636" i="12"/>
  <c r="N636" i="12" s="1"/>
  <c r="M637" i="12"/>
  <c r="N637" i="12" s="1"/>
  <c r="M638" i="12"/>
  <c r="N638" i="12" s="1"/>
  <c r="M639" i="12"/>
  <c r="N639" i="12" s="1"/>
  <c r="M640" i="12"/>
  <c r="N640" i="12" s="1"/>
  <c r="M641" i="12"/>
  <c r="N641" i="12" s="1"/>
  <c r="M642" i="12"/>
  <c r="N642" i="12" s="1"/>
  <c r="M643" i="12"/>
  <c r="N643" i="12" s="1"/>
  <c r="M644" i="12"/>
  <c r="N644" i="12" s="1"/>
  <c r="M645" i="12"/>
  <c r="N645" i="12" s="1"/>
  <c r="M646" i="12"/>
  <c r="N646" i="12" s="1"/>
  <c r="M647" i="12"/>
  <c r="N647" i="12" s="1"/>
  <c r="M648" i="12"/>
  <c r="N648" i="12" s="1"/>
  <c r="M649" i="12"/>
  <c r="N649" i="12" s="1"/>
  <c r="M650" i="12"/>
  <c r="N650" i="12" s="1"/>
  <c r="M651" i="12"/>
  <c r="N651" i="12" s="1"/>
  <c r="M652" i="12"/>
  <c r="N652" i="12" s="1"/>
  <c r="M653" i="12"/>
  <c r="N653" i="12" s="1"/>
  <c r="M654" i="12"/>
  <c r="N654" i="12" s="1"/>
  <c r="M655" i="12"/>
  <c r="N655" i="12" s="1"/>
  <c r="M656" i="12"/>
  <c r="N656" i="12" s="1"/>
  <c r="M657" i="12"/>
  <c r="N657" i="12" s="1"/>
  <c r="M658" i="12"/>
  <c r="N658" i="12" s="1"/>
  <c r="M659" i="12"/>
  <c r="N659" i="12" s="1"/>
  <c r="M660" i="12"/>
  <c r="N660" i="12" s="1"/>
  <c r="M661" i="12"/>
  <c r="N661" i="12" s="1"/>
  <c r="M662" i="12"/>
  <c r="N662" i="12" s="1"/>
  <c r="M663" i="12"/>
  <c r="N663" i="12" s="1"/>
  <c r="M664" i="12"/>
  <c r="N664" i="12" s="1"/>
  <c r="M665" i="12"/>
  <c r="N665" i="12" s="1"/>
  <c r="M666" i="12"/>
  <c r="N666" i="12" s="1"/>
  <c r="M667" i="12"/>
  <c r="N667" i="12" s="1"/>
  <c r="M668" i="12"/>
  <c r="N668" i="12" s="1"/>
  <c r="M669" i="12"/>
  <c r="N669" i="12" s="1"/>
  <c r="M670" i="12"/>
  <c r="N670" i="12" s="1"/>
  <c r="M671" i="12"/>
  <c r="N671" i="12" s="1"/>
  <c r="M672" i="12"/>
  <c r="N672" i="12" s="1"/>
  <c r="M673" i="12"/>
  <c r="N673" i="12" s="1"/>
  <c r="M674" i="12"/>
  <c r="N674" i="12" s="1"/>
  <c r="M675" i="12"/>
  <c r="N675" i="12" s="1"/>
  <c r="M676" i="12"/>
  <c r="N676" i="12" s="1"/>
  <c r="M677" i="12"/>
  <c r="N677" i="12" s="1"/>
  <c r="M678" i="12"/>
  <c r="N678" i="12" s="1"/>
  <c r="M679" i="12"/>
  <c r="N679" i="12" s="1"/>
  <c r="M680" i="12"/>
  <c r="N680" i="12" s="1"/>
  <c r="M681" i="12"/>
  <c r="N681" i="12" s="1"/>
  <c r="M682" i="12"/>
  <c r="N682" i="12" s="1"/>
  <c r="M683" i="12"/>
  <c r="N683" i="12" s="1"/>
  <c r="M684" i="12"/>
  <c r="N684" i="12" s="1"/>
  <c r="M685" i="12"/>
  <c r="N685" i="12" s="1"/>
  <c r="M686" i="12"/>
  <c r="N686" i="12" s="1"/>
  <c r="M687" i="12"/>
  <c r="N687" i="12" s="1"/>
  <c r="M688" i="12"/>
  <c r="N688" i="12" s="1"/>
  <c r="M689" i="12"/>
  <c r="N689" i="12" s="1"/>
  <c r="M690" i="12"/>
  <c r="N690" i="12" s="1"/>
  <c r="M691" i="12"/>
  <c r="N691" i="12" s="1"/>
  <c r="M692" i="12"/>
  <c r="N692" i="12" s="1"/>
  <c r="M693" i="12"/>
  <c r="N693" i="12" s="1"/>
  <c r="M694" i="12"/>
  <c r="N694" i="12" s="1"/>
  <c r="M695" i="12"/>
  <c r="N695" i="12" s="1"/>
  <c r="M696" i="12"/>
  <c r="N696" i="12" s="1"/>
  <c r="M697" i="12"/>
  <c r="N697" i="12" s="1"/>
  <c r="M698" i="12"/>
  <c r="N698" i="12" s="1"/>
  <c r="M699" i="12"/>
  <c r="N699" i="12" s="1"/>
  <c r="M700" i="12"/>
  <c r="N700" i="12" s="1"/>
  <c r="M701" i="12"/>
  <c r="N701" i="12" s="1"/>
  <c r="M702" i="12"/>
  <c r="N702" i="12" s="1"/>
  <c r="M703" i="12"/>
  <c r="N703" i="12" s="1"/>
  <c r="M704" i="12"/>
  <c r="N704" i="12" s="1"/>
  <c r="M705" i="12"/>
  <c r="N705" i="12" s="1"/>
  <c r="M706" i="12"/>
  <c r="N706" i="12" s="1"/>
  <c r="M707" i="12"/>
  <c r="N707" i="12" s="1"/>
  <c r="M708" i="12"/>
  <c r="N708" i="12" s="1"/>
  <c r="M709" i="12"/>
  <c r="N709" i="12" s="1"/>
  <c r="M710" i="12"/>
  <c r="N710" i="12" s="1"/>
  <c r="M711" i="12"/>
  <c r="N711" i="12" s="1"/>
  <c r="M712" i="12"/>
  <c r="N712" i="12" s="1"/>
  <c r="M713" i="12"/>
  <c r="N713" i="12" s="1"/>
  <c r="M714" i="12"/>
  <c r="N714" i="12" s="1"/>
  <c r="M715" i="12"/>
  <c r="N715" i="12" s="1"/>
  <c r="M716" i="12"/>
  <c r="N716" i="12" s="1"/>
  <c r="M717" i="12"/>
  <c r="N717" i="12" s="1"/>
  <c r="M718" i="12"/>
  <c r="N718" i="12" s="1"/>
  <c r="M719" i="12"/>
  <c r="N719" i="12" s="1"/>
  <c r="M720" i="12"/>
  <c r="N720" i="12" s="1"/>
  <c r="M721" i="12"/>
  <c r="N721" i="12" s="1"/>
  <c r="M722" i="12"/>
  <c r="N722" i="12" s="1"/>
  <c r="M723" i="12"/>
  <c r="N723" i="12" s="1"/>
  <c r="M724" i="12"/>
  <c r="N724" i="12" s="1"/>
  <c r="M725" i="12"/>
  <c r="N725" i="12" s="1"/>
  <c r="M726" i="12"/>
  <c r="N726" i="12" s="1"/>
  <c r="M727" i="12"/>
  <c r="N727" i="12" s="1"/>
  <c r="M728" i="12"/>
  <c r="N728" i="12" s="1"/>
  <c r="M729" i="12"/>
  <c r="N729" i="12" s="1"/>
  <c r="M730" i="12"/>
  <c r="N730" i="12" s="1"/>
  <c r="M731" i="12"/>
  <c r="N731" i="12" s="1"/>
  <c r="M732" i="12"/>
  <c r="N732" i="12" s="1"/>
  <c r="M733" i="12"/>
  <c r="N733" i="12" s="1"/>
  <c r="M734" i="12"/>
  <c r="N734" i="12" s="1"/>
  <c r="M735" i="12"/>
  <c r="N735" i="12" s="1"/>
  <c r="M736" i="12"/>
  <c r="N736" i="12" s="1"/>
  <c r="M737" i="12"/>
  <c r="N737" i="12" s="1"/>
  <c r="M738" i="12"/>
  <c r="N738" i="12" s="1"/>
  <c r="M739" i="12"/>
  <c r="N739" i="12" s="1"/>
  <c r="M740" i="12"/>
  <c r="N740" i="12" s="1"/>
  <c r="M741" i="12"/>
  <c r="N741" i="12" s="1"/>
  <c r="M742" i="12"/>
  <c r="N742" i="12" s="1"/>
  <c r="M743" i="12"/>
  <c r="N743" i="12" s="1"/>
  <c r="M744" i="12"/>
  <c r="N744" i="12" s="1"/>
  <c r="M745" i="12"/>
  <c r="N745" i="12" s="1"/>
  <c r="M746" i="12"/>
  <c r="N746" i="12" s="1"/>
  <c r="M747" i="12"/>
  <c r="N747" i="12" s="1"/>
  <c r="M748" i="12"/>
  <c r="N748" i="12" s="1"/>
  <c r="M749" i="12"/>
  <c r="N749" i="12" s="1"/>
  <c r="M750" i="12"/>
  <c r="N750" i="12" s="1"/>
  <c r="M751" i="12"/>
  <c r="N751" i="12" s="1"/>
  <c r="M752" i="12"/>
  <c r="N752" i="12" s="1"/>
  <c r="M753" i="12"/>
  <c r="N753" i="12" s="1"/>
  <c r="M754" i="12"/>
  <c r="N754" i="12" s="1"/>
  <c r="M755" i="12"/>
  <c r="N755" i="12" s="1"/>
  <c r="M756" i="12"/>
  <c r="N756" i="12" s="1"/>
  <c r="M757" i="12"/>
  <c r="N757" i="12" s="1"/>
  <c r="M2" i="12"/>
  <c r="N2" i="12" s="1"/>
  <c r="M1256" i="12"/>
  <c r="N1256" i="12" s="1"/>
  <c r="M1244" i="12"/>
  <c r="N1244" i="12" s="1"/>
  <c r="M1246" i="12"/>
  <c r="N1246" i="12" s="1"/>
  <c r="M1260" i="12"/>
  <c r="N1260" i="12" s="1"/>
  <c r="M1252" i="12"/>
  <c r="N1252" i="12" s="1"/>
  <c r="M1253" i="12"/>
  <c r="N1253" i="12" s="1"/>
  <c r="M1247" i="12"/>
  <c r="N1247" i="12" s="1"/>
  <c r="M1251" i="12"/>
  <c r="N1251" i="12" s="1"/>
  <c r="M1248" i="12"/>
  <c r="N1248" i="12" s="1"/>
  <c r="M1245" i="12"/>
  <c r="N1245" i="12" s="1"/>
  <c r="M1249" i="12"/>
  <c r="N1249" i="12" s="1"/>
  <c r="M1259" i="12"/>
  <c r="N1259" i="12" s="1"/>
  <c r="M1257" i="12"/>
  <c r="N1257" i="12" s="1"/>
  <c r="M1254" i="12"/>
  <c r="N1254" i="12" s="1"/>
  <c r="M1258" i="12"/>
  <c r="N1258" i="12" s="1"/>
  <c r="M1261" i="12"/>
  <c r="N1261" i="12" s="1"/>
  <c r="M1255" i="12"/>
  <c r="N1255" i="12" s="1"/>
  <c r="M1250" i="12"/>
  <c r="N1250" i="12" s="1"/>
  <c r="H72" i="4"/>
  <c r="M1213" i="12"/>
  <c r="N1213" i="12" s="1"/>
  <c r="H71" i="4"/>
  <c r="M1214" i="12"/>
  <c r="N1214" i="12" s="1"/>
  <c r="M1208" i="12"/>
  <c r="N1208" i="12" s="1"/>
  <c r="M1210" i="12"/>
  <c r="N1210" i="12" s="1"/>
  <c r="M1215" i="12"/>
  <c r="N1215" i="12" s="1"/>
  <c r="M1212" i="12"/>
  <c r="N1212" i="12" s="1"/>
  <c r="M1209" i="12"/>
  <c r="N1209" i="12" s="1"/>
  <c r="M1211" i="12"/>
  <c r="N1211" i="12" s="1"/>
  <c r="M1218" i="12"/>
  <c r="N1218" i="12" s="1"/>
  <c r="M1223" i="12"/>
  <c r="N1223" i="12" s="1"/>
  <c r="M1220" i="12"/>
  <c r="N1220" i="12" s="1"/>
  <c r="M1225" i="12"/>
  <c r="N1225" i="12" s="1"/>
  <c r="M1217" i="12"/>
  <c r="N1217" i="12" s="1"/>
  <c r="M1222" i="12"/>
  <c r="N1222" i="12" s="1"/>
  <c r="M1219" i="12"/>
  <c r="N1219" i="12" s="1"/>
  <c r="M1224" i="12"/>
  <c r="N1224" i="12" s="1"/>
  <c r="M1216" i="12"/>
  <c r="N1216" i="12" s="1"/>
  <c r="M1221" i="12"/>
  <c r="N1221" i="12" s="1"/>
  <c r="H60" i="4"/>
  <c r="H22" i="4"/>
  <c r="H13" i="4"/>
  <c r="H17" i="4"/>
  <c r="H63" i="4"/>
  <c r="H7" i="4"/>
  <c r="H40" i="4"/>
  <c r="H65" i="4"/>
  <c r="H41" i="4"/>
  <c r="H28" i="4"/>
  <c r="H2" i="4"/>
  <c r="H56" i="4"/>
  <c r="H31" i="4"/>
  <c r="H57" i="4"/>
  <c r="H21" i="4"/>
  <c r="H35" i="4"/>
  <c r="H34" i="4"/>
  <c r="H6" i="4"/>
  <c r="H15" i="4"/>
  <c r="H27" i="4"/>
  <c r="H23" i="4"/>
  <c r="H37" i="4"/>
  <c r="H69" i="4"/>
  <c r="H43" i="4"/>
  <c r="H12" i="4"/>
  <c r="H20" i="4"/>
  <c r="H29" i="4"/>
  <c r="H25" i="4"/>
  <c r="H54" i="4"/>
  <c r="H42" i="4"/>
  <c r="H39" i="4"/>
  <c r="H62" i="4"/>
  <c r="H11" i="4"/>
  <c r="H36" i="4"/>
  <c r="H8" i="4"/>
  <c r="H59" i="4"/>
  <c r="H45" i="4"/>
  <c r="H18" i="4"/>
  <c r="H66" i="4"/>
  <c r="H44" i="4"/>
  <c r="H53" i="4"/>
  <c r="H68" i="4"/>
  <c r="H50" i="4"/>
  <c r="H70" i="4"/>
  <c r="H6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<sst xmlns="http://schemas.openxmlformats.org/spreadsheetml/2006/main" count="14960" uniqueCount="146">
  <si>
    <t>Putts</t>
  </si>
  <si>
    <t>GIR</t>
  </si>
  <si>
    <t>Wailea Golf Club Gold Course</t>
  </si>
  <si>
    <t>Bethpage Green</t>
  </si>
  <si>
    <t>Wailea Golf Club Emerald Course</t>
  </si>
  <si>
    <t>Bethpage Blue</t>
  </si>
  <si>
    <t>Brentwood Country Club</t>
  </si>
  <si>
    <t>Sebonack Golf Club</t>
  </si>
  <si>
    <t>Middle Island Country Club</t>
  </si>
  <si>
    <t>Bethpage Yellow</t>
  </si>
  <si>
    <t>Bethpage Red</t>
  </si>
  <si>
    <t>Willow Creek Hamlet Course</t>
  </si>
  <si>
    <t>Wind Watch Hamlet Course</t>
  </si>
  <si>
    <t>Eagles</t>
  </si>
  <si>
    <t>Ka'anapali Golf Resort Royal Course</t>
  </si>
  <si>
    <t>Birdies</t>
  </si>
  <si>
    <t>Bethpage Black</t>
  </si>
  <si>
    <t>Pars</t>
  </si>
  <si>
    <t>Bogeys</t>
  </si>
  <si>
    <t>Date</t>
  </si>
  <si>
    <t>Score</t>
  </si>
  <si>
    <t>Over Par</t>
  </si>
  <si>
    <t>Played With</t>
  </si>
  <si>
    <t>Par</t>
  </si>
  <si>
    <t>Course</t>
  </si>
  <si>
    <t>Tees</t>
  </si>
  <si>
    <t>Yardage</t>
  </si>
  <si>
    <t>Front 9</t>
  </si>
  <si>
    <t>Back 9</t>
  </si>
  <si>
    <t>Double Bogeys</t>
  </si>
  <si>
    <t>Holes Played</t>
  </si>
  <si>
    <t>Fairways</t>
  </si>
  <si>
    <t>Greens</t>
  </si>
  <si>
    <t>Vin</t>
  </si>
  <si>
    <t>Blue</t>
  </si>
  <si>
    <t>Dad</t>
  </si>
  <si>
    <t>White</t>
  </si>
  <si>
    <t>Chris, Kevin</t>
  </si>
  <si>
    <t>Spring Lake Sandpiper Course</t>
  </si>
  <si>
    <t>Chris</t>
  </si>
  <si>
    <t>Gold</t>
  </si>
  <si>
    <t>Spring Lake Thunderbird</t>
  </si>
  <si>
    <t>Rating</t>
  </si>
  <si>
    <t>Slope</t>
  </si>
  <si>
    <t>Differential</t>
  </si>
  <si>
    <t>Handicap</t>
  </si>
  <si>
    <t>Middle Island Country Club - Oak and Spruce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</si>
  <si>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</si>
  <si>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</si>
  <si>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</si>
  <si>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</si>
  <si>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</si>
  <si>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</si>
  <si>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</si>
  <si>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</si>
  <si>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</si>
  <si>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</si>
  <si>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</si>
  <si>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</si>
  <si>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</si>
  <si>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</si>
  <si>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</si>
  <si>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</si>
  <si>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</si>
  <si>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</si>
  <si>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Short Course</t>
  </si>
  <si>
    <t>Holes</t>
  </si>
  <si>
    <t>Hole</t>
  </si>
  <si>
    <t>Hole Score</t>
  </si>
  <si>
    <t>Score vs Par</t>
  </si>
  <si>
    <t>Type</t>
  </si>
  <si>
    <t>Wailea Emerald</t>
  </si>
  <si>
    <t>Wailea Gold</t>
  </si>
  <si>
    <t>Ka'anapali Royal</t>
  </si>
  <si>
    <t>Sebonack</t>
  </si>
  <si>
    <t>Brentwood</t>
  </si>
  <si>
    <t>Wind Watch</t>
  </si>
  <si>
    <t>Willow Creek</t>
  </si>
  <si>
    <t>Middle Island</t>
  </si>
  <si>
    <t>Spring Lake</t>
  </si>
  <si>
    <t>Par 3 Avg</t>
  </si>
  <si>
    <t>Par 4 Avg</t>
  </si>
  <si>
    <t>Par 5 Avg</t>
  </si>
  <si>
    <t>Putts2</t>
  </si>
  <si>
    <t>Club Type</t>
  </si>
  <si>
    <t>Club Brand</t>
  </si>
  <si>
    <t>Club Model</t>
  </si>
  <si>
    <t>Carry Distance</t>
  </si>
  <si>
    <t>Total Distance</t>
  </si>
  <si>
    <t>Ball Speed</t>
  </si>
  <si>
    <t>Launch Angle</t>
  </si>
  <si>
    <t>Launch Direction</t>
  </si>
  <si>
    <t>Apex</t>
  </si>
  <si>
    <t>Side Carry</t>
  </si>
  <si>
    <t>Club Speed</t>
  </si>
  <si>
    <t>Smash Factor</t>
  </si>
  <si>
    <t>Descent Angle</t>
  </si>
  <si>
    <t>lw</t>
  </si>
  <si>
    <t>Cleveland</t>
  </si>
  <si>
    <t>RTX-4 Black Satin</t>
  </si>
  <si>
    <t>sw</t>
  </si>
  <si>
    <t>gw</t>
  </si>
  <si>
    <t>TaylorMade</t>
  </si>
  <si>
    <t>STEALTH</t>
  </si>
  <si>
    <t>pw</t>
  </si>
  <si>
    <t>9i</t>
  </si>
  <si>
    <t>Stealth</t>
  </si>
  <si>
    <t>8i</t>
  </si>
  <si>
    <t>7i</t>
  </si>
  <si>
    <t>6i</t>
  </si>
  <si>
    <t>5i</t>
  </si>
  <si>
    <t>4i</t>
  </si>
  <si>
    <t>3h</t>
  </si>
  <si>
    <t>STEALTH 2 Rescue</t>
  </si>
  <si>
    <t>3w</t>
  </si>
  <si>
    <t>STEALTH 2</t>
  </si>
  <si>
    <t>d</t>
  </si>
  <si>
    <t>1i</t>
  </si>
  <si>
    <t>Top Flite</t>
  </si>
  <si>
    <t>XL</t>
  </si>
  <si>
    <t>lw - 30</t>
  </si>
  <si>
    <t>lw - 50</t>
  </si>
  <si>
    <t>Attack Angle</t>
  </si>
  <si>
    <t>Club Path</t>
  </si>
  <si>
    <t>Club Data Est Type</t>
  </si>
  <si>
    <t>Golfer</t>
  </si>
  <si>
    <t>Tyler</t>
  </si>
  <si>
    <t>Ryan</t>
  </si>
  <si>
    <t>Pine Hollow</t>
  </si>
  <si>
    <t>Cherry Creek</t>
  </si>
  <si>
    <t>Rich</t>
  </si>
  <si>
    <t>Ryan, Tyler</t>
  </si>
  <si>
    <t>Rich, Ryan</t>
  </si>
  <si>
    <t>Rich, Ryan, Vin</t>
  </si>
  <si>
    <t xml:space="preserve"> </t>
  </si>
  <si>
    <t>→</t>
  </si>
  <si>
    <t>↓</t>
  </si>
  <si>
    <t>NC</t>
  </si>
  <si>
    <t>↑</t>
  </si>
  <si>
    <t>←</t>
  </si>
  <si>
    <t>Fairway %</t>
  </si>
  <si>
    <t>GIR %</t>
  </si>
  <si>
    <t>Spin Rate</t>
  </si>
  <si>
    <t>Spin Axis</t>
  </si>
  <si>
    <t>v</t>
  </si>
  <si>
    <t>Swan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</si>
</sst>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1" fillId="0" borderId="0"/>
    <xf numFmtId="0" fontId="20" fillId="0" borderId="0"/>
    <xf numFmtId="9" fontId="26" fillId="0" borderId="0" applyFont="0" applyFill="0" applyBorder="0" applyAlignment="0" applyProtection="0"/>
  </cellStyleXfs>
  <cellXfs count="128">
    <xf numFmtId="0" fontId="0" fillId="0" borderId="0" xfId="0"/>
    <xf numFmtId="0" fontId="22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21" fillId="0" borderId="0" xfId="1"/>
    <xf numFmtId="0" fontId="20" fillId="0" borderId="0" xfId="2"/>
    <xf numFmtId="14" fontId="20" fillId="0" borderId="0" xfId="2" applyNumberFormat="1"/>
    <xf numFmtId="1" fontId="0" fillId="0" borderId="0" xfId="0" applyNumberFormat="1" applyAlignment="1">
      <alignment horizontal="center"/>
    </xf>
    <xf numFmtId="14" fontId="21" fillId="0" borderId="0" xfId="1" applyNumberFormat="1"/>
    <xf numFmtId="0" fontId="19" fillId="0" borderId="0" xfId="1" applyFont="1"/>
    <xf numFmtId="0" fontId="19" fillId="0" borderId="0" xfId="0" applyFont="1"/>
    <xf numFmtId="14" fontId="19" fillId="0" borderId="0" xfId="0" applyNumberFormat="1" applyFont="1"/>
    <xf numFmtId="14" fontId="19" fillId="0" borderId="0" xfId="1" applyNumberFormat="1" applyFont="1"/>
    <xf numFmtId="0" fontId="18" fillId="0" borderId="0" xfId="0" applyFont="1"/>
    <xf numFmtId="0" fontId="1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1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25" fillId="0" borderId="1" xfId="0" applyFont="1" applyBorder="1"/>
    <xf numFmtId="14" fontId="17" fillId="0" borderId="1" xfId="0" applyNumberFormat="1" applyFont="1" applyBorder="1"/>
    <xf numFmtId="0" fontId="17" fillId="0" borderId="1" xfId="0" applyFont="1" applyBorder="1"/>
    <xf numFmtId="14" fontId="17" fillId="2" borderId="1" xfId="0" applyNumberFormat="1" applyFont="1" applyFill="1" applyBorder="1"/>
    <xf numFmtId="0" fontId="17" fillId="2" borderId="1" xfId="0" applyFont="1" applyFill="1" applyBorder="1"/>
    <xf numFmtId="0" fontId="25" fillId="0" borderId="0" xfId="0" applyFont="1"/>
    <xf numFmtId="14" fontId="17" fillId="0" borderId="0" xfId="0" applyNumberFormat="1" applyFont="1"/>
    <xf numFmtId="2" fontId="17" fillId="0" borderId="0" xfId="0" applyNumberFormat="1" applyFont="1"/>
    <xf numFmtId="0" fontId="25" fillId="0" borderId="0" xfId="0" applyFont="1" applyAlignment="1">
      <alignment horizontal="left"/>
    </xf>
    <xf numFmtId="14" fontId="17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25" fillId="0" borderId="0" xfId="0" applyNumberFormat="1" applyFont="1" applyAlignment="1">
      <alignment horizontal="left"/>
    </xf>
    <xf numFmtId="14" fontId="25" fillId="0" borderId="0" xfId="0" applyNumberFormat="1" applyFont="1"/>
    <xf numFmtId="0" fontId="17" fillId="0" borderId="0" xfId="1" applyFont="1"/>
    <xf numFmtId="0" fontId="16" fillId="0" borderId="0" xfId="0" applyFont="1"/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2" fontId="16" fillId="0" borderId="0" xfId="0" applyNumberFormat="1" applyFont="1"/>
    <xf numFmtId="14" fontId="16" fillId="0" borderId="0" xfId="0" applyNumberFormat="1" applyFont="1"/>
    <xf numFmtId="14" fontId="16" fillId="0" borderId="1" xfId="0" applyNumberFormat="1" applyFont="1" applyBorder="1"/>
    <xf numFmtId="0" fontId="16" fillId="0" borderId="1" xfId="0" applyFont="1" applyBorder="1"/>
    <xf numFmtId="0" fontId="15" fillId="0" borderId="0" xfId="0" applyFont="1"/>
    <xf numFmtId="1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4" fontId="15" fillId="0" borderId="1" xfId="0" applyNumberFormat="1" applyFont="1" applyBorder="1"/>
    <xf numFmtId="0" fontId="15" fillId="0" borderId="1" xfId="0" applyFont="1" applyBorder="1"/>
    <xf numFmtId="14" fontId="15" fillId="0" borderId="0" xfId="0" applyNumberFormat="1" applyFont="1" applyAlignment="1">
      <alignment horizontal="left"/>
    </xf>
    <xf numFmtId="2" fontId="15" fillId="0" borderId="0" xfId="0" applyNumberFormat="1" applyFont="1"/>
    <xf numFmtId="14" fontId="15" fillId="0" borderId="0" xfId="0" applyNumberFormat="1" applyFont="1"/>
    <xf numFmtId="0" fontId="14" fillId="0" borderId="0" xfId="0" applyFont="1"/>
    <xf numFmtId="1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2" fontId="14" fillId="0" borderId="0" xfId="0" applyNumberFormat="1" applyFont="1"/>
    <xf numFmtId="14" fontId="14" fillId="0" borderId="1" xfId="0" applyNumberFormat="1" applyFont="1" applyBorder="1"/>
    <xf numFmtId="0" fontId="14" fillId="0" borderId="1" xfId="0" applyFont="1" applyBorder="1"/>
    <xf numFmtId="14" fontId="14" fillId="0" borderId="0" xfId="0" applyNumberFormat="1" applyFont="1"/>
    <xf numFmtId="14" fontId="14" fillId="0" borderId="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0" fontId="12" fillId="0" borderId="0" xfId="3" applyNumberFormat="1" applyFont="1" applyFill="1" applyAlignment="1">
      <alignment horizontal="center" vertical="center"/>
    </xf>
    <xf numFmtId="0" fontId="11" fillId="0" borderId="0" xfId="0" applyFont="1"/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4" fontId="11" fillId="0" borderId="1" xfId="0" applyNumberFormat="1" applyFont="1" applyBorder="1"/>
    <xf numFmtId="0" fontId="11" fillId="0" borderId="1" xfId="0" applyFont="1" applyBorder="1"/>
    <xf numFmtId="14" fontId="11" fillId="0" borderId="0" xfId="0" applyNumberFormat="1" applyFont="1" applyAlignment="1">
      <alignment horizontal="left"/>
    </xf>
    <xf numFmtId="2" fontId="11" fillId="0" borderId="0" xfId="0" applyNumberFormat="1" applyFont="1"/>
    <xf numFmtId="14" fontId="11" fillId="0" borderId="0" xfId="0" applyNumberFormat="1" applyFont="1"/>
    <xf numFmtId="0" fontId="11" fillId="0" borderId="0" xfId="0" applyFont="1" applyAlignment="1">
      <alignment horizontal="center" vertical="center"/>
    </xf>
    <xf numFmtId="10" fontId="11" fillId="0" borderId="0" xfId="3" applyNumberFormat="1" applyFont="1" applyFill="1" applyAlignment="1">
      <alignment horizontal="center" vertical="center"/>
    </xf>
    <xf numFmtId="0" fontId="10" fillId="0" borderId="0" xfId="0" applyFont="1"/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4" fontId="10" fillId="0" borderId="1" xfId="0" applyNumberFormat="1" applyFont="1" applyBorder="1"/>
    <xf numFmtId="0" fontId="10" fillId="0" borderId="1" xfId="0" applyFont="1" applyBorder="1"/>
    <xf numFmtId="14" fontId="10" fillId="0" borderId="0" xfId="0" applyNumberFormat="1" applyFont="1" applyAlignment="1">
      <alignment horizontal="left"/>
    </xf>
    <xf numFmtId="2" fontId="10" fillId="0" borderId="0" xfId="0" applyNumberFormat="1" applyFont="1"/>
    <xf numFmtId="0" fontId="10" fillId="0" borderId="0" xfId="0" applyFont="1" applyAlignment="1">
      <alignment horizontal="center" vertical="center"/>
    </xf>
    <xf numFmtId="10" fontId="10" fillId="0" borderId="0" xfId="3" applyNumberFormat="1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0" borderId="0" xfId="1" applyFont="1"/>
    <xf numFmtId="0" fontId="8" fillId="0" borderId="0" xfId="1" applyFont="1"/>
    <xf numFmtId="0" fontId="7" fillId="0" borderId="0" xfId="1" applyFont="1"/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1" xfId="0" applyNumberFormat="1" applyFont="1" applyBorder="1"/>
    <xf numFmtId="0" fontId="6" fillId="0" borderId="1" xfId="0" applyFont="1" applyBorder="1"/>
    <xf numFmtId="14" fontId="17" fillId="2" borderId="2" xfId="0" applyNumberFormat="1" applyFont="1" applyFill="1" applyBorder="1"/>
    <xf numFmtId="14" fontId="17" fillId="2" borderId="3" xfId="0" applyNumberFormat="1" applyFont="1" applyFill="1" applyBorder="1"/>
    <xf numFmtId="0" fontId="17" fillId="2" borderId="2" xfId="0" applyFont="1" applyFill="1" applyBorder="1"/>
    <xf numFmtId="0" fontId="17" fillId="2" borderId="3" xfId="0" applyFont="1" applyFill="1" applyBorder="1"/>
    <xf numFmtId="14" fontId="6" fillId="0" borderId="0" xfId="0" applyNumberFormat="1" applyFont="1" applyAlignment="1">
      <alignment horizontal="left"/>
    </xf>
    <xf numFmtId="2" fontId="6" fillId="0" borderId="0" xfId="0" applyNumberFormat="1" applyFont="1"/>
    <xf numFmtId="0" fontId="6" fillId="0" borderId="0" xfId="0" applyFont="1" applyAlignment="1">
      <alignment horizontal="center" vertical="center"/>
    </xf>
    <xf numFmtId="10" fontId="6" fillId="0" borderId="0" xfId="3" applyNumberFormat="1" applyFont="1" applyFill="1" applyAlignment="1">
      <alignment horizontal="center" vertical="center"/>
    </xf>
    <xf numFmtId="0" fontId="5" fillId="0" borderId="0" xfId="1" applyFont="1"/>
    <xf numFmtId="0" fontId="4" fillId="0" borderId="0" xfId="1" applyFont="1"/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/>
    <xf numFmtId="14" fontId="3" fillId="0" borderId="0" xfId="0" applyNumberFormat="1" applyFont="1" applyAlignment="1">
      <alignment horizontal="left"/>
    </xf>
    <xf numFmtId="2" fontId="3" fillId="0" borderId="0" xfId="0" applyNumberFormat="1" applyFont="1"/>
    <xf numFmtId="0" fontId="3" fillId="0" borderId="0" xfId="0" applyFont="1" applyAlignment="1">
      <alignment horizontal="center" vertical="center"/>
    </xf>
    <xf numFmtId="10" fontId="3" fillId="0" borderId="0" xfId="3" applyNumberFormat="1" applyFont="1" applyFill="1" applyAlignment="1">
      <alignment horizontal="center" vertical="center"/>
    </xf>
    <xf numFmtId="0" fontId="2" fillId="0" borderId="0" xfId="1" applyFont="1"/>
    <xf numFmtId="0" fontId="1" fillId="0" borderId="0" xfId="0" applyFont="1"/>
    <xf numFmtId="0" fontId="1" fillId="0" borderId="0" xfId="0" applyFont="1" applyFill="1"/>
    <xf numFmtId="14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14" fontId="1" fillId="0" borderId="0" xfId="0" applyNumberFormat="1" applyFont="1" applyFill="1" applyAlignment="1">
      <alignment horizontal="left"/>
    </xf>
    <xf numFmtId="2" fontId="1" fillId="0" borderId="0" xfId="0" applyNumberFormat="1" applyFont="1" applyFill="1"/>
    <xf numFmtId="0" fontId="1" fillId="0" borderId="0" xfId="0" applyFont="1" applyFill="1" applyAlignment="1">
      <alignment horizontal="center" vertical="center"/>
    </xf>
    <xf numFmtId="10" fontId="1" fillId="0" borderId="0" xfId="3" applyNumberFormat="1" applyFont="1" applyFill="1" applyAlignment="1">
      <alignment horizontal="center" vertical="center"/>
    </xf>
  </cellXfs>
  <cellStyles count="4">
    <cellStyle name="Normal" xfId="0" builtinId="0"/>
    <cellStyle name="Normal 2" xfId="1" xr:uid="{F8958F12-DCF0-4CAF-8B0B-E0DD0C6D36D4}"/>
    <cellStyle name="Normal 3" xfId="2" xr:uid="{6AC9A8A3-79FC-43E0-A33E-14130FE982FD}"/>
    <cellStyle name="Percent" xfId="3" builtinId="5"/>
  </cellStyles>
  <dxfs count="2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right style="thin">
          <color theme="9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DC0E6"/>
      <color rgb="FFBEBEBE"/>
      <color rgb="FF3A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0903DE-CDF6-4BC7-8591-A76DD9C204FE}" name="Table7" displayName="Table7" ref="A1:T74" totalsRowShown="0" headerRowDxfId="210" dataDxfId="209">
  <autoFilter ref="A1:T74" xr:uid="{360903DE-CDF6-4BC7-8591-A76DD9C204FE}"/>
  <sortState xmlns:xlrd2="http://schemas.microsoft.com/office/spreadsheetml/2017/richdata2" ref="A2:T69">
    <sortCondition descending="1" ref="B1:B69"/>
  </sortState>
  <tableColumns count="20">
    <tableColumn id="1" xr3:uid="{F5AF1762-2517-431F-9AB9-7A1994AA3EE7}" name="Golfer" dataDxfId="208"/>
    <tableColumn id="2" xr3:uid="{924A199E-D707-4D3B-A6A9-9B90BAA6BC07}" name="Date" dataDxfId="207"/>
    <tableColumn id="3" xr3:uid="{7964E1D8-B8BD-470D-A69B-9BECCB8EB52F}" name="Score" dataDxfId="206"/>
    <tableColumn id="4" xr3:uid="{811DA4A0-DB06-4864-ACB4-C6E4646A25CA}" name="Over Par" dataDxfId="205"/>
    <tableColumn id="5" xr3:uid="{7B01B5D5-C86C-4948-A173-8E0C85C98047}" name="Played With" dataDxfId="204"/>
    <tableColumn id="6" xr3:uid="{DC79F350-2D22-4E57-ADF8-9268ADBA30F6}" name="Par" dataDxfId="203">
      <calculatedColumnFormula>C2-D2</calculatedColumnFormula>
    </tableColumn>
    <tableColumn id="7" xr3:uid="{8B66CDE4-9DC5-48C2-85A1-AEC4139E185F}" name="Course" dataDxfId="202"/>
    <tableColumn id="8" xr3:uid="{433BB3DE-448E-4D86-8EF9-709A07610928}" name="Tees" dataDxfId="201"/>
    <tableColumn id="9" xr3:uid="{ACBF3870-6BDC-4CE2-B3A2-F7B278BD979E}" name="Yardage" dataDxfId="200"/>
    <tableColumn id="10" xr3:uid="{E701C6F0-99B7-4400-922D-3D77D7EFF685}" name="Front 9" dataDxfId="199"/>
    <tableColumn id="11" xr3:uid="{9C8418C9-0B91-4B91-844D-2E0F7CCCA994}" name="Back 9" dataDxfId="198"/>
    <tableColumn id="12" xr3:uid="{3A7FAEBC-C940-49F5-8058-F5C2A78D5C7B}" name="Eagles" dataDxfId="197"/>
    <tableColumn id="13" xr3:uid="{DE496155-0119-4875-AED4-61EB6DF456C9}" name="Birdies" dataDxfId="196"/>
    <tableColumn id="14" xr3:uid="{80014657-1550-4789-B715-4FDDCB6D6E6D}" name="Pars" dataDxfId="195"/>
    <tableColumn id="15" xr3:uid="{1F6CADAD-3F02-41F4-AF88-FAE44E23E595}" name="Bogeys" dataDxfId="194"/>
    <tableColumn id="16" xr3:uid="{B7D82502-E0DA-4134-A127-4D9E67DC1A8C}" name="Double Bogeys" dataDxfId="193"/>
    <tableColumn id="17" xr3:uid="{468DDD79-ABBB-47F9-86B4-7A60A5E180D5}" name="Holes Played" dataDxfId="192">
      <calculatedColumnFormula>SUM(L2:P2)</calculatedColumnFormula>
    </tableColumn>
    <tableColumn id="18" xr3:uid="{0B1B0CFF-3439-438E-8D5B-DE0C4E2FDE30}" name="Putts" dataDxfId="191"/>
    <tableColumn id="19" xr3:uid="{9C0FEB19-A788-4290-A78F-C858A81D67C6}" name="Fairways" dataDxfId="190"/>
    <tableColumn id="20" xr3:uid="{242E4F5C-4361-496D-A6A1-6B3F1CF1045D}" name="Greens" dataDxfId="1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F964C-D69D-4A9F-ABCC-C4E89A26A236}" name="Handicap9" displayName="Handicap9" ref="A75:H77" totalsRowShown="0">
  <autoFilter ref="A75:H77" xr:uid="{524F964C-D69D-4A9F-ABCC-C4E89A26A236}"/>
  <tableColumns count="8">
    <tableColumn id="15" xr3:uid="{5ABD2A44-59ED-4138-AA5F-40BE64BDF9F1}" name="Golfer" dataDxfId="188"/>
    <tableColumn id="1" xr3:uid="{3EA34934-F9CA-4A80-8F92-0CED4C567BB1}" name="Date" dataDxfId="187"/>
    <tableColumn id="2" xr3:uid="{BA3A8205-8464-4CE4-B330-D390332EA22E}" name="Course" dataDxfId="186"/>
    <tableColumn id="3" xr3:uid="{A90F9A82-7E2B-497D-8BCA-E9291A4C9AFF}" name="Tees" dataDxfId="185"/>
    <tableColumn id="5" xr3:uid="{53E28435-E7F5-4B7C-A5E3-5C18220005EF}" name="Score"/>
    <tableColumn id="6" xr3:uid="{C58F8864-D678-477F-8E34-B85C2D9E7481}" name="Rating" dataDxfId="184">
      <calculatedColumnFormula array="1">INDEX(CourseRatings[Rating], MATCH(1, (CourseRatings[Course]=C76)*(CourseRatings[Tees]=D76), 0))</calculatedColumnFormula>
    </tableColumn>
    <tableColumn id="7" xr3:uid="{2AEF9861-04D6-40A2-9BE7-C34B8C9A1AB4}" name="Slope" dataDxfId="183">
      <calculatedColumnFormula array="1">INDEX(CourseRatings[Slope], MATCH(1, (CourseRatings[Course]=C76)*(CourseRatings[Tees]=D76), 0))</calculatedColumnFormula>
    </tableColumn>
    <tableColumn id="8" xr3:uid="{456F6749-ECDD-457D-90BC-E4EBE20F1858}" name="Differential">
      <calculatedColumnFormula>(E76-F76)*113/G76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3450BE-532C-4307-B5D5-04859FBAB0F4}" name="Table8" displayName="Table8" ref="A1:H72" totalsRowShown="0" headerRowDxfId="182" dataDxfId="181" tableBorderDxfId="180">
  <autoFilter ref="A1:H72" xr:uid="{523450BE-532C-4307-B5D5-04859FBAB0F4}"/>
  <sortState xmlns:xlrd2="http://schemas.microsoft.com/office/spreadsheetml/2017/richdata2" ref="A2:H70">
    <sortCondition ref="H1:H70"/>
  </sortState>
  <tableColumns count="8">
    <tableColumn id="1" xr3:uid="{3E04E0AB-7532-4055-92A3-DF39509EF0D7}" name="Golfer"/>
    <tableColumn id="2" xr3:uid="{3E34F961-0D63-40CF-A1D8-46BFE8FA4BF4}" name="Date" dataDxfId="179"/>
    <tableColumn id="3" xr3:uid="{FB341F47-940E-4A46-A228-3D985B7E6A16}" name="Course" dataDxfId="178"/>
    <tableColumn id="4" xr3:uid="{70E221B6-1FCC-4F4A-8E1B-4A99E816CFFA}" name="Tees" dataDxfId="177"/>
    <tableColumn id="5" xr3:uid="{2F374D52-F178-43A5-975F-7F54D7E4C872}" name="Score" dataDxfId="176"/>
    <tableColumn id="6" xr3:uid="{9E31E636-EFED-4D67-8EB0-FC8E8776A850}" name="Rating" dataDxfId="175">
      <calculatedColumnFormula array="1">INDEX(CourseRatings[Rating], MATCH(1, (CourseRatings[Course]=C2)*(CourseRatings[Tees]=D2), 0))</calculatedColumnFormula>
    </tableColumn>
    <tableColumn id="7" xr3:uid="{3B03AE62-3DAC-4116-B5A7-47EAC8FD6FF7}" name="Slope" dataDxfId="174">
      <calculatedColumnFormula array="1">INDEX(CourseRatings[Slope], MATCH(1, (CourseRatings[Course]=C2)*(CourseRatings[Tees]=D2), 0))</calculatedColumnFormula>
    </tableColumn>
    <tableColumn id="8" xr3:uid="{FCE7D603-A0DD-4DB5-9085-2D45D70F7051}" name="Differential" dataDxfId="173">
      <calculatedColumnFormula>(E2-F2)*113/G2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73EE5D9-3855-479B-A02B-268A408EB545}" name="GolfLog" displayName="GolfLog" ref="A1:AB72" totalsRowShown="0" headerRowDxfId="172" dataDxfId="171">
  <autoFilter ref="A1:AB72" xr:uid="{473EE5D9-3855-479B-A02B-268A408EB545}"/>
  <tableColumns count="28">
    <tableColumn id="1" xr3:uid="{FF70C13D-1B0D-492E-A673-59C8E560A9EC}" name="Golfer" dataDxfId="170"/>
    <tableColumn id="2" xr3:uid="{98BA1A91-3FA9-4334-8090-3721258FA78F}" name="Date" dataDxfId="169"/>
    <tableColumn id="3" xr3:uid="{41EA924C-0FB3-4E11-B4D1-555A1508D3D5}" name="Course" dataDxfId="168"/>
    <tableColumn id="4" xr3:uid="{ACBD08A4-D07D-41A8-B14C-19612DB63509}" name="Score" dataDxfId="167">
      <calculatedColumnFormula>SUM('Golf Log'!$E2:$V2)</calculatedColumnFormula>
    </tableColumn>
    <tableColumn id="5" xr3:uid="{61FA08C6-D9C1-4AA4-92BF-9F27E21A8549}" name="Hole 1" dataDxfId="166"/>
    <tableColumn id="6" xr3:uid="{3395DDC0-2DE7-469C-94D9-DC781BFBEE32}" name="Hole 2" dataDxfId="165"/>
    <tableColumn id="7" xr3:uid="{FD154801-CC52-4E58-8DF9-8A8CCD2EAEF6}" name="Hole 3" dataDxfId="164"/>
    <tableColumn id="8" xr3:uid="{959A9045-3139-4F25-B7FB-6EDC162E85A4}" name="Hole 4" dataDxfId="163"/>
    <tableColumn id="9" xr3:uid="{978D1B39-8D10-4617-A1B0-6D582BED5721}" name="Hole 5" dataDxfId="162"/>
    <tableColumn id="10" xr3:uid="{7BB821F9-08E2-46BE-A580-A5085C8F80DD}" name="Hole 6" dataDxfId="161"/>
    <tableColumn id="11" xr3:uid="{F843E908-F834-450B-8C86-208CCE1EF818}" name="Hole 7" dataDxfId="160"/>
    <tableColumn id="12" xr3:uid="{43B5FDFA-5A9A-4970-9D90-7D09C243344F}" name="Hole 8" dataDxfId="159"/>
    <tableColumn id="13" xr3:uid="{3A6A0A11-0B3A-4750-AEFF-4A95A35C03B7}" name="Hole 9" dataDxfId="158"/>
    <tableColumn id="14" xr3:uid="{2BF559A2-B271-4B72-A915-E6813F6C7C6E}" name="Hole 10" dataDxfId="157"/>
    <tableColumn id="15" xr3:uid="{33B19CB8-3FA5-43FC-8964-8114C2F767AE}" name="Hole 11" dataDxfId="156"/>
    <tableColumn id="16" xr3:uid="{138C1A3A-C83F-4A58-8AAF-6730615D4D4B}" name="Hole 12" dataDxfId="155"/>
    <tableColumn id="17" xr3:uid="{0813983B-DFF9-46FD-9F6E-18467B141FEF}" name="Hole 13" dataDxfId="154"/>
    <tableColumn id="18" xr3:uid="{2D22ECD5-A5A7-4815-A8C9-77642A711999}" name="Hole 14" dataDxfId="153"/>
    <tableColumn id="19" xr3:uid="{BBC0D6C7-575A-4E9C-AEF5-3E9D05BE96AE}" name="Hole 15" dataDxfId="152"/>
    <tableColumn id="20" xr3:uid="{80BA2932-BECE-4E2B-974A-3D88648D940A}" name="Hole 16" dataDxfId="151"/>
    <tableColumn id="21" xr3:uid="{AB88A514-224A-4969-8447-7AD623B80762}" name="Hole 17" dataDxfId="150"/>
    <tableColumn id="22" xr3:uid="{46BA0678-86FE-4805-B362-01ECE8253E82}" name="Hole 18" dataDxfId="149"/>
    <tableColumn id="23" xr3:uid="{09D107EC-AC59-49B4-AD52-70A65EEAA042}" name="Putts" dataDxfId="148"/>
    <tableColumn id="24" xr3:uid="{F0535BB3-C71A-424C-8685-4A3795A22CB3}" name="Fairways" dataDxfId="147"/>
    <tableColumn id="25" xr3:uid="{9298F3AC-3EA0-43BA-8086-5A664BB28525}" name="GIR" dataDxfId="146"/>
    <tableColumn id="26" xr3:uid="{926B6C60-FED3-4D70-8C34-5B76753AFE5B}" name="Par 3 Avg" dataDxfId="145">
      <calculatedColumnFormula array="1">SUMPRODUCT((_xlfn.XLOOKUP(C2, 'Course Stats'!A:A, 'Course Stats'!G:X)=3)*(E2:V2)) / COUNTIF(_xlfn.XLOOKUP(C2, 'Course Stats'!A:A, 'Course Stats'!G:X), 3)</calculatedColumnFormula>
    </tableColumn>
    <tableColumn id="27" xr3:uid="{9A0048FD-AF2F-42DA-90F6-4B842A3D9D84}" name="Par 4 Avg" dataDxfId="144">
      <calculatedColumnFormula array="1">SUMPRODUCT((_xlfn.XLOOKUP(C2, 'Course Stats'!A:A, 'Course Stats'!G:X)=4)*(E2:V2)) / COUNTIF(_xlfn.XLOOKUP(C2, 'Course Stats'!A:A, 'Course Stats'!G:X), 4)</calculatedColumnFormula>
    </tableColumn>
    <tableColumn id="28" xr3:uid="{7F7480A5-F676-4CE6-80F1-05D496336235}" name="Par 5 Avg" dataDxfId="143">
      <calculatedColumnFormula array="1">SUMPRODUCT((_xlfn.XLOOKUP(C2, 'Course Stats'!A:A, 'Course Stats'!G:X)=5)*(E2:V2)) / COUNTIF(_xlfn.XLOOKUP(C2, 'Course Stats'!A:A, 'Course Stats'!G:X), 5)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A1879C9-851D-42D9-8FF0-852A5087D2C5}" name="Table17" displayName="Table17" ref="A76:M78" totalsRowShown="0" headerRowDxfId="142" dataDxfId="141">
  <autoFilter ref="A76:M78" xr:uid="{EA1879C9-851D-42D9-8FF0-852A5087D2C5}"/>
  <tableColumns count="13">
    <tableColumn id="1" xr3:uid="{C351BEF2-90B5-44A7-B866-8CD09F7EBE18}" name="Golfer"/>
    <tableColumn id="2" xr3:uid="{554CF43E-C40B-4F5B-AE1E-939C82FDE329}" name="Date" dataDxfId="140"/>
    <tableColumn id="3" xr3:uid="{03D741A6-1B50-4423-952E-57D0D785C686}" name="Course" dataDxfId="139"/>
    <tableColumn id="4" xr3:uid="{06E25D5E-7FE7-47C7-9AF8-40B00704346A}" name="Score" dataDxfId="138">
      <calculatedColumnFormula>SUM('Golf Log'!$E77:$M77)</calculatedColumnFormula>
    </tableColumn>
    <tableColumn id="5" xr3:uid="{C5EB3E17-9B35-4D67-B26D-3354A2C2C9A2}" name="Hole 1" dataDxfId="137"/>
    <tableColumn id="6" xr3:uid="{79DEED49-EFE9-48EC-935F-B558E246BC95}" name="Hole 2" dataDxfId="136"/>
    <tableColumn id="7" xr3:uid="{3926BC82-3F80-42CD-87CE-C0BB7BE39B4B}" name="Hole 3" dataDxfId="135"/>
    <tableColumn id="8" xr3:uid="{04B47985-4EDE-4FDD-8702-58AF36BC1EEF}" name="Hole 4" dataDxfId="134"/>
    <tableColumn id="9" xr3:uid="{035A2182-AC3A-4504-8DB8-F228FD080449}" name="Hole 5" dataDxfId="133"/>
    <tableColumn id="10" xr3:uid="{97E90124-D1A3-4C9E-B0F5-0EBC6FAF2E76}" name="Hole 6" dataDxfId="132"/>
    <tableColumn id="11" xr3:uid="{A3617EEE-8E7C-48AC-A09F-EB56EF86DDA9}" name="Hole 7" dataDxfId="131"/>
    <tableColumn id="12" xr3:uid="{3F294CD0-B3F2-40CF-8DDF-C75FBCB0B085}" name="Hole 8" dataDxfId="130"/>
    <tableColumn id="13" xr3:uid="{43359816-B3A9-4464-B48A-52A410BB0A69}" name="Hole 9" dataDxfId="1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C05ADF7-93BD-4567-988E-8EC6F3A22827}" name="PuttLog" displayName="PuttLog" ref="A1:AB72" totalsRowShown="0" headerRowDxfId="128" dataDxfId="127">
  <autoFilter ref="A1:AB72" xr:uid="{DC05ADF7-93BD-4567-988E-8EC6F3A22827}"/>
  <tableColumns count="28">
    <tableColumn id="1" xr3:uid="{D138F121-8B55-4C33-A2F6-EF59ACA54084}" name="Golfer" dataDxfId="126"/>
    <tableColumn id="2" xr3:uid="{99731635-56B4-40FB-96F3-A7EDF4D21F06}" name="Date" dataDxfId="125"/>
    <tableColumn id="3" xr3:uid="{D8472164-7BD3-4DDD-B739-23C4CD8BB9F3}" name="Course" dataDxfId="124"/>
    <tableColumn id="4" xr3:uid="{7A7E8156-AA56-4EE4-AF8E-3AFF38660E68}" name="Putts" dataDxfId="123">
      <calculatedColumnFormula>SUM('Putt Log'!$E2:$V2)</calculatedColumnFormula>
    </tableColumn>
    <tableColumn id="5" xr3:uid="{80C84386-0971-411D-A246-34C33CBD1D57}" name="Hole 1" dataDxfId="122"/>
    <tableColumn id="6" xr3:uid="{670E8E08-CF69-417A-BC07-BB3BD866639D}" name="Hole 2" dataDxfId="121"/>
    <tableColumn id="7" xr3:uid="{684AFEDA-1F18-498C-8777-04C499DBFA85}" name="Hole 3" dataDxfId="120"/>
    <tableColumn id="8" xr3:uid="{C1B28706-AA4B-4876-89A9-B11279C71627}" name="Hole 4" dataDxfId="119"/>
    <tableColumn id="9" xr3:uid="{E04C47F7-361E-429B-82EC-DF81E4E73434}" name="Hole 5" dataDxfId="118"/>
    <tableColumn id="10" xr3:uid="{8EBE87F6-C941-461F-8DCD-B77CC9D8FBC5}" name="Hole 6" dataDxfId="117"/>
    <tableColumn id="11" xr3:uid="{112B4B85-B296-4433-B396-A666E0AC7D87}" name="Hole 7" dataDxfId="116"/>
    <tableColumn id="12" xr3:uid="{889FC6BA-3253-496F-8637-B387FD21BB05}" name="Hole 8" dataDxfId="115"/>
    <tableColumn id="13" xr3:uid="{DDFB3A04-2B97-43EC-98CB-F2A2C0C596D8}" name="Hole 9" dataDxfId="114"/>
    <tableColumn id="14" xr3:uid="{BE1DFBCF-E9D6-42F0-93A8-85B3B27EADA9}" name="Hole 10" dataDxfId="113"/>
    <tableColumn id="15" xr3:uid="{C773A9C9-820F-45BC-BD25-33974A23C9B4}" name="Hole 11" dataDxfId="112"/>
    <tableColumn id="16" xr3:uid="{7A7A490B-AA22-40CA-9C06-4BA498FAE208}" name="Hole 12" dataDxfId="111"/>
    <tableColumn id="17" xr3:uid="{D0EA4272-7DF6-4403-8D04-25E59A5DEA46}" name="Hole 13" dataDxfId="110"/>
    <tableColumn id="18" xr3:uid="{CE71EE54-07C7-406D-9CA5-5223D8A276F1}" name="Hole 14" dataDxfId="109"/>
    <tableColumn id="19" xr3:uid="{AB2F3668-D6CC-451E-84FC-52F42BD2A65C}" name="Hole 15" dataDxfId="108"/>
    <tableColumn id="20" xr3:uid="{93522917-C30E-4E5A-86FF-D03619D958EE}" name="Hole 16" dataDxfId="107"/>
    <tableColumn id="21" xr3:uid="{140834E5-FDEF-4829-8904-D4D1C5FAA2BA}" name="Hole 17" dataDxfId="106"/>
    <tableColumn id="22" xr3:uid="{0383F378-8075-41DC-83DB-8C5B0CF0804D}" name="Hole 18" dataDxfId="105"/>
    <tableColumn id="23" xr3:uid="{01C3EC4A-E42A-47FA-86FC-A3533E55080C}" name="Putts2" dataDxfId="104"/>
    <tableColumn id="24" xr3:uid="{A19DF869-C1A5-43D4-B436-0105B5A27247}" name="Fairways" dataDxfId="103"/>
    <tableColumn id="25" xr3:uid="{42A337CB-7501-4E46-A80F-4BD0DB8185E2}" name="GIR" dataDxfId="102"/>
    <tableColumn id="26" xr3:uid="{2C218232-CFC4-4AE8-BC65-269F4E1B1CA3}" name="Par 3 Avg" dataDxfId="101">
      <calculatedColumnFormula array="1">SUMPRODUCT((_xlfn.XLOOKUP(C2, 'Course Stats'!A:A, 'Course Stats'!G:X)=3)*(E2:V2)) / COUNTIF(_xlfn.XLOOKUP(C2, 'Course Stats'!A:A, 'Course Stats'!G:X), 3)</calculatedColumnFormula>
    </tableColumn>
    <tableColumn id="27" xr3:uid="{09395166-463C-4B5F-AAB7-E6CB3619C55A}" name="Par 4 Avg" dataDxfId="100">
      <calculatedColumnFormula array="1">SUMPRODUCT((_xlfn.XLOOKUP(C2, 'Course Stats'!A:A, 'Course Stats'!G:X)=4)*(E2:V2)) / COUNTIF(_xlfn.XLOOKUP(C2, 'Course Stats'!A:A, 'Course Stats'!G:X), 4)</calculatedColumnFormula>
    </tableColumn>
    <tableColumn id="28" xr3:uid="{7A9B85DE-3A76-464B-98FA-BC82F7A52CAC}" name="Par 5 Avg" dataDxfId="99">
      <calculatedColumnFormula array="1">SUMPRODUCT((_xlfn.XLOOKUP(C2, 'Course Stats'!A:A, 'Course Stats'!G:X)=5)*(E2:V2)) / COUNTIF(_xlfn.XLOOKUP(C2, 'Course Stats'!A:A, 'Course Stats'!G:X), 5)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706CBB1-DF02-4480-A43F-55D8CC379EE0}" name="Table19" displayName="Table19" ref="A75:M77" totalsRowShown="0" headerRowDxfId="98" dataDxfId="97">
  <autoFilter ref="A75:M77" xr:uid="{3706CBB1-DF02-4480-A43F-55D8CC379EE0}"/>
  <tableColumns count="13">
    <tableColumn id="1" xr3:uid="{D8342BAB-5EB2-4C3E-999E-873A56CD33CD}" name="Golfer" dataDxfId="96"/>
    <tableColumn id="2" xr3:uid="{D4B168B0-00C1-4ABF-B0AB-837E1804D526}" name="Date" dataDxfId="95"/>
    <tableColumn id="3" xr3:uid="{DD0E504B-33CC-4C58-84C1-1BC990256AC8}" name="Course" dataDxfId="94"/>
    <tableColumn id="4" xr3:uid="{0570B601-2A3F-40CE-B532-E977CAF48AF9}" name="Putts" dataDxfId="93">
      <calculatedColumnFormula>SUM('Putt Log'!$E76:$M76)</calculatedColumnFormula>
    </tableColumn>
    <tableColumn id="5" xr3:uid="{B6747DCC-737B-4615-8A24-5FAEA0F01964}" name="Hole 1" dataDxfId="92"/>
    <tableColumn id="6" xr3:uid="{A178C90D-92C0-4582-ABDD-10B899851A81}" name="Hole 2" dataDxfId="91"/>
    <tableColumn id="7" xr3:uid="{999D685F-0211-47BC-A552-3780BFE31F3D}" name="Hole 3" dataDxfId="90"/>
    <tableColumn id="8" xr3:uid="{D5FAAB71-23FD-4EA8-933C-9DE6976BE019}" name="Hole 4" dataDxfId="89"/>
    <tableColumn id="9" xr3:uid="{8250BEAB-919F-4DA7-A86F-B8C92C721AB5}" name="Hole 5" dataDxfId="88"/>
    <tableColumn id="10" xr3:uid="{9D781C80-516E-4C5A-B05A-2CC847F9902F}" name="Hole 6" dataDxfId="87"/>
    <tableColumn id="11" xr3:uid="{10E50607-4740-4DC1-BF56-4373B789E3EC}" name="Hole 7" dataDxfId="86"/>
    <tableColumn id="12" xr3:uid="{EBA9A435-DCDA-49FC-AFD3-FA1601597188}" name="Hole 8" dataDxfId="85"/>
    <tableColumn id="13" xr3:uid="{779402BE-FD2E-4E18-83A5-209CA458CB89}" name="Hole 9" dataDxfId="8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111B819-DA4D-415F-A633-3B40CB89A698}" name="FairwayLog" displayName="FairwayLog" ref="A1:W72" totalsRowShown="0" headerRowDxfId="83" dataDxfId="82">
  <autoFilter ref="A1:W72" xr:uid="{D111B819-DA4D-415F-A633-3B40CB89A698}"/>
  <tableColumns count="23">
    <tableColumn id="1" xr3:uid="{17C7791B-8EB6-41CA-A322-E7D685BFF7B4}" name="Golfer" dataDxfId="81"/>
    <tableColumn id="2" xr3:uid="{DE1EEDAF-8305-42F3-870A-BDAEF5804ABD}" name="Date" dataDxfId="80"/>
    <tableColumn id="3" xr3:uid="{70BFC9A7-45A0-4B1C-B2AF-5F0573D6D4A5}" name="Course" dataDxfId="79"/>
    <tableColumn id="4" xr3:uid="{C03022FA-DE1F-4C12-8844-B6A1916FF5DC}" name="Fairways" dataDxfId="78">
      <calculatedColumnFormula>SUM('Fairway Log'!$E2:$V2)</calculatedColumnFormula>
    </tableColumn>
    <tableColumn id="5" xr3:uid="{521DEA03-5197-43AE-8E70-F09EB662D6D7}" name="Hole 1" dataDxfId="77"/>
    <tableColumn id="6" xr3:uid="{98C5C74B-5605-46D4-B017-534D39D1558B}" name="Hole 2" dataDxfId="76"/>
    <tableColumn id="7" xr3:uid="{FB13F568-1998-4FBB-89F2-37640BFF6321}" name="Hole 3" dataDxfId="75"/>
    <tableColumn id="8" xr3:uid="{632DFDB8-A553-4D80-9DDE-C78E8CDB9A93}" name="Hole 4" dataDxfId="74"/>
    <tableColumn id="9" xr3:uid="{5CDFBFA9-B9B1-4FF6-A780-9C93E6C2B54F}" name="Hole 5" dataDxfId="73"/>
    <tableColumn id="10" xr3:uid="{89EB8017-9D2F-455F-8545-410697967EB8}" name="Hole 6" dataDxfId="72"/>
    <tableColumn id="11" xr3:uid="{7AB225A3-9126-4DB8-9070-059EACAF75DA}" name="Hole 7" dataDxfId="71"/>
    <tableColumn id="12" xr3:uid="{659A2510-07A2-43F4-8655-2EBEF7C10BF7}" name="Hole 8" dataDxfId="70"/>
    <tableColumn id="13" xr3:uid="{CFDF6094-0677-44EE-AC11-94286E207907}" name="Hole 9" dataDxfId="69"/>
    <tableColumn id="14" xr3:uid="{A836FFF4-E5D3-4C67-8C1C-FD4EAFBB86BC}" name="Hole 10" dataDxfId="68"/>
    <tableColumn id="15" xr3:uid="{B2B4AEDC-0632-4196-8AD4-AAE0F414333C}" name="Hole 11" dataDxfId="67"/>
    <tableColumn id="16" xr3:uid="{B3140601-5FC4-4397-8B39-7EFCAF517421}" name="Hole 12" dataDxfId="66"/>
    <tableColumn id="17" xr3:uid="{1F6B235D-29FA-4976-B460-CD4DC862F907}" name="Hole 13" dataDxfId="65"/>
    <tableColumn id="18" xr3:uid="{C41475AB-5D2C-4E21-823F-7A1B8AECD9FE}" name="Hole 14" dataDxfId="64"/>
    <tableColumn id="19" xr3:uid="{74530B0C-486B-48FB-8413-6140D970B29B}" name="Hole 15" dataDxfId="63"/>
    <tableColumn id="20" xr3:uid="{9F0AE5C2-CB75-4BDE-8348-ED0A50EC7E1B}" name="Hole 16" dataDxfId="62"/>
    <tableColumn id="21" xr3:uid="{C2DB48D3-EEF0-42A6-B7C4-6648C26B43DD}" name="Hole 17" dataDxfId="61"/>
    <tableColumn id="22" xr3:uid="{2E69B9CC-9EDC-402B-8EA7-355A092BFFB9}" name="Hole 18" dataDxfId="60"/>
    <tableColumn id="23" xr3:uid="{5B8E67CD-58CE-438C-808B-6F212DAD77E3}" name="Fairway %" dataDxfId="59" dataCellStyle="Percent">
      <calculatedColumnFormula>IFERROR(COUNTIF('Fairway Log'!$E2:$V2,1)/COUNTA('Fairway Log'!$E2:$V2),"")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EA21C6A-771A-4D00-BFAE-1056919B9B85}" name="Table21" displayName="Table21" ref="A75:M77" totalsRowShown="0" headerRowDxfId="58" dataDxfId="57">
  <autoFilter ref="A75:M77" xr:uid="{6EA21C6A-771A-4D00-BFAE-1056919B9B85}"/>
  <tableColumns count="13">
    <tableColumn id="1" xr3:uid="{1095F9B1-9C01-4E2A-A462-5806777BB83C}" name="Golfer" dataDxfId="56"/>
    <tableColumn id="2" xr3:uid="{44890D84-BA54-4B96-A3E5-F89F8D82E3F0}" name="Date" dataDxfId="55"/>
    <tableColumn id="3" xr3:uid="{F7E8CEF2-DEC8-4CDC-8F85-D33415393B0F}" name="Course" dataDxfId="54"/>
    <tableColumn id="4" xr3:uid="{8BF85B0A-E125-4684-992C-14C5C18E3522}" name="Fairways" dataDxfId="53">
      <calculatedColumnFormula>SUM('Fairway Log'!$E76:$M76)</calculatedColumnFormula>
    </tableColumn>
    <tableColumn id="5" xr3:uid="{B9130C97-8352-4A79-99D6-C554E379C50B}" name="Hole 1" dataDxfId="52"/>
    <tableColumn id="6" xr3:uid="{8FCC349E-A271-4E1F-8EBB-583B459C024A}" name="Hole 2" dataDxfId="51"/>
    <tableColumn id="7" xr3:uid="{341BAF45-5691-4BBD-8330-6ABB92BE4726}" name="Hole 3" dataDxfId="50"/>
    <tableColumn id="8" xr3:uid="{914A7F35-CA6D-4A5D-B1BA-D2CACB08C2F3}" name="Hole 4" dataDxfId="49"/>
    <tableColumn id="9" xr3:uid="{AAF83ACE-80FE-4178-A2F4-147AB18A99B1}" name="Hole 5" dataDxfId="48"/>
    <tableColumn id="10" xr3:uid="{35F41C09-346E-4E1F-8297-010ADA67AFE3}" name="Hole 6" dataDxfId="47"/>
    <tableColumn id="11" xr3:uid="{F2E40603-9F9E-4DEB-98E3-904E77F76DE4}" name="Hole 7" dataDxfId="46"/>
    <tableColumn id="12" xr3:uid="{32EF279F-E252-43F4-82D8-FFF4BBC3F986}" name="Hole 8" dataDxfId="45"/>
    <tableColumn id="13" xr3:uid="{3B335F8C-F580-4DB5-82EB-4ACDA0980556}" name="Hole 9" dataDxfId="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A6B9910-42B0-4C87-9554-91532EE2AD11}" name="GIRLog" displayName="GIRLog" ref="A1:W72" totalsRowShown="0" headerRowDxfId="43" dataDxfId="42">
  <autoFilter ref="A1:W72" xr:uid="{7A6B9910-42B0-4C87-9554-91532EE2AD11}"/>
  <tableColumns count="23">
    <tableColumn id="1" xr3:uid="{857E046C-435D-4E06-AFE8-1514D221186D}" name="Golfer" dataDxfId="41"/>
    <tableColumn id="2" xr3:uid="{1A7B3A59-6675-429F-8953-EC21549DB69D}" name="Date" dataDxfId="40"/>
    <tableColumn id="3" xr3:uid="{75AB5502-D41A-42A4-9F75-D073F32233F1}" name="Course" dataDxfId="39"/>
    <tableColumn id="4" xr3:uid="{0647B214-3A94-473F-9DCF-1D7F27808BE8}" name="GIR" dataDxfId="38">
      <calculatedColumnFormula>SUM('GIR Log'!$E2:$V2)</calculatedColumnFormula>
    </tableColumn>
    <tableColumn id="5" xr3:uid="{381DD492-6145-4145-868E-6E73AD4414F5}" name="Hole 1" dataDxfId="37"/>
    <tableColumn id="6" xr3:uid="{292DAAB7-2279-4D59-B2F5-C88D68B9DB12}" name="Hole 2" dataDxfId="36"/>
    <tableColumn id="7" xr3:uid="{F4FF8E60-A00C-4F81-80FD-C04BBACB7A4F}" name="Hole 3" dataDxfId="35"/>
    <tableColumn id="8" xr3:uid="{6B1D7C5A-2F9C-4DB1-A0BB-20BB6F61753A}" name="Hole 4" dataDxfId="34"/>
    <tableColumn id="9" xr3:uid="{DDC65F68-5B50-42D4-B279-9D651DA936B5}" name="Hole 5" dataDxfId="33"/>
    <tableColumn id="10" xr3:uid="{5E5B39C2-F443-4469-A609-D9A68AD7B9C4}" name="Hole 6" dataDxfId="32"/>
    <tableColumn id="11" xr3:uid="{EA578020-8754-4114-A149-37F92263A6A6}" name="Hole 7" dataDxfId="31"/>
    <tableColumn id="12" xr3:uid="{EED73624-2412-4656-9F2B-422457D1F92D}" name="Hole 8" dataDxfId="30"/>
    <tableColumn id="13" xr3:uid="{3160BABB-ADEA-42DA-91F6-FBE179CE6C44}" name="Hole 9" dataDxfId="29"/>
    <tableColumn id="14" xr3:uid="{58DA5E06-9E05-42E8-A439-61D569A2F8AC}" name="Hole 10" dataDxfId="28"/>
    <tableColumn id="15" xr3:uid="{4046EEF2-9967-495C-904A-973F33353D88}" name="Hole 11" dataDxfId="27"/>
    <tableColumn id="16" xr3:uid="{FCA3522C-C953-4249-A60B-E8E002774462}" name="Hole 12" dataDxfId="26"/>
    <tableColumn id="17" xr3:uid="{0B5599EC-B239-45FB-8A9C-8BA8238D8D27}" name="Hole 13" dataDxfId="25"/>
    <tableColumn id="18" xr3:uid="{1533E798-2D6D-4061-BDDE-90A4EADF3A00}" name="Hole 14" dataDxfId="24"/>
    <tableColumn id="19" xr3:uid="{04ABCDF0-7F71-4276-B691-E610555A7335}" name="Hole 15" dataDxfId="23"/>
    <tableColumn id="20" xr3:uid="{E8802433-922A-45A0-AA23-AEC518739BED}" name="Hole 16" dataDxfId="22"/>
    <tableColumn id="21" xr3:uid="{2C627A34-7FAE-4E80-9E82-984480E58276}" name="Hole 17" dataDxfId="21"/>
    <tableColumn id="22" xr3:uid="{F1D85FCE-345B-4269-A8B9-9FD26B97EE24}" name="Hole 18" dataDxfId="20"/>
    <tableColumn id="23" xr3:uid="{3686E4DD-1F49-466E-B6F5-9E114944993A}" name="GIR %" dataDxfId="19" dataCellStyle="Percent">
      <calculatedColumnFormula>IFERROR('GIR Log'!$D2/COUNTA('GIR Log'!$E2:$V2),0)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39E66CB-0026-4F95-90EF-2FECC99E368D}" name="Table23" displayName="Table23" ref="A75:M77" totalsRowShown="0" headerRowDxfId="18" dataDxfId="17">
  <autoFilter ref="A75:M77" xr:uid="{339E66CB-0026-4F95-90EF-2FECC99E368D}"/>
  <tableColumns count="13">
    <tableColumn id="1" xr3:uid="{C2DF6F29-731C-4178-9133-7C7DFFB82BEA}" name="Golfer" dataDxfId="16"/>
    <tableColumn id="2" xr3:uid="{B1AE89C7-6B02-437C-90B7-3F63E6C34122}" name="Date" dataDxfId="15"/>
    <tableColumn id="3" xr3:uid="{98ED7958-FABA-4161-804E-A92DAC1B6058}" name="Course" dataDxfId="14"/>
    <tableColumn id="4" xr3:uid="{F66E79D7-0EBD-4F76-A5FF-7AA76995C119}" name="GIR" dataDxfId="13">
      <calculatedColumnFormula>SUM('GIR Log'!$E76:$M76)</calculatedColumnFormula>
    </tableColumn>
    <tableColumn id="5" xr3:uid="{06D81CB9-46E0-4A81-8D6F-A236A2867C16}" name="Hole 1" dataDxfId="12"/>
    <tableColumn id="6" xr3:uid="{E0C1B16F-251E-4DF2-8BDA-77846E92B8BD}" name="Hole 2" dataDxfId="11"/>
    <tableColumn id="7" xr3:uid="{DF983045-F561-41A9-989C-A2F56FFD9D78}" name="Hole 3" dataDxfId="10"/>
    <tableColumn id="8" xr3:uid="{16AD8928-12DB-431E-BACC-DF9C2AF35981}" name="Hole 4" dataDxfId="9"/>
    <tableColumn id="9" xr3:uid="{A287F10E-E144-41A5-9621-06C69ABD30A9}" name="Hole 5" dataDxfId="8"/>
    <tableColumn id="10" xr3:uid="{B546A348-BB68-46C3-BCD5-A2BC1503156B}" name="Hole 6" dataDxfId="7"/>
    <tableColumn id="11" xr3:uid="{071A7E5E-BE4B-40E2-B910-AA9AA4AD8FE8}" name="Hole 7" dataDxfId="6"/>
    <tableColumn id="12" xr3:uid="{AB1C4C6A-6722-4D61-A993-6207CA2AFB3F}" name="Hole 8" dataDxfId="5"/>
    <tableColumn id="13" xr3:uid="{467A414D-5B72-46F1-96D8-5EFDBA7F9057}" name="Hole 9" dataDxfId="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2B94E0-659F-4BA4-9EF2-3D7D8EEE082E}" name="CourseRatings" displayName="CourseRatings" ref="A1:X25" totalsRowShown="0" headerRowDxfId="3">
  <autoFilter ref="A1:X25" xr:uid="{772B94E0-659F-4BA4-9EF2-3D7D8EEE082E}"/>
  <tableColumns count="24">
    <tableColumn id="1" xr3:uid="{AB17BEA4-4B86-4A88-83DC-18A53B4A857B}" name="Course"/>
    <tableColumn id="22" xr3:uid="{35817CDC-3E05-4A57-9F43-73FCD969C0C7}" name="Tees"/>
    <tableColumn id="24" xr3:uid="{69A08F39-BC9B-4270-944C-50FF9BA0D40D}" name="Yardage"/>
    <tableColumn id="2" xr3:uid="{7B45C40F-D1FD-4E75-A590-BC812412A365}" name="Rating"/>
    <tableColumn id="3" xr3:uid="{37A45E03-4B59-448C-80F9-DBE603E8A94E}" name="Slope"/>
    <tableColumn id="23" xr3:uid="{821F45F0-6AC3-46E1-BAD2-8EBE444A120A}" name="Par" dataDxfId="2">
      <calculatedColumnFormula>SUM(CourseRatings[[#This Row],[Hole 1]:[Hole 18]])</calculatedColumnFormula>
    </tableColumn>
    <tableColumn id="4" xr3:uid="{84E7A601-FE12-49A8-888E-E046664A5348}" name="Hole 1"/>
    <tableColumn id="5" xr3:uid="{5A22B298-4574-4C18-82F9-45C11BF36432}" name="Hole 2"/>
    <tableColumn id="6" xr3:uid="{54ADD811-3770-4F83-8792-C04EACAFC867}" name="Hole 3"/>
    <tableColumn id="7" xr3:uid="{82BE8608-16AF-447C-AC5E-27E6AE70394D}" name="Hole 4"/>
    <tableColumn id="8" xr3:uid="{10E0C8A0-BBDE-450C-A814-D6C02FBD1525}" name="Hole 5"/>
    <tableColumn id="9" xr3:uid="{24A107AA-23B2-4B48-8D6F-968C425F77E3}" name="Hole 6"/>
    <tableColumn id="10" xr3:uid="{95AD5EEB-F351-490B-A761-BF946EA17E48}" name="Hole 7"/>
    <tableColumn id="11" xr3:uid="{77CDBCDA-F779-4923-8DDD-A72B11DBC4B9}" name="Hole 8"/>
    <tableColumn id="12" xr3:uid="{238FD639-FCE4-4F34-B363-771713547D92}" name="Hole 9"/>
    <tableColumn id="13" xr3:uid="{44939B34-8BF2-4E82-A736-B7C39D1DE97E}" name="Hole 10"/>
    <tableColumn id="14" xr3:uid="{91F619B6-13DF-49D3-9757-17A9BD807BF6}" name="Hole 11"/>
    <tableColumn id="15" xr3:uid="{B4227415-3B6A-4CC3-BB23-74C7A5B6DEC2}" name="Hole 12"/>
    <tableColumn id="16" xr3:uid="{CA17CF60-217D-436E-94B8-CAFA8754B8F6}" name="Hole 13"/>
    <tableColumn id="17" xr3:uid="{BFD213FD-A7BF-4899-AC1D-2EC1EAAF1AFE}" name="Hole 14"/>
    <tableColumn id="18" xr3:uid="{248CF0F9-D8BB-4969-87B3-2047CCDFBFAB}" name="Hole 15"/>
    <tableColumn id="19" xr3:uid="{F60942FB-9829-45CE-9034-BD765DBA5985}" name="Hole 16"/>
    <tableColumn id="20" xr3:uid="{3AF859FB-A3F9-4C0E-9CB9-1A7FF7ABC633}" name="Hole 17"/>
    <tableColumn id="21" xr3:uid="{B209EC0B-1BD5-4F1D-A4E3-BF87CF47CCA5}" name="Hole 18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3B53B3-D389-42BE-B7FE-8B56074BE93F}" name="CourseYardages" displayName="CourseYardages" ref="A1:T25" totalsRowShown="0" headerRowDxfId="1">
  <autoFilter ref="A1:T25" xr:uid="{493B53B3-D389-42BE-B7FE-8B56074BE93F}"/>
  <tableColumns count="20">
    <tableColumn id="1" xr3:uid="{341EF30A-C94A-4DF9-B88F-38E49808BDD5}" name="Course"/>
    <tableColumn id="22" xr3:uid="{42FCA60E-6409-499B-B61B-DAF4E455448E}" name="Tees"/>
    <tableColumn id="4" xr3:uid="{F0456254-7EC9-49EC-A1F3-13AD03526358}" name="Hole 1"/>
    <tableColumn id="5" xr3:uid="{243DD317-09A8-4703-9BF8-633C0ACE04B1}" name="Hole 2"/>
    <tableColumn id="6" xr3:uid="{97985BA0-93CD-4DDA-94ED-E8021602BDA1}" name="Hole 3"/>
    <tableColumn id="7" xr3:uid="{81F9071E-5AEA-495D-B35E-1B61A68BAD25}" name="Hole 4"/>
    <tableColumn id="8" xr3:uid="{08FE34CC-F833-40B3-8968-A392390D1C3E}" name="Hole 5"/>
    <tableColumn id="9" xr3:uid="{383E8296-7EDE-4D9F-93E7-0D06B03D782E}" name="Hole 6"/>
    <tableColumn id="10" xr3:uid="{7250928F-B2F1-47D1-B953-099B34AB7AC9}" name="Hole 7"/>
    <tableColumn id="11" xr3:uid="{2D8DFD3F-70C1-4B5B-B2D5-162C570E16B4}" name="Hole 8"/>
    <tableColumn id="12" xr3:uid="{A3277646-F588-4909-8BB4-A7E8031197EC}" name="Hole 9"/>
    <tableColumn id="13" xr3:uid="{59FABD30-29B6-48AE-ACF0-73F4B71614A2}" name="Hole 10"/>
    <tableColumn id="14" xr3:uid="{47F6430C-6CFD-48E5-8A0E-99E1089C5F46}" name="Hole 11"/>
    <tableColumn id="15" xr3:uid="{799758FC-27C4-42D5-B398-F2291EB08C7B}" name="Hole 12"/>
    <tableColumn id="16" xr3:uid="{4EEAB3A2-BBDA-41E7-9F5C-EFA2A3BB8D98}" name="Hole 13"/>
    <tableColumn id="17" xr3:uid="{CEC972A5-B4A8-486A-8CBA-BA2DABC71DC1}" name="Hole 14"/>
    <tableColumn id="18" xr3:uid="{2968090E-A315-47CA-8E94-2D8DFA046AAA}" name="Hole 15"/>
    <tableColumn id="19" xr3:uid="{987DA2C1-E6D8-4078-A6C5-7A78551DF6E9}" name="Hole 16"/>
    <tableColumn id="20" xr3:uid="{0BE2CACA-7DC1-4F56-B334-900BAFAE1B03}" name="Hole 17"/>
    <tableColumn id="21" xr3:uid="{B749D9FE-0265-4B53-93AA-455E00B501A7}" name="Hole 18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9F888E5-4E6D-4CE3-A075-E0B7F720C9BB}" name="CourseHandicap" displayName="CourseHandicap" ref="A1:T25" totalsRowShown="0" headerRowDxfId="0">
  <autoFilter ref="A1:T25" xr:uid="{B9F888E5-4E6D-4CE3-A075-E0B7F720C9BB}"/>
  <tableColumns count="20">
    <tableColumn id="1" xr3:uid="{C791106A-C46B-40E5-AF64-D523404F7735}" name="Course"/>
    <tableColumn id="22" xr3:uid="{1166572D-36AB-4E35-B1C1-DF3D023DF76A}" name="Tees"/>
    <tableColumn id="4" xr3:uid="{3068BCE3-515E-4FDA-BE53-445F9747BD8B}" name="Hole 1"/>
    <tableColumn id="5" xr3:uid="{56C5BF6A-D089-476D-9DFC-3A8DE96FD246}" name="Hole 2"/>
    <tableColumn id="6" xr3:uid="{A10C45DB-1C4C-4A60-960C-6AA05EDF321B}" name="Hole 3"/>
    <tableColumn id="7" xr3:uid="{66353C91-5647-4377-B0CB-954D146B5BEE}" name="Hole 4"/>
    <tableColumn id="8" xr3:uid="{670835E1-E7D2-4B23-ADD1-8D83A2359E5F}" name="Hole 5"/>
    <tableColumn id="9" xr3:uid="{72C35C8A-F3BE-472D-95CF-255CD3D0D4E5}" name="Hole 6"/>
    <tableColumn id="10" xr3:uid="{6475747F-8659-486F-9198-EF1A6A50FDAF}" name="Hole 7"/>
    <tableColumn id="11" xr3:uid="{6A153A84-F8B2-4289-934A-AAC419C89C14}" name="Hole 8"/>
    <tableColumn id="12" xr3:uid="{E846EDB7-0FE8-4908-B04D-3E85193231D8}" name="Hole 9"/>
    <tableColumn id="13" xr3:uid="{0AFEF05A-55F2-4DC3-A2A7-4E96DA9EEC0F}" name="Hole 10"/>
    <tableColumn id="14" xr3:uid="{C2041A91-892E-43BF-9CB5-28D501E1FE29}" name="Hole 11"/>
    <tableColumn id="15" xr3:uid="{4DA46541-7F68-4BC4-B886-1A7ADC372135}" name="Hole 12"/>
    <tableColumn id="16" xr3:uid="{14323F25-78AE-4324-AFEB-3C9834C4C82F}" name="Hole 13"/>
    <tableColumn id="17" xr3:uid="{F7BD73E5-4E63-487D-BAD3-83265FE5FC9B}" name="Hole 14"/>
    <tableColumn id="18" xr3:uid="{398ADFD8-22F2-4936-A3A0-2E7A72E34EC0}" name="Hole 15"/>
    <tableColumn id="19" xr3:uid="{5FB6B893-447C-4A1C-B3D0-A5AB85E1C031}" name="Hole 16"/>
    <tableColumn id="20" xr3:uid="{AC504305-1DDF-477C-A23D-746640C44720}" name="Hole 17"/>
    <tableColumn id="21" xr3:uid="{ACAE5211-9688-4704-B273-4A9A7F0887D1}" name="Hole 1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DE7644-5ED1-44DB-BC87-2D1B4D21470D}">
  <we:reference id="0986d9dd-94f1-4b67-978d-c4cf6e6142a8" version="21.5.1.1" store="EXCatalog" storeType="EXCatalog"/>
  <we:alternateReferences>
    <we:reference id="WA200000018" version="21.5.1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E19D-25E9-43E9-A6B7-EDED477339DF}">
  <dimension ref="A1:T74"/>
  <sheetViews>
    <sheetView topLeftCell="A56" workbookViewId="0">
      <selection activeCell="U74" sqref="U74"/>
    </sheetView>
  </sheetViews>
  <sheetFormatPr defaultRowHeight="15" x14ac:dyDescent="0.25"/>
  <cols>
    <col min="1" max="1" width="8.28515625" bestFit="1" customWidth="1"/>
    <col min="2" max="2" width="10.7109375" style="3" bestFit="1" customWidth="1"/>
    <col min="3" max="3" width="7.5703125" style="3" bestFit="1" customWidth="1"/>
    <col min="4" max="4" width="10.42578125" bestFit="1" customWidth="1"/>
    <col min="5" max="5" width="18" bestFit="1" customWidth="1"/>
    <col min="6" max="6" width="5.85546875" style="3" bestFit="1" customWidth="1"/>
    <col min="7" max="7" width="32.85546875" bestFit="1" customWidth="1"/>
    <col min="8" max="8" width="6.85546875" bestFit="1" customWidth="1"/>
    <col min="9" max="9" width="9.85546875" bestFit="1" customWidth="1"/>
    <col min="10" max="10" width="9.140625" bestFit="1" customWidth="1"/>
    <col min="11" max="11" width="8.42578125" bestFit="1" customWidth="1"/>
    <col min="12" max="12" width="8.28515625" bestFit="1" customWidth="1"/>
    <col min="14" max="14" width="6.7109375" bestFit="1" customWidth="1"/>
    <col min="15" max="15" width="8.85546875" bestFit="1" customWidth="1"/>
    <col min="16" max="16" width="15.42578125" bestFit="1" customWidth="1"/>
    <col min="17" max="17" width="13.7109375" bestFit="1" customWidth="1"/>
    <col min="18" max="18" width="7.5703125" bestFit="1" customWidth="1"/>
    <col min="19" max="19" width="10.42578125" style="3" bestFit="1" customWidth="1"/>
    <col min="20" max="20" width="9" bestFit="1" customWidth="1"/>
  </cols>
  <sheetData>
    <row r="1" spans="1:20" s="4" customFormat="1" x14ac:dyDescent="0.25">
      <c r="A1" s="16" t="s">
        <v>125</v>
      </c>
      <c r="B1" s="17" t="s">
        <v>19</v>
      </c>
      <c r="C1" s="17" t="s">
        <v>20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  <c r="L1" s="17" t="s">
        <v>13</v>
      </c>
      <c r="M1" s="17" t="s">
        <v>15</v>
      </c>
      <c r="N1" s="17" t="s">
        <v>17</v>
      </c>
      <c r="O1" s="17" t="s">
        <v>18</v>
      </c>
      <c r="P1" s="17" t="s">
        <v>29</v>
      </c>
      <c r="Q1" s="17" t="s">
        <v>30</v>
      </c>
      <c r="R1" s="17" t="s">
        <v>0</v>
      </c>
      <c r="S1" s="17" t="s">
        <v>31</v>
      </c>
      <c r="T1" s="17" t="s">
        <v>32</v>
      </c>
    </row>
    <row r="2" spans="1:20" x14ac:dyDescent="0.25">
      <c r="A2" s="68" t="s">
        <v>126</v>
      </c>
      <c r="B2" s="69">
        <v>45941</v>
      </c>
      <c r="C2" s="70">
        <v>91</v>
      </c>
      <c r="D2" s="70">
        <v>19</v>
      </c>
      <c r="E2" s="68" t="s">
        <v>35</v>
      </c>
      <c r="F2" s="70">
        <f t="shared" ref="F2:F33" si="0">C2-D2</f>
        <v>72</v>
      </c>
      <c r="G2" s="68" t="s">
        <v>12</v>
      </c>
      <c r="H2" s="68" t="s">
        <v>36</v>
      </c>
      <c r="I2" s="70">
        <v>6030</v>
      </c>
      <c r="J2" s="70">
        <v>46</v>
      </c>
      <c r="K2" s="70">
        <v>45</v>
      </c>
      <c r="L2" s="70">
        <v>0</v>
      </c>
      <c r="M2" s="70">
        <v>1</v>
      </c>
      <c r="N2" s="70">
        <v>2</v>
      </c>
      <c r="O2" s="70">
        <v>9</v>
      </c>
      <c r="P2" s="70">
        <v>6</v>
      </c>
      <c r="Q2" s="70">
        <f t="shared" ref="Q2:Q33" si="1">SUM(L2:P2)</f>
        <v>18</v>
      </c>
      <c r="R2" s="70">
        <v>30</v>
      </c>
      <c r="S2" s="70">
        <v>3</v>
      </c>
      <c r="T2" s="70">
        <v>1</v>
      </c>
    </row>
    <row r="3" spans="1:20" x14ac:dyDescent="0.25">
      <c r="A3" s="68" t="s">
        <v>130</v>
      </c>
      <c r="B3" s="69">
        <v>45941</v>
      </c>
      <c r="C3" s="70">
        <v>91</v>
      </c>
      <c r="D3" s="70">
        <v>19</v>
      </c>
      <c r="E3" s="68" t="s">
        <v>126</v>
      </c>
      <c r="F3" s="70">
        <f t="shared" si="0"/>
        <v>72</v>
      </c>
      <c r="G3" s="68" t="s">
        <v>12</v>
      </c>
      <c r="H3" s="68" t="s">
        <v>36</v>
      </c>
      <c r="I3" s="70">
        <v>6030</v>
      </c>
      <c r="J3" s="70">
        <v>46</v>
      </c>
      <c r="K3" s="70">
        <v>45</v>
      </c>
      <c r="L3" s="70">
        <v>0</v>
      </c>
      <c r="M3" s="70">
        <v>0</v>
      </c>
      <c r="N3" s="70">
        <v>3</v>
      </c>
      <c r="O3" s="70">
        <v>10</v>
      </c>
      <c r="P3" s="70">
        <v>5</v>
      </c>
      <c r="Q3" s="70">
        <f t="shared" si="1"/>
        <v>18</v>
      </c>
      <c r="R3" s="70">
        <v>33</v>
      </c>
      <c r="S3" s="70">
        <v>7</v>
      </c>
      <c r="T3" s="70">
        <v>1</v>
      </c>
    </row>
    <row r="4" spans="1:20" x14ac:dyDescent="0.25">
      <c r="A4" s="20" t="s">
        <v>126</v>
      </c>
      <c r="B4" s="18">
        <v>45897</v>
      </c>
      <c r="C4" s="19">
        <v>89</v>
      </c>
      <c r="D4" s="19">
        <v>17</v>
      </c>
      <c r="E4" s="51" t="s">
        <v>130</v>
      </c>
      <c r="F4" s="19">
        <f t="shared" si="0"/>
        <v>72</v>
      </c>
      <c r="G4" s="20" t="s">
        <v>41</v>
      </c>
      <c r="H4" s="20" t="s">
        <v>34</v>
      </c>
      <c r="I4" s="19">
        <v>6504</v>
      </c>
      <c r="J4" s="19">
        <v>44</v>
      </c>
      <c r="K4" s="19">
        <v>45</v>
      </c>
      <c r="L4" s="19">
        <v>0</v>
      </c>
      <c r="M4" s="19">
        <v>0</v>
      </c>
      <c r="N4" s="19">
        <v>5</v>
      </c>
      <c r="O4" s="19">
        <v>9</v>
      </c>
      <c r="P4" s="19">
        <v>4</v>
      </c>
      <c r="Q4" s="19">
        <f t="shared" si="1"/>
        <v>18</v>
      </c>
      <c r="R4" s="19">
        <v>31</v>
      </c>
      <c r="S4" s="19">
        <v>3</v>
      </c>
      <c r="T4" s="19">
        <v>4</v>
      </c>
    </row>
    <row r="5" spans="1:20" x14ac:dyDescent="0.25">
      <c r="A5" s="51" t="s">
        <v>130</v>
      </c>
      <c r="B5" s="52">
        <v>45897</v>
      </c>
      <c r="C5" s="53">
        <v>90</v>
      </c>
      <c r="D5" s="53">
        <v>18</v>
      </c>
      <c r="E5" s="51" t="s">
        <v>126</v>
      </c>
      <c r="F5" s="53">
        <f t="shared" si="0"/>
        <v>72</v>
      </c>
      <c r="G5" s="51" t="s">
        <v>41</v>
      </c>
      <c r="H5" s="51" t="s">
        <v>34</v>
      </c>
      <c r="I5" s="53">
        <v>6504</v>
      </c>
      <c r="J5" s="53">
        <v>43</v>
      </c>
      <c r="K5" s="53">
        <v>47</v>
      </c>
      <c r="L5" s="53">
        <v>0</v>
      </c>
      <c r="M5" s="53">
        <v>0</v>
      </c>
      <c r="N5" s="53">
        <v>3</v>
      </c>
      <c r="O5" s="53">
        <v>12</v>
      </c>
      <c r="P5" s="53">
        <v>3</v>
      </c>
      <c r="Q5" s="53">
        <f t="shared" si="1"/>
        <v>18</v>
      </c>
      <c r="R5" s="53">
        <v>32</v>
      </c>
      <c r="S5" s="53">
        <v>5</v>
      </c>
      <c r="T5" s="53">
        <v>0</v>
      </c>
    </row>
    <row r="6" spans="1:20" x14ac:dyDescent="0.25">
      <c r="A6" s="20" t="s">
        <v>126</v>
      </c>
      <c r="B6" s="18">
        <v>45894</v>
      </c>
      <c r="C6" s="19">
        <v>95</v>
      </c>
      <c r="D6" s="19">
        <v>24</v>
      </c>
      <c r="E6" s="51" t="s">
        <v>127</v>
      </c>
      <c r="F6" s="19">
        <f t="shared" si="0"/>
        <v>71</v>
      </c>
      <c r="G6" s="20" t="s">
        <v>11</v>
      </c>
      <c r="H6" s="20" t="s">
        <v>34</v>
      </c>
      <c r="I6" s="19">
        <v>6311</v>
      </c>
      <c r="J6" s="19">
        <v>45</v>
      </c>
      <c r="K6" s="19">
        <v>40</v>
      </c>
      <c r="L6" s="19">
        <v>0</v>
      </c>
      <c r="M6" s="19">
        <v>0</v>
      </c>
      <c r="N6" s="19">
        <v>2</v>
      </c>
      <c r="O6" s="19">
        <v>8</v>
      </c>
      <c r="P6" s="19">
        <v>8</v>
      </c>
      <c r="Q6" s="19">
        <f t="shared" si="1"/>
        <v>18</v>
      </c>
      <c r="R6" s="19">
        <v>38</v>
      </c>
      <c r="S6" s="19">
        <v>6</v>
      </c>
      <c r="T6" s="19">
        <v>1</v>
      </c>
    </row>
    <row r="7" spans="1:20" x14ac:dyDescent="0.25">
      <c r="A7" s="20" t="s">
        <v>127</v>
      </c>
      <c r="B7" s="18">
        <v>45894</v>
      </c>
      <c r="C7" s="19">
        <v>112</v>
      </c>
      <c r="D7" s="19">
        <v>41</v>
      </c>
      <c r="E7" s="20" t="s">
        <v>126</v>
      </c>
      <c r="F7" s="19">
        <f t="shared" si="0"/>
        <v>71</v>
      </c>
      <c r="G7" s="20" t="s">
        <v>11</v>
      </c>
      <c r="H7" s="20" t="s">
        <v>34</v>
      </c>
      <c r="I7" s="19">
        <v>6311</v>
      </c>
      <c r="J7" s="19">
        <v>58</v>
      </c>
      <c r="K7" s="19">
        <v>54</v>
      </c>
      <c r="L7" s="19">
        <v>0</v>
      </c>
      <c r="M7" s="19">
        <v>0</v>
      </c>
      <c r="N7" s="19">
        <v>0</v>
      </c>
      <c r="O7" s="19">
        <v>6</v>
      </c>
      <c r="P7" s="19">
        <v>12</v>
      </c>
      <c r="Q7" s="19">
        <f t="shared" si="1"/>
        <v>18</v>
      </c>
      <c r="R7" s="19">
        <v>42</v>
      </c>
      <c r="S7" s="19">
        <v>3</v>
      </c>
      <c r="T7" s="19">
        <v>3</v>
      </c>
    </row>
    <row r="8" spans="1:20" x14ac:dyDescent="0.25">
      <c r="A8" s="20" t="s">
        <v>126</v>
      </c>
      <c r="B8" s="18">
        <v>45892</v>
      </c>
      <c r="C8" s="19">
        <v>85</v>
      </c>
      <c r="D8" s="19">
        <v>13</v>
      </c>
      <c r="E8" s="51" t="s">
        <v>130</v>
      </c>
      <c r="F8" s="19">
        <f t="shared" si="0"/>
        <v>72</v>
      </c>
      <c r="G8" s="20" t="s">
        <v>41</v>
      </c>
      <c r="H8" s="20" t="s">
        <v>34</v>
      </c>
      <c r="I8" s="19">
        <v>6504</v>
      </c>
      <c r="J8" s="19">
        <v>45</v>
      </c>
      <c r="K8" s="19">
        <v>40</v>
      </c>
      <c r="L8" s="19">
        <v>0</v>
      </c>
      <c r="M8" s="19">
        <v>0</v>
      </c>
      <c r="N8" s="19">
        <v>7</v>
      </c>
      <c r="O8" s="19">
        <v>9</v>
      </c>
      <c r="P8" s="19">
        <v>2</v>
      </c>
      <c r="Q8" s="19">
        <f t="shared" si="1"/>
        <v>18</v>
      </c>
      <c r="R8" s="19">
        <v>32</v>
      </c>
      <c r="S8" s="19">
        <v>6</v>
      </c>
      <c r="T8" s="19">
        <v>5</v>
      </c>
    </row>
    <row r="9" spans="1:20" x14ac:dyDescent="0.25">
      <c r="A9" s="51" t="s">
        <v>130</v>
      </c>
      <c r="B9" s="52">
        <v>45892</v>
      </c>
      <c r="C9" s="53">
        <v>90</v>
      </c>
      <c r="D9" s="53">
        <v>18</v>
      </c>
      <c r="E9" s="51" t="s">
        <v>126</v>
      </c>
      <c r="F9" s="53">
        <f t="shared" si="0"/>
        <v>72</v>
      </c>
      <c r="G9" s="51" t="s">
        <v>41</v>
      </c>
      <c r="H9" s="51" t="s">
        <v>34</v>
      </c>
      <c r="I9" s="53">
        <v>6504</v>
      </c>
      <c r="J9" s="53">
        <v>44</v>
      </c>
      <c r="K9" s="53">
        <v>46</v>
      </c>
      <c r="L9" s="53">
        <v>0</v>
      </c>
      <c r="M9" s="53">
        <v>0</v>
      </c>
      <c r="N9" s="53">
        <v>6</v>
      </c>
      <c r="O9" s="53">
        <v>7</v>
      </c>
      <c r="P9" s="53">
        <v>5</v>
      </c>
      <c r="Q9" s="53">
        <f t="shared" si="1"/>
        <v>18</v>
      </c>
      <c r="R9" s="53">
        <v>38</v>
      </c>
      <c r="S9" s="53">
        <v>8</v>
      </c>
      <c r="T9" s="53">
        <v>6</v>
      </c>
    </row>
    <row r="10" spans="1:20" x14ac:dyDescent="0.25">
      <c r="A10" s="20" t="s">
        <v>126</v>
      </c>
      <c r="B10" s="18">
        <v>45886</v>
      </c>
      <c r="C10" s="19">
        <v>83</v>
      </c>
      <c r="D10" s="19">
        <v>11</v>
      </c>
      <c r="E10" s="51" t="s">
        <v>130</v>
      </c>
      <c r="F10" s="19">
        <f t="shared" si="0"/>
        <v>72</v>
      </c>
      <c r="G10" s="20" t="s">
        <v>41</v>
      </c>
      <c r="H10" s="20" t="s">
        <v>34</v>
      </c>
      <c r="I10" s="19">
        <v>6504</v>
      </c>
      <c r="J10" s="19">
        <v>42</v>
      </c>
      <c r="K10" s="19">
        <v>41</v>
      </c>
      <c r="L10" s="19">
        <v>0</v>
      </c>
      <c r="M10" s="19">
        <v>0</v>
      </c>
      <c r="N10" s="19">
        <v>10</v>
      </c>
      <c r="O10" s="19">
        <v>5</v>
      </c>
      <c r="P10" s="19">
        <v>3</v>
      </c>
      <c r="Q10" s="19">
        <f t="shared" si="1"/>
        <v>18</v>
      </c>
      <c r="R10" s="19">
        <v>30</v>
      </c>
      <c r="S10" s="19">
        <v>11</v>
      </c>
      <c r="T10" s="19">
        <v>4</v>
      </c>
    </row>
    <row r="11" spans="1:20" x14ac:dyDescent="0.25">
      <c r="A11" s="51" t="s">
        <v>130</v>
      </c>
      <c r="B11" s="52">
        <v>45886</v>
      </c>
      <c r="C11" s="53">
        <v>89</v>
      </c>
      <c r="D11" s="53">
        <v>17</v>
      </c>
      <c r="E11" s="51" t="s">
        <v>126</v>
      </c>
      <c r="F11" s="53">
        <f t="shared" si="0"/>
        <v>72</v>
      </c>
      <c r="G11" s="51" t="s">
        <v>41</v>
      </c>
      <c r="H11" s="51" t="s">
        <v>34</v>
      </c>
      <c r="I11" s="53">
        <v>6504</v>
      </c>
      <c r="J11" s="53">
        <v>45</v>
      </c>
      <c r="K11" s="53">
        <v>44</v>
      </c>
      <c r="L11" s="53">
        <v>0</v>
      </c>
      <c r="M11" s="53">
        <v>0</v>
      </c>
      <c r="N11" s="53">
        <v>7</v>
      </c>
      <c r="O11" s="53">
        <v>6</v>
      </c>
      <c r="P11" s="53">
        <v>5</v>
      </c>
      <c r="Q11" s="53">
        <f t="shared" si="1"/>
        <v>18</v>
      </c>
      <c r="R11" s="53">
        <v>39</v>
      </c>
      <c r="S11" s="53">
        <v>8</v>
      </c>
      <c r="T11" s="53">
        <v>8</v>
      </c>
    </row>
    <row r="12" spans="1:20" x14ac:dyDescent="0.25">
      <c r="A12" s="20" t="s">
        <v>126</v>
      </c>
      <c r="B12" s="18">
        <v>45868</v>
      </c>
      <c r="C12" s="19">
        <v>81</v>
      </c>
      <c r="D12" s="19">
        <v>11</v>
      </c>
      <c r="E12" s="20" t="s">
        <v>33</v>
      </c>
      <c r="F12" s="19">
        <f t="shared" si="0"/>
        <v>70</v>
      </c>
      <c r="G12" s="20" t="s">
        <v>10</v>
      </c>
      <c r="H12" s="20" t="s">
        <v>34</v>
      </c>
      <c r="I12" s="19">
        <v>6921</v>
      </c>
      <c r="J12" s="19">
        <v>40</v>
      </c>
      <c r="K12" s="19">
        <v>41</v>
      </c>
      <c r="L12" s="19">
        <v>0</v>
      </c>
      <c r="M12" s="19">
        <v>1</v>
      </c>
      <c r="N12" s="19">
        <v>8</v>
      </c>
      <c r="O12" s="19">
        <v>6</v>
      </c>
      <c r="P12" s="19">
        <v>3</v>
      </c>
      <c r="Q12" s="19">
        <f t="shared" si="1"/>
        <v>18</v>
      </c>
      <c r="R12" s="19">
        <v>29</v>
      </c>
      <c r="S12" s="19">
        <v>7</v>
      </c>
      <c r="T12" s="19">
        <v>4</v>
      </c>
    </row>
    <row r="13" spans="1:20" x14ac:dyDescent="0.25">
      <c r="A13" s="20" t="s">
        <v>126</v>
      </c>
      <c r="B13" s="18">
        <v>45857</v>
      </c>
      <c r="C13" s="19">
        <v>75</v>
      </c>
      <c r="D13" s="19">
        <v>4</v>
      </c>
      <c r="E13" s="51" t="s">
        <v>130</v>
      </c>
      <c r="F13" s="19">
        <f t="shared" si="0"/>
        <v>71</v>
      </c>
      <c r="G13" s="20" t="s">
        <v>3</v>
      </c>
      <c r="H13" s="20" t="s">
        <v>36</v>
      </c>
      <c r="I13" s="19">
        <v>6064</v>
      </c>
      <c r="J13" s="19">
        <v>38</v>
      </c>
      <c r="K13" s="19">
        <v>37</v>
      </c>
      <c r="L13" s="19">
        <v>0</v>
      </c>
      <c r="M13" s="19">
        <v>1</v>
      </c>
      <c r="N13" s="19">
        <v>12</v>
      </c>
      <c r="O13" s="19">
        <v>5</v>
      </c>
      <c r="P13" s="19">
        <v>0</v>
      </c>
      <c r="Q13" s="19">
        <f t="shared" si="1"/>
        <v>18</v>
      </c>
      <c r="R13" s="19">
        <v>33</v>
      </c>
      <c r="S13" s="19">
        <v>8</v>
      </c>
      <c r="T13" s="19">
        <v>11</v>
      </c>
    </row>
    <row r="14" spans="1:20" x14ac:dyDescent="0.25">
      <c r="A14" t="s">
        <v>130</v>
      </c>
      <c r="B14" s="52">
        <v>45857</v>
      </c>
      <c r="C14" s="53">
        <v>84</v>
      </c>
      <c r="D14" s="53">
        <v>13</v>
      </c>
      <c r="E14" s="51" t="s">
        <v>126</v>
      </c>
      <c r="F14" s="53">
        <f t="shared" si="0"/>
        <v>71</v>
      </c>
      <c r="G14" s="51" t="s">
        <v>3</v>
      </c>
      <c r="H14" s="51" t="s">
        <v>36</v>
      </c>
      <c r="I14" s="19">
        <v>6124</v>
      </c>
      <c r="J14" s="53">
        <v>43</v>
      </c>
      <c r="K14" s="53" t="s">
        <v>134</v>
      </c>
      <c r="L14" s="53">
        <v>0</v>
      </c>
      <c r="M14" s="53">
        <v>1</v>
      </c>
      <c r="N14" s="53">
        <v>8</v>
      </c>
      <c r="O14" s="53">
        <v>6</v>
      </c>
      <c r="P14" s="53">
        <v>3</v>
      </c>
      <c r="Q14" s="53">
        <f t="shared" si="1"/>
        <v>18</v>
      </c>
      <c r="R14" s="53">
        <v>35</v>
      </c>
      <c r="S14" s="53">
        <v>6</v>
      </c>
      <c r="T14" s="53">
        <v>8</v>
      </c>
    </row>
    <row r="15" spans="1:20" x14ac:dyDescent="0.25">
      <c r="A15" s="35" t="s">
        <v>127</v>
      </c>
      <c r="B15" s="36">
        <v>45853</v>
      </c>
      <c r="C15" s="37">
        <v>109</v>
      </c>
      <c r="D15" s="37">
        <v>38</v>
      </c>
      <c r="E15" s="35"/>
      <c r="F15" s="37">
        <f t="shared" si="0"/>
        <v>71</v>
      </c>
      <c r="G15" s="35" t="s">
        <v>128</v>
      </c>
      <c r="H15" s="35" t="s">
        <v>36</v>
      </c>
      <c r="I15" s="37">
        <v>6348</v>
      </c>
      <c r="J15" s="37">
        <v>57</v>
      </c>
      <c r="K15" s="37">
        <v>52</v>
      </c>
      <c r="L15" s="37">
        <v>0</v>
      </c>
      <c r="M15" s="37">
        <v>0</v>
      </c>
      <c r="N15" s="37">
        <v>1</v>
      </c>
      <c r="O15" s="37">
        <v>5</v>
      </c>
      <c r="P15" s="37">
        <v>12</v>
      </c>
      <c r="Q15" s="37">
        <f t="shared" si="1"/>
        <v>18</v>
      </c>
      <c r="R15" s="37">
        <v>45</v>
      </c>
      <c r="S15" s="37">
        <v>0</v>
      </c>
      <c r="T15" s="37">
        <v>2</v>
      </c>
    </row>
    <row r="16" spans="1:20" x14ac:dyDescent="0.25">
      <c r="A16" s="20" t="s">
        <v>126</v>
      </c>
      <c r="B16" s="18">
        <v>45844</v>
      </c>
      <c r="C16" s="19">
        <v>79</v>
      </c>
      <c r="D16" s="19">
        <v>8</v>
      </c>
      <c r="E16" s="51" t="s">
        <v>130</v>
      </c>
      <c r="F16" s="19">
        <f t="shared" si="0"/>
        <v>71</v>
      </c>
      <c r="G16" s="20" t="s">
        <v>3</v>
      </c>
      <c r="H16" s="20" t="s">
        <v>36</v>
      </c>
      <c r="I16" s="19">
        <v>6064</v>
      </c>
      <c r="J16" s="19">
        <v>39</v>
      </c>
      <c r="K16" s="19">
        <v>40</v>
      </c>
      <c r="L16" s="19">
        <v>0</v>
      </c>
      <c r="M16" s="19">
        <v>0</v>
      </c>
      <c r="N16" s="19">
        <v>11</v>
      </c>
      <c r="O16" s="19">
        <v>6</v>
      </c>
      <c r="P16" s="19">
        <v>1</v>
      </c>
      <c r="Q16" s="19">
        <f t="shared" si="1"/>
        <v>18</v>
      </c>
      <c r="R16" s="19">
        <v>32</v>
      </c>
      <c r="S16" s="19">
        <v>7</v>
      </c>
      <c r="T16" s="19">
        <v>8</v>
      </c>
    </row>
    <row r="17" spans="1:20" x14ac:dyDescent="0.25">
      <c r="A17" t="s">
        <v>130</v>
      </c>
      <c r="B17" s="52">
        <v>45844</v>
      </c>
      <c r="C17" s="53">
        <v>86</v>
      </c>
      <c r="D17" s="53">
        <v>15</v>
      </c>
      <c r="E17" s="51" t="s">
        <v>126</v>
      </c>
      <c r="F17" s="53">
        <f t="shared" si="0"/>
        <v>71</v>
      </c>
      <c r="G17" s="51" t="s">
        <v>3</v>
      </c>
      <c r="H17" s="51" t="s">
        <v>36</v>
      </c>
      <c r="I17" s="53">
        <v>6124</v>
      </c>
      <c r="J17" s="53">
        <v>44</v>
      </c>
      <c r="K17" s="53">
        <v>42</v>
      </c>
      <c r="L17" s="53">
        <v>0</v>
      </c>
      <c r="M17" s="53">
        <v>0</v>
      </c>
      <c r="N17" s="53">
        <v>6</v>
      </c>
      <c r="O17" s="53">
        <v>9</v>
      </c>
      <c r="P17" s="53">
        <v>3</v>
      </c>
      <c r="Q17" s="53">
        <f t="shared" si="1"/>
        <v>18</v>
      </c>
      <c r="R17" s="53">
        <v>31</v>
      </c>
      <c r="S17" s="53">
        <v>6</v>
      </c>
      <c r="T17" s="53">
        <v>3</v>
      </c>
    </row>
    <row r="18" spans="1:20" x14ac:dyDescent="0.25">
      <c r="A18" s="20" t="s">
        <v>126</v>
      </c>
      <c r="B18" s="18">
        <v>45831</v>
      </c>
      <c r="C18" s="19">
        <v>78</v>
      </c>
      <c r="D18" s="19">
        <v>6</v>
      </c>
      <c r="E18" s="20" t="s">
        <v>33</v>
      </c>
      <c r="F18" s="19">
        <f t="shared" si="0"/>
        <v>72</v>
      </c>
      <c r="G18" s="20" t="s">
        <v>5</v>
      </c>
      <c r="H18" s="20" t="s">
        <v>34</v>
      </c>
      <c r="I18" s="19">
        <v>6666</v>
      </c>
      <c r="J18" s="19">
        <v>41</v>
      </c>
      <c r="K18" s="19">
        <v>37</v>
      </c>
      <c r="L18" s="19">
        <v>0</v>
      </c>
      <c r="M18" s="19">
        <v>2</v>
      </c>
      <c r="N18" s="19">
        <v>9</v>
      </c>
      <c r="O18" s="19">
        <v>6</v>
      </c>
      <c r="P18" s="19">
        <v>1</v>
      </c>
      <c r="Q18" s="19">
        <f t="shared" si="1"/>
        <v>18</v>
      </c>
      <c r="R18" s="19">
        <v>32</v>
      </c>
      <c r="S18" s="19">
        <v>8</v>
      </c>
      <c r="T18" s="19">
        <v>8</v>
      </c>
    </row>
    <row r="19" spans="1:20" x14ac:dyDescent="0.25">
      <c r="A19" s="20" t="s">
        <v>126</v>
      </c>
      <c r="B19" s="18">
        <v>45829</v>
      </c>
      <c r="C19" s="19">
        <v>76</v>
      </c>
      <c r="D19" s="19">
        <v>4</v>
      </c>
      <c r="E19" s="51" t="s">
        <v>130</v>
      </c>
      <c r="F19" s="19">
        <f t="shared" si="0"/>
        <v>72</v>
      </c>
      <c r="G19" s="20" t="s">
        <v>6</v>
      </c>
      <c r="H19" s="20" t="s">
        <v>36</v>
      </c>
      <c r="I19" s="19">
        <v>5835</v>
      </c>
      <c r="J19" s="19">
        <v>40</v>
      </c>
      <c r="K19" s="19">
        <v>36</v>
      </c>
      <c r="L19" s="19">
        <v>0</v>
      </c>
      <c r="M19" s="19">
        <v>2</v>
      </c>
      <c r="N19" s="19">
        <v>10</v>
      </c>
      <c r="O19" s="19">
        <v>6</v>
      </c>
      <c r="P19" s="19">
        <v>0</v>
      </c>
      <c r="Q19" s="19">
        <f t="shared" si="1"/>
        <v>18</v>
      </c>
      <c r="R19" s="19">
        <v>28</v>
      </c>
      <c r="S19" s="19">
        <v>9</v>
      </c>
      <c r="T19" s="19">
        <v>7</v>
      </c>
    </row>
    <row r="20" spans="1:20" x14ac:dyDescent="0.25">
      <c r="A20" s="51" t="s">
        <v>130</v>
      </c>
      <c r="B20" s="52">
        <v>45829</v>
      </c>
      <c r="C20" s="53">
        <v>83</v>
      </c>
      <c r="D20" s="53">
        <v>11</v>
      </c>
      <c r="E20" s="51" t="s">
        <v>126</v>
      </c>
      <c r="F20" s="53">
        <f t="shared" si="0"/>
        <v>72</v>
      </c>
      <c r="G20" s="51" t="s">
        <v>6</v>
      </c>
      <c r="H20" s="51" t="s">
        <v>36</v>
      </c>
      <c r="I20" s="53">
        <v>5835</v>
      </c>
      <c r="J20" s="53">
        <v>45</v>
      </c>
      <c r="K20" s="53">
        <v>38</v>
      </c>
      <c r="L20" s="53">
        <v>0</v>
      </c>
      <c r="M20" s="53">
        <v>0</v>
      </c>
      <c r="N20" s="53">
        <v>8</v>
      </c>
      <c r="O20" s="53">
        <v>8</v>
      </c>
      <c r="P20" s="53">
        <v>2</v>
      </c>
      <c r="Q20" s="53">
        <f t="shared" si="1"/>
        <v>18</v>
      </c>
      <c r="R20" s="53">
        <v>34</v>
      </c>
      <c r="S20" s="53">
        <v>1</v>
      </c>
      <c r="T20" s="53">
        <v>6</v>
      </c>
    </row>
    <row r="21" spans="1:20" x14ac:dyDescent="0.25">
      <c r="A21" s="35" t="s">
        <v>127</v>
      </c>
      <c r="B21" s="36">
        <v>45765</v>
      </c>
      <c r="C21" s="37">
        <v>111</v>
      </c>
      <c r="D21" s="37">
        <v>40</v>
      </c>
      <c r="E21" s="35"/>
      <c r="F21" s="37">
        <f t="shared" si="0"/>
        <v>71</v>
      </c>
      <c r="G21" s="35" t="s">
        <v>129</v>
      </c>
      <c r="H21" s="35" t="s">
        <v>36</v>
      </c>
      <c r="I21" s="37">
        <v>6229</v>
      </c>
      <c r="J21" s="37">
        <v>58</v>
      </c>
      <c r="K21" s="37">
        <v>53</v>
      </c>
      <c r="L21" s="37">
        <v>0</v>
      </c>
      <c r="M21" s="37">
        <v>0</v>
      </c>
      <c r="N21" s="37">
        <v>2</v>
      </c>
      <c r="O21" s="37">
        <v>1</v>
      </c>
      <c r="P21" s="37">
        <v>15</v>
      </c>
      <c r="Q21" s="37">
        <f t="shared" si="1"/>
        <v>18</v>
      </c>
      <c r="R21" s="37">
        <v>42</v>
      </c>
      <c r="S21" s="37">
        <v>5</v>
      </c>
      <c r="T21" s="37">
        <v>2</v>
      </c>
    </row>
    <row r="22" spans="1:20" x14ac:dyDescent="0.25">
      <c r="A22" s="20" t="s">
        <v>126</v>
      </c>
      <c r="B22" s="18">
        <v>45735</v>
      </c>
      <c r="C22" s="19">
        <v>76</v>
      </c>
      <c r="D22" s="19">
        <v>5</v>
      </c>
      <c r="E22" s="20" t="s">
        <v>33</v>
      </c>
      <c r="F22" s="19">
        <f t="shared" si="0"/>
        <v>71</v>
      </c>
      <c r="G22" s="20" t="s">
        <v>3</v>
      </c>
      <c r="H22" s="20" t="s">
        <v>36</v>
      </c>
      <c r="I22" s="19">
        <v>6124</v>
      </c>
      <c r="J22" s="19">
        <v>40</v>
      </c>
      <c r="K22" s="19">
        <v>36</v>
      </c>
      <c r="L22" s="19">
        <v>0</v>
      </c>
      <c r="M22" s="19">
        <v>1</v>
      </c>
      <c r="N22" s="19">
        <v>12</v>
      </c>
      <c r="O22" s="19">
        <v>4</v>
      </c>
      <c r="P22" s="19">
        <v>1</v>
      </c>
      <c r="Q22" s="19">
        <f t="shared" si="1"/>
        <v>18</v>
      </c>
      <c r="R22" s="19">
        <v>31</v>
      </c>
      <c r="S22" s="19">
        <v>7</v>
      </c>
      <c r="T22" s="19">
        <v>10</v>
      </c>
    </row>
    <row r="23" spans="1:20" x14ac:dyDescent="0.25">
      <c r="A23" s="20" t="s">
        <v>126</v>
      </c>
      <c r="B23" s="18">
        <v>45655</v>
      </c>
      <c r="C23" s="19">
        <v>85</v>
      </c>
      <c r="D23" s="19">
        <v>13</v>
      </c>
      <c r="E23" s="51" t="s">
        <v>130</v>
      </c>
      <c r="F23" s="19">
        <f t="shared" si="0"/>
        <v>72</v>
      </c>
      <c r="G23" s="20" t="s">
        <v>4</v>
      </c>
      <c r="H23" s="20" t="s">
        <v>34</v>
      </c>
      <c r="I23" s="19">
        <v>6407</v>
      </c>
      <c r="J23" s="19">
        <v>42</v>
      </c>
      <c r="K23" s="19">
        <v>43</v>
      </c>
      <c r="L23" s="19">
        <v>0</v>
      </c>
      <c r="M23" s="19">
        <v>0</v>
      </c>
      <c r="N23" s="19">
        <v>8</v>
      </c>
      <c r="O23" s="19">
        <v>7</v>
      </c>
      <c r="P23" s="19">
        <v>3</v>
      </c>
      <c r="Q23" s="19">
        <f t="shared" si="1"/>
        <v>18</v>
      </c>
      <c r="R23" s="19">
        <v>34</v>
      </c>
      <c r="S23" s="19">
        <v>11</v>
      </c>
      <c r="T23" s="19">
        <v>6</v>
      </c>
    </row>
    <row r="24" spans="1:20" x14ac:dyDescent="0.25">
      <c r="A24" s="51" t="s">
        <v>130</v>
      </c>
      <c r="B24" s="18">
        <v>45655</v>
      </c>
      <c r="C24" s="19">
        <v>91</v>
      </c>
      <c r="D24" s="19">
        <v>19</v>
      </c>
      <c r="E24" s="51" t="s">
        <v>126</v>
      </c>
      <c r="F24" s="19">
        <f t="shared" si="0"/>
        <v>72</v>
      </c>
      <c r="G24" s="20" t="s">
        <v>4</v>
      </c>
      <c r="H24" s="20" t="s">
        <v>34</v>
      </c>
      <c r="I24" s="19">
        <v>6407</v>
      </c>
      <c r="J24" s="19">
        <v>41</v>
      </c>
      <c r="K24" s="19">
        <v>50</v>
      </c>
      <c r="L24" s="19">
        <v>0</v>
      </c>
      <c r="M24" s="19">
        <v>0</v>
      </c>
      <c r="N24" s="19">
        <v>4</v>
      </c>
      <c r="O24" s="19">
        <v>9</v>
      </c>
      <c r="P24" s="19">
        <v>5</v>
      </c>
      <c r="Q24" s="19">
        <f t="shared" si="1"/>
        <v>18</v>
      </c>
      <c r="R24" s="19">
        <v>34</v>
      </c>
      <c r="S24" s="19">
        <v>11</v>
      </c>
      <c r="T24" s="19">
        <v>6</v>
      </c>
    </row>
    <row r="25" spans="1:20" x14ac:dyDescent="0.25">
      <c r="A25" s="20" t="s">
        <v>126</v>
      </c>
      <c r="B25" s="18">
        <v>45653</v>
      </c>
      <c r="C25" s="19">
        <v>80</v>
      </c>
      <c r="D25" s="19">
        <v>8</v>
      </c>
      <c r="E25" s="51" t="s">
        <v>130</v>
      </c>
      <c r="F25" s="19">
        <f t="shared" si="0"/>
        <v>72</v>
      </c>
      <c r="G25" s="20" t="s">
        <v>2</v>
      </c>
      <c r="H25" s="20" t="s">
        <v>34</v>
      </c>
      <c r="I25" s="19">
        <v>6653</v>
      </c>
      <c r="J25" s="19">
        <v>40</v>
      </c>
      <c r="K25" s="19">
        <v>40</v>
      </c>
      <c r="L25" s="19">
        <v>0</v>
      </c>
      <c r="M25" s="19">
        <v>0</v>
      </c>
      <c r="N25" s="19">
        <v>10</v>
      </c>
      <c r="O25" s="19">
        <v>8</v>
      </c>
      <c r="P25" s="19">
        <v>0</v>
      </c>
      <c r="Q25" s="19">
        <f t="shared" si="1"/>
        <v>18</v>
      </c>
      <c r="R25" s="19"/>
      <c r="S25" s="19"/>
      <c r="T25" s="19"/>
    </row>
    <row r="26" spans="1:20" x14ac:dyDescent="0.25">
      <c r="A26" t="s">
        <v>130</v>
      </c>
      <c r="B26" s="52">
        <v>45653</v>
      </c>
      <c r="C26" s="53">
        <v>92</v>
      </c>
      <c r="D26" s="53">
        <v>20</v>
      </c>
      <c r="E26" s="51" t="s">
        <v>126</v>
      </c>
      <c r="F26" s="53">
        <f t="shared" si="0"/>
        <v>72</v>
      </c>
      <c r="G26" s="51" t="s">
        <v>2</v>
      </c>
      <c r="H26" s="51" t="s">
        <v>34</v>
      </c>
      <c r="I26" s="53">
        <v>6653</v>
      </c>
      <c r="J26" s="53">
        <v>46</v>
      </c>
      <c r="K26" s="53">
        <v>46</v>
      </c>
      <c r="L26" s="53">
        <v>0</v>
      </c>
      <c r="M26" s="53">
        <v>0</v>
      </c>
      <c r="N26" s="53">
        <v>2</v>
      </c>
      <c r="O26" s="53">
        <v>12</v>
      </c>
      <c r="P26" s="53">
        <v>4</v>
      </c>
      <c r="Q26" s="53">
        <f t="shared" si="1"/>
        <v>18</v>
      </c>
      <c r="R26" s="53">
        <v>36</v>
      </c>
      <c r="S26" s="53">
        <v>3</v>
      </c>
      <c r="T26" s="53">
        <v>2</v>
      </c>
    </row>
    <row r="27" spans="1:20" x14ac:dyDescent="0.25">
      <c r="A27" s="20" t="s">
        <v>126</v>
      </c>
      <c r="B27" s="18">
        <v>45649</v>
      </c>
      <c r="C27" s="19">
        <v>88</v>
      </c>
      <c r="D27" s="19">
        <v>17</v>
      </c>
      <c r="E27" s="51" t="s">
        <v>130</v>
      </c>
      <c r="F27" s="19">
        <f t="shared" si="0"/>
        <v>71</v>
      </c>
      <c r="G27" s="20" t="s">
        <v>14</v>
      </c>
      <c r="H27" s="20" t="s">
        <v>40</v>
      </c>
      <c r="I27" s="19">
        <v>5839</v>
      </c>
      <c r="J27" s="19">
        <v>47</v>
      </c>
      <c r="K27" s="19">
        <v>41</v>
      </c>
      <c r="L27" s="19">
        <v>0</v>
      </c>
      <c r="M27" s="19">
        <v>0</v>
      </c>
      <c r="N27" s="19">
        <v>3</v>
      </c>
      <c r="O27" s="19">
        <v>13</v>
      </c>
      <c r="P27" s="19">
        <v>2</v>
      </c>
      <c r="Q27" s="19">
        <f t="shared" si="1"/>
        <v>18</v>
      </c>
      <c r="R27" s="19">
        <v>35</v>
      </c>
      <c r="S27" s="19">
        <v>5</v>
      </c>
      <c r="T27" s="19">
        <v>1</v>
      </c>
    </row>
    <row r="28" spans="1:20" x14ac:dyDescent="0.25">
      <c r="A28" t="s">
        <v>130</v>
      </c>
      <c r="B28" s="52">
        <v>45649</v>
      </c>
      <c r="C28" s="53">
        <v>91</v>
      </c>
      <c r="D28" s="53">
        <v>20</v>
      </c>
      <c r="E28" s="51" t="s">
        <v>126</v>
      </c>
      <c r="F28" s="53">
        <f t="shared" si="0"/>
        <v>71</v>
      </c>
      <c r="G28" s="51" t="s">
        <v>14</v>
      </c>
      <c r="H28" s="20" t="s">
        <v>40</v>
      </c>
      <c r="I28" s="19">
        <v>5839</v>
      </c>
      <c r="J28" s="53">
        <v>47</v>
      </c>
      <c r="K28" s="53">
        <v>44</v>
      </c>
      <c r="L28" s="53">
        <v>0</v>
      </c>
      <c r="M28" s="53">
        <v>0</v>
      </c>
      <c r="N28" s="53">
        <v>2</v>
      </c>
      <c r="O28" s="53">
        <v>12</v>
      </c>
      <c r="P28" s="53">
        <v>4</v>
      </c>
      <c r="Q28" s="53">
        <f t="shared" si="1"/>
        <v>18</v>
      </c>
      <c r="R28" s="53">
        <v>37</v>
      </c>
      <c r="S28" s="53">
        <v>3</v>
      </c>
      <c r="T28" s="53">
        <v>3</v>
      </c>
    </row>
    <row r="29" spans="1:20" x14ac:dyDescent="0.25">
      <c r="A29" s="20" t="s">
        <v>126</v>
      </c>
      <c r="B29" s="18">
        <v>45580</v>
      </c>
      <c r="C29" s="19">
        <v>83</v>
      </c>
      <c r="D29" s="19">
        <v>11</v>
      </c>
      <c r="E29" s="51" t="s">
        <v>133</v>
      </c>
      <c r="F29" s="19">
        <f t="shared" si="0"/>
        <v>72</v>
      </c>
      <c r="G29" s="20" t="s">
        <v>7</v>
      </c>
      <c r="H29" s="20" t="s">
        <v>36</v>
      </c>
      <c r="I29" s="19">
        <v>6409</v>
      </c>
      <c r="J29" s="19">
        <v>39</v>
      </c>
      <c r="K29" s="19">
        <v>44</v>
      </c>
      <c r="L29" s="19">
        <v>0</v>
      </c>
      <c r="M29" s="19">
        <v>2</v>
      </c>
      <c r="N29" s="19">
        <v>8</v>
      </c>
      <c r="O29" s="19">
        <v>3</v>
      </c>
      <c r="P29" s="19">
        <v>5</v>
      </c>
      <c r="Q29" s="19">
        <f t="shared" si="1"/>
        <v>18</v>
      </c>
      <c r="R29" s="19">
        <v>28</v>
      </c>
      <c r="S29" s="19">
        <v>5</v>
      </c>
      <c r="T29" s="19">
        <v>4</v>
      </c>
    </row>
    <row r="30" spans="1:20" x14ac:dyDescent="0.25">
      <c r="A30" s="20" t="s">
        <v>126</v>
      </c>
      <c r="B30" s="18">
        <v>45570</v>
      </c>
      <c r="C30" s="19">
        <v>79</v>
      </c>
      <c r="D30" s="19">
        <v>8</v>
      </c>
      <c r="E30" s="51" t="s">
        <v>130</v>
      </c>
      <c r="F30" s="19">
        <f t="shared" si="0"/>
        <v>71</v>
      </c>
      <c r="G30" s="20" t="s">
        <v>3</v>
      </c>
      <c r="H30" s="20" t="s">
        <v>36</v>
      </c>
      <c r="I30" s="19">
        <v>6124</v>
      </c>
      <c r="J30" s="19">
        <v>38</v>
      </c>
      <c r="K30" s="19">
        <v>41</v>
      </c>
      <c r="L30" s="19">
        <v>0</v>
      </c>
      <c r="M30" s="19">
        <v>1</v>
      </c>
      <c r="N30" s="19">
        <v>9</v>
      </c>
      <c r="O30" s="19">
        <v>7</v>
      </c>
      <c r="P30" s="19">
        <v>1</v>
      </c>
      <c r="Q30" s="19">
        <f t="shared" si="1"/>
        <v>18</v>
      </c>
      <c r="R30" s="19">
        <v>29</v>
      </c>
      <c r="S30" s="19">
        <v>5</v>
      </c>
      <c r="T30" s="19">
        <v>5</v>
      </c>
    </row>
    <row r="31" spans="1:20" x14ac:dyDescent="0.25">
      <c r="A31" t="s">
        <v>130</v>
      </c>
      <c r="B31" s="52">
        <v>45570</v>
      </c>
      <c r="C31" s="53">
        <v>87</v>
      </c>
      <c r="D31" s="53">
        <v>16</v>
      </c>
      <c r="E31" s="51" t="s">
        <v>126</v>
      </c>
      <c r="F31" s="53">
        <f t="shared" si="0"/>
        <v>71</v>
      </c>
      <c r="G31" s="51" t="s">
        <v>3</v>
      </c>
      <c r="H31" s="51" t="s">
        <v>36</v>
      </c>
      <c r="I31" s="53">
        <v>6064</v>
      </c>
      <c r="J31" s="53">
        <v>44</v>
      </c>
      <c r="K31" s="53">
        <v>43</v>
      </c>
      <c r="L31" s="53">
        <v>0</v>
      </c>
      <c r="M31" s="53">
        <v>0</v>
      </c>
      <c r="N31" s="53">
        <v>5</v>
      </c>
      <c r="O31" s="53">
        <v>10</v>
      </c>
      <c r="P31" s="53">
        <v>3</v>
      </c>
      <c r="Q31" s="53">
        <f t="shared" si="1"/>
        <v>18</v>
      </c>
      <c r="R31" s="53">
        <v>38</v>
      </c>
      <c r="S31" s="53">
        <v>2</v>
      </c>
      <c r="T31" s="53">
        <v>6</v>
      </c>
    </row>
    <row r="32" spans="1:20" x14ac:dyDescent="0.25">
      <c r="A32" s="20" t="s">
        <v>126</v>
      </c>
      <c r="B32" s="18">
        <v>45535</v>
      </c>
      <c r="C32" s="19">
        <v>87</v>
      </c>
      <c r="D32" s="19">
        <v>16</v>
      </c>
      <c r="E32" s="51" t="s">
        <v>130</v>
      </c>
      <c r="F32" s="19">
        <f t="shared" si="0"/>
        <v>71</v>
      </c>
      <c r="G32" s="20" t="s">
        <v>9</v>
      </c>
      <c r="H32" s="20" t="s">
        <v>36</v>
      </c>
      <c r="I32" s="19">
        <v>6055</v>
      </c>
      <c r="J32" s="19">
        <v>45</v>
      </c>
      <c r="K32" s="19">
        <v>42</v>
      </c>
      <c r="L32" s="19">
        <v>0</v>
      </c>
      <c r="M32" s="19">
        <v>0</v>
      </c>
      <c r="N32" s="19">
        <v>4</v>
      </c>
      <c r="O32" s="19">
        <v>12</v>
      </c>
      <c r="P32" s="19">
        <v>2</v>
      </c>
      <c r="Q32" s="19">
        <f t="shared" si="1"/>
        <v>18</v>
      </c>
      <c r="R32" s="19">
        <v>32</v>
      </c>
      <c r="S32" s="19">
        <v>6</v>
      </c>
      <c r="T32" s="19">
        <v>3</v>
      </c>
    </row>
    <row r="33" spans="1:20" x14ac:dyDescent="0.25">
      <c r="A33" t="s">
        <v>130</v>
      </c>
      <c r="B33" s="52">
        <v>45535</v>
      </c>
      <c r="C33" s="53">
        <v>87</v>
      </c>
      <c r="D33" s="53">
        <v>16</v>
      </c>
      <c r="E33" s="51" t="s">
        <v>126</v>
      </c>
      <c r="F33" s="53">
        <f t="shared" si="0"/>
        <v>71</v>
      </c>
      <c r="G33" s="51" t="s">
        <v>9</v>
      </c>
      <c r="H33" s="51" t="s">
        <v>36</v>
      </c>
      <c r="I33" s="53">
        <v>6022</v>
      </c>
      <c r="J33" s="53">
        <v>44</v>
      </c>
      <c r="K33" s="53">
        <v>43</v>
      </c>
      <c r="L33" s="53">
        <v>0</v>
      </c>
      <c r="M33" s="53">
        <v>0</v>
      </c>
      <c r="N33" s="53">
        <v>3</v>
      </c>
      <c r="O33" s="53">
        <v>14</v>
      </c>
      <c r="P33" s="53">
        <v>1</v>
      </c>
      <c r="Q33" s="53">
        <f t="shared" si="1"/>
        <v>18</v>
      </c>
      <c r="R33" s="53">
        <v>36</v>
      </c>
      <c r="S33" s="53">
        <v>4</v>
      </c>
      <c r="T33" s="53">
        <v>3</v>
      </c>
    </row>
    <row r="34" spans="1:20" x14ac:dyDescent="0.25">
      <c r="A34" s="43" t="s">
        <v>127</v>
      </c>
      <c r="B34" s="44">
        <v>45520</v>
      </c>
      <c r="C34" s="45">
        <v>98</v>
      </c>
      <c r="D34" s="45">
        <v>27</v>
      </c>
      <c r="E34" s="43"/>
      <c r="F34" s="45">
        <f t="shared" ref="F34:F65" si="2">C34-D34</f>
        <v>71</v>
      </c>
      <c r="G34" s="20" t="s">
        <v>8</v>
      </c>
      <c r="H34" s="43" t="s">
        <v>36</v>
      </c>
      <c r="I34" s="45">
        <v>6549</v>
      </c>
      <c r="J34" s="45">
        <v>46</v>
      </c>
      <c r="K34" s="45">
        <v>52</v>
      </c>
      <c r="L34" s="45">
        <v>0</v>
      </c>
      <c r="M34" s="45">
        <v>0</v>
      </c>
      <c r="N34" s="45">
        <v>3</v>
      </c>
      <c r="O34" s="45">
        <v>8</v>
      </c>
      <c r="P34" s="45">
        <v>7</v>
      </c>
      <c r="Q34" s="45">
        <f t="shared" ref="Q34:Q65" si="3">SUM(L34:P34)</f>
        <v>18</v>
      </c>
      <c r="R34" s="45">
        <v>36</v>
      </c>
      <c r="S34" s="45">
        <v>7</v>
      </c>
      <c r="T34" s="45">
        <v>4</v>
      </c>
    </row>
    <row r="35" spans="1:20" x14ac:dyDescent="0.25">
      <c r="A35" s="20" t="s">
        <v>126</v>
      </c>
      <c r="B35" s="18">
        <v>45514</v>
      </c>
      <c r="C35" s="19">
        <v>85</v>
      </c>
      <c r="D35" s="19">
        <v>13</v>
      </c>
      <c r="E35" s="51" t="s">
        <v>130</v>
      </c>
      <c r="F35" s="19">
        <f t="shared" si="2"/>
        <v>72</v>
      </c>
      <c r="G35" s="20" t="s">
        <v>6</v>
      </c>
      <c r="H35" s="20" t="s">
        <v>34</v>
      </c>
      <c r="I35" s="19">
        <v>6173</v>
      </c>
      <c r="J35" s="19">
        <v>45</v>
      </c>
      <c r="K35" s="19">
        <v>40</v>
      </c>
      <c r="L35" s="19">
        <v>0</v>
      </c>
      <c r="M35" s="19">
        <v>0</v>
      </c>
      <c r="N35" s="19">
        <v>7</v>
      </c>
      <c r="O35" s="19">
        <v>9</v>
      </c>
      <c r="P35" s="19">
        <v>2</v>
      </c>
      <c r="Q35" s="19">
        <f t="shared" si="3"/>
        <v>18</v>
      </c>
      <c r="R35" s="19">
        <v>31</v>
      </c>
      <c r="S35" s="19">
        <v>6</v>
      </c>
      <c r="T35" s="19">
        <v>4</v>
      </c>
    </row>
    <row r="36" spans="1:20" x14ac:dyDescent="0.25">
      <c r="A36" s="51" t="s">
        <v>130</v>
      </c>
      <c r="B36" s="52">
        <v>45514</v>
      </c>
      <c r="C36" s="53">
        <v>90</v>
      </c>
      <c r="D36" s="53">
        <v>18</v>
      </c>
      <c r="E36" s="51" t="s">
        <v>126</v>
      </c>
      <c r="F36" s="53">
        <f t="shared" si="2"/>
        <v>72</v>
      </c>
      <c r="G36" s="51" t="s">
        <v>6</v>
      </c>
      <c r="H36" s="51" t="s">
        <v>34</v>
      </c>
      <c r="I36" s="53">
        <v>6173</v>
      </c>
      <c r="J36" s="53">
        <v>44</v>
      </c>
      <c r="K36" s="53">
        <v>46</v>
      </c>
      <c r="L36" s="53">
        <v>0</v>
      </c>
      <c r="M36" s="53">
        <v>0</v>
      </c>
      <c r="N36" s="53">
        <v>4</v>
      </c>
      <c r="O36" s="53">
        <v>10</v>
      </c>
      <c r="P36" s="53">
        <v>4</v>
      </c>
      <c r="Q36" s="53">
        <f t="shared" si="3"/>
        <v>18</v>
      </c>
      <c r="R36" s="53">
        <v>28</v>
      </c>
      <c r="S36" s="53">
        <v>4</v>
      </c>
      <c r="T36" s="53">
        <v>1</v>
      </c>
    </row>
    <row r="37" spans="1:20" x14ac:dyDescent="0.25">
      <c r="A37" s="20" t="s">
        <v>126</v>
      </c>
      <c r="B37" s="18">
        <v>45502</v>
      </c>
      <c r="C37" s="19">
        <v>83</v>
      </c>
      <c r="D37" s="19">
        <v>12</v>
      </c>
      <c r="E37" s="20" t="s">
        <v>33</v>
      </c>
      <c r="F37" s="19">
        <f t="shared" si="2"/>
        <v>71</v>
      </c>
      <c r="G37" s="20" t="s">
        <v>3</v>
      </c>
      <c r="H37" s="20" t="s">
        <v>34</v>
      </c>
      <c r="I37" s="19">
        <v>6378</v>
      </c>
      <c r="J37" s="19">
        <v>41</v>
      </c>
      <c r="K37" s="19">
        <v>42</v>
      </c>
      <c r="L37" s="19">
        <v>0</v>
      </c>
      <c r="M37" s="19">
        <v>0</v>
      </c>
      <c r="N37" s="19">
        <v>8</v>
      </c>
      <c r="O37" s="19">
        <v>8</v>
      </c>
      <c r="P37" s="19">
        <v>2</v>
      </c>
      <c r="Q37" s="19">
        <f t="shared" si="3"/>
        <v>18</v>
      </c>
      <c r="R37" s="19">
        <v>29</v>
      </c>
      <c r="S37" s="19">
        <v>6</v>
      </c>
      <c r="T37" s="19">
        <v>4</v>
      </c>
    </row>
    <row r="38" spans="1:20" x14ac:dyDescent="0.25">
      <c r="A38" s="20" t="s">
        <v>126</v>
      </c>
      <c r="B38" s="18">
        <v>45496</v>
      </c>
      <c r="C38" s="19">
        <v>79</v>
      </c>
      <c r="D38" s="19">
        <v>7</v>
      </c>
      <c r="E38" s="20" t="s">
        <v>39</v>
      </c>
      <c r="F38" s="19">
        <f t="shared" si="2"/>
        <v>72</v>
      </c>
      <c r="G38" s="20" t="s">
        <v>6</v>
      </c>
      <c r="H38" s="20" t="s">
        <v>34</v>
      </c>
      <c r="I38" s="19">
        <v>6173</v>
      </c>
      <c r="J38" s="19">
        <v>40</v>
      </c>
      <c r="K38" s="19">
        <v>39</v>
      </c>
      <c r="L38" s="19">
        <v>1</v>
      </c>
      <c r="M38" s="19">
        <v>2</v>
      </c>
      <c r="N38" s="19">
        <v>4</v>
      </c>
      <c r="O38" s="19">
        <v>11</v>
      </c>
      <c r="P38" s="19">
        <v>0</v>
      </c>
      <c r="Q38" s="19">
        <f t="shared" si="3"/>
        <v>18</v>
      </c>
      <c r="R38" s="19">
        <v>27</v>
      </c>
      <c r="S38" s="19">
        <v>9</v>
      </c>
      <c r="T38" s="19">
        <v>3</v>
      </c>
    </row>
    <row r="39" spans="1:20" x14ac:dyDescent="0.25">
      <c r="A39" s="20" t="s">
        <v>126</v>
      </c>
      <c r="B39" s="18">
        <v>45492</v>
      </c>
      <c r="C39" s="19">
        <v>83</v>
      </c>
      <c r="D39" s="19">
        <v>11</v>
      </c>
      <c r="E39" s="51" t="s">
        <v>127</v>
      </c>
      <c r="F39" s="19">
        <f t="shared" si="2"/>
        <v>72</v>
      </c>
      <c r="G39" s="20" t="s">
        <v>6</v>
      </c>
      <c r="H39" s="20" t="s">
        <v>34</v>
      </c>
      <c r="I39" s="19">
        <v>6173</v>
      </c>
      <c r="J39" s="19">
        <v>42</v>
      </c>
      <c r="K39" s="19">
        <v>41</v>
      </c>
      <c r="L39" s="19">
        <v>0</v>
      </c>
      <c r="M39" s="19">
        <v>1</v>
      </c>
      <c r="N39" s="19">
        <v>9</v>
      </c>
      <c r="O39" s="19">
        <v>4</v>
      </c>
      <c r="P39" s="19">
        <v>4</v>
      </c>
      <c r="Q39" s="19">
        <f t="shared" si="3"/>
        <v>18</v>
      </c>
      <c r="R39" s="19">
        <v>27</v>
      </c>
      <c r="S39" s="19">
        <v>8</v>
      </c>
      <c r="T39" s="19">
        <v>5</v>
      </c>
    </row>
    <row r="40" spans="1:20" x14ac:dyDescent="0.25">
      <c r="A40" s="43" t="s">
        <v>127</v>
      </c>
      <c r="B40" s="44">
        <v>45492</v>
      </c>
      <c r="C40" s="45">
        <v>104</v>
      </c>
      <c r="D40" s="45">
        <v>32</v>
      </c>
      <c r="E40" s="43" t="s">
        <v>126</v>
      </c>
      <c r="F40" s="45">
        <f t="shared" si="2"/>
        <v>72</v>
      </c>
      <c r="G40" s="43" t="s">
        <v>6</v>
      </c>
      <c r="H40" s="43" t="s">
        <v>34</v>
      </c>
      <c r="I40" s="45">
        <v>6173</v>
      </c>
      <c r="J40" s="45">
        <v>57</v>
      </c>
      <c r="K40" s="45">
        <v>47</v>
      </c>
      <c r="L40" s="45">
        <v>0</v>
      </c>
      <c r="M40" s="45">
        <v>1</v>
      </c>
      <c r="N40" s="45">
        <v>0</v>
      </c>
      <c r="O40" s="45">
        <v>6</v>
      </c>
      <c r="P40" s="45">
        <v>11</v>
      </c>
      <c r="Q40" s="45">
        <f t="shared" si="3"/>
        <v>18</v>
      </c>
      <c r="R40" s="45">
        <v>34</v>
      </c>
      <c r="S40" s="45">
        <v>7</v>
      </c>
      <c r="T40" s="45">
        <v>1</v>
      </c>
    </row>
    <row r="41" spans="1:20" x14ac:dyDescent="0.25">
      <c r="A41" s="20" t="s">
        <v>126</v>
      </c>
      <c r="B41" s="18">
        <v>45487</v>
      </c>
      <c r="C41" s="19">
        <v>78</v>
      </c>
      <c r="D41" s="19">
        <v>7</v>
      </c>
      <c r="E41" s="51" t="s">
        <v>130</v>
      </c>
      <c r="F41" s="19">
        <f t="shared" si="2"/>
        <v>71</v>
      </c>
      <c r="G41" s="20" t="s">
        <v>3</v>
      </c>
      <c r="H41" s="20" t="s">
        <v>34</v>
      </c>
      <c r="I41" s="19">
        <v>6378</v>
      </c>
      <c r="J41" s="19">
        <v>39</v>
      </c>
      <c r="K41" s="19">
        <v>39</v>
      </c>
      <c r="L41" s="19">
        <v>0</v>
      </c>
      <c r="M41" s="19">
        <v>1</v>
      </c>
      <c r="N41" s="19">
        <v>9</v>
      </c>
      <c r="O41" s="19">
        <v>8</v>
      </c>
      <c r="P41" s="19">
        <v>0</v>
      </c>
      <c r="Q41" s="19">
        <f t="shared" si="3"/>
        <v>18</v>
      </c>
      <c r="R41" s="19">
        <v>29</v>
      </c>
      <c r="S41" s="19">
        <v>3</v>
      </c>
      <c r="T41" s="19">
        <v>6</v>
      </c>
    </row>
    <row r="42" spans="1:20" x14ac:dyDescent="0.25">
      <c r="A42" t="s">
        <v>130</v>
      </c>
      <c r="B42" s="52">
        <v>45487</v>
      </c>
      <c r="C42" s="53">
        <v>89</v>
      </c>
      <c r="D42" s="53">
        <v>18</v>
      </c>
      <c r="E42" s="51" t="s">
        <v>126</v>
      </c>
      <c r="F42" s="53">
        <f t="shared" si="2"/>
        <v>71</v>
      </c>
      <c r="G42" s="51" t="s">
        <v>3</v>
      </c>
      <c r="H42" s="51" t="s">
        <v>34</v>
      </c>
      <c r="I42" s="53">
        <v>6376</v>
      </c>
      <c r="J42" s="53">
        <v>46</v>
      </c>
      <c r="K42" s="53">
        <v>43</v>
      </c>
      <c r="L42" s="53">
        <v>0</v>
      </c>
      <c r="M42" s="53">
        <v>0</v>
      </c>
      <c r="N42" s="53">
        <v>3</v>
      </c>
      <c r="O42" s="53">
        <v>12</v>
      </c>
      <c r="P42" s="53">
        <v>3</v>
      </c>
      <c r="Q42" s="53">
        <f t="shared" si="3"/>
        <v>18</v>
      </c>
      <c r="R42" s="53">
        <v>34</v>
      </c>
      <c r="S42" s="53">
        <v>2</v>
      </c>
      <c r="T42" s="53">
        <v>2</v>
      </c>
    </row>
    <row r="43" spans="1:20" x14ac:dyDescent="0.25">
      <c r="A43" s="20" t="s">
        <v>126</v>
      </c>
      <c r="B43" s="18">
        <v>45480</v>
      </c>
      <c r="C43" s="19">
        <v>80</v>
      </c>
      <c r="D43" s="19">
        <v>10</v>
      </c>
      <c r="E43" s="20" t="s">
        <v>33</v>
      </c>
      <c r="F43" s="19">
        <f t="shared" si="2"/>
        <v>70</v>
      </c>
      <c r="G43" s="20" t="s">
        <v>10</v>
      </c>
      <c r="H43" s="20" t="s">
        <v>34</v>
      </c>
      <c r="I43" s="19">
        <v>7092</v>
      </c>
      <c r="J43" s="19">
        <v>42</v>
      </c>
      <c r="K43" s="19">
        <v>38</v>
      </c>
      <c r="L43" s="19">
        <v>0</v>
      </c>
      <c r="M43" s="19">
        <v>0</v>
      </c>
      <c r="N43" s="19">
        <v>8</v>
      </c>
      <c r="O43" s="19">
        <v>10</v>
      </c>
      <c r="P43" s="19">
        <v>0</v>
      </c>
      <c r="Q43" s="19">
        <f t="shared" si="3"/>
        <v>18</v>
      </c>
      <c r="R43" s="19">
        <v>30</v>
      </c>
      <c r="S43" s="19">
        <v>8</v>
      </c>
      <c r="T43" s="19">
        <v>2</v>
      </c>
    </row>
    <row r="44" spans="1:20" x14ac:dyDescent="0.25">
      <c r="A44" s="20" t="s">
        <v>126</v>
      </c>
      <c r="B44" s="18">
        <v>45475</v>
      </c>
      <c r="C44" s="19">
        <v>77</v>
      </c>
      <c r="D44" s="19">
        <v>5</v>
      </c>
      <c r="E44" s="20" t="s">
        <v>33</v>
      </c>
      <c r="F44" s="19">
        <f t="shared" si="2"/>
        <v>72</v>
      </c>
      <c r="G44" s="20" t="s">
        <v>5</v>
      </c>
      <c r="H44" s="20" t="s">
        <v>34</v>
      </c>
      <c r="I44" s="19">
        <v>6638</v>
      </c>
      <c r="J44" s="19">
        <v>37</v>
      </c>
      <c r="K44" s="19">
        <v>40</v>
      </c>
      <c r="L44" s="19">
        <v>0</v>
      </c>
      <c r="M44" s="19">
        <v>2</v>
      </c>
      <c r="N44" s="19">
        <v>9</v>
      </c>
      <c r="O44" s="19">
        <v>7</v>
      </c>
      <c r="P44" s="19">
        <v>0</v>
      </c>
      <c r="Q44" s="19">
        <f t="shared" si="3"/>
        <v>18</v>
      </c>
      <c r="R44" s="19">
        <v>29</v>
      </c>
      <c r="S44" s="19">
        <v>8</v>
      </c>
      <c r="T44" s="19">
        <v>8</v>
      </c>
    </row>
    <row r="45" spans="1:20" x14ac:dyDescent="0.25">
      <c r="A45" s="20" t="s">
        <v>126</v>
      </c>
      <c r="B45" s="18">
        <v>45467</v>
      </c>
      <c r="C45" s="19">
        <v>80</v>
      </c>
      <c r="D45" s="19">
        <v>8</v>
      </c>
      <c r="E45" s="20" t="s">
        <v>33</v>
      </c>
      <c r="F45" s="19">
        <f t="shared" si="2"/>
        <v>72</v>
      </c>
      <c r="G45" s="20" t="s">
        <v>5</v>
      </c>
      <c r="H45" s="20" t="s">
        <v>36</v>
      </c>
      <c r="I45" s="19">
        <v>6638</v>
      </c>
      <c r="J45" s="19">
        <v>42</v>
      </c>
      <c r="K45" s="19">
        <v>38</v>
      </c>
      <c r="L45" s="19">
        <v>0</v>
      </c>
      <c r="M45" s="19">
        <v>0</v>
      </c>
      <c r="N45" s="19">
        <v>11</v>
      </c>
      <c r="O45" s="19">
        <v>6</v>
      </c>
      <c r="P45" s="19">
        <v>1</v>
      </c>
      <c r="Q45" s="19">
        <f t="shared" si="3"/>
        <v>18</v>
      </c>
      <c r="R45" s="19">
        <v>33</v>
      </c>
      <c r="S45" s="19">
        <v>6</v>
      </c>
      <c r="T45" s="19">
        <v>9</v>
      </c>
    </row>
    <row r="46" spans="1:20" x14ac:dyDescent="0.25">
      <c r="A46" s="20" t="s">
        <v>126</v>
      </c>
      <c r="B46" s="18">
        <v>45466</v>
      </c>
      <c r="C46" s="19">
        <v>81</v>
      </c>
      <c r="D46" s="19">
        <v>11</v>
      </c>
      <c r="E46" s="20" t="s">
        <v>33</v>
      </c>
      <c r="F46" s="19">
        <f t="shared" si="2"/>
        <v>70</v>
      </c>
      <c r="G46" s="20" t="s">
        <v>10</v>
      </c>
      <c r="H46" s="20" t="s">
        <v>36</v>
      </c>
      <c r="I46" s="19">
        <v>6555</v>
      </c>
      <c r="J46" s="19">
        <v>42</v>
      </c>
      <c r="K46" s="19">
        <v>39</v>
      </c>
      <c r="L46" s="19">
        <v>0</v>
      </c>
      <c r="M46" s="19">
        <v>0</v>
      </c>
      <c r="N46" s="19">
        <v>8</v>
      </c>
      <c r="O46" s="19">
        <v>9</v>
      </c>
      <c r="P46" s="19">
        <v>1</v>
      </c>
      <c r="Q46" s="19">
        <f t="shared" si="3"/>
        <v>18</v>
      </c>
      <c r="R46" s="19">
        <v>30</v>
      </c>
      <c r="S46" s="19">
        <v>7</v>
      </c>
      <c r="T46" s="19">
        <v>4</v>
      </c>
    </row>
    <row r="47" spans="1:20" x14ac:dyDescent="0.25">
      <c r="A47" s="20" t="s">
        <v>126</v>
      </c>
      <c r="B47" s="18">
        <v>45465</v>
      </c>
      <c r="C47" s="19">
        <v>99</v>
      </c>
      <c r="D47" s="19">
        <v>27</v>
      </c>
      <c r="E47" s="51" t="s">
        <v>130</v>
      </c>
      <c r="F47" s="19">
        <f t="shared" si="2"/>
        <v>72</v>
      </c>
      <c r="G47" s="20" t="s">
        <v>12</v>
      </c>
      <c r="H47" s="51" t="s">
        <v>34</v>
      </c>
      <c r="I47" s="19">
        <v>6686</v>
      </c>
      <c r="J47" s="19">
        <v>48</v>
      </c>
      <c r="K47" s="19">
        <v>51</v>
      </c>
      <c r="L47" s="19">
        <v>0</v>
      </c>
      <c r="M47" s="19">
        <v>0</v>
      </c>
      <c r="N47" s="19">
        <v>3</v>
      </c>
      <c r="O47" s="19">
        <v>7</v>
      </c>
      <c r="P47" s="19">
        <v>8</v>
      </c>
      <c r="Q47" s="19">
        <f t="shared" si="3"/>
        <v>18</v>
      </c>
      <c r="R47" s="19">
        <v>33</v>
      </c>
      <c r="S47" s="19">
        <v>3</v>
      </c>
      <c r="T47" s="19">
        <v>2</v>
      </c>
    </row>
    <row r="48" spans="1:20" x14ac:dyDescent="0.25">
      <c r="A48" t="s">
        <v>130</v>
      </c>
      <c r="B48" s="52">
        <v>45465</v>
      </c>
      <c r="C48" s="53">
        <v>99</v>
      </c>
      <c r="D48" s="53">
        <v>27</v>
      </c>
      <c r="E48" s="51" t="s">
        <v>126</v>
      </c>
      <c r="F48" s="53">
        <f t="shared" si="2"/>
        <v>72</v>
      </c>
      <c r="G48" s="20" t="s">
        <v>12</v>
      </c>
      <c r="H48" s="51" t="s">
        <v>34</v>
      </c>
      <c r="I48" s="19">
        <v>6686</v>
      </c>
      <c r="J48" s="53">
        <v>48</v>
      </c>
      <c r="K48" s="53">
        <v>51</v>
      </c>
      <c r="L48" s="53">
        <v>0</v>
      </c>
      <c r="M48" s="53">
        <v>0</v>
      </c>
      <c r="N48" s="53">
        <v>1</v>
      </c>
      <c r="O48" s="53">
        <v>9</v>
      </c>
      <c r="P48" s="53">
        <v>8</v>
      </c>
      <c r="Q48" s="53">
        <f t="shared" si="3"/>
        <v>18</v>
      </c>
      <c r="R48" s="53">
        <v>34</v>
      </c>
      <c r="S48" s="53">
        <v>0</v>
      </c>
      <c r="T48" s="53">
        <v>1</v>
      </c>
    </row>
    <row r="49" spans="1:20" x14ac:dyDescent="0.25">
      <c r="A49" s="20" t="s">
        <v>126</v>
      </c>
      <c r="B49" s="18">
        <v>45457</v>
      </c>
      <c r="C49" s="19">
        <v>44</v>
      </c>
      <c r="D49" s="19">
        <v>8</v>
      </c>
      <c r="E49" s="20" t="s">
        <v>37</v>
      </c>
      <c r="F49" s="19">
        <f t="shared" si="2"/>
        <v>36</v>
      </c>
      <c r="G49" s="20" t="s">
        <v>38</v>
      </c>
      <c r="H49" s="20" t="s">
        <v>34</v>
      </c>
      <c r="I49" s="19">
        <v>2896</v>
      </c>
      <c r="J49" s="19">
        <v>44</v>
      </c>
      <c r="K49" s="19"/>
      <c r="L49" s="19">
        <v>0</v>
      </c>
      <c r="M49" s="19">
        <v>0</v>
      </c>
      <c r="N49" s="19">
        <v>2</v>
      </c>
      <c r="O49" s="19">
        <v>6</v>
      </c>
      <c r="P49" s="19">
        <v>1</v>
      </c>
      <c r="Q49" s="19">
        <f t="shared" si="3"/>
        <v>9</v>
      </c>
      <c r="R49" s="19">
        <v>16</v>
      </c>
      <c r="S49" s="19">
        <v>5</v>
      </c>
      <c r="T49" s="19">
        <v>1</v>
      </c>
    </row>
    <row r="50" spans="1:20" x14ac:dyDescent="0.25">
      <c r="A50" s="20" t="s">
        <v>126</v>
      </c>
      <c r="B50" s="18">
        <v>45454</v>
      </c>
      <c r="C50" s="19">
        <v>47</v>
      </c>
      <c r="D50" s="19">
        <v>11</v>
      </c>
      <c r="E50" s="78" t="s">
        <v>130</v>
      </c>
      <c r="F50" s="19">
        <f t="shared" si="2"/>
        <v>36</v>
      </c>
      <c r="G50" s="20" t="s">
        <v>5</v>
      </c>
      <c r="H50" s="20" t="s">
        <v>34</v>
      </c>
      <c r="I50" s="19">
        <v>6638</v>
      </c>
      <c r="J50" s="19">
        <v>47</v>
      </c>
      <c r="K50" s="19"/>
      <c r="L50" s="19">
        <v>0</v>
      </c>
      <c r="M50" s="19">
        <v>0</v>
      </c>
      <c r="N50" s="19">
        <v>0</v>
      </c>
      <c r="O50" s="19">
        <v>7</v>
      </c>
      <c r="P50" s="19">
        <v>2</v>
      </c>
      <c r="Q50" s="19">
        <f t="shared" si="3"/>
        <v>9</v>
      </c>
      <c r="R50" s="19">
        <v>14</v>
      </c>
      <c r="S50" s="19">
        <v>1</v>
      </c>
      <c r="T50" s="19">
        <v>0</v>
      </c>
    </row>
    <row r="51" spans="1:20" x14ac:dyDescent="0.25">
      <c r="A51" s="20" t="s">
        <v>126</v>
      </c>
      <c r="B51" s="18">
        <v>45453</v>
      </c>
      <c r="C51" s="19">
        <v>95</v>
      </c>
      <c r="D51" s="19">
        <v>24</v>
      </c>
      <c r="E51" s="51" t="s">
        <v>127</v>
      </c>
      <c r="F51" s="19">
        <f t="shared" si="2"/>
        <v>71</v>
      </c>
      <c r="G51" s="20" t="s">
        <v>11</v>
      </c>
      <c r="H51" s="20" t="s">
        <v>34</v>
      </c>
      <c r="I51" s="19">
        <v>6311</v>
      </c>
      <c r="J51" s="19">
        <v>49</v>
      </c>
      <c r="K51" s="19">
        <v>46</v>
      </c>
      <c r="L51" s="19">
        <v>0</v>
      </c>
      <c r="M51" s="19">
        <v>0</v>
      </c>
      <c r="N51" s="19">
        <v>3</v>
      </c>
      <c r="O51" s="19">
        <v>7</v>
      </c>
      <c r="P51" s="19">
        <v>8</v>
      </c>
      <c r="Q51" s="19">
        <f t="shared" si="3"/>
        <v>18</v>
      </c>
      <c r="R51" s="19">
        <v>35</v>
      </c>
      <c r="S51" s="19">
        <v>5</v>
      </c>
      <c r="T51" s="19">
        <v>3</v>
      </c>
    </row>
    <row r="52" spans="1:20" x14ac:dyDescent="0.25">
      <c r="A52" s="43" t="s">
        <v>127</v>
      </c>
      <c r="B52" s="44">
        <v>45453</v>
      </c>
      <c r="C52" s="45">
        <v>109</v>
      </c>
      <c r="D52" s="45">
        <v>38</v>
      </c>
      <c r="E52" s="43" t="s">
        <v>126</v>
      </c>
      <c r="F52" s="45">
        <f t="shared" si="2"/>
        <v>71</v>
      </c>
      <c r="G52" s="43" t="s">
        <v>11</v>
      </c>
      <c r="H52" s="43" t="s">
        <v>34</v>
      </c>
      <c r="I52" s="45">
        <v>6311</v>
      </c>
      <c r="J52" s="45">
        <v>54</v>
      </c>
      <c r="K52" s="45">
        <v>55</v>
      </c>
      <c r="L52" s="45">
        <v>0</v>
      </c>
      <c r="M52" s="45">
        <v>0</v>
      </c>
      <c r="N52" s="45">
        <v>0</v>
      </c>
      <c r="O52" s="45">
        <v>6</v>
      </c>
      <c r="P52" s="45">
        <v>12</v>
      </c>
      <c r="Q52" s="45">
        <f t="shared" si="3"/>
        <v>18</v>
      </c>
      <c r="R52" s="45">
        <v>35</v>
      </c>
      <c r="S52" s="45">
        <v>0</v>
      </c>
      <c r="T52" s="45">
        <v>1</v>
      </c>
    </row>
    <row r="53" spans="1:20" x14ac:dyDescent="0.25">
      <c r="A53" s="20" t="s">
        <v>126</v>
      </c>
      <c r="B53" s="18">
        <v>45443</v>
      </c>
      <c r="C53" s="19">
        <v>88</v>
      </c>
      <c r="D53" s="19">
        <v>17</v>
      </c>
      <c r="E53" s="20" t="s">
        <v>33</v>
      </c>
      <c r="F53" s="19">
        <f t="shared" si="2"/>
        <v>71</v>
      </c>
      <c r="G53" s="20" t="s">
        <v>3</v>
      </c>
      <c r="H53" s="20" t="s">
        <v>34</v>
      </c>
      <c r="I53" s="19">
        <v>6378</v>
      </c>
      <c r="J53" s="19">
        <v>49</v>
      </c>
      <c r="K53" s="19">
        <v>39</v>
      </c>
      <c r="L53" s="19">
        <v>0</v>
      </c>
      <c r="M53" s="19">
        <v>1</v>
      </c>
      <c r="N53" s="19">
        <v>4</v>
      </c>
      <c r="O53" s="19">
        <v>9</v>
      </c>
      <c r="P53" s="19">
        <v>4</v>
      </c>
      <c r="Q53" s="19">
        <f t="shared" si="3"/>
        <v>18</v>
      </c>
      <c r="R53" s="19">
        <v>35</v>
      </c>
      <c r="S53" s="19">
        <v>4</v>
      </c>
      <c r="T53" s="19">
        <v>6</v>
      </c>
    </row>
    <row r="54" spans="1:20" x14ac:dyDescent="0.25">
      <c r="A54" s="20" t="s">
        <v>126</v>
      </c>
      <c r="B54" s="18">
        <v>45440</v>
      </c>
      <c r="C54" s="19">
        <v>88</v>
      </c>
      <c r="D54" s="19">
        <v>17</v>
      </c>
      <c r="E54" s="20" t="s">
        <v>33</v>
      </c>
      <c r="F54" s="19">
        <f t="shared" si="2"/>
        <v>71</v>
      </c>
      <c r="G54" s="20" t="s">
        <v>9</v>
      </c>
      <c r="H54" s="20" t="s">
        <v>34</v>
      </c>
      <c r="I54" s="19">
        <v>6288</v>
      </c>
      <c r="J54" s="19">
        <v>45</v>
      </c>
      <c r="K54" s="19">
        <v>43</v>
      </c>
      <c r="L54" s="19">
        <v>0</v>
      </c>
      <c r="M54" s="19">
        <v>0</v>
      </c>
      <c r="N54" s="19">
        <v>6</v>
      </c>
      <c r="O54" s="19">
        <v>7</v>
      </c>
      <c r="P54" s="19">
        <v>5</v>
      </c>
      <c r="Q54" s="19">
        <f t="shared" si="3"/>
        <v>18</v>
      </c>
      <c r="R54" s="19">
        <v>33</v>
      </c>
      <c r="S54" s="19">
        <v>8</v>
      </c>
      <c r="T54" s="19">
        <v>2</v>
      </c>
    </row>
    <row r="55" spans="1:20" x14ac:dyDescent="0.25">
      <c r="A55" s="20" t="s">
        <v>126</v>
      </c>
      <c r="B55" s="18">
        <v>45434</v>
      </c>
      <c r="C55" s="19">
        <v>89</v>
      </c>
      <c r="D55" s="19">
        <v>18</v>
      </c>
      <c r="E55" s="20" t="s">
        <v>33</v>
      </c>
      <c r="F55" s="19">
        <f t="shared" si="2"/>
        <v>71</v>
      </c>
      <c r="G55" s="20" t="s">
        <v>9</v>
      </c>
      <c r="H55" s="20" t="s">
        <v>34</v>
      </c>
      <c r="I55" s="19">
        <v>6288</v>
      </c>
      <c r="J55" s="19">
        <v>48</v>
      </c>
      <c r="K55" s="19">
        <v>41</v>
      </c>
      <c r="L55" s="19">
        <v>0</v>
      </c>
      <c r="M55" s="19">
        <v>0</v>
      </c>
      <c r="N55" s="19">
        <v>5</v>
      </c>
      <c r="O55" s="19">
        <v>9</v>
      </c>
      <c r="P55" s="19">
        <v>4</v>
      </c>
      <c r="Q55" s="19">
        <f t="shared" si="3"/>
        <v>18</v>
      </c>
      <c r="R55" s="19">
        <v>38</v>
      </c>
      <c r="S55" s="19">
        <v>3</v>
      </c>
      <c r="T55" s="19">
        <v>6</v>
      </c>
    </row>
    <row r="56" spans="1:20" x14ac:dyDescent="0.25">
      <c r="A56" s="20" t="s">
        <v>126</v>
      </c>
      <c r="B56" s="18">
        <v>45172</v>
      </c>
      <c r="C56" s="19">
        <v>87</v>
      </c>
      <c r="D56" s="19">
        <v>16</v>
      </c>
      <c r="E56" s="51" t="s">
        <v>130</v>
      </c>
      <c r="F56" s="19">
        <f t="shared" si="2"/>
        <v>71</v>
      </c>
      <c r="G56" s="20" t="s">
        <v>3</v>
      </c>
      <c r="H56" s="20" t="s">
        <v>34</v>
      </c>
      <c r="I56" s="19">
        <v>6378</v>
      </c>
      <c r="J56" s="19">
        <v>46</v>
      </c>
      <c r="K56" s="19">
        <v>41</v>
      </c>
      <c r="L56" s="19">
        <v>0</v>
      </c>
      <c r="M56" s="19">
        <v>1</v>
      </c>
      <c r="N56" s="19">
        <v>3</v>
      </c>
      <c r="O56" s="19">
        <v>11</v>
      </c>
      <c r="P56" s="19">
        <v>3</v>
      </c>
      <c r="Q56" s="19">
        <f t="shared" si="3"/>
        <v>18</v>
      </c>
      <c r="R56" s="19">
        <v>37</v>
      </c>
      <c r="S56" s="19">
        <v>8</v>
      </c>
      <c r="T56" s="19">
        <v>6</v>
      </c>
    </row>
    <row r="57" spans="1:20" x14ac:dyDescent="0.25">
      <c r="A57" s="51" t="s">
        <v>130</v>
      </c>
      <c r="B57" s="18">
        <v>45172</v>
      </c>
      <c r="C57" s="19">
        <v>82</v>
      </c>
      <c r="D57" s="19">
        <v>11</v>
      </c>
      <c r="E57" s="51" t="s">
        <v>126</v>
      </c>
      <c r="F57" s="19">
        <f t="shared" si="2"/>
        <v>71</v>
      </c>
      <c r="G57" s="20" t="s">
        <v>3</v>
      </c>
      <c r="H57" s="20" t="s">
        <v>34</v>
      </c>
      <c r="I57" s="19">
        <v>6378</v>
      </c>
      <c r="J57" s="53">
        <v>43</v>
      </c>
      <c r="K57" s="53">
        <v>39</v>
      </c>
      <c r="L57" s="53">
        <v>0</v>
      </c>
      <c r="M57" s="53">
        <v>1</v>
      </c>
      <c r="N57" s="53">
        <v>7</v>
      </c>
      <c r="O57" s="53">
        <v>8</v>
      </c>
      <c r="P57" s="53">
        <v>2</v>
      </c>
      <c r="Q57" s="53">
        <f t="shared" si="3"/>
        <v>18</v>
      </c>
      <c r="R57" s="53">
        <v>32</v>
      </c>
      <c r="S57" s="53">
        <v>5</v>
      </c>
      <c r="T57" s="53">
        <v>5</v>
      </c>
    </row>
    <row r="58" spans="1:20" x14ac:dyDescent="0.25">
      <c r="A58" s="20" t="s">
        <v>126</v>
      </c>
      <c r="B58" s="18">
        <v>45156</v>
      </c>
      <c r="C58" s="19">
        <v>91</v>
      </c>
      <c r="D58" s="19">
        <v>20</v>
      </c>
      <c r="E58" s="51" t="s">
        <v>132</v>
      </c>
      <c r="F58" s="19">
        <f t="shared" si="2"/>
        <v>71</v>
      </c>
      <c r="G58" s="20" t="s">
        <v>8</v>
      </c>
      <c r="H58" s="51" t="s">
        <v>36</v>
      </c>
      <c r="I58" s="19">
        <v>7025</v>
      </c>
      <c r="J58" s="19">
        <v>46</v>
      </c>
      <c r="K58" s="19">
        <v>45</v>
      </c>
      <c r="L58" s="19">
        <v>0</v>
      </c>
      <c r="M58" s="19">
        <v>0</v>
      </c>
      <c r="N58" s="19">
        <v>5</v>
      </c>
      <c r="O58" s="19">
        <v>8</v>
      </c>
      <c r="P58" s="19">
        <v>5</v>
      </c>
      <c r="Q58" s="19">
        <f t="shared" si="3"/>
        <v>18</v>
      </c>
      <c r="R58" s="19">
        <v>35</v>
      </c>
      <c r="S58" s="19">
        <v>6</v>
      </c>
      <c r="T58" s="19">
        <v>4</v>
      </c>
    </row>
    <row r="59" spans="1:20" x14ac:dyDescent="0.25">
      <c r="A59" s="51" t="s">
        <v>130</v>
      </c>
      <c r="B59" s="52">
        <v>45156</v>
      </c>
      <c r="C59" s="53">
        <v>89</v>
      </c>
      <c r="D59" s="53">
        <v>18</v>
      </c>
      <c r="E59" s="51" t="s">
        <v>131</v>
      </c>
      <c r="F59" s="53">
        <f t="shared" si="2"/>
        <v>71</v>
      </c>
      <c r="G59" s="51" t="s">
        <v>8</v>
      </c>
      <c r="H59" s="51" t="s">
        <v>36</v>
      </c>
      <c r="I59" s="53">
        <v>7025</v>
      </c>
      <c r="J59" s="53">
        <v>43</v>
      </c>
      <c r="K59" s="53">
        <v>46</v>
      </c>
      <c r="L59" s="53">
        <v>0</v>
      </c>
      <c r="M59" s="53">
        <v>0</v>
      </c>
      <c r="N59" s="53">
        <v>4</v>
      </c>
      <c r="O59" s="53">
        <v>10</v>
      </c>
      <c r="P59" s="53">
        <v>4</v>
      </c>
      <c r="Q59" s="53">
        <f t="shared" si="3"/>
        <v>18</v>
      </c>
      <c r="R59" s="53">
        <v>31</v>
      </c>
      <c r="S59" s="53"/>
      <c r="T59" s="53"/>
    </row>
    <row r="60" spans="1:20" x14ac:dyDescent="0.25">
      <c r="A60" s="20" t="s">
        <v>126</v>
      </c>
      <c r="B60" s="18">
        <v>45144</v>
      </c>
      <c r="C60" s="19">
        <v>99</v>
      </c>
      <c r="D60" s="19">
        <v>28</v>
      </c>
      <c r="E60" s="20" t="s">
        <v>33</v>
      </c>
      <c r="F60" s="19">
        <f t="shared" si="2"/>
        <v>71</v>
      </c>
      <c r="G60" s="20" t="s">
        <v>16</v>
      </c>
      <c r="H60" s="20" t="s">
        <v>36</v>
      </c>
      <c r="I60" s="19">
        <v>6707</v>
      </c>
      <c r="J60" s="19">
        <v>52</v>
      </c>
      <c r="K60" s="19">
        <v>47</v>
      </c>
      <c r="L60" s="19">
        <v>0</v>
      </c>
      <c r="M60" s="19">
        <v>0</v>
      </c>
      <c r="N60" s="19">
        <v>1</v>
      </c>
      <c r="O60" s="19">
        <v>9</v>
      </c>
      <c r="P60" s="19">
        <v>8</v>
      </c>
      <c r="Q60" s="19">
        <f t="shared" si="3"/>
        <v>18</v>
      </c>
      <c r="R60" s="19">
        <v>32</v>
      </c>
      <c r="S60" s="19">
        <v>8</v>
      </c>
      <c r="T60" s="19">
        <v>1</v>
      </c>
    </row>
    <row r="61" spans="1:20" x14ac:dyDescent="0.25">
      <c r="A61" s="20" t="s">
        <v>126</v>
      </c>
      <c r="B61" s="18">
        <v>45143</v>
      </c>
      <c r="C61" s="19">
        <v>88</v>
      </c>
      <c r="D61" s="19">
        <v>17</v>
      </c>
      <c r="E61" s="51" t="s">
        <v>130</v>
      </c>
      <c r="F61" s="19">
        <f t="shared" si="2"/>
        <v>71</v>
      </c>
      <c r="G61" s="20" t="s">
        <v>9</v>
      </c>
      <c r="H61" s="20" t="s">
        <v>34</v>
      </c>
      <c r="I61" s="19">
        <v>6288</v>
      </c>
      <c r="J61" s="19">
        <v>47</v>
      </c>
      <c r="K61" s="19">
        <v>41</v>
      </c>
      <c r="L61" s="19">
        <v>0</v>
      </c>
      <c r="M61" s="19">
        <v>0</v>
      </c>
      <c r="N61" s="19">
        <v>4</v>
      </c>
      <c r="O61" s="19">
        <v>11</v>
      </c>
      <c r="P61" s="19">
        <v>3</v>
      </c>
      <c r="Q61" s="19">
        <f t="shared" si="3"/>
        <v>18</v>
      </c>
      <c r="R61" s="19">
        <v>39</v>
      </c>
      <c r="S61" s="19">
        <v>6</v>
      </c>
      <c r="T61" s="19">
        <v>5</v>
      </c>
    </row>
    <row r="62" spans="1:20" x14ac:dyDescent="0.25">
      <c r="A62" s="20" t="s">
        <v>126</v>
      </c>
      <c r="B62" s="18">
        <v>45137</v>
      </c>
      <c r="C62" s="19">
        <v>87</v>
      </c>
      <c r="D62" s="19">
        <v>16</v>
      </c>
      <c r="E62" s="20" t="s">
        <v>33</v>
      </c>
      <c r="F62" s="19">
        <f t="shared" si="2"/>
        <v>71</v>
      </c>
      <c r="G62" s="20" t="s">
        <v>9</v>
      </c>
      <c r="H62" s="20" t="s">
        <v>34</v>
      </c>
      <c r="I62" s="19">
        <v>6288</v>
      </c>
      <c r="J62" s="19">
        <v>44</v>
      </c>
      <c r="K62" s="19">
        <v>43</v>
      </c>
      <c r="L62" s="19">
        <v>0</v>
      </c>
      <c r="M62" s="19">
        <v>2</v>
      </c>
      <c r="N62" s="19">
        <v>3</v>
      </c>
      <c r="O62" s="19">
        <v>8</v>
      </c>
      <c r="P62" s="19">
        <v>5</v>
      </c>
      <c r="Q62" s="19">
        <f t="shared" si="3"/>
        <v>18</v>
      </c>
      <c r="R62" s="19">
        <v>34</v>
      </c>
      <c r="S62" s="19">
        <v>4</v>
      </c>
      <c r="T62" s="19">
        <v>4</v>
      </c>
    </row>
    <row r="63" spans="1:20" x14ac:dyDescent="0.25">
      <c r="A63" s="20" t="s">
        <v>126</v>
      </c>
      <c r="B63" s="18">
        <v>45136</v>
      </c>
      <c r="C63" s="19">
        <v>90</v>
      </c>
      <c r="D63" s="19">
        <v>18</v>
      </c>
      <c r="E63" s="51" t="s">
        <v>130</v>
      </c>
      <c r="F63" s="19">
        <f t="shared" si="2"/>
        <v>72</v>
      </c>
      <c r="G63" s="20" t="s">
        <v>5</v>
      </c>
      <c r="H63" s="20" t="s">
        <v>34</v>
      </c>
      <c r="I63" s="19">
        <v>6638</v>
      </c>
      <c r="J63" s="19">
        <v>45</v>
      </c>
      <c r="K63" s="19">
        <v>45</v>
      </c>
      <c r="L63" s="19">
        <v>0</v>
      </c>
      <c r="M63" s="19">
        <v>1</v>
      </c>
      <c r="N63" s="19">
        <v>3</v>
      </c>
      <c r="O63" s="19">
        <v>9</v>
      </c>
      <c r="P63" s="19">
        <v>5</v>
      </c>
      <c r="Q63" s="19">
        <f t="shared" si="3"/>
        <v>18</v>
      </c>
      <c r="R63" s="19">
        <v>31</v>
      </c>
      <c r="S63" s="19">
        <v>7</v>
      </c>
      <c r="T63" s="19">
        <v>3</v>
      </c>
    </row>
    <row r="64" spans="1:20" x14ac:dyDescent="0.25">
      <c r="A64" s="20" t="s">
        <v>126</v>
      </c>
      <c r="B64" s="18">
        <v>45114</v>
      </c>
      <c r="C64" s="19">
        <v>90</v>
      </c>
      <c r="D64" s="19">
        <v>18</v>
      </c>
      <c r="E64" s="78" t="s">
        <v>130</v>
      </c>
      <c r="F64" s="19">
        <f t="shared" si="2"/>
        <v>72</v>
      </c>
      <c r="G64" s="20" t="s">
        <v>5</v>
      </c>
      <c r="H64" s="20" t="s">
        <v>34</v>
      </c>
      <c r="I64" s="19">
        <v>6638</v>
      </c>
      <c r="J64" s="19">
        <v>45</v>
      </c>
      <c r="K64" s="19">
        <v>45</v>
      </c>
      <c r="L64" s="19">
        <v>0</v>
      </c>
      <c r="M64" s="19">
        <v>0</v>
      </c>
      <c r="N64" s="19">
        <v>6</v>
      </c>
      <c r="O64" s="19">
        <v>6</v>
      </c>
      <c r="P64" s="19">
        <v>6</v>
      </c>
      <c r="Q64" s="19">
        <f t="shared" si="3"/>
        <v>18</v>
      </c>
      <c r="R64" s="19">
        <v>32</v>
      </c>
      <c r="S64" s="19">
        <v>3</v>
      </c>
      <c r="T64" s="19">
        <v>5</v>
      </c>
    </row>
    <row r="65" spans="1:20" x14ac:dyDescent="0.25">
      <c r="A65" s="20" t="s">
        <v>126</v>
      </c>
      <c r="B65" s="18">
        <v>45084</v>
      </c>
      <c r="C65" s="19">
        <v>91</v>
      </c>
      <c r="D65" s="19">
        <v>19</v>
      </c>
      <c r="E65" s="20" t="s">
        <v>33</v>
      </c>
      <c r="F65" s="19">
        <f t="shared" si="2"/>
        <v>72</v>
      </c>
      <c r="G65" s="20" t="s">
        <v>5</v>
      </c>
      <c r="H65" s="20" t="s">
        <v>34</v>
      </c>
      <c r="I65" s="19">
        <v>6638</v>
      </c>
      <c r="J65" s="19">
        <v>48</v>
      </c>
      <c r="K65" s="19">
        <v>43</v>
      </c>
      <c r="L65" s="19">
        <v>0</v>
      </c>
      <c r="M65" s="19">
        <v>0</v>
      </c>
      <c r="N65" s="19">
        <v>3</v>
      </c>
      <c r="O65" s="19">
        <v>11</v>
      </c>
      <c r="P65" s="19">
        <v>4</v>
      </c>
      <c r="Q65" s="19">
        <f t="shared" si="3"/>
        <v>18</v>
      </c>
      <c r="R65" s="19">
        <v>35</v>
      </c>
      <c r="S65" s="19">
        <v>6</v>
      </c>
      <c r="T65" s="19">
        <v>2</v>
      </c>
    </row>
    <row r="66" spans="1:20" x14ac:dyDescent="0.25">
      <c r="A66" s="20" t="s">
        <v>126</v>
      </c>
      <c r="B66" s="18">
        <v>45053</v>
      </c>
      <c r="C66" s="19">
        <v>92</v>
      </c>
      <c r="D66" s="19">
        <v>21</v>
      </c>
      <c r="E66" s="20" t="s">
        <v>33</v>
      </c>
      <c r="F66" s="19">
        <f t="shared" ref="F66:F71" si="4">C66-D66</f>
        <v>71</v>
      </c>
      <c r="G66" s="20" t="s">
        <v>3</v>
      </c>
      <c r="H66" s="20" t="s">
        <v>34</v>
      </c>
      <c r="I66" s="19">
        <v>6378</v>
      </c>
      <c r="J66" s="19">
        <v>43</v>
      </c>
      <c r="K66" s="19">
        <v>49</v>
      </c>
      <c r="L66" s="19">
        <v>0</v>
      </c>
      <c r="M66" s="19">
        <v>0</v>
      </c>
      <c r="N66" s="19">
        <v>4</v>
      </c>
      <c r="O66" s="19">
        <v>9</v>
      </c>
      <c r="P66" s="19">
        <v>5</v>
      </c>
      <c r="Q66" s="19">
        <f t="shared" ref="Q66:Q71" si="5">SUM(L66:P66)</f>
        <v>18</v>
      </c>
      <c r="R66" s="19">
        <v>37</v>
      </c>
      <c r="S66" s="19">
        <v>7</v>
      </c>
      <c r="T66" s="19">
        <v>4</v>
      </c>
    </row>
    <row r="67" spans="1:20" x14ac:dyDescent="0.25">
      <c r="A67" s="20" t="s">
        <v>126</v>
      </c>
      <c r="B67" s="18">
        <v>45053</v>
      </c>
      <c r="C67" s="19">
        <v>94</v>
      </c>
      <c r="D67" s="19">
        <v>23</v>
      </c>
      <c r="E67" s="20" t="s">
        <v>33</v>
      </c>
      <c r="F67" s="19">
        <f t="shared" si="4"/>
        <v>71</v>
      </c>
      <c r="G67" s="20" t="s">
        <v>9</v>
      </c>
      <c r="H67" s="20" t="s">
        <v>34</v>
      </c>
      <c r="I67" s="19">
        <v>6288</v>
      </c>
      <c r="J67" s="19">
        <v>49</v>
      </c>
      <c r="K67" s="19">
        <v>45</v>
      </c>
      <c r="L67" s="19">
        <v>0</v>
      </c>
      <c r="M67" s="19">
        <v>0</v>
      </c>
      <c r="N67" s="19">
        <v>4</v>
      </c>
      <c r="O67" s="19">
        <v>9</v>
      </c>
      <c r="P67" s="19">
        <v>5</v>
      </c>
      <c r="Q67" s="19">
        <f t="shared" si="5"/>
        <v>18</v>
      </c>
      <c r="R67" s="19">
        <v>33</v>
      </c>
      <c r="S67" s="19">
        <v>6</v>
      </c>
      <c r="T67" s="19">
        <v>2</v>
      </c>
    </row>
    <row r="68" spans="1:20" x14ac:dyDescent="0.25">
      <c r="A68" s="20" t="s">
        <v>126</v>
      </c>
      <c r="B68" s="18">
        <v>45050</v>
      </c>
      <c r="C68" s="19">
        <v>89</v>
      </c>
      <c r="D68" s="19">
        <v>18</v>
      </c>
      <c r="E68" s="78" t="s">
        <v>130</v>
      </c>
      <c r="F68" s="19">
        <f t="shared" si="4"/>
        <v>71</v>
      </c>
      <c r="G68" s="20" t="s">
        <v>3</v>
      </c>
      <c r="H68" s="20" t="s">
        <v>34</v>
      </c>
      <c r="I68" s="19">
        <v>6378</v>
      </c>
      <c r="J68" s="19">
        <v>48</v>
      </c>
      <c r="K68" s="19">
        <v>41</v>
      </c>
      <c r="L68" s="19">
        <v>0</v>
      </c>
      <c r="M68" s="19">
        <v>0</v>
      </c>
      <c r="N68" s="19">
        <v>5</v>
      </c>
      <c r="O68" s="19">
        <v>9</v>
      </c>
      <c r="P68" s="19">
        <v>4</v>
      </c>
      <c r="Q68" s="19">
        <f t="shared" si="5"/>
        <v>18</v>
      </c>
      <c r="R68" s="19">
        <v>35</v>
      </c>
      <c r="S68" s="19">
        <v>7</v>
      </c>
      <c r="T68" s="19">
        <v>4</v>
      </c>
    </row>
    <row r="69" spans="1:20" x14ac:dyDescent="0.25">
      <c r="A69" s="20" t="s">
        <v>126</v>
      </c>
      <c r="B69" s="18">
        <v>45048</v>
      </c>
      <c r="C69" s="19">
        <v>94</v>
      </c>
      <c r="D69" s="19">
        <v>22</v>
      </c>
      <c r="E69" s="20" t="s">
        <v>33</v>
      </c>
      <c r="F69" s="19">
        <f t="shared" si="4"/>
        <v>72</v>
      </c>
      <c r="G69" s="20" t="s">
        <v>5</v>
      </c>
      <c r="H69" s="20" t="s">
        <v>34</v>
      </c>
      <c r="I69" s="19">
        <v>6638</v>
      </c>
      <c r="J69" s="19">
        <v>45</v>
      </c>
      <c r="K69" s="19">
        <v>49</v>
      </c>
      <c r="L69" s="19">
        <v>0</v>
      </c>
      <c r="M69" s="19">
        <v>0</v>
      </c>
      <c r="N69" s="19">
        <v>5</v>
      </c>
      <c r="O69" s="19">
        <v>5</v>
      </c>
      <c r="P69" s="19">
        <v>8</v>
      </c>
      <c r="Q69" s="19">
        <f t="shared" si="5"/>
        <v>18</v>
      </c>
      <c r="R69" s="19">
        <v>36</v>
      </c>
      <c r="S69" s="19">
        <v>9</v>
      </c>
      <c r="T69" s="19">
        <v>3</v>
      </c>
    </row>
    <row r="70" spans="1:20" x14ac:dyDescent="0.25">
      <c r="A70" s="78" t="s">
        <v>130</v>
      </c>
      <c r="B70" s="79">
        <v>45136</v>
      </c>
      <c r="C70" s="80">
        <v>87</v>
      </c>
      <c r="D70" s="80">
        <v>15</v>
      </c>
      <c r="E70" s="78" t="s">
        <v>126</v>
      </c>
      <c r="F70" s="80">
        <f t="shared" si="4"/>
        <v>72</v>
      </c>
      <c r="G70" s="78" t="s">
        <v>5</v>
      </c>
      <c r="H70" s="20" t="s">
        <v>34</v>
      </c>
      <c r="I70" s="19">
        <v>6638</v>
      </c>
      <c r="J70" s="80">
        <v>43</v>
      </c>
      <c r="K70" s="80">
        <v>44</v>
      </c>
      <c r="L70" s="80">
        <v>0</v>
      </c>
      <c r="M70" s="80">
        <v>0</v>
      </c>
      <c r="N70" s="80">
        <v>8</v>
      </c>
      <c r="O70" s="80">
        <v>5</v>
      </c>
      <c r="P70" s="80">
        <v>5</v>
      </c>
      <c r="Q70" s="80">
        <f t="shared" si="5"/>
        <v>18</v>
      </c>
      <c r="R70" s="80">
        <v>34</v>
      </c>
      <c r="S70" s="80">
        <v>4</v>
      </c>
      <c r="T70" s="80">
        <v>6</v>
      </c>
    </row>
    <row r="71" spans="1:20" x14ac:dyDescent="0.25">
      <c r="A71" s="78" t="s">
        <v>130</v>
      </c>
      <c r="B71" s="79">
        <v>45143</v>
      </c>
      <c r="C71" s="80">
        <v>84</v>
      </c>
      <c r="D71" s="80">
        <v>13</v>
      </c>
      <c r="E71" s="78" t="s">
        <v>126</v>
      </c>
      <c r="F71" s="19">
        <f t="shared" si="4"/>
        <v>71</v>
      </c>
      <c r="G71" s="20" t="s">
        <v>9</v>
      </c>
      <c r="H71" s="20" t="s">
        <v>34</v>
      </c>
      <c r="I71" s="19">
        <v>6288</v>
      </c>
      <c r="J71" s="80">
        <v>40</v>
      </c>
      <c r="K71" s="80">
        <v>44</v>
      </c>
      <c r="L71" s="80">
        <v>0</v>
      </c>
      <c r="M71" s="80">
        <v>0</v>
      </c>
      <c r="N71" s="80">
        <v>7</v>
      </c>
      <c r="O71" s="80">
        <v>8</v>
      </c>
      <c r="P71" s="80">
        <v>3</v>
      </c>
      <c r="Q71" s="80">
        <f t="shared" si="5"/>
        <v>18</v>
      </c>
      <c r="R71" s="80">
        <v>38</v>
      </c>
      <c r="S71" s="80">
        <v>8</v>
      </c>
      <c r="T71" s="80">
        <v>4</v>
      </c>
    </row>
    <row r="72" spans="1:20" x14ac:dyDescent="0.25">
      <c r="A72" s="92" t="s">
        <v>126</v>
      </c>
      <c r="B72" s="93">
        <v>46160</v>
      </c>
      <c r="C72" s="94">
        <v>82</v>
      </c>
      <c r="D72" s="94">
        <v>10</v>
      </c>
      <c r="E72" s="92" t="s">
        <v>33</v>
      </c>
      <c r="F72" s="94">
        <f>C72-D72</f>
        <v>72</v>
      </c>
      <c r="G72" s="92" t="s">
        <v>5</v>
      </c>
      <c r="H72" s="92" t="s">
        <v>34</v>
      </c>
      <c r="I72" s="94">
        <v>6638</v>
      </c>
      <c r="J72" s="94">
        <v>36</v>
      </c>
      <c r="K72" s="94">
        <v>36</v>
      </c>
      <c r="L72" s="94">
        <v>0</v>
      </c>
      <c r="M72" s="94">
        <v>1</v>
      </c>
      <c r="N72" s="94">
        <v>7</v>
      </c>
      <c r="O72" s="94">
        <v>9</v>
      </c>
      <c r="P72" s="94">
        <v>1</v>
      </c>
      <c r="Q72" s="94">
        <f>SUM(L72:P72)</f>
        <v>18</v>
      </c>
      <c r="R72" s="94">
        <v>34</v>
      </c>
      <c r="S72" s="94">
        <v>5</v>
      </c>
      <c r="T72" s="94">
        <v>8</v>
      </c>
    </row>
    <row r="73" spans="1:20" x14ac:dyDescent="0.25">
      <c r="A73" s="107" t="s">
        <v>126</v>
      </c>
      <c r="B73" s="108">
        <v>46164</v>
      </c>
      <c r="C73" s="109">
        <v>89</v>
      </c>
      <c r="D73" s="109">
        <v>17</v>
      </c>
      <c r="E73" s="107" t="s">
        <v>39</v>
      </c>
      <c r="F73" s="109">
        <f>C73-D73</f>
        <v>72</v>
      </c>
      <c r="G73" s="107" t="s">
        <v>6</v>
      </c>
      <c r="H73" s="107" t="s">
        <v>36</v>
      </c>
      <c r="I73" s="109">
        <v>5835</v>
      </c>
      <c r="J73" s="109">
        <v>44</v>
      </c>
      <c r="K73" s="109">
        <v>45</v>
      </c>
      <c r="L73" s="109">
        <v>0</v>
      </c>
      <c r="M73" s="109">
        <v>0</v>
      </c>
      <c r="N73" s="109">
        <v>6</v>
      </c>
      <c r="O73" s="109">
        <v>7</v>
      </c>
      <c r="P73" s="109">
        <v>5</v>
      </c>
      <c r="Q73" s="109">
        <f>SUM(L73:P73)</f>
        <v>18</v>
      </c>
      <c r="R73" s="109">
        <v>31</v>
      </c>
      <c r="S73" s="109">
        <v>9</v>
      </c>
      <c r="T73" s="109">
        <v>2</v>
      </c>
    </row>
    <row r="74" spans="1:20" x14ac:dyDescent="0.25">
      <c r="A74" s="118" t="s">
        <v>127</v>
      </c>
      <c r="B74" s="119">
        <v>46185</v>
      </c>
      <c r="C74" s="120">
        <v>104</v>
      </c>
      <c r="D74" s="120">
        <v>32</v>
      </c>
      <c r="E74" s="118"/>
      <c r="F74" s="120">
        <f>C74-D74</f>
        <v>72</v>
      </c>
      <c r="G74" s="118" t="s">
        <v>145</v>
      </c>
      <c r="H74" s="118" t="s">
        <v>36</v>
      </c>
      <c r="I74" s="120">
        <v>6372</v>
      </c>
      <c r="J74" s="120">
        <v>55</v>
      </c>
      <c r="K74" s="120">
        <v>49</v>
      </c>
      <c r="L74" s="120">
        <v>0</v>
      </c>
      <c r="M74" s="120">
        <v>0</v>
      </c>
      <c r="N74" s="120">
        <v>2</v>
      </c>
      <c r="O74" s="120">
        <v>6</v>
      </c>
      <c r="P74" s="120">
        <v>10</v>
      </c>
      <c r="Q74" s="121">
        <f>SUM(L74:P74)</f>
        <v>18</v>
      </c>
      <c r="R74" s="120">
        <v>41</v>
      </c>
      <c r="S74" s="120">
        <v>4</v>
      </c>
      <c r="T74" s="120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20D2-B8BF-4B7B-9824-FC7377F1AA5D}">
  <sheetPr>
    <pageSetUpPr autoPageBreaks="0"/>
  </sheetPr>
  <dimension ref="A1:H90"/>
  <sheetViews>
    <sheetView topLeftCell="A52" workbookViewId="0">
      <selection activeCell="F72" sqref="F72"/>
    </sheetView>
  </sheetViews>
  <sheetFormatPr defaultRowHeight="15" x14ac:dyDescent="0.25"/>
  <cols>
    <col min="2" max="2" width="10.7109375" bestFit="1" customWidth="1"/>
    <col min="3" max="3" width="38.5703125" bestFit="1" customWidth="1"/>
    <col min="4" max="4" width="6.85546875" bestFit="1" customWidth="1"/>
    <col min="5" max="5" width="7.5703125" bestFit="1" customWidth="1"/>
    <col min="6" max="6" width="8.42578125" bestFit="1" customWidth="1"/>
    <col min="7" max="7" width="7.5703125" bestFit="1" customWidth="1"/>
    <col min="8" max="8" width="12.5703125" bestFit="1" customWidth="1"/>
  </cols>
  <sheetData>
    <row r="1" spans="1:8" ht="14.45" customHeight="1" thickBot="1" x14ac:dyDescent="0.3">
      <c r="A1" s="20" t="s">
        <v>125</v>
      </c>
      <c r="B1" s="21" t="s">
        <v>19</v>
      </c>
      <c r="C1" s="21" t="s">
        <v>24</v>
      </c>
      <c r="D1" s="21" t="s">
        <v>25</v>
      </c>
      <c r="E1" s="21" t="s">
        <v>20</v>
      </c>
      <c r="F1" s="21" t="s">
        <v>42</v>
      </c>
      <c r="G1" s="21" t="s">
        <v>43</v>
      </c>
      <c r="H1" s="21" t="s">
        <v>44</v>
      </c>
    </row>
    <row r="2" spans="1:8" ht="14.45" customHeight="1" x14ac:dyDescent="0.25">
      <c r="A2" s="20" t="s">
        <v>126</v>
      </c>
      <c r="B2" s="97">
        <v>45475</v>
      </c>
      <c r="C2" s="99" t="s">
        <v>5</v>
      </c>
      <c r="D2" s="99" t="s">
        <v>34</v>
      </c>
      <c r="E2" s="99">
        <v>77</v>
      </c>
      <c r="F2" s="99" cm="1">
        <f t="array" ref="F2">INDEX(CourseRatings[Rating], MATCH(1, (CourseRatings[Course]=C2)*(CourseRatings[Tees]=D2), 0))</f>
        <v>72.3</v>
      </c>
      <c r="G2" s="99" cm="1">
        <f t="array" ref="G2">INDEX(CourseRatings[Slope], MATCH(1, (CourseRatings[Course]=C2)*(CourseRatings[Tees]=D2), 0))</f>
        <v>130</v>
      </c>
      <c r="H2" s="99">
        <f t="shared" ref="H2:H33" si="0">(E2-F2)*113/G2</f>
        <v>4.0853846153846183</v>
      </c>
    </row>
    <row r="3" spans="1:8" x14ac:dyDescent="0.25">
      <c r="A3" s="20" t="s">
        <v>126</v>
      </c>
      <c r="B3" s="22">
        <v>45480</v>
      </c>
      <c r="C3" s="23" t="s">
        <v>10</v>
      </c>
      <c r="D3" s="23" t="s">
        <v>34</v>
      </c>
      <c r="E3" s="23">
        <v>80</v>
      </c>
      <c r="F3" s="23" cm="1">
        <f t="array" ref="F3">INDEX(CourseRatings[Rating], MATCH(1, (CourseRatings[Course]=C3)*(CourseRatings[Tees]=D3), 0))</f>
        <v>74.400000000000006</v>
      </c>
      <c r="G3" s="23" cm="1">
        <f t="array" ref="G3">INDEX(CourseRatings[Slope], MATCH(1, (CourseRatings[Course]=C3)*(CourseRatings[Tees]=D3), 0))</f>
        <v>133</v>
      </c>
      <c r="H3" s="23">
        <f t="shared" si="0"/>
        <v>4.7578947368421005</v>
      </c>
    </row>
    <row r="4" spans="1:8" x14ac:dyDescent="0.25">
      <c r="A4" s="20" t="s">
        <v>126</v>
      </c>
      <c r="B4" s="22">
        <v>45831</v>
      </c>
      <c r="C4" s="23" t="s">
        <v>5</v>
      </c>
      <c r="D4" s="23" t="s">
        <v>34</v>
      </c>
      <c r="E4" s="23">
        <v>78</v>
      </c>
      <c r="F4" s="23" cm="1">
        <f t="array" ref="F4">INDEX(CourseRatings[Rating], MATCH(1, (CourseRatings[Course]=C4)*(CourseRatings[Tees]=D4), 0))</f>
        <v>72.3</v>
      </c>
      <c r="G4" s="23" cm="1">
        <f t="array" ref="G4">INDEX(CourseRatings[Slope], MATCH(1, (CourseRatings[Course]=C4)*(CourseRatings[Tees]=D4), 0))</f>
        <v>130</v>
      </c>
      <c r="H4" s="23">
        <f t="shared" si="0"/>
        <v>4.9546153846153871</v>
      </c>
    </row>
    <row r="5" spans="1:8" x14ac:dyDescent="0.25">
      <c r="A5" s="20" t="s">
        <v>126</v>
      </c>
      <c r="B5" s="22">
        <v>45857</v>
      </c>
      <c r="C5" s="23" t="s">
        <v>3</v>
      </c>
      <c r="D5" s="23" t="s">
        <v>36</v>
      </c>
      <c r="E5" s="23">
        <v>75</v>
      </c>
      <c r="F5" s="23" cm="1">
        <f t="array" ref="F5">INDEX(CourseRatings[Rating], MATCH(1, (CourseRatings[Course]=C5)*(CourseRatings[Tees]=D5), 0))</f>
        <v>69.400000000000006</v>
      </c>
      <c r="G5" s="23" cm="1">
        <f t="array" ref="G5">INDEX(CourseRatings[Slope], MATCH(1, (CourseRatings[Course]=C5)*(CourseRatings[Tees]=D5), 0))</f>
        <v>125</v>
      </c>
      <c r="H5" s="23">
        <f t="shared" si="0"/>
        <v>5.0623999999999949</v>
      </c>
    </row>
    <row r="6" spans="1:8" x14ac:dyDescent="0.25">
      <c r="A6" s="20" t="s">
        <v>126</v>
      </c>
      <c r="B6" s="24">
        <v>45868</v>
      </c>
      <c r="C6" s="25" t="s">
        <v>10</v>
      </c>
      <c r="D6" s="25" t="s">
        <v>34</v>
      </c>
      <c r="E6" s="25">
        <v>81</v>
      </c>
      <c r="F6" s="25" cm="1">
        <f t="array" ref="F6">INDEX(CourseRatings[Rating], MATCH(1, (CourseRatings[Course]=C6)*(CourseRatings[Tees]=D6), 0))</f>
        <v>74.400000000000006</v>
      </c>
      <c r="G6" s="25" cm="1">
        <f t="array" ref="G6">INDEX(CourseRatings[Slope], MATCH(1, (CourseRatings[Course]=C6)*(CourseRatings[Tees]=D6), 0))</f>
        <v>133</v>
      </c>
      <c r="H6" s="25">
        <f t="shared" si="0"/>
        <v>5.6075187969924762</v>
      </c>
    </row>
    <row r="7" spans="1:8" x14ac:dyDescent="0.25">
      <c r="A7" s="20" t="s">
        <v>126</v>
      </c>
      <c r="B7" s="22">
        <v>45735</v>
      </c>
      <c r="C7" s="23" t="s">
        <v>3</v>
      </c>
      <c r="D7" s="23" t="s">
        <v>36</v>
      </c>
      <c r="E7" s="23">
        <v>76</v>
      </c>
      <c r="F7" s="23" cm="1">
        <f t="array" ref="F7">INDEX(CourseRatings[Rating], MATCH(1, (CourseRatings[Course]=C7)*(CourseRatings[Tees]=D7), 0))</f>
        <v>69.400000000000006</v>
      </c>
      <c r="G7" s="23" cm="1">
        <f t="array" ref="G7">INDEX(CourseRatings[Slope], MATCH(1, (CourseRatings[Course]=C7)*(CourseRatings[Tees]=D7), 0))</f>
        <v>125</v>
      </c>
      <c r="H7" s="23">
        <f t="shared" si="0"/>
        <v>5.9663999999999948</v>
      </c>
    </row>
    <row r="8" spans="1:8" x14ac:dyDescent="0.25">
      <c r="A8" s="20" t="s">
        <v>126</v>
      </c>
      <c r="B8" s="24">
        <v>45487</v>
      </c>
      <c r="C8" s="25" t="s">
        <v>3</v>
      </c>
      <c r="D8" s="25" t="s">
        <v>34</v>
      </c>
      <c r="E8" s="25">
        <v>78</v>
      </c>
      <c r="F8" s="25" cm="1">
        <f t="array" ref="F8">INDEX(CourseRatings[Rating], MATCH(1, (CourseRatings[Course]=C8)*(CourseRatings[Tees]=D8), 0))</f>
        <v>70.2</v>
      </c>
      <c r="G8" s="25" cm="1">
        <f t="array" ref="G8">INDEX(CourseRatings[Slope], MATCH(1, (CourseRatings[Course]=C8)*(CourseRatings[Tees]=D8), 0))</f>
        <v>129</v>
      </c>
      <c r="H8" s="25">
        <f t="shared" si="0"/>
        <v>6.8325581395348811</v>
      </c>
    </row>
    <row r="9" spans="1:8" x14ac:dyDescent="0.25">
      <c r="A9" s="20" t="s">
        <v>126</v>
      </c>
      <c r="B9" s="22">
        <v>45467</v>
      </c>
      <c r="C9" s="23" t="s">
        <v>5</v>
      </c>
      <c r="D9" s="23" t="s">
        <v>36</v>
      </c>
      <c r="E9" s="23">
        <v>80</v>
      </c>
      <c r="F9" s="23" cm="1">
        <f t="array" ref="F9">INDEX(CourseRatings[Rating], MATCH(1, (CourseRatings[Course]=C9)*(CourseRatings[Tees]=D9), 0))</f>
        <v>71.3</v>
      </c>
      <c r="G9" s="23" cm="1">
        <f t="array" ref="G9">INDEX(CourseRatings[Slope], MATCH(1, (CourseRatings[Course]=C9)*(CourseRatings[Tees]=D9), 0))</f>
        <v>127</v>
      </c>
      <c r="H9" s="23">
        <f t="shared" si="0"/>
        <v>7.7409448818897664</v>
      </c>
    </row>
    <row r="10" spans="1:8" x14ac:dyDescent="0.25">
      <c r="A10" s="20" t="s">
        <v>126</v>
      </c>
      <c r="B10" s="24">
        <v>45829</v>
      </c>
      <c r="C10" s="25" t="s">
        <v>6</v>
      </c>
      <c r="D10" s="25" t="s">
        <v>36</v>
      </c>
      <c r="E10" s="25">
        <v>76</v>
      </c>
      <c r="F10" s="25" cm="1">
        <f t="array" ref="F10">INDEX(CourseRatings[Rating], MATCH(1, (CourseRatings[Course]=C10)*(CourseRatings[Tees]=D10), 0))</f>
        <v>67.5</v>
      </c>
      <c r="G10" s="25" cm="1">
        <f t="array" ref="G10">INDEX(CourseRatings[Slope], MATCH(1, (CourseRatings[Course]=C10)*(CourseRatings[Tees]=D10), 0))</f>
        <v>121</v>
      </c>
      <c r="H10" s="25">
        <f t="shared" si="0"/>
        <v>7.9380165289256199</v>
      </c>
    </row>
    <row r="11" spans="1:8" x14ac:dyDescent="0.25">
      <c r="A11" s="20" t="s">
        <v>126</v>
      </c>
      <c r="B11" s="24">
        <v>45466</v>
      </c>
      <c r="C11" s="25" t="s">
        <v>10</v>
      </c>
      <c r="D11" s="25" t="s">
        <v>36</v>
      </c>
      <c r="E11" s="25">
        <v>81</v>
      </c>
      <c r="F11" s="25" cm="1">
        <f t="array" ref="F11">INDEX(CourseRatings[Rating], MATCH(1, (CourseRatings[Course]=C11)*(CourseRatings[Tees]=D11), 0))</f>
        <v>71.900000000000006</v>
      </c>
      <c r="G11" s="25" cm="1">
        <f t="array" ref="G11">INDEX(CourseRatings[Slope], MATCH(1, (CourseRatings[Course]=C11)*(CourseRatings[Tees]=D11), 0))</f>
        <v>127</v>
      </c>
      <c r="H11" s="25">
        <f t="shared" si="0"/>
        <v>8.0968503937007821</v>
      </c>
    </row>
    <row r="12" spans="1:8" x14ac:dyDescent="0.25">
      <c r="A12" s="92" t="s">
        <v>126</v>
      </c>
      <c r="B12" s="95">
        <v>46160</v>
      </c>
      <c r="C12" s="96" t="s">
        <v>5</v>
      </c>
      <c r="D12" s="96" t="s">
        <v>34</v>
      </c>
      <c r="E12" s="96">
        <v>82</v>
      </c>
      <c r="F12" s="96" cm="1">
        <f t="array" ref="F12">INDEX(CourseRatings[Rating], MATCH(1, (CourseRatings[Course]=C12)*(CourseRatings[Tees]=D12), 0))</f>
        <v>72.3</v>
      </c>
      <c r="G12" s="96" cm="1">
        <f t="array" ref="G12">INDEX(CourseRatings[Slope], MATCH(1, (CourseRatings[Course]=C12)*(CourseRatings[Tees]=D12), 0))</f>
        <v>130</v>
      </c>
      <c r="H12" s="96">
        <f t="shared" si="0"/>
        <v>8.4315384615384641</v>
      </c>
    </row>
    <row r="13" spans="1:8" x14ac:dyDescent="0.25">
      <c r="A13" s="20" t="s">
        <v>126</v>
      </c>
      <c r="B13" s="24">
        <v>45496</v>
      </c>
      <c r="C13" s="25" t="s">
        <v>6</v>
      </c>
      <c r="D13" s="25" t="s">
        <v>34</v>
      </c>
      <c r="E13" s="25">
        <v>79</v>
      </c>
      <c r="F13" s="25" cm="1">
        <f t="array" ref="F13">INDEX(CourseRatings[Rating], MATCH(1, (CourseRatings[Course]=C13)*(CourseRatings[Tees]=D13), 0))</f>
        <v>69.599999999999994</v>
      </c>
      <c r="G13" s="25" cm="1">
        <f t="array" ref="G13">INDEX(CourseRatings[Slope], MATCH(1, (CourseRatings[Course]=C13)*(CourseRatings[Tees]=D13), 0))</f>
        <v>125</v>
      </c>
      <c r="H13" s="25">
        <f t="shared" si="0"/>
        <v>8.4976000000000056</v>
      </c>
    </row>
    <row r="14" spans="1:8" x14ac:dyDescent="0.25">
      <c r="A14" s="20" t="s">
        <v>126</v>
      </c>
      <c r="B14" s="22">
        <v>45580</v>
      </c>
      <c r="C14" s="23" t="s">
        <v>7</v>
      </c>
      <c r="D14" s="23" t="s">
        <v>36</v>
      </c>
      <c r="E14" s="23">
        <v>83</v>
      </c>
      <c r="F14" s="23" cm="1">
        <f t="array" ref="F14">INDEX(CourseRatings[Rating], MATCH(1, (CourseRatings[Course]=C14)*(CourseRatings[Tees]=D14), 0))</f>
        <v>72.5</v>
      </c>
      <c r="G14" s="23" cm="1">
        <f t="array" ref="G14">INDEX(CourseRatings[Slope], MATCH(1, (CourseRatings[Course]=C14)*(CourseRatings[Tees]=D14), 0))</f>
        <v>137</v>
      </c>
      <c r="H14" s="23">
        <f t="shared" si="0"/>
        <v>8.6605839416058394</v>
      </c>
    </row>
    <row r="15" spans="1:8" x14ac:dyDescent="0.25">
      <c r="A15" s="20" t="s">
        <v>126</v>
      </c>
      <c r="B15" s="24">
        <v>45844</v>
      </c>
      <c r="C15" s="25" t="s">
        <v>3</v>
      </c>
      <c r="D15" s="25" t="s">
        <v>36</v>
      </c>
      <c r="E15" s="25">
        <v>79</v>
      </c>
      <c r="F15" s="25" cm="1">
        <f t="array" ref="F15">INDEX(CourseRatings[Rating], MATCH(1, (CourseRatings[Course]=C15)*(CourseRatings[Tees]=D15), 0))</f>
        <v>69.400000000000006</v>
      </c>
      <c r="G15" s="25" cm="1">
        <f t="array" ref="G15">INDEX(CourseRatings[Slope], MATCH(1, (CourseRatings[Course]=C15)*(CourseRatings[Tees]=D15), 0))</f>
        <v>125</v>
      </c>
      <c r="H15" s="25">
        <f t="shared" si="0"/>
        <v>8.6783999999999946</v>
      </c>
    </row>
    <row r="16" spans="1:8" x14ac:dyDescent="0.25">
      <c r="A16" s="20" t="s">
        <v>126</v>
      </c>
      <c r="B16" s="24">
        <v>45570</v>
      </c>
      <c r="C16" s="25" t="s">
        <v>3</v>
      </c>
      <c r="D16" s="25" t="s">
        <v>36</v>
      </c>
      <c r="E16" s="25">
        <v>79</v>
      </c>
      <c r="F16" s="25" cm="1">
        <f t="array" ref="F16">INDEX(CourseRatings[Rating], MATCH(1, (CourseRatings[Course]=C16)*(CourseRatings[Tees]=D16), 0))</f>
        <v>69.400000000000006</v>
      </c>
      <c r="G16" s="25" cm="1">
        <f t="array" ref="G16">INDEX(CourseRatings[Slope], MATCH(1, (CourseRatings[Course]=C16)*(CourseRatings[Tees]=D16), 0))</f>
        <v>125</v>
      </c>
      <c r="H16" s="25">
        <f t="shared" si="0"/>
        <v>8.6783999999999946</v>
      </c>
    </row>
    <row r="17" spans="1:8" x14ac:dyDescent="0.25">
      <c r="A17" s="20" t="s">
        <v>126</v>
      </c>
      <c r="B17" s="22">
        <v>45653</v>
      </c>
      <c r="C17" s="23" t="s">
        <v>2</v>
      </c>
      <c r="D17" s="23" t="s">
        <v>34</v>
      </c>
      <c r="E17" s="23">
        <v>80</v>
      </c>
      <c r="F17" s="23" cm="1">
        <f t="array" ref="F17">INDEX(CourseRatings[Rating], MATCH(1, (CourseRatings[Course]=C17)*(CourseRatings[Tees]=D17), 0))</f>
        <v>72.400000000000006</v>
      </c>
      <c r="G17" s="23" cm="1">
        <f t="array" ref="G17">INDEX(CourseRatings[Slope], MATCH(1, (CourseRatings[Course]=C17)*(CourseRatings[Tees]=D17), 0))</f>
        <v>97.2</v>
      </c>
      <c r="H17" s="23">
        <f t="shared" si="0"/>
        <v>8.8353909465020504</v>
      </c>
    </row>
    <row r="18" spans="1:8" x14ac:dyDescent="0.25">
      <c r="A18" s="51" t="s">
        <v>130</v>
      </c>
      <c r="B18" s="56">
        <v>45172</v>
      </c>
      <c r="C18" s="57" t="s">
        <v>3</v>
      </c>
      <c r="D18" s="57" t="s">
        <v>34</v>
      </c>
      <c r="E18" s="57">
        <v>82</v>
      </c>
      <c r="F18" s="57" cm="1">
        <f t="array" ref="F18">INDEX(CourseRatings[Rating], MATCH(1, (CourseRatings[Course]=C18)*(CourseRatings[Tees]=D18), 0))</f>
        <v>70.2</v>
      </c>
      <c r="G18" s="57" cm="1">
        <f t="array" ref="G18">INDEX(CourseRatings[Slope], MATCH(1, (CourseRatings[Course]=C18)*(CourseRatings[Tees]=D18), 0))</f>
        <v>129</v>
      </c>
      <c r="H18" s="57">
        <f t="shared" si="0"/>
        <v>10.336434108527129</v>
      </c>
    </row>
    <row r="19" spans="1:8" x14ac:dyDescent="0.25">
      <c r="A19" s="20" t="s">
        <v>126</v>
      </c>
      <c r="B19" s="22">
        <v>45502</v>
      </c>
      <c r="C19" s="23" t="s">
        <v>3</v>
      </c>
      <c r="D19" s="23" t="s">
        <v>34</v>
      </c>
      <c r="E19" s="23">
        <v>83</v>
      </c>
      <c r="F19" s="23" cm="1">
        <f t="array" ref="F19">INDEX(CourseRatings[Rating], MATCH(1, (CourseRatings[Course]=C19)*(CourseRatings[Tees]=D19), 0))</f>
        <v>70.2</v>
      </c>
      <c r="G19" s="23" cm="1">
        <f t="array" ref="G19">INDEX(CourseRatings[Slope], MATCH(1, (CourseRatings[Course]=C19)*(CourseRatings[Tees]=D19), 0))</f>
        <v>129</v>
      </c>
      <c r="H19" s="23">
        <f t="shared" si="0"/>
        <v>11.212403100775191</v>
      </c>
    </row>
    <row r="20" spans="1:8" x14ac:dyDescent="0.25">
      <c r="A20" s="20" t="s">
        <v>126</v>
      </c>
      <c r="B20" s="22">
        <v>45886</v>
      </c>
      <c r="C20" s="23" t="s">
        <v>41</v>
      </c>
      <c r="D20" s="23" t="s">
        <v>34</v>
      </c>
      <c r="E20" s="23">
        <v>83</v>
      </c>
      <c r="F20" s="23" cm="1">
        <f t="array" ref="F20">INDEX(CourseRatings[Rating], MATCH(1, (CourseRatings[Course]=C20)*(CourseRatings[Tees]=D20), 0))</f>
        <v>70.5</v>
      </c>
      <c r="G20" s="23" cm="1">
        <f t="array" ref="G20">INDEX(CourseRatings[Slope], MATCH(1, (CourseRatings[Course]=C20)*(CourseRatings[Tees]=D20), 0))</f>
        <v>125</v>
      </c>
      <c r="H20" s="23">
        <f t="shared" si="0"/>
        <v>11.3</v>
      </c>
    </row>
    <row r="21" spans="1:8" x14ac:dyDescent="0.25">
      <c r="A21" s="20" t="s">
        <v>126</v>
      </c>
      <c r="B21" s="22">
        <v>45492</v>
      </c>
      <c r="C21" s="23" t="s">
        <v>6</v>
      </c>
      <c r="D21" s="23" t="s">
        <v>34</v>
      </c>
      <c r="E21" s="23">
        <v>83</v>
      </c>
      <c r="F21" s="23" cm="1">
        <f t="array" ref="F21">INDEX(CourseRatings[Rating], MATCH(1, (CourseRatings[Course]=C21)*(CourseRatings[Tees]=D21), 0))</f>
        <v>69.599999999999994</v>
      </c>
      <c r="G21" s="23" cm="1">
        <f t="array" ref="G21">INDEX(CourseRatings[Slope], MATCH(1, (CourseRatings[Course]=C21)*(CourseRatings[Tees]=D21), 0))</f>
        <v>125</v>
      </c>
      <c r="H21" s="23">
        <f t="shared" si="0"/>
        <v>12.113600000000005</v>
      </c>
    </row>
    <row r="22" spans="1:8" x14ac:dyDescent="0.25">
      <c r="A22" s="20" t="s">
        <v>126</v>
      </c>
      <c r="B22" s="24">
        <v>45655</v>
      </c>
      <c r="C22" s="25" t="s">
        <v>4</v>
      </c>
      <c r="D22" s="25" t="s">
        <v>34</v>
      </c>
      <c r="E22" s="25">
        <v>85</v>
      </c>
      <c r="F22" s="25" cm="1">
        <f t="array" ref="F22">INDEX(CourseRatings[Rating], MATCH(1, (CourseRatings[Course]=C22)*(CourseRatings[Tees]=D22), 0))</f>
        <v>71.3</v>
      </c>
      <c r="G22" s="25" cm="1">
        <f t="array" ref="G22">INDEX(CourseRatings[Slope], MATCH(1, (CourseRatings[Course]=C22)*(CourseRatings[Tees]=D22), 0))</f>
        <v>127</v>
      </c>
      <c r="H22" s="25">
        <f t="shared" si="0"/>
        <v>12.189763779527562</v>
      </c>
    </row>
    <row r="23" spans="1:8" x14ac:dyDescent="0.25">
      <c r="A23" s="78" t="s">
        <v>130</v>
      </c>
      <c r="B23" s="81">
        <v>45136</v>
      </c>
      <c r="C23" s="82" t="s">
        <v>5</v>
      </c>
      <c r="D23" s="82" t="s">
        <v>34</v>
      </c>
      <c r="E23" s="82">
        <v>87</v>
      </c>
      <c r="F23" s="82" cm="1">
        <f t="array" ref="F23">INDEX(CourseRatings[Rating], MATCH(1, (CourseRatings[Course]=C23)*(CourseRatings[Tees]=D23), 0))</f>
        <v>72.3</v>
      </c>
      <c r="G23" s="82" cm="1">
        <f t="array" ref="G23">INDEX(CourseRatings[Slope], MATCH(1, (CourseRatings[Course]=C23)*(CourseRatings[Tees]=D23), 0))</f>
        <v>130</v>
      </c>
      <c r="H23" s="82">
        <f t="shared" si="0"/>
        <v>12.777692307692311</v>
      </c>
    </row>
    <row r="24" spans="1:8" x14ac:dyDescent="0.25">
      <c r="A24" s="20" t="s">
        <v>126</v>
      </c>
      <c r="B24" s="24">
        <v>45892</v>
      </c>
      <c r="C24" s="25" t="s">
        <v>41</v>
      </c>
      <c r="D24" s="25" t="s">
        <v>34</v>
      </c>
      <c r="E24" s="25">
        <v>85</v>
      </c>
      <c r="F24" s="25" cm="1">
        <f t="array" ref="F24">INDEX(CourseRatings[Rating], MATCH(1, (CourseRatings[Course]=C24)*(CourseRatings[Tees]=D24), 0))</f>
        <v>70.5</v>
      </c>
      <c r="G24" s="25" cm="1">
        <f t="array" ref="G24">INDEX(CourseRatings[Slope], MATCH(1, (CourseRatings[Course]=C24)*(CourseRatings[Tees]=D24), 0))</f>
        <v>125</v>
      </c>
      <c r="H24" s="25">
        <f t="shared" si="0"/>
        <v>13.108000000000001</v>
      </c>
    </row>
    <row r="25" spans="1:8" x14ac:dyDescent="0.25">
      <c r="A25" s="51" t="s">
        <v>130</v>
      </c>
      <c r="B25" s="56">
        <v>45857</v>
      </c>
      <c r="C25" s="57" t="s">
        <v>3</v>
      </c>
      <c r="D25" s="57" t="s">
        <v>36</v>
      </c>
      <c r="E25" s="57">
        <v>84</v>
      </c>
      <c r="F25" s="57" cm="1">
        <f t="array" ref="F25">INDEX(CourseRatings[Rating], MATCH(1, (CourseRatings[Course]=C25)*(CourseRatings[Tees]=D25), 0))</f>
        <v>69.400000000000006</v>
      </c>
      <c r="G25" s="57" cm="1">
        <f t="array" ref="G25">INDEX(CourseRatings[Slope], MATCH(1, (CourseRatings[Course]=C25)*(CourseRatings[Tees]=D25), 0))</f>
        <v>125</v>
      </c>
      <c r="H25" s="57">
        <f t="shared" si="0"/>
        <v>13.198399999999994</v>
      </c>
    </row>
    <row r="26" spans="1:8" x14ac:dyDescent="0.25">
      <c r="A26" s="78" t="s">
        <v>130</v>
      </c>
      <c r="B26" s="81">
        <v>45143</v>
      </c>
      <c r="C26" s="82" t="s">
        <v>9</v>
      </c>
      <c r="D26" s="82" t="s">
        <v>34</v>
      </c>
      <c r="E26" s="82">
        <v>84</v>
      </c>
      <c r="F26" s="82" cm="1">
        <f t="array" ref="F26">INDEX(CourseRatings[Rating], MATCH(1, (CourseRatings[Course]=C26)*(CourseRatings[Tees]=D26), 0))</f>
        <v>69.599999999999994</v>
      </c>
      <c r="G26" s="82" cm="1">
        <f t="array" ref="G26">INDEX(CourseRatings[Slope], MATCH(1, (CourseRatings[Course]=C26)*(CourseRatings[Tees]=D26), 0))</f>
        <v>120</v>
      </c>
      <c r="H26" s="82">
        <f t="shared" si="0"/>
        <v>13.560000000000006</v>
      </c>
    </row>
    <row r="27" spans="1:8" x14ac:dyDescent="0.25">
      <c r="A27" s="20" t="s">
        <v>126</v>
      </c>
      <c r="B27" s="24">
        <v>45514</v>
      </c>
      <c r="C27" s="25" t="s">
        <v>6</v>
      </c>
      <c r="D27" s="25" t="s">
        <v>34</v>
      </c>
      <c r="E27" s="25">
        <v>85</v>
      </c>
      <c r="F27" s="25" cm="1">
        <f t="array" ref="F27">INDEX(CourseRatings[Rating], MATCH(1, (CourseRatings[Course]=C27)*(CourseRatings[Tees]=D27), 0))</f>
        <v>69.599999999999994</v>
      </c>
      <c r="G27" s="25" cm="1">
        <f t="array" ref="G27">INDEX(CourseRatings[Slope], MATCH(1, (CourseRatings[Course]=C27)*(CourseRatings[Tees]=D27), 0))</f>
        <v>125</v>
      </c>
      <c r="H27" s="25">
        <f t="shared" si="0"/>
        <v>13.921600000000005</v>
      </c>
    </row>
    <row r="28" spans="1:8" x14ac:dyDescent="0.25">
      <c r="A28" s="51" t="s">
        <v>130</v>
      </c>
      <c r="B28" s="56">
        <v>45844</v>
      </c>
      <c r="C28" s="57" t="s">
        <v>3</v>
      </c>
      <c r="D28" s="57" t="s">
        <v>36</v>
      </c>
      <c r="E28" s="57">
        <v>85</v>
      </c>
      <c r="F28" s="57" cm="1">
        <f t="array" ref="F28">INDEX(CourseRatings[Rating], MATCH(1, (CourseRatings[Course]=C28)*(CourseRatings[Tees]=D28), 0))</f>
        <v>69.400000000000006</v>
      </c>
      <c r="G28" s="57" cm="1">
        <f t="array" ref="G28">INDEX(CourseRatings[Slope], MATCH(1, (CourseRatings[Course]=C28)*(CourseRatings[Tees]=D28), 0))</f>
        <v>125</v>
      </c>
      <c r="H28" s="57">
        <f t="shared" si="0"/>
        <v>14.102399999999994</v>
      </c>
    </row>
    <row r="29" spans="1:8" x14ac:dyDescent="0.25">
      <c r="A29" s="51" t="s">
        <v>130</v>
      </c>
      <c r="B29" s="56">
        <v>45829</v>
      </c>
      <c r="C29" s="57" t="s">
        <v>6</v>
      </c>
      <c r="D29" s="57" t="s">
        <v>36</v>
      </c>
      <c r="E29" s="57">
        <v>83</v>
      </c>
      <c r="F29" s="57" cm="1">
        <f t="array" ref="F29">INDEX(CourseRatings[Rating], MATCH(1, (CourseRatings[Course]=C29)*(CourseRatings[Tees]=D29), 0))</f>
        <v>67.5</v>
      </c>
      <c r="G29" s="57" cm="1">
        <f t="array" ref="G29">INDEX(CourseRatings[Slope], MATCH(1, (CourseRatings[Course]=C29)*(CourseRatings[Tees]=D29), 0))</f>
        <v>121</v>
      </c>
      <c r="H29" s="57">
        <f t="shared" si="0"/>
        <v>14.475206611570249</v>
      </c>
    </row>
    <row r="30" spans="1:8" x14ac:dyDescent="0.25">
      <c r="A30" s="20" t="s">
        <v>126</v>
      </c>
      <c r="B30" s="24">
        <v>45172</v>
      </c>
      <c r="C30" s="25" t="s">
        <v>3</v>
      </c>
      <c r="D30" s="25" t="s">
        <v>34</v>
      </c>
      <c r="E30" s="25">
        <v>87</v>
      </c>
      <c r="F30" s="25" cm="1">
        <f t="array" ref="F30">INDEX(CourseRatings[Rating], MATCH(1, (CourseRatings[Course]=C30)*(CourseRatings[Tees]=D30), 0))</f>
        <v>70.2</v>
      </c>
      <c r="G30" s="25" cm="1">
        <f t="array" ref="G30">INDEX(CourseRatings[Slope], MATCH(1, (CourseRatings[Course]=C30)*(CourseRatings[Tees]=D30), 0))</f>
        <v>129</v>
      </c>
      <c r="H30" s="25">
        <f t="shared" si="0"/>
        <v>14.716279069767438</v>
      </c>
    </row>
    <row r="31" spans="1:8" x14ac:dyDescent="0.25">
      <c r="A31" s="20" t="s">
        <v>126</v>
      </c>
      <c r="B31" s="22">
        <v>45136</v>
      </c>
      <c r="C31" s="23" t="s">
        <v>5</v>
      </c>
      <c r="D31" s="23" t="s">
        <v>34</v>
      </c>
      <c r="E31" s="23">
        <v>90</v>
      </c>
      <c r="F31" s="23" cm="1">
        <f t="array" ref="F31">INDEX(CourseRatings[Rating], MATCH(1, (CourseRatings[Course]=C31)*(CourseRatings[Tees]=D31), 0))</f>
        <v>72.3</v>
      </c>
      <c r="G31" s="23" cm="1">
        <f t="array" ref="G31">INDEX(CourseRatings[Slope], MATCH(1, (CourseRatings[Course]=C31)*(CourseRatings[Tees]=D31), 0))</f>
        <v>130</v>
      </c>
      <c r="H31" s="23">
        <f t="shared" si="0"/>
        <v>15.385384615384618</v>
      </c>
    </row>
    <row r="32" spans="1:8" x14ac:dyDescent="0.25">
      <c r="A32" s="20" t="s">
        <v>126</v>
      </c>
      <c r="B32" s="24">
        <v>45114</v>
      </c>
      <c r="C32" s="25" t="s">
        <v>5</v>
      </c>
      <c r="D32" s="25" t="s">
        <v>34</v>
      </c>
      <c r="E32" s="25">
        <v>90</v>
      </c>
      <c r="F32" s="25" cm="1">
        <f t="array" ref="F32">INDEX(CourseRatings[Rating], MATCH(1, (CourseRatings[Course]=C32)*(CourseRatings[Tees]=D32), 0))</f>
        <v>72.3</v>
      </c>
      <c r="G32" s="25" cm="1">
        <f t="array" ref="G32">INDEX(CourseRatings[Slope], MATCH(1, (CourseRatings[Course]=C32)*(CourseRatings[Tees]=D32), 0))</f>
        <v>130</v>
      </c>
      <c r="H32" s="25">
        <f t="shared" si="0"/>
        <v>15.385384615384618</v>
      </c>
    </row>
    <row r="33" spans="1:8" x14ac:dyDescent="0.25">
      <c r="A33" s="20" t="s">
        <v>126</v>
      </c>
      <c r="B33" s="22">
        <v>45443</v>
      </c>
      <c r="C33" s="23" t="s">
        <v>3</v>
      </c>
      <c r="D33" s="23" t="s">
        <v>34</v>
      </c>
      <c r="E33" s="23">
        <v>88</v>
      </c>
      <c r="F33" s="23" cm="1">
        <f t="array" ref="F33">INDEX(CourseRatings[Rating], MATCH(1, (CourseRatings[Course]=C33)*(CourseRatings[Tees]=D33), 0))</f>
        <v>70.2</v>
      </c>
      <c r="G33" s="23" cm="1">
        <f t="array" ref="G33">INDEX(CourseRatings[Slope], MATCH(1, (CourseRatings[Course]=C33)*(CourseRatings[Tees]=D33), 0))</f>
        <v>129</v>
      </c>
      <c r="H33" s="23">
        <f t="shared" si="0"/>
        <v>15.592248062015502</v>
      </c>
    </row>
    <row r="34" spans="1:8" x14ac:dyDescent="0.25">
      <c r="A34" s="51" t="s">
        <v>130</v>
      </c>
      <c r="B34" s="56">
        <v>45570</v>
      </c>
      <c r="C34" s="57" t="s">
        <v>3</v>
      </c>
      <c r="D34" s="57" t="s">
        <v>36</v>
      </c>
      <c r="E34" s="57">
        <v>87</v>
      </c>
      <c r="F34" s="57" cm="1">
        <f t="array" ref="F34">INDEX(CourseRatings[Rating], MATCH(1, (CourseRatings[Course]=C34)*(CourseRatings[Tees]=D34), 0))</f>
        <v>69.400000000000006</v>
      </c>
      <c r="G34" s="57" cm="1">
        <f t="array" ref="G34">INDEX(CourseRatings[Slope], MATCH(1, (CourseRatings[Course]=C34)*(CourseRatings[Tees]=D34), 0))</f>
        <v>125</v>
      </c>
      <c r="H34" s="57">
        <f t="shared" ref="H34:H65" si="1">(E34-F34)*113/G34</f>
        <v>15.910399999999994</v>
      </c>
    </row>
    <row r="35" spans="1:8" x14ac:dyDescent="0.25">
      <c r="A35" s="51" t="s">
        <v>130</v>
      </c>
      <c r="B35" s="56">
        <v>45156</v>
      </c>
      <c r="C35" s="57" t="s">
        <v>46</v>
      </c>
      <c r="D35" s="57" t="s">
        <v>36</v>
      </c>
      <c r="E35" s="57">
        <v>89</v>
      </c>
      <c r="F35" s="57" cm="1">
        <f t="array" ref="F35">INDEX(CourseRatings[Rating], MATCH(1, (CourseRatings[Course]=C35)*(CourseRatings[Tees]=D35), 0))</f>
        <v>71.3</v>
      </c>
      <c r="G35" s="57" cm="1">
        <f t="array" ref="G35">INDEX(CourseRatings[Slope], MATCH(1, (CourseRatings[Course]=C35)*(CourseRatings[Tees]=D35), 0))</f>
        <v>124</v>
      </c>
      <c r="H35" s="57">
        <f t="shared" si="1"/>
        <v>16.129838709677422</v>
      </c>
    </row>
    <row r="36" spans="1:8" x14ac:dyDescent="0.25">
      <c r="A36" s="20" t="s">
        <v>126</v>
      </c>
      <c r="B36" s="22">
        <v>45084</v>
      </c>
      <c r="C36" s="23" t="s">
        <v>5</v>
      </c>
      <c r="D36" s="23" t="s">
        <v>34</v>
      </c>
      <c r="E36" s="23">
        <v>91</v>
      </c>
      <c r="F36" s="23" cm="1">
        <f t="array" ref="F36">INDEX(CourseRatings[Rating], MATCH(1, (CourseRatings[Course]=C36)*(CourseRatings[Tees]=D36), 0))</f>
        <v>72.3</v>
      </c>
      <c r="G36" s="23" cm="1">
        <f t="array" ref="G36">INDEX(CourseRatings[Slope], MATCH(1, (CourseRatings[Course]=C36)*(CourseRatings[Tees]=D36), 0))</f>
        <v>130</v>
      </c>
      <c r="H36" s="23">
        <f t="shared" si="1"/>
        <v>16.254615384615388</v>
      </c>
    </row>
    <row r="37" spans="1:8" x14ac:dyDescent="0.25">
      <c r="A37" s="20" t="s">
        <v>126</v>
      </c>
      <c r="B37" s="24">
        <v>45137</v>
      </c>
      <c r="C37" s="25" t="s">
        <v>9</v>
      </c>
      <c r="D37" s="25" t="s">
        <v>34</v>
      </c>
      <c r="E37" s="25">
        <v>87</v>
      </c>
      <c r="F37" s="25" cm="1">
        <f t="array" ref="F37">INDEX(CourseRatings[Rating], MATCH(1, (CourseRatings[Course]=C37)*(CourseRatings[Tees]=D37), 0))</f>
        <v>69.599999999999994</v>
      </c>
      <c r="G37" s="25" cm="1">
        <f t="array" ref="G37">INDEX(CourseRatings[Slope], MATCH(1, (CourseRatings[Course]=C37)*(CourseRatings[Tees]=D37), 0))</f>
        <v>120</v>
      </c>
      <c r="H37" s="25">
        <f t="shared" si="1"/>
        <v>16.385000000000005</v>
      </c>
    </row>
    <row r="38" spans="1:8" x14ac:dyDescent="0.25">
      <c r="A38" s="51" t="s">
        <v>130</v>
      </c>
      <c r="B38" s="56">
        <v>45487</v>
      </c>
      <c r="C38" s="57" t="s">
        <v>3</v>
      </c>
      <c r="D38" s="57" t="s">
        <v>34</v>
      </c>
      <c r="E38" s="57">
        <v>89</v>
      </c>
      <c r="F38" s="57" cm="1">
        <f t="array" ref="F38">INDEX(CourseRatings[Rating], MATCH(1, (CourseRatings[Course]=C38)*(CourseRatings[Tees]=D38), 0))</f>
        <v>70.2</v>
      </c>
      <c r="G38" s="57" cm="1">
        <f t="array" ref="G38">INDEX(CourseRatings[Slope], MATCH(1, (CourseRatings[Course]=C38)*(CourseRatings[Tees]=D38), 0))</f>
        <v>129</v>
      </c>
      <c r="H38" s="57">
        <f t="shared" si="1"/>
        <v>16.468217054263562</v>
      </c>
    </row>
    <row r="39" spans="1:8" x14ac:dyDescent="0.25">
      <c r="A39" s="20" t="s">
        <v>126</v>
      </c>
      <c r="B39" s="24">
        <v>45050</v>
      </c>
      <c r="C39" s="25" t="s">
        <v>3</v>
      </c>
      <c r="D39" s="25" t="s">
        <v>34</v>
      </c>
      <c r="E39" s="25">
        <v>89</v>
      </c>
      <c r="F39" s="25" cm="1">
        <f t="array" ref="F39">INDEX(CourseRatings[Rating], MATCH(1, (CourseRatings[Course]=C39)*(CourseRatings[Tees]=D39), 0))</f>
        <v>70.2</v>
      </c>
      <c r="G39" s="25" cm="1">
        <f t="array" ref="G39">INDEX(CourseRatings[Slope], MATCH(1, (CourseRatings[Course]=C39)*(CourseRatings[Tees]=D39), 0))</f>
        <v>129</v>
      </c>
      <c r="H39" s="25">
        <f t="shared" si="1"/>
        <v>16.468217054263562</v>
      </c>
    </row>
    <row r="40" spans="1:8" x14ac:dyDescent="0.25">
      <c r="A40" s="20" t="s">
        <v>126</v>
      </c>
      <c r="B40" s="24">
        <v>45897</v>
      </c>
      <c r="C40" s="25" t="s">
        <v>41</v>
      </c>
      <c r="D40" s="25" t="s">
        <v>34</v>
      </c>
      <c r="E40" s="25">
        <v>89</v>
      </c>
      <c r="F40" s="25" cm="1">
        <f t="array" ref="F40">INDEX(CourseRatings[Rating], MATCH(1, (CourseRatings[Course]=C40)*(CourseRatings[Tees]=D40), 0))</f>
        <v>70.5</v>
      </c>
      <c r="G40" s="25" cm="1">
        <f t="array" ref="G40">INDEX(CourseRatings[Slope], MATCH(1, (CourseRatings[Course]=C40)*(CourseRatings[Tees]=D40), 0))</f>
        <v>125</v>
      </c>
      <c r="H40" s="25">
        <f t="shared" si="1"/>
        <v>16.724</v>
      </c>
    </row>
    <row r="41" spans="1:8" x14ac:dyDescent="0.25">
      <c r="A41" s="51" t="s">
        <v>130</v>
      </c>
      <c r="B41" s="59">
        <v>45886</v>
      </c>
      <c r="C41" s="57" t="s">
        <v>41</v>
      </c>
      <c r="D41" s="57" t="s">
        <v>34</v>
      </c>
      <c r="E41" s="57">
        <v>89</v>
      </c>
      <c r="F41" s="57" cm="1">
        <f t="array" ref="F41">INDEX(CourseRatings[Rating], MATCH(1, (CourseRatings[Course]=C41)*(CourseRatings[Tees]=D41), 0))</f>
        <v>70.5</v>
      </c>
      <c r="G41" s="57" cm="1">
        <f t="array" ref="G41">INDEX(CourseRatings[Slope], MATCH(1, (CourseRatings[Course]=C41)*(CourseRatings[Tees]=D41), 0))</f>
        <v>125</v>
      </c>
      <c r="H41" s="57">
        <f t="shared" si="1"/>
        <v>16.724</v>
      </c>
    </row>
    <row r="42" spans="1:8" x14ac:dyDescent="0.25">
      <c r="A42" s="20" t="s">
        <v>126</v>
      </c>
      <c r="B42" s="24">
        <v>45649</v>
      </c>
      <c r="C42" s="25" t="s">
        <v>14</v>
      </c>
      <c r="D42" s="25" t="s">
        <v>40</v>
      </c>
      <c r="E42" s="25">
        <v>88</v>
      </c>
      <c r="F42" s="25" cm="1">
        <f t="array" ref="F42">INDEX(CourseRatings[Rating], MATCH(1, (CourseRatings[Course]=C42)*(CourseRatings[Tees]=D42), 0))</f>
        <v>69.8</v>
      </c>
      <c r="G42" s="25" cm="1">
        <f t="array" ref="G42">INDEX(CourseRatings[Slope], MATCH(1, (CourseRatings[Course]=C42)*(CourseRatings[Tees]=D42), 0))</f>
        <v>122</v>
      </c>
      <c r="H42" s="25">
        <f t="shared" si="1"/>
        <v>16.857377049180332</v>
      </c>
    </row>
    <row r="43" spans="1:8" x14ac:dyDescent="0.25">
      <c r="A43" s="20" t="s">
        <v>126</v>
      </c>
      <c r="B43" s="98">
        <v>45440</v>
      </c>
      <c r="C43" s="100" t="s">
        <v>9</v>
      </c>
      <c r="D43" s="100" t="s">
        <v>34</v>
      </c>
      <c r="E43" s="100">
        <v>88</v>
      </c>
      <c r="F43" s="100" cm="1">
        <f t="array" ref="F43">INDEX(CourseRatings[Rating], MATCH(1, (CourseRatings[Course]=C43)*(CourseRatings[Tees]=D43), 0))</f>
        <v>69.599999999999994</v>
      </c>
      <c r="G43" s="100" cm="1">
        <f t="array" ref="G43">INDEX(CourseRatings[Slope], MATCH(1, (CourseRatings[Course]=C43)*(CourseRatings[Tees]=D43), 0))</f>
        <v>120</v>
      </c>
      <c r="H43" s="100">
        <f t="shared" si="1"/>
        <v>17.326666666666672</v>
      </c>
    </row>
    <row r="44" spans="1:8" x14ac:dyDescent="0.25">
      <c r="A44" s="20" t="s">
        <v>126</v>
      </c>
      <c r="B44" s="22">
        <v>45143</v>
      </c>
      <c r="C44" s="23" t="s">
        <v>9</v>
      </c>
      <c r="D44" s="23" t="s">
        <v>34</v>
      </c>
      <c r="E44" s="23">
        <v>88</v>
      </c>
      <c r="F44" s="23" cm="1">
        <f t="array" ref="F44">INDEX(CourseRatings[Rating], MATCH(1, (CourseRatings[Course]=C44)*(CourseRatings[Tees]=D44), 0))</f>
        <v>69.599999999999994</v>
      </c>
      <c r="G44" s="23" cm="1">
        <f t="array" ref="G44">INDEX(CourseRatings[Slope], MATCH(1, (CourseRatings[Course]=C44)*(CourseRatings[Tees]=D44), 0))</f>
        <v>120</v>
      </c>
      <c r="H44" s="23">
        <f t="shared" si="1"/>
        <v>17.326666666666672</v>
      </c>
    </row>
    <row r="45" spans="1:8" x14ac:dyDescent="0.25">
      <c r="A45" s="51" t="s">
        <v>130</v>
      </c>
      <c r="B45" s="56">
        <v>45655</v>
      </c>
      <c r="C45" s="57" t="s">
        <v>4</v>
      </c>
      <c r="D45" s="57" t="s">
        <v>34</v>
      </c>
      <c r="E45" s="57">
        <v>91</v>
      </c>
      <c r="F45" s="57" cm="1">
        <f t="array" ref="F45">INDEX(CourseRatings[Rating], MATCH(1, (CourseRatings[Course]=C45)*(CourseRatings[Tees]=D45), 0))</f>
        <v>71.3</v>
      </c>
      <c r="G45" s="57" cm="1">
        <f t="array" ref="G45">INDEX(CourseRatings[Slope], MATCH(1, (CourseRatings[Course]=C45)*(CourseRatings[Tees]=D45), 0))</f>
        <v>127</v>
      </c>
      <c r="H45" s="57">
        <f t="shared" si="1"/>
        <v>17.528346456692915</v>
      </c>
    </row>
    <row r="46" spans="1:8" x14ac:dyDescent="0.25">
      <c r="A46" s="20" t="s">
        <v>126</v>
      </c>
      <c r="B46" s="22">
        <v>45535</v>
      </c>
      <c r="C46" s="23" t="s">
        <v>9</v>
      </c>
      <c r="D46" s="23" t="s">
        <v>36</v>
      </c>
      <c r="E46" s="23">
        <v>87</v>
      </c>
      <c r="F46" s="23" cm="1">
        <f t="array" ref="F46">INDEX(CourseRatings[Rating], MATCH(1, (CourseRatings[Course]=C46)*(CourseRatings[Tees]=D46), 0))</f>
        <v>68.599999999999994</v>
      </c>
      <c r="G46" s="23" cm="1">
        <f t="array" ref="G46">INDEX(CourseRatings[Slope], MATCH(1, (CourseRatings[Course]=C46)*(CourseRatings[Tees]=D46), 0))</f>
        <v>118</v>
      </c>
      <c r="H46" s="23">
        <f t="shared" si="1"/>
        <v>17.620338983050853</v>
      </c>
    </row>
    <row r="47" spans="1:8" x14ac:dyDescent="0.25">
      <c r="A47" s="51" t="s">
        <v>130</v>
      </c>
      <c r="B47" s="56">
        <v>45535</v>
      </c>
      <c r="C47" s="57" t="s">
        <v>9</v>
      </c>
      <c r="D47" s="57" t="s">
        <v>36</v>
      </c>
      <c r="E47" s="57">
        <v>87</v>
      </c>
      <c r="F47" s="57" cm="1">
        <f t="array" ref="F47">INDEX(CourseRatings[Rating], MATCH(1, (CourseRatings[Course]=C47)*(CourseRatings[Tees]=D47), 0))</f>
        <v>68.599999999999994</v>
      </c>
      <c r="G47" s="57" cm="1">
        <f t="array" ref="G47">INDEX(CourseRatings[Slope], MATCH(1, (CourseRatings[Course]=C47)*(CourseRatings[Tees]=D47), 0))</f>
        <v>118</v>
      </c>
      <c r="H47" s="57">
        <f t="shared" si="1"/>
        <v>17.620338983050853</v>
      </c>
    </row>
    <row r="48" spans="1:8" x14ac:dyDescent="0.25">
      <c r="A48" s="51" t="s">
        <v>130</v>
      </c>
      <c r="B48" s="59">
        <v>45897</v>
      </c>
      <c r="C48" s="57" t="s">
        <v>41</v>
      </c>
      <c r="D48" s="57" t="s">
        <v>34</v>
      </c>
      <c r="E48" s="57">
        <v>90</v>
      </c>
      <c r="F48" s="57" cm="1">
        <f t="array" ref="F48">INDEX(CourseRatings[Rating], MATCH(1, (CourseRatings[Course]=C48)*(CourseRatings[Tees]=D48), 0))</f>
        <v>70.5</v>
      </c>
      <c r="G48" s="57" cm="1">
        <f t="array" ref="G48">INDEX(CourseRatings[Slope], MATCH(1, (CourseRatings[Course]=C48)*(CourseRatings[Tees]=D48), 0))</f>
        <v>125</v>
      </c>
      <c r="H48" s="57">
        <f t="shared" si="1"/>
        <v>17.628</v>
      </c>
    </row>
    <row r="49" spans="1:8" x14ac:dyDescent="0.25">
      <c r="A49" s="51" t="s">
        <v>130</v>
      </c>
      <c r="B49" s="56">
        <v>45892</v>
      </c>
      <c r="C49" s="57" t="s">
        <v>41</v>
      </c>
      <c r="D49" s="57" t="s">
        <v>34</v>
      </c>
      <c r="E49" s="57">
        <v>90</v>
      </c>
      <c r="F49" s="57" cm="1">
        <f t="array" ref="F49">INDEX(CourseRatings[Rating], MATCH(1, (CourseRatings[Course]=C49)*(CourseRatings[Tees]=D49), 0))</f>
        <v>70.5</v>
      </c>
      <c r="G49" s="57" cm="1">
        <f t="array" ref="G49">INDEX(CourseRatings[Slope], MATCH(1, (CourseRatings[Course]=C49)*(CourseRatings[Tees]=D49), 0))</f>
        <v>125</v>
      </c>
      <c r="H49" s="57">
        <f t="shared" si="1"/>
        <v>17.628</v>
      </c>
    </row>
    <row r="50" spans="1:8" x14ac:dyDescent="0.25">
      <c r="A50" s="20" t="s">
        <v>126</v>
      </c>
      <c r="B50" s="22">
        <v>45156</v>
      </c>
      <c r="C50" s="23" t="s">
        <v>46</v>
      </c>
      <c r="D50" s="23" t="s">
        <v>36</v>
      </c>
      <c r="E50" s="23">
        <v>91</v>
      </c>
      <c r="F50" s="23" cm="1">
        <f t="array" ref="F50">INDEX(CourseRatings[Rating], MATCH(1, (CourseRatings[Course]=C50)*(CourseRatings[Tees]=D50), 0))</f>
        <v>71.3</v>
      </c>
      <c r="G50" s="23" cm="1">
        <f t="array" ref="G50">INDEX(CourseRatings[Slope], MATCH(1, (CourseRatings[Course]=C50)*(CourseRatings[Tees]=D50), 0))</f>
        <v>124</v>
      </c>
      <c r="H50" s="23">
        <f t="shared" si="1"/>
        <v>17.952419354838714</v>
      </c>
    </row>
    <row r="51" spans="1:8" ht="15.95" customHeight="1" x14ac:dyDescent="0.25">
      <c r="A51" s="20" t="s">
        <v>126</v>
      </c>
      <c r="B51" s="22">
        <v>45434</v>
      </c>
      <c r="C51" s="23" t="s">
        <v>9</v>
      </c>
      <c r="D51" s="23" t="s">
        <v>34</v>
      </c>
      <c r="E51" s="23">
        <v>89</v>
      </c>
      <c r="F51" s="23" cm="1">
        <f t="array" ref="F51">INDEX(CourseRatings[Rating], MATCH(1, (CourseRatings[Course]=C51)*(CourseRatings[Tees]=D51), 0))</f>
        <v>69.599999999999994</v>
      </c>
      <c r="G51" s="23" cm="1">
        <f t="array" ref="G51">INDEX(CourseRatings[Slope], MATCH(1, (CourseRatings[Course]=C51)*(CourseRatings[Tees]=D51), 0))</f>
        <v>120</v>
      </c>
      <c r="H51" s="23">
        <f t="shared" si="1"/>
        <v>18.268333333333338</v>
      </c>
    </row>
    <row r="52" spans="1:8" ht="15.95" customHeight="1" x14ac:dyDescent="0.25">
      <c r="A52" s="51" t="s">
        <v>130</v>
      </c>
      <c r="B52" s="56">
        <v>45514</v>
      </c>
      <c r="C52" s="57" t="s">
        <v>6</v>
      </c>
      <c r="D52" s="57" t="s">
        <v>34</v>
      </c>
      <c r="E52" s="57">
        <v>90</v>
      </c>
      <c r="F52" s="57" cm="1">
        <f t="array" ref="F52">INDEX(CourseRatings[Rating], MATCH(1, (CourseRatings[Course]=C52)*(CourseRatings[Tees]=D52), 0))</f>
        <v>69.599999999999994</v>
      </c>
      <c r="G52" s="57" cm="1">
        <f t="array" ref="G52">INDEX(CourseRatings[Slope], MATCH(1, (CourseRatings[Course]=C52)*(CourseRatings[Tees]=D52), 0))</f>
        <v>125</v>
      </c>
      <c r="H52" s="57">
        <f t="shared" si="1"/>
        <v>18.441600000000005</v>
      </c>
    </row>
    <row r="53" spans="1:8" ht="15.95" customHeight="1" x14ac:dyDescent="0.25">
      <c r="A53" s="20" t="s">
        <v>126</v>
      </c>
      <c r="B53" s="24">
        <v>45144</v>
      </c>
      <c r="C53" s="25" t="s">
        <v>16</v>
      </c>
      <c r="D53" s="25" t="s">
        <v>36</v>
      </c>
      <c r="E53" s="25">
        <v>99</v>
      </c>
      <c r="F53" s="25" cm="1">
        <f t="array" ref="F53">INDEX(CourseRatings[Rating], MATCH(1, (CourseRatings[Course]=C53)*(CourseRatings[Tees]=D53), 0))</f>
        <v>74.599999999999994</v>
      </c>
      <c r="G53" s="25" cm="1">
        <f t="array" ref="G53">INDEX(CourseRatings[Slope], MATCH(1, (CourseRatings[Course]=C53)*(CourseRatings[Tees]=D53), 0))</f>
        <v>149</v>
      </c>
      <c r="H53" s="25">
        <f t="shared" si="1"/>
        <v>18.504697986577185</v>
      </c>
    </row>
    <row r="54" spans="1:8" ht="15.95" customHeight="1" x14ac:dyDescent="0.25">
      <c r="A54" s="20" t="s">
        <v>126</v>
      </c>
      <c r="B54" s="22">
        <v>45048</v>
      </c>
      <c r="C54" s="23" t="s">
        <v>5</v>
      </c>
      <c r="D54" s="23" t="s">
        <v>34</v>
      </c>
      <c r="E54" s="23">
        <v>94</v>
      </c>
      <c r="F54" s="23" cm="1">
        <f t="array" ref="F54">INDEX(CourseRatings[Rating], MATCH(1, (CourseRatings[Course]=C54)*(CourseRatings[Tees]=D54), 0))</f>
        <v>72.3</v>
      </c>
      <c r="G54" s="23" cm="1">
        <f t="array" ref="G54">INDEX(CourseRatings[Slope], MATCH(1, (CourseRatings[Course]=C54)*(CourseRatings[Tees]=D54), 0))</f>
        <v>130</v>
      </c>
      <c r="H54" s="23">
        <f t="shared" si="1"/>
        <v>18.862307692307695</v>
      </c>
    </row>
    <row r="55" spans="1:8" ht="15.95" customHeight="1" x14ac:dyDescent="0.25">
      <c r="A55" s="20" t="s">
        <v>126</v>
      </c>
      <c r="B55" s="24">
        <v>45053</v>
      </c>
      <c r="C55" s="25" t="s">
        <v>3</v>
      </c>
      <c r="D55" s="25" t="s">
        <v>34</v>
      </c>
      <c r="E55" s="25">
        <v>92</v>
      </c>
      <c r="F55" s="25" cm="1">
        <f t="array" ref="F55">INDEX(CourseRatings[Rating], MATCH(1, (CourseRatings[Course]=C55)*(CourseRatings[Tees]=D55), 0))</f>
        <v>70.2</v>
      </c>
      <c r="G55" s="25" cm="1">
        <f t="array" ref="G55">INDEX(CourseRatings[Slope], MATCH(1, (CourseRatings[Course]=C55)*(CourseRatings[Tees]=D55), 0))</f>
        <v>129</v>
      </c>
      <c r="H55" s="25">
        <f t="shared" si="1"/>
        <v>19.096124031007751</v>
      </c>
    </row>
    <row r="56" spans="1:8" ht="15.95" customHeight="1" x14ac:dyDescent="0.25">
      <c r="A56" s="68" t="s">
        <v>130</v>
      </c>
      <c r="B56" s="71">
        <v>45941</v>
      </c>
      <c r="C56" s="72" t="s">
        <v>12</v>
      </c>
      <c r="D56" s="72" t="s">
        <v>36</v>
      </c>
      <c r="E56" s="72">
        <v>91</v>
      </c>
      <c r="F56" s="72" cm="1">
        <f t="array" ref="F56">INDEX(CourseRatings[Rating], MATCH(1, (CourseRatings[Course]=C56)*(CourseRatings[Tees]=D56), 0))</f>
        <v>69.2</v>
      </c>
      <c r="G56" s="72" cm="1">
        <f t="array" ref="G56">INDEX(CourseRatings[Slope], MATCH(1, (CourseRatings[Course]=C56)*(CourseRatings[Tees]=D56), 0))</f>
        <v>127</v>
      </c>
      <c r="H56" s="72">
        <f t="shared" si="1"/>
        <v>19.396850393700785</v>
      </c>
    </row>
    <row r="57" spans="1:8" ht="15.95" customHeight="1" x14ac:dyDescent="0.25">
      <c r="A57" s="68" t="s">
        <v>126</v>
      </c>
      <c r="B57" s="71">
        <v>45941</v>
      </c>
      <c r="C57" s="72" t="s">
        <v>12</v>
      </c>
      <c r="D57" s="72" t="s">
        <v>36</v>
      </c>
      <c r="E57" s="72">
        <v>91</v>
      </c>
      <c r="F57" s="72" cm="1">
        <f t="array" ref="F57">INDEX(CourseRatings[Rating], MATCH(1, (CourseRatings[Course]=C57)*(CourseRatings[Tees]=D57), 0))</f>
        <v>69.2</v>
      </c>
      <c r="G57" s="72" cm="1">
        <f t="array" ref="G57">INDEX(CourseRatings[Slope], MATCH(1, (CourseRatings[Course]=C57)*(CourseRatings[Tees]=D57), 0))</f>
        <v>127</v>
      </c>
      <c r="H57" s="72">
        <f t="shared" si="1"/>
        <v>19.396850393700785</v>
      </c>
    </row>
    <row r="58" spans="1:8" ht="15.95" customHeight="1" x14ac:dyDescent="0.25">
      <c r="A58" s="51" t="s">
        <v>130</v>
      </c>
      <c r="B58" s="56">
        <v>45649</v>
      </c>
      <c r="C58" s="57" t="s">
        <v>14</v>
      </c>
      <c r="D58" s="57" t="s">
        <v>40</v>
      </c>
      <c r="E58" s="57">
        <v>91</v>
      </c>
      <c r="F58" s="57" cm="1">
        <f t="array" ref="F58">INDEX(CourseRatings[Rating], MATCH(1, (CourseRatings[Course]=C58)*(CourseRatings[Tees]=D58), 0))</f>
        <v>69.8</v>
      </c>
      <c r="G58" s="57" cm="1">
        <f t="array" ref="G58">INDEX(CourseRatings[Slope], MATCH(1, (CourseRatings[Course]=C58)*(CourseRatings[Tees]=D58), 0))</f>
        <v>122</v>
      </c>
      <c r="H58" s="57">
        <f t="shared" si="1"/>
        <v>19.636065573770495</v>
      </c>
    </row>
    <row r="59" spans="1:8" x14ac:dyDescent="0.25">
      <c r="A59" s="20" t="s">
        <v>126</v>
      </c>
      <c r="B59" s="22">
        <v>45894</v>
      </c>
      <c r="C59" s="23" t="s">
        <v>11</v>
      </c>
      <c r="D59" s="23" t="s">
        <v>34</v>
      </c>
      <c r="E59" s="23">
        <v>95</v>
      </c>
      <c r="F59" s="23" cm="1">
        <f t="array" ref="F59">INDEX(CourseRatings[Rating], MATCH(1, (CourseRatings[Course]=C59)*(CourseRatings[Tees]=D59), 0))</f>
        <v>69.5</v>
      </c>
      <c r="G59" s="23" cm="1">
        <f t="array" ref="G59">INDEX(CourseRatings[Slope], MATCH(1, (CourseRatings[Course]=C59)*(CourseRatings[Tees]=D59), 0))</f>
        <v>131</v>
      </c>
      <c r="H59" s="23">
        <f t="shared" si="1"/>
        <v>21.996183206106871</v>
      </c>
    </row>
    <row r="60" spans="1:8" x14ac:dyDescent="0.25">
      <c r="A60" s="20" t="s">
        <v>126</v>
      </c>
      <c r="B60" s="24">
        <v>45453</v>
      </c>
      <c r="C60" s="25" t="s">
        <v>11</v>
      </c>
      <c r="D60" s="25" t="s">
        <v>34</v>
      </c>
      <c r="E60" s="25">
        <v>95</v>
      </c>
      <c r="F60" s="25" cm="1">
        <f t="array" ref="F60">INDEX(CourseRatings[Rating], MATCH(1, (CourseRatings[Course]=C60)*(CourseRatings[Tees]=D60), 0))</f>
        <v>69.5</v>
      </c>
      <c r="G60" s="25" cm="1">
        <f t="array" ref="G60">INDEX(CourseRatings[Slope], MATCH(1, (CourseRatings[Course]=C60)*(CourseRatings[Tees]=D60), 0))</f>
        <v>131</v>
      </c>
      <c r="H60" s="25">
        <f t="shared" si="1"/>
        <v>21.996183206106871</v>
      </c>
    </row>
    <row r="61" spans="1:8" x14ac:dyDescent="0.25">
      <c r="A61" s="51" t="s">
        <v>130</v>
      </c>
      <c r="B61" s="56">
        <v>45653</v>
      </c>
      <c r="C61" s="23" t="s">
        <v>2</v>
      </c>
      <c r="D61" s="57" t="s">
        <v>34</v>
      </c>
      <c r="E61" s="57">
        <v>92</v>
      </c>
      <c r="F61" s="57" cm="1">
        <f t="array" ref="F61">INDEX(CourseRatings[Rating], MATCH(1, (CourseRatings[Course]=C61)*(CourseRatings[Tees]=D61), 0))</f>
        <v>72.400000000000006</v>
      </c>
      <c r="G61" s="57" cm="1">
        <f t="array" ref="G61">INDEX(CourseRatings[Slope], MATCH(1, (CourseRatings[Course]=C61)*(CourseRatings[Tees]=D61), 0))</f>
        <v>97.2</v>
      </c>
      <c r="H61" s="57">
        <f t="shared" si="1"/>
        <v>22.786008230452666</v>
      </c>
    </row>
    <row r="62" spans="1:8" x14ac:dyDescent="0.25">
      <c r="A62" s="20" t="s">
        <v>126</v>
      </c>
      <c r="B62" s="22">
        <v>45053</v>
      </c>
      <c r="C62" s="23" t="s">
        <v>9</v>
      </c>
      <c r="D62" s="23" t="s">
        <v>34</v>
      </c>
      <c r="E62" s="23">
        <v>94</v>
      </c>
      <c r="F62" s="23" cm="1">
        <f t="array" ref="F62">INDEX(CourseRatings[Rating], MATCH(1, (CourseRatings[Course]=C62)*(CourseRatings[Tees]=D62), 0))</f>
        <v>69.599999999999994</v>
      </c>
      <c r="G62" s="23" cm="1">
        <f t="array" ref="G62">INDEX(CourseRatings[Slope], MATCH(1, (CourseRatings[Course]=C62)*(CourseRatings[Tees]=D62), 0))</f>
        <v>120</v>
      </c>
      <c r="H62" s="23">
        <f t="shared" si="1"/>
        <v>22.976666666666674</v>
      </c>
    </row>
    <row r="63" spans="1:8" x14ac:dyDescent="0.25">
      <c r="A63" s="20" t="s">
        <v>126</v>
      </c>
      <c r="B63" s="22">
        <v>45465</v>
      </c>
      <c r="C63" s="23" t="s">
        <v>12</v>
      </c>
      <c r="D63" s="23" t="s">
        <v>34</v>
      </c>
      <c r="E63" s="23">
        <v>99</v>
      </c>
      <c r="F63" s="23" cm="1">
        <f t="array" ref="F63">INDEX(CourseRatings[Rating], MATCH(1, (CourseRatings[Course]=C63)*(CourseRatings[Tees]=D63), 0))</f>
        <v>71.3</v>
      </c>
      <c r="G63" s="23" cm="1">
        <f t="array" ref="G63">INDEX(CourseRatings[Slope], MATCH(1, (CourseRatings[Course]=C63)*(CourseRatings[Tees]=D63), 0))</f>
        <v>136</v>
      </c>
      <c r="H63" s="23">
        <f t="shared" si="1"/>
        <v>23.015441176470592</v>
      </c>
    </row>
    <row r="64" spans="1:8" x14ac:dyDescent="0.25">
      <c r="A64" s="51" t="s">
        <v>130</v>
      </c>
      <c r="B64" s="56">
        <v>45465</v>
      </c>
      <c r="C64" s="57" t="s">
        <v>12</v>
      </c>
      <c r="D64" s="57" t="s">
        <v>34</v>
      </c>
      <c r="E64" s="57">
        <v>99</v>
      </c>
      <c r="F64" s="57" cm="1">
        <f t="array" ref="F64">INDEX(CourseRatings[Rating], MATCH(1, (CourseRatings[Course]=C64)*(CourseRatings[Tees]=D64), 0))</f>
        <v>71.3</v>
      </c>
      <c r="G64" s="57" cm="1">
        <f t="array" ref="G64">INDEX(CourseRatings[Slope], MATCH(1, (CourseRatings[Course]=C64)*(CourseRatings[Tees]=D64), 0))</f>
        <v>136</v>
      </c>
      <c r="H64" s="57">
        <f t="shared" si="1"/>
        <v>23.015441176470592</v>
      </c>
    </row>
    <row r="65" spans="1:8" x14ac:dyDescent="0.25">
      <c r="A65" s="43" t="s">
        <v>127</v>
      </c>
      <c r="B65" s="46">
        <v>45520</v>
      </c>
      <c r="C65" s="47" t="s">
        <v>46</v>
      </c>
      <c r="D65" s="47" t="s">
        <v>36</v>
      </c>
      <c r="E65" s="47">
        <v>98</v>
      </c>
      <c r="F65" s="47" cm="1">
        <f t="array" ref="F65">INDEX(CourseRatings[Rating], MATCH(1, (CourseRatings[Course]=C65)*(CourseRatings[Tees]=D65), 0))</f>
        <v>71.3</v>
      </c>
      <c r="G65" s="47" cm="1">
        <f t="array" ref="G65">INDEX(CourseRatings[Slope], MATCH(1, (CourseRatings[Course]=C65)*(CourseRatings[Tees]=D65), 0))</f>
        <v>124</v>
      </c>
      <c r="H65" s="47">
        <f t="shared" si="1"/>
        <v>24.33145161290323</v>
      </c>
    </row>
    <row r="66" spans="1:8" x14ac:dyDescent="0.25">
      <c r="A66" s="43" t="s">
        <v>127</v>
      </c>
      <c r="B66" s="46">
        <v>45492</v>
      </c>
      <c r="C66" s="47" t="s">
        <v>6</v>
      </c>
      <c r="D66" s="47" t="s">
        <v>34</v>
      </c>
      <c r="E66" s="47">
        <v>104</v>
      </c>
      <c r="F66" s="47" cm="1">
        <f t="array" ref="F66">INDEX(CourseRatings[Rating], MATCH(1, (CourseRatings[Course]=C66)*(CourseRatings[Tees]=D66), 0))</f>
        <v>69.599999999999994</v>
      </c>
      <c r="G66" s="47" cm="1">
        <f t="array" ref="G66">INDEX(CourseRatings[Slope], MATCH(1, (CourseRatings[Course]=C66)*(CourseRatings[Tees]=D66), 0))</f>
        <v>125</v>
      </c>
      <c r="H66" s="47">
        <f t="shared" ref="H66:H70" si="2">(E66-F66)*113/G66</f>
        <v>31.097600000000007</v>
      </c>
    </row>
    <row r="67" spans="1:8" x14ac:dyDescent="0.25">
      <c r="A67" s="35" t="s">
        <v>127</v>
      </c>
      <c r="B67" s="41">
        <v>45853</v>
      </c>
      <c r="C67" s="42" t="s">
        <v>128</v>
      </c>
      <c r="D67" s="42" t="s">
        <v>36</v>
      </c>
      <c r="E67" s="42">
        <v>109</v>
      </c>
      <c r="F67" s="42" cm="1">
        <f t="array" ref="F67">INDEX(CourseRatings[Rating], MATCH(1, (CourseRatings[Course]=C67)*(CourseRatings[Tees]=D67), 0))</f>
        <v>70.400000000000006</v>
      </c>
      <c r="G67" s="42" cm="1">
        <f t="array" ref="G67">INDEX(CourseRatings[Slope], MATCH(1, (CourseRatings[Course]=C67)*(CourseRatings[Tees]=D67), 0))</f>
        <v>130</v>
      </c>
      <c r="H67" s="42">
        <f t="shared" si="2"/>
        <v>33.552307692307686</v>
      </c>
    </row>
    <row r="68" spans="1:8" x14ac:dyDescent="0.25">
      <c r="A68" s="43" t="s">
        <v>127</v>
      </c>
      <c r="B68" s="46">
        <v>45453</v>
      </c>
      <c r="C68" s="47" t="s">
        <v>11</v>
      </c>
      <c r="D68" s="47" t="s">
        <v>34</v>
      </c>
      <c r="E68" s="47">
        <v>109</v>
      </c>
      <c r="F68" s="47" cm="1">
        <f t="array" ref="F68">INDEX(CourseRatings[Rating], MATCH(1, (CourseRatings[Course]=C68)*(CourseRatings[Tees]=D68), 0))</f>
        <v>69.5</v>
      </c>
      <c r="G68" s="47" cm="1">
        <f t="array" ref="G68">INDEX(CourseRatings[Slope], MATCH(1, (CourseRatings[Course]=C68)*(CourseRatings[Tees]=D68), 0))</f>
        <v>131</v>
      </c>
      <c r="H68" s="47">
        <f t="shared" si="2"/>
        <v>34.072519083969468</v>
      </c>
    </row>
    <row r="69" spans="1:8" x14ac:dyDescent="0.25">
      <c r="A69" s="35" t="s">
        <v>127</v>
      </c>
      <c r="B69" s="41">
        <v>45765</v>
      </c>
      <c r="C69" s="42" t="s">
        <v>129</v>
      </c>
      <c r="D69" s="42" t="s">
        <v>36</v>
      </c>
      <c r="E69" s="42">
        <v>111</v>
      </c>
      <c r="F69" s="42" cm="1">
        <f t="array" ref="F69">INDEX(CourseRatings[Rating], MATCH(1, (CourseRatings[Course]=C69)*(CourseRatings[Tees]=D69), 0))</f>
        <v>70.5</v>
      </c>
      <c r="G69" s="42" cm="1">
        <f t="array" ref="G69">INDEX(CourseRatings[Slope], MATCH(1, (CourseRatings[Course]=C69)*(CourseRatings[Tees]=D69), 0))</f>
        <v>132</v>
      </c>
      <c r="H69" s="42">
        <f t="shared" si="2"/>
        <v>34.670454545454547</v>
      </c>
    </row>
    <row r="70" spans="1:8" x14ac:dyDescent="0.25">
      <c r="A70" s="20" t="s">
        <v>127</v>
      </c>
      <c r="B70" s="22">
        <v>45894</v>
      </c>
      <c r="C70" s="23" t="s">
        <v>11</v>
      </c>
      <c r="D70" s="23" t="s">
        <v>34</v>
      </c>
      <c r="E70" s="23">
        <v>112</v>
      </c>
      <c r="F70" s="23" cm="1">
        <f t="array" ref="F70">INDEX(CourseRatings[Rating], MATCH(1, (CourseRatings[Course]=C70)*(CourseRatings[Tees]=D70), 0))</f>
        <v>69.5</v>
      </c>
      <c r="G70" s="23" cm="1">
        <f t="array" ref="G70">INDEX(CourseRatings[Slope], MATCH(1, (CourseRatings[Course]=C70)*(CourseRatings[Tees]=D70), 0))</f>
        <v>131</v>
      </c>
      <c r="H70" s="23">
        <f t="shared" si="2"/>
        <v>36.660305343511453</v>
      </c>
    </row>
    <row r="71" spans="1:8" x14ac:dyDescent="0.25">
      <c r="A71" s="107" t="s">
        <v>126</v>
      </c>
      <c r="B71" s="110">
        <v>46164</v>
      </c>
      <c r="C71" s="111" t="s">
        <v>6</v>
      </c>
      <c r="D71" s="111" t="s">
        <v>36</v>
      </c>
      <c r="E71" s="111">
        <v>89</v>
      </c>
      <c r="F71" s="111" cm="1">
        <f t="array" ref="F71">INDEX(CourseRatings[Rating], MATCH(1, (CourseRatings[Course]=C71)*(CourseRatings[Tees]=D71), 0))</f>
        <v>67.5</v>
      </c>
      <c r="G71" s="111" cm="1">
        <f t="array" ref="G71">INDEX(CourseRatings[Slope], MATCH(1, (CourseRatings[Course]=C71)*(CourseRatings[Tees]=D71), 0))</f>
        <v>121</v>
      </c>
      <c r="H71" s="111">
        <f>(E71-F71)*113/G71</f>
        <v>20.078512396694215</v>
      </c>
    </row>
    <row r="72" spans="1:8" x14ac:dyDescent="0.25">
      <c r="A72" s="117" t="s">
        <v>127</v>
      </c>
      <c r="B72" s="122">
        <v>46185</v>
      </c>
      <c r="C72" s="123" t="s">
        <v>145</v>
      </c>
      <c r="D72" s="123" t="s">
        <v>36</v>
      </c>
      <c r="E72" s="123">
        <v>104</v>
      </c>
      <c r="F72" s="123" cm="1">
        <f t="array" ref="F72">INDEX(CourseRatings[Rating], MATCH(1, (CourseRatings[Course]=C72)*(CourseRatings[Tees]=D72), 0))</f>
        <v>70.7</v>
      </c>
      <c r="G72" s="123" cm="1">
        <f t="array" ref="G72">INDEX(CourseRatings[Slope], MATCH(1, (CourseRatings[Course]=C72)*(CourseRatings[Tees]=D72), 0))</f>
        <v>122</v>
      </c>
      <c r="H72" s="123">
        <f>(E72-F72)*113/G72</f>
        <v>30.843442622950818</v>
      </c>
    </row>
    <row r="73" spans="1:8" x14ac:dyDescent="0.25">
      <c r="A73" s="20"/>
      <c r="B73" s="27"/>
      <c r="C73" s="20"/>
      <c r="D73" s="20"/>
      <c r="E73" s="20"/>
      <c r="F73" s="20"/>
      <c r="G73" s="20"/>
      <c r="H73" s="20"/>
    </row>
    <row r="74" spans="1:8" x14ac:dyDescent="0.25">
      <c r="A74" s="68"/>
    </row>
    <row r="75" spans="1:8" x14ac:dyDescent="0.25">
      <c r="A75" s="68" t="s">
        <v>125</v>
      </c>
      <c r="B75" t="s">
        <v>19</v>
      </c>
      <c r="C75" t="s">
        <v>24</v>
      </c>
      <c r="D75" t="s">
        <v>25</v>
      </c>
      <c r="E75" t="s">
        <v>20</v>
      </c>
      <c r="F75" t="s">
        <v>42</v>
      </c>
      <c r="G75" t="s">
        <v>43</v>
      </c>
      <c r="H75" t="s">
        <v>44</v>
      </c>
    </row>
    <row r="76" spans="1:8" x14ac:dyDescent="0.25">
      <c r="A76" s="68" t="s">
        <v>126</v>
      </c>
      <c r="B76" s="2">
        <v>45457</v>
      </c>
      <c r="C76" s="12" t="s">
        <v>38</v>
      </c>
      <c r="D76" s="12" t="s">
        <v>34</v>
      </c>
      <c r="E76">
        <v>44</v>
      </c>
      <c r="F76" cm="1">
        <f t="array" ref="F76">INDEX(CourseRatings[Rating], MATCH(1, (CourseRatings[Course]=C76)*(CourseRatings[Tees]=D76), 0))</f>
        <v>33.9</v>
      </c>
      <c r="G76" cm="1">
        <f t="array" ref="G76">INDEX(CourseRatings[Slope], MATCH(1, (CourseRatings[Course]=C76)*(CourseRatings[Tees]=D76), 0))</f>
        <v>122</v>
      </c>
      <c r="H76">
        <f>(E76-F76)*113/G76</f>
        <v>9.3549180327868875</v>
      </c>
    </row>
    <row r="77" spans="1:8" x14ac:dyDescent="0.25">
      <c r="A77" s="68" t="s">
        <v>126</v>
      </c>
      <c r="B77" s="2">
        <v>45454</v>
      </c>
      <c r="C77" s="12" t="s">
        <v>5</v>
      </c>
      <c r="D77" s="12" t="s">
        <v>34</v>
      </c>
      <c r="E77">
        <v>47</v>
      </c>
      <c r="F77" cm="1">
        <f t="array" ref="F77">INDEX(CourseRatings[Rating], MATCH(1, (CourseRatings[Course]=C77)*(CourseRatings[Tees]=D77), 0))</f>
        <v>72.3</v>
      </c>
      <c r="G77" cm="1">
        <f t="array" ref="G77">INDEX(CourseRatings[Slope], MATCH(1, (CourseRatings[Course]=C77)*(CourseRatings[Tees]=D77), 0))</f>
        <v>130</v>
      </c>
      <c r="H77">
        <f>(E77-F77)*113/G77</f>
        <v>-21.991538461538457</v>
      </c>
    </row>
    <row r="78" spans="1:8" x14ac:dyDescent="0.25">
      <c r="D78" s="1"/>
    </row>
    <row r="79" spans="1:8" x14ac:dyDescent="0.25">
      <c r="D79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</sheetData>
  <phoneticPr fontId="2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AAA6-CAA2-4C2E-9902-F9CC0E0D5498}">
  <dimension ref="A1:Q1297"/>
  <sheetViews>
    <sheetView tabSelected="1" workbookViewId="0">
      <pane ySplit="1" topLeftCell="A1247" activePane="bottomLeft" state="frozen"/>
      <selection pane="bottomLeft" activeCell="I1259" sqref="I1259"/>
    </sheetView>
  </sheetViews>
  <sheetFormatPr defaultRowHeight="15" x14ac:dyDescent="0.25"/>
  <cols>
    <col min="2" max="2" width="10.7109375" style="2" bestFit="1" customWidth="1"/>
    <col min="3" max="3" width="41" bestFit="1" customWidth="1"/>
    <col min="4" max="4" width="18.140625" bestFit="1" customWidth="1"/>
    <col min="5" max="5" width="6.42578125" bestFit="1" customWidth="1"/>
    <col min="6" max="6" width="5.85546875" bestFit="1" customWidth="1"/>
    <col min="7" max="7" width="7.5703125" bestFit="1" customWidth="1"/>
    <col min="8" max="8" width="5.140625" bestFit="1" customWidth="1"/>
    <col min="9" max="9" width="8" bestFit="1" customWidth="1"/>
    <col min="10" max="10" width="9.140625" bestFit="1" customWidth="1"/>
    <col min="11" max="11" width="3.85546875" bestFit="1" customWidth="1"/>
    <col min="12" max="12" width="10.42578125" bestFit="1" customWidth="1"/>
    <col min="13" max="13" width="11.42578125" bestFit="1" customWidth="1"/>
    <col min="14" max="14" width="13.42578125" bestFit="1" customWidth="1"/>
    <col min="15" max="15" width="5.5703125" bestFit="1" customWidth="1"/>
    <col min="16" max="16" width="8.7109375" bestFit="1" customWidth="1"/>
    <col min="17" max="17" width="4" bestFit="1" customWidth="1"/>
  </cols>
  <sheetData>
    <row r="1" spans="1:17" x14ac:dyDescent="0.25">
      <c r="A1" s="20" t="s">
        <v>125</v>
      </c>
      <c r="B1" s="13" t="s">
        <v>19</v>
      </c>
      <c r="C1" s="12" t="s">
        <v>24</v>
      </c>
      <c r="D1" s="12" t="s">
        <v>65</v>
      </c>
      <c r="E1" s="12" t="s">
        <v>25</v>
      </c>
      <c r="F1" s="12" t="s">
        <v>20</v>
      </c>
      <c r="G1" s="12" t="s">
        <v>66</v>
      </c>
      <c r="H1" s="12" t="s">
        <v>67</v>
      </c>
      <c r="I1" s="12" t="s">
        <v>26</v>
      </c>
      <c r="J1" s="12" t="s">
        <v>45</v>
      </c>
      <c r="K1" s="12" t="s">
        <v>23</v>
      </c>
      <c r="L1" s="12" t="s">
        <v>68</v>
      </c>
      <c r="M1" s="12" t="s">
        <v>69</v>
      </c>
      <c r="N1" s="12" t="s">
        <v>70</v>
      </c>
      <c r="O1" s="12" t="s">
        <v>0</v>
      </c>
      <c r="P1" s="12" t="s">
        <v>31</v>
      </c>
      <c r="Q1" s="12" t="s">
        <v>1</v>
      </c>
    </row>
    <row r="2" spans="1:17" x14ac:dyDescent="0.25">
      <c r="A2" s="20" t="s">
        <v>126</v>
      </c>
      <c r="B2" s="2">
        <v>45735</v>
      </c>
      <c r="C2" t="s">
        <v>3</v>
      </c>
      <c r="D2" t="s">
        <v>3</v>
      </c>
      <c r="E2" s="12" t="s">
        <v>36</v>
      </c>
      <c r="F2">
        <v>76</v>
      </c>
      <c r="G2" t="s">
        <v>47</v>
      </c>
      <c r="H2" s="9">
        <f>VALUE(RIGHT(G2, LEN(G2) - 5))</f>
        <v>1</v>
      </c>
      <c r="I2" cm="1">
        <f t="array" ref="I2">IFERROR(INDEX(CourseYardages[[Hole 1]:[Hole 18]],
  MATCH(1, (CourseYardages[Course]=C2)*(CourseYardages[Tees]=E2), 0),
  MATCH(G2, CourseYardages[[#Headers],[Hole 1]:[Hole 18]], 0)
),"")</f>
        <v>345</v>
      </c>
      <c r="J2" cm="1">
        <f t="array" ref="J2">IFERROR(INDEX(CourseHandicap[[Hole 1]:[Hole 18]],
  MATCH(1, (CourseHandicap[Course]=C2)*(CourseHandicap[Tees]=E2), 0),
  MATCH(G2, CourseHandicap[[#Headers],[Hole 1]:[Hole 18]], 0)
),"")</f>
        <v>15</v>
      </c>
      <c r="K2" cm="1">
        <f t="array" ref="K2">IFERROR(INDEX(CourseRatings[[Hole 1]:[Hole 18]],
  MATCH(1, (CourseRatings[Course]=C2)*(CourseRatings[Tees]=E2), 0),
  MATCH(G2, CourseRatings[[#Headers],[Hole 1]:[Hole 18]], 0)
),"")</f>
        <v>4</v>
      </c>
      <c r="L2" cm="1">
        <f t="array" ref="L2">IFERROR(
  INDEX('Golf Log'!$E$2:$V$72,
    MATCH(1,
      ('Golf Log'!$A$2:$A$72=$A2)*
      ('Golf Log'!$B$2:$B$72=$B2)*
      ('Golf Log'!$C$2:$C$72=$C2),
    0),
    MATCH($G2,'Golf Log'!$E$1:$V$1,0)
  ),
"")</f>
        <v>4</v>
      </c>
      <c r="M2">
        <f>IFERROR(L2-K2,"")</f>
        <v>0</v>
      </c>
      <c r="N2" t="str">
        <f>IF(M2="","",(IF(M2=-2,"Eagle",IF(M2=-1,"Birdie",IF(M2=0,"Par",IF(M2=1,"Bogey",IF(M2=2,"Double Bogey",IF(M2=3,"Triple Bogey",IF(M2&gt;3,"Quad Bogey+")))))))))</f>
        <v>Par</v>
      </c>
      <c r="O2" cm="1">
        <f t="array" ref="O2">IFERROR(
  INDEX('Putt Log'!$E$2:$V$72,
    MATCH(1,
      ('Putt Log'!$A$2:$A$72=$A2)*
      ('Putt Log'!$B$2:$B$72=$B2)*
      ('Putt Log'!$C$2:$C$72=$C2),
    0),
    MATCH($G2,'Putt Log'!$E$1:$V$1,0)
  ),
"")</f>
        <v>1</v>
      </c>
      <c r="P2" cm="1">
        <f t="array" ref="P2">IF(K2=3,"",
  IFERROR(
    INDEX('Fairway Log'!$E$2:$V$72,
      MATCH(1,
        ('Fairway Log'!$A$2:$A$72=$A2)*
        ('Fairway Log'!$B$2:$B$72=$B2)*
        ('Fairway Log'!$C$2:$C72=$C2),
      0),
      MATCH($G2,'Fairway Log'!$E$1:$V$1,0)
    ),
  "")
)</f>
        <v>1</v>
      </c>
      <c r="Q2" t="str" cm="1">
        <f t="array" ref="Q2">IFERROR(
  INDEX('GIR Log'!$E$2:$V$72,
    MATCH(1,
      ('GIR Log'!$A$2:$A$72=$A2)*
      ('GIR Log'!$B$2:$B$72=$B2)*
      ('GIR Log'!$C$2:$C$72=$C2),
    0),
    MATCH($G2,'GIR Log'!$E$1:$V$1,0)
  ),
"")</f>
        <v>←</v>
      </c>
    </row>
    <row r="3" spans="1:17" x14ac:dyDescent="0.25">
      <c r="A3" s="20" t="s">
        <v>126</v>
      </c>
      <c r="B3" s="2">
        <v>45735</v>
      </c>
      <c r="C3" t="s">
        <v>3</v>
      </c>
      <c r="D3" t="s">
        <v>3</v>
      </c>
      <c r="E3" s="12" t="s">
        <v>36</v>
      </c>
      <c r="F3">
        <v>76</v>
      </c>
      <c r="G3" t="s">
        <v>48</v>
      </c>
      <c r="H3" s="9">
        <f t="shared" ref="H3:H66" si="0">VALUE(RIGHT(G3, LEN(G3) - 5))</f>
        <v>2</v>
      </c>
      <c r="I3" cm="1">
        <f t="array" ref="I3">IFERROR(INDEX(CourseYardages[[Hole 1]:[Hole 18]],
  MATCH(1, (CourseYardages[Course]=C3)*(CourseYardages[Tees]=E3), 0),
  MATCH(G3, CourseYardages[[#Headers],[Hole 1]:[Hole 18]], 0)
),"")</f>
        <v>367</v>
      </c>
      <c r="J3" cm="1">
        <f t="array" ref="J3">IFERROR(INDEX(CourseHandicap[[Hole 1]:[Hole 18]],
  MATCH(1, (CourseHandicap[Course]=C3)*(CourseHandicap[Tees]=E3), 0),
  MATCH(G3, CourseHandicap[[#Headers],[Hole 1]:[Hole 18]], 0)
),"")</f>
        <v>3</v>
      </c>
      <c r="K3" cm="1">
        <f t="array" ref="K3">IFERROR(INDEX(CourseRatings[[Hole 1]:[Hole 18]],
  MATCH(1, (CourseRatings[Course]=C3)*(CourseRatings[Tees]=E3), 0),
  MATCH(G3, CourseRatings[[#Headers],[Hole 1]:[Hole 18]], 0)
),"")</f>
        <v>4</v>
      </c>
      <c r="L3" cm="1">
        <f t="array" ref="L3">IFERROR(
  INDEX('Golf Log'!$E$2:$V$72,
    MATCH(1,
      ('Golf Log'!$A$2:$A$72=$A3)*
      ('Golf Log'!$B$2:$B$72=$B3)*
      ('Golf Log'!$C$2:$C$72=$C3),
    0),
    MATCH($G3,'Golf Log'!$E$1:$V$1,0)
  ),
"")</f>
        <v>5</v>
      </c>
      <c r="M3">
        <f t="shared" ref="M3:M66" si="1">IFERROR(L3-K3,"")</f>
        <v>1</v>
      </c>
      <c r="N3" t="str">
        <f t="shared" ref="N3:N66" si="2">IF(M3="","",(IF(M3=-2,"Eagle",IF(M3=-1,"Birdie",IF(M3=0,"Par",IF(M3=1,"Bogey",IF(M3=2,"Double Bogey",IF(M3=3,"Triple Bogey",IF(M3&gt;3,"Quad Bogey+")))))))))</f>
        <v>Bogey</v>
      </c>
      <c r="O3" cm="1">
        <f t="array" ref="O3">IFERROR(
  INDEX('Putt Log'!$E$2:$V$72,
    MATCH(1,
      ('Putt Log'!$A$2:$A$72=$A3)*
      ('Putt Log'!$B$2:$B$72=$B3)*
      ('Putt Log'!$C$2:$C$72=$C3),
    0),
    MATCH($G3,'Putt Log'!$E$1:$V$1,0)
  ),
"")</f>
        <v>2</v>
      </c>
      <c r="P3" t="str" cm="1">
        <f t="array" ref="P3">IF(K3=3,"",
  IFERROR(
    INDEX('Fairway Log'!$E$2:$V$72,
      MATCH(1,
        ('Fairway Log'!$A$2:$A$72=$A3)*
        ('Fairway Log'!$B$2:$B$72=$B3)*
        ('Fairway Log'!$C$2:$C72=$C3),
      0),
      MATCH($G3,'Fairway Log'!$E$1:$V$1,0)
    ),
  "")
)</f>
        <v>→</v>
      </c>
      <c r="Q3" t="str" cm="1">
        <f t="array" ref="Q3">IFERROR(
  INDEX('GIR Log'!$E$2:$V$72,
    MATCH(1,
      ('GIR Log'!$A$2:$A$72=$A3)*
      ('GIR Log'!$B$2:$B$72=$B3)*
      ('GIR Log'!$C$2:$C$72=$C3),
    0),
    MATCH($G3,'GIR Log'!$E$1:$V$1,0)
  ),
"")</f>
        <v>↓</v>
      </c>
    </row>
    <row r="4" spans="1:17" x14ac:dyDescent="0.25">
      <c r="A4" s="20" t="s">
        <v>126</v>
      </c>
      <c r="B4" s="2">
        <v>45735</v>
      </c>
      <c r="C4" t="s">
        <v>3</v>
      </c>
      <c r="D4" t="s">
        <v>3</v>
      </c>
      <c r="E4" s="12" t="s">
        <v>36</v>
      </c>
      <c r="F4">
        <v>76</v>
      </c>
      <c r="G4" t="s">
        <v>49</v>
      </c>
      <c r="H4" s="9">
        <f t="shared" si="0"/>
        <v>3</v>
      </c>
      <c r="I4" cm="1">
        <f t="array" ref="I4">IFERROR(INDEX(CourseYardages[[Hole 1]:[Hole 18]],
  MATCH(1, (CourseYardages[Course]=C4)*(CourseYardages[Tees]=E4), 0),
  MATCH(G4, CourseYardages[[#Headers],[Hole 1]:[Hole 18]], 0)
),"")</f>
        <v>133</v>
      </c>
      <c r="J4" cm="1">
        <f t="array" ref="J4">IFERROR(INDEX(CourseHandicap[[Hole 1]:[Hole 18]],
  MATCH(1, (CourseHandicap[Course]=C4)*(CourseHandicap[Tees]=E4), 0),
  MATCH(G4, CourseHandicap[[#Headers],[Hole 1]:[Hole 18]], 0)
),"")</f>
        <v>17</v>
      </c>
      <c r="K4" cm="1">
        <f t="array" ref="K4">IFERROR(INDEX(CourseRatings[[Hole 1]:[Hole 18]],
  MATCH(1, (CourseRatings[Course]=C4)*(CourseRatings[Tees]=E4), 0),
  MATCH(G4, CourseRatings[[#Headers],[Hole 1]:[Hole 18]], 0)
),"")</f>
        <v>3</v>
      </c>
      <c r="L4" cm="1">
        <f t="array" ref="L4">IFERROR(
  INDEX('Golf Log'!$E$2:$V$72,
    MATCH(1,
      ('Golf Log'!$A$2:$A$72=$A4)*
      ('Golf Log'!$B$2:$B$72=$B4)*
      ('Golf Log'!$C$2:$C$72=$C4),
    0),
    MATCH($G4,'Golf Log'!$E$1:$V$1,0)
  ),
"")</f>
        <v>5</v>
      </c>
      <c r="M4">
        <f t="shared" si="1"/>
        <v>2</v>
      </c>
      <c r="N4" t="str">
        <f t="shared" si="2"/>
        <v>Double Bogey</v>
      </c>
      <c r="O4" cm="1">
        <f t="array" ref="O4">IFERROR(
  INDEX('Putt Log'!$E$2:$V$72,
    MATCH(1,
      ('Putt Log'!$A$2:$A$72=$A4)*
      ('Putt Log'!$B$2:$B$72=$B4)*
      ('Putt Log'!$C$2:$C$72=$C4),
    0),
    MATCH($G4,'Putt Log'!$E$1:$V$1,0)
  ),
"")</f>
        <v>2</v>
      </c>
      <c r="P4" t="str" cm="1">
        <f t="array" ref="P4">IF(K4=3,"",
  IFERROR(
    INDEX('Fairway Log'!$E$2:$V$72,
      MATCH(1,
        ('Fairway Log'!$A$2:$A$72=$A4)*
        ('Fairway Log'!$B$2:$B$72=$B4)*
        ('Fairway Log'!$C$2:$C75=$C4),
      0),
      MATCH($G4,'Fairway Log'!$E$1:$V$1,0)
    ),
  "")
)</f>
        <v/>
      </c>
      <c r="Q4" t="str" cm="1">
        <f t="array" ref="Q4">IFERROR(
  INDEX('GIR Log'!$E$2:$V$72,
    MATCH(1,
      ('GIR Log'!$A$2:$A$72=$A4)*
      ('GIR Log'!$B$2:$B$72=$B4)*
      ('GIR Log'!$C$2:$C$72=$C4),
    0),
    MATCH($G4,'GIR Log'!$E$1:$V$1,0)
  ),
"")</f>
        <v>←</v>
      </c>
    </row>
    <row r="5" spans="1:17" x14ac:dyDescent="0.25">
      <c r="A5" s="20" t="s">
        <v>126</v>
      </c>
      <c r="B5" s="2">
        <v>45735</v>
      </c>
      <c r="C5" t="s">
        <v>3</v>
      </c>
      <c r="D5" t="s">
        <v>3</v>
      </c>
      <c r="E5" s="12" t="s">
        <v>36</v>
      </c>
      <c r="F5">
        <v>76</v>
      </c>
      <c r="G5" t="s">
        <v>50</v>
      </c>
      <c r="H5" s="9">
        <f t="shared" si="0"/>
        <v>4</v>
      </c>
      <c r="I5" cm="1">
        <f t="array" ref="I5">IFERROR(INDEX(CourseYardages[[Hole 1]:[Hole 18]],
  MATCH(1, (CourseYardages[Course]=C5)*(CourseYardages[Tees]=E5), 0),
  MATCH(G5, CourseYardages[[#Headers],[Hole 1]:[Hole 18]], 0)
),"")</f>
        <v>344</v>
      </c>
      <c r="J5" cm="1">
        <f t="array" ref="J5">IFERROR(INDEX(CourseHandicap[[Hole 1]:[Hole 18]],
  MATCH(1, (CourseHandicap[Course]=C5)*(CourseHandicap[Tees]=E5), 0),
  MATCH(G5, CourseHandicap[[#Headers],[Hole 1]:[Hole 18]], 0)
),"")</f>
        <v>11</v>
      </c>
      <c r="K5" cm="1">
        <f t="array" ref="K5">IFERROR(INDEX(CourseRatings[[Hole 1]:[Hole 18]],
  MATCH(1, (CourseRatings[Course]=C5)*(CourseRatings[Tees]=E5), 0),
  MATCH(G5, CourseRatings[[#Headers],[Hole 1]:[Hole 18]], 0)
),"")</f>
        <v>4</v>
      </c>
      <c r="L5" cm="1">
        <f t="array" ref="L5">IFERROR(
  INDEX('Golf Log'!$E$2:$V$72,
    MATCH(1,
      ('Golf Log'!$A$2:$A$72=$A5)*
      ('Golf Log'!$B$2:$B$72=$B5)*
      ('Golf Log'!$C$2:$C$72=$C5),
    0),
    MATCH($G5,'Golf Log'!$E$1:$V$1,0)
  ),
"")</f>
        <v>4</v>
      </c>
      <c r="M5">
        <f t="shared" si="1"/>
        <v>0</v>
      </c>
      <c r="N5" t="str">
        <f t="shared" si="2"/>
        <v>Par</v>
      </c>
      <c r="O5" cm="1">
        <f t="array" ref="O5">IFERROR(
  INDEX('Putt Log'!$E$2:$V$72,
    MATCH(1,
      ('Putt Log'!$A$2:$A$72=$A5)*
      ('Putt Log'!$B$2:$B$72=$B5)*
      ('Putt Log'!$C$2:$C$72=$C5),
    0),
    MATCH($G5,'Putt Log'!$E$1:$V$1,0)
  ),
"")</f>
        <v>2</v>
      </c>
      <c r="P5" cm="1">
        <f t="array" ref="P5">IF(K5=3,"",
  IFERROR(
    INDEX('Fairway Log'!$E$2:$V$72,
      MATCH(1,
        ('Fairway Log'!$A$2:$A$72=$A5)*
        ('Fairway Log'!$B$2:$B$72=$B5)*
        ('Fairway Log'!$C$2:$C76=$C5),
      0),
      MATCH($G5,'Fairway Log'!$E$1:$V$1,0)
    ),
  "")
)</f>
        <v>1</v>
      </c>
      <c r="Q5" cm="1">
        <f t="array" ref="Q5">IFERROR(
  INDEX('GIR Log'!$E$2:$V$72,
    MATCH(1,
      ('GIR Log'!$A$2:$A$72=$A5)*
      ('GIR Log'!$B$2:$B$72=$B5)*
      ('GIR Log'!$C$2:$C$72=$C5),
    0),
    MATCH($G5,'GIR Log'!$E$1:$V$1,0)
  ),
"")</f>
        <v>1</v>
      </c>
    </row>
    <row r="6" spans="1:17" x14ac:dyDescent="0.25">
      <c r="A6" s="20" t="s">
        <v>126</v>
      </c>
      <c r="B6" s="2">
        <v>45735</v>
      </c>
      <c r="C6" t="s">
        <v>3</v>
      </c>
      <c r="D6" t="s">
        <v>3</v>
      </c>
      <c r="E6" s="12" t="s">
        <v>36</v>
      </c>
      <c r="F6">
        <v>76</v>
      </c>
      <c r="G6" t="s">
        <v>51</v>
      </c>
      <c r="H6" s="9">
        <f t="shared" si="0"/>
        <v>5</v>
      </c>
      <c r="I6" cm="1">
        <f t="array" ref="I6">IFERROR(INDEX(CourseYardages[[Hole 1]:[Hole 18]],
  MATCH(1, (CourseYardages[Course]=C6)*(CourseYardages[Tees]=E6), 0),
  MATCH(G6, CourseYardages[[#Headers],[Hole 1]:[Hole 18]], 0)
),"")</f>
        <v>387</v>
      </c>
      <c r="J6" cm="1">
        <f t="array" ref="J6">IFERROR(INDEX(CourseHandicap[[Hole 1]:[Hole 18]],
  MATCH(1, (CourseHandicap[Course]=C6)*(CourseHandicap[Tees]=E6), 0),
  MATCH(G6, CourseHandicap[[#Headers],[Hole 1]:[Hole 18]], 0)
),"")</f>
        <v>7</v>
      </c>
      <c r="K6" cm="1">
        <f t="array" ref="K6">IFERROR(INDEX(CourseRatings[[Hole 1]:[Hole 18]],
  MATCH(1, (CourseRatings[Course]=C6)*(CourseRatings[Tees]=E6), 0),
  MATCH(G6, CourseRatings[[#Headers],[Hole 1]:[Hole 18]], 0)
),"")</f>
        <v>4</v>
      </c>
      <c r="L6" cm="1">
        <f t="array" ref="L6">IFERROR(
  INDEX('Golf Log'!$E$2:$V$72,
    MATCH(1,
      ('Golf Log'!$A$2:$A$72=$A6)*
      ('Golf Log'!$B$2:$B$72=$B6)*
      ('Golf Log'!$C$2:$C$72=$C6),
    0),
    MATCH($G6,'Golf Log'!$E$1:$V$1,0)
  ),
"")</f>
        <v>5</v>
      </c>
      <c r="M6">
        <f t="shared" si="1"/>
        <v>1</v>
      </c>
      <c r="N6" t="str">
        <f t="shared" si="2"/>
        <v>Bogey</v>
      </c>
      <c r="O6" cm="1">
        <f t="array" ref="O6">IFERROR(
  INDEX('Putt Log'!$E$2:$V$72,
    MATCH(1,
      ('Putt Log'!$A$2:$A$72=$A6)*
      ('Putt Log'!$B$2:$B$72=$B6)*
      ('Putt Log'!$C$2:$C$72=$C6),
    0),
    MATCH($G6,'Putt Log'!$E$1:$V$1,0)
  ),
"")</f>
        <v>1</v>
      </c>
      <c r="P6" t="str" cm="1">
        <f t="array" ref="P6">IF(K6=3,"",
  IFERROR(
    INDEX('Fairway Log'!$E$2:$V$72,
      MATCH(1,
        ('Fairway Log'!$A$2:$A$72=$A6)*
        ('Fairway Log'!$B$2:$B$72=$B6)*
        ('Fairway Log'!$C$2:$C77=$C6),
      0),
      MATCH($G6,'Fairway Log'!$E$1:$V$1,0)
    ),
  "")
)</f>
        <v>←</v>
      </c>
      <c r="Q6" t="str" cm="1">
        <f t="array" ref="Q6">IFERROR(
  INDEX('GIR Log'!$E$2:$V$72,
    MATCH(1,
      ('GIR Log'!$A$2:$A$72=$A6)*
      ('GIR Log'!$B$2:$B$72=$B6)*
      ('GIR Log'!$C$2:$C$72=$C6),
    0),
    MATCH($G6,'GIR Log'!$E$1:$V$1,0)
  ),
"")</f>
        <v>←</v>
      </c>
    </row>
    <row r="7" spans="1:17" x14ac:dyDescent="0.25">
      <c r="A7" s="20" t="s">
        <v>126</v>
      </c>
      <c r="B7" s="2">
        <v>45735</v>
      </c>
      <c r="C7" t="s">
        <v>3</v>
      </c>
      <c r="D7" t="s">
        <v>3</v>
      </c>
      <c r="E7" s="12" t="s">
        <v>36</v>
      </c>
      <c r="F7">
        <v>76</v>
      </c>
      <c r="G7" t="s">
        <v>52</v>
      </c>
      <c r="H7" s="9">
        <f t="shared" si="0"/>
        <v>6</v>
      </c>
      <c r="I7" cm="1">
        <f t="array" ref="I7">IFERROR(INDEX(CourseYardages[[Hole 1]:[Hole 18]],
  MATCH(1, (CourseYardages[Course]=C7)*(CourseYardages[Tees]=E7), 0),
  MATCH(G7, CourseYardages[[#Headers],[Hole 1]:[Hole 18]], 0)
),"")</f>
        <v>178</v>
      </c>
      <c r="J7" cm="1">
        <f t="array" ref="J7">IFERROR(INDEX(CourseHandicap[[Hole 1]:[Hole 18]],
  MATCH(1, (CourseHandicap[Course]=C7)*(CourseHandicap[Tees]=E7), 0),
  MATCH(G7, CourseHandicap[[#Headers],[Hole 1]:[Hole 18]], 0)
),"")</f>
        <v>5</v>
      </c>
      <c r="K7" cm="1">
        <f t="array" ref="K7">IFERROR(INDEX(CourseRatings[[Hole 1]:[Hole 18]],
  MATCH(1, (CourseRatings[Course]=C7)*(CourseRatings[Tees]=E7), 0),
  MATCH(G7, CourseRatings[[#Headers],[Hole 1]:[Hole 18]], 0)
),"")</f>
        <v>3</v>
      </c>
      <c r="L7" cm="1">
        <f t="array" ref="L7">IFERROR(
  INDEX('Golf Log'!$E$2:$V$72,
    MATCH(1,
      ('Golf Log'!$A$2:$A$72=$A7)*
      ('Golf Log'!$B$2:$B$72=$B7)*
      ('Golf Log'!$C$2:$C$72=$C7),
    0),
    MATCH($G7,'Golf Log'!$E$1:$V$1,0)
  ),
"")</f>
        <v>3</v>
      </c>
      <c r="M7">
        <f t="shared" si="1"/>
        <v>0</v>
      </c>
      <c r="N7" t="str">
        <f t="shared" si="2"/>
        <v>Par</v>
      </c>
      <c r="O7" cm="1">
        <f t="array" ref="O7">IFERROR(
  INDEX('Putt Log'!$E$2:$V$72,
    MATCH(1,
      ('Putt Log'!$A$2:$A$72=$A7)*
      ('Putt Log'!$B$2:$B$72=$B7)*
      ('Putt Log'!$C$2:$C$72=$C7),
    0),
    MATCH($G7,'Putt Log'!$E$1:$V$1,0)
  ),
"")</f>
        <v>2</v>
      </c>
      <c r="P7" t="str" cm="1">
        <f t="array" ref="P7">IF(K7=3,"",
  IFERROR(
    INDEX('Fairway Log'!$E$2:$V$72,
      MATCH(1,
        ('Fairway Log'!$A$2:$A$72=$A7)*
        ('Fairway Log'!$B$2:$B$72=$B7)*
        ('Fairway Log'!$C$2:$C78=$C7),
      0),
      MATCH($G7,'Fairway Log'!$E$1:$V$1,0)
    ),
  "")
)</f>
        <v/>
      </c>
      <c r="Q7" cm="1">
        <f t="array" ref="Q7">IFERROR(
  INDEX('GIR Log'!$E$2:$V$72,
    MATCH(1,
      ('GIR Log'!$A$2:$A$72=$A7)*
      ('GIR Log'!$B$2:$B$72=$B7)*
      ('GIR Log'!$C$2:$C$72=$C7),
    0),
    MATCH($G7,'GIR Log'!$E$1:$V$1,0)
  ),
"")</f>
        <v>1</v>
      </c>
    </row>
    <row r="8" spans="1:17" x14ac:dyDescent="0.25">
      <c r="A8" s="20" t="s">
        <v>126</v>
      </c>
      <c r="B8" s="2">
        <v>45735</v>
      </c>
      <c r="C8" t="s">
        <v>3</v>
      </c>
      <c r="D8" t="s">
        <v>3</v>
      </c>
      <c r="E8" s="12" t="s">
        <v>36</v>
      </c>
      <c r="F8">
        <v>76</v>
      </c>
      <c r="G8" t="s">
        <v>53</v>
      </c>
      <c r="H8" s="9">
        <f t="shared" si="0"/>
        <v>7</v>
      </c>
      <c r="I8" cm="1">
        <f t="array" ref="I8">IFERROR(INDEX(CourseYardages[[Hole 1]:[Hole 18]],
  MATCH(1, (CourseYardages[Course]=C8)*(CourseYardages[Tees]=E8), 0),
  MATCH(G8, CourseYardages[[#Headers],[Hole 1]:[Hole 18]], 0)
),"")</f>
        <v>500</v>
      </c>
      <c r="J8" cm="1">
        <f t="array" ref="J8">IFERROR(INDEX(CourseHandicap[[Hole 1]:[Hole 18]],
  MATCH(1, (CourseHandicap[Course]=C8)*(CourseHandicap[Tees]=E8), 0),
  MATCH(G8, CourseHandicap[[#Headers],[Hole 1]:[Hole 18]], 0)
),"")</f>
        <v>9</v>
      </c>
      <c r="K8" cm="1">
        <f t="array" ref="K8">IFERROR(INDEX(CourseRatings[[Hole 1]:[Hole 18]],
  MATCH(1, (CourseRatings[Course]=C8)*(CourseRatings[Tees]=E8), 0),
  MATCH(G8, CourseRatings[[#Headers],[Hole 1]:[Hole 18]], 0)
),"")</f>
        <v>5</v>
      </c>
      <c r="L8" cm="1">
        <f t="array" ref="L8">IFERROR(
  INDEX('Golf Log'!$E$2:$V$72,
    MATCH(1,
      ('Golf Log'!$A$2:$A$72=$A8)*
      ('Golf Log'!$B$2:$B$72=$B8)*
      ('Golf Log'!$C$2:$C$72=$C8),
    0),
    MATCH($G8,'Golf Log'!$E$1:$V$1,0)
  ),
"")</f>
        <v>6</v>
      </c>
      <c r="M8">
        <f t="shared" si="1"/>
        <v>1</v>
      </c>
      <c r="N8" t="str">
        <f t="shared" si="2"/>
        <v>Bogey</v>
      </c>
      <c r="O8" cm="1">
        <f t="array" ref="O8">IFERROR(
  INDEX('Putt Log'!$E$2:$V$72,
    MATCH(1,
      ('Putt Log'!$A$2:$A$72=$A8)*
      ('Putt Log'!$B$2:$B$72=$B8)*
      ('Putt Log'!$C$2:$C$72=$C8),
    0),
    MATCH($G8,'Putt Log'!$E$1:$V$1,0)
  ),
"")</f>
        <v>2</v>
      </c>
      <c r="P8" t="str" cm="1">
        <f t="array" ref="P8">IF(K8=3,"",
  IFERROR(
    INDEX('Fairway Log'!$E$2:$V$72,
      MATCH(1,
        ('Fairway Log'!$A$2:$A$72=$A8)*
        ('Fairway Log'!$B$2:$B$72=$B8)*
        ('Fairway Log'!$C$2:$C79=$C8),
      0),
      MATCH($G8,'Fairway Log'!$E$1:$V$1,0)
    ),
  "")
)</f>
        <v>←</v>
      </c>
      <c r="Q8" t="str" cm="1">
        <f t="array" ref="Q8">IFERROR(
  INDEX('GIR Log'!$E$2:$V$72,
    MATCH(1,
      ('GIR Log'!$A$2:$A$72=$A8)*
      ('GIR Log'!$B$2:$B$72=$B8)*
      ('GIR Log'!$C$2:$C$72=$C8),
    0),
    MATCH($G8,'GIR Log'!$E$1:$V$1,0)
  ),
"")</f>
        <v>↓</v>
      </c>
    </row>
    <row r="9" spans="1:17" x14ac:dyDescent="0.25">
      <c r="A9" s="20" t="s">
        <v>126</v>
      </c>
      <c r="B9" s="2">
        <v>45735</v>
      </c>
      <c r="C9" t="s">
        <v>3</v>
      </c>
      <c r="D9" t="s">
        <v>3</v>
      </c>
      <c r="E9" s="12" t="s">
        <v>36</v>
      </c>
      <c r="F9">
        <v>76</v>
      </c>
      <c r="G9" t="s">
        <v>54</v>
      </c>
      <c r="H9" s="9">
        <f t="shared" si="0"/>
        <v>8</v>
      </c>
      <c r="I9" cm="1">
        <f t="array" ref="I9">IFERROR(INDEX(CourseYardages[[Hole 1]:[Hole 18]],
  MATCH(1, (CourseYardages[Course]=C9)*(CourseYardages[Tees]=E9), 0),
  MATCH(G9, CourseYardages[[#Headers],[Hole 1]:[Hole 18]], 0)
),"")</f>
        <v>337</v>
      </c>
      <c r="J9" cm="1">
        <f t="array" ref="J9">IFERROR(INDEX(CourseHandicap[[Hole 1]:[Hole 18]],
  MATCH(1, (CourseHandicap[Course]=C9)*(CourseHandicap[Tees]=E9), 0),
  MATCH(G9, CourseHandicap[[#Headers],[Hole 1]:[Hole 18]], 0)
),"")</f>
        <v>13</v>
      </c>
      <c r="K9" cm="1">
        <f t="array" ref="K9">IFERROR(INDEX(CourseRatings[[Hole 1]:[Hole 18]],
  MATCH(1, (CourseRatings[Course]=C9)*(CourseRatings[Tees]=E9), 0),
  MATCH(G9, CourseRatings[[#Headers],[Hole 1]:[Hole 18]], 0)
),"")</f>
        <v>4</v>
      </c>
      <c r="L9" cm="1">
        <f t="array" ref="L9">IFERROR(
  INDEX('Golf Log'!$E$2:$V$72,
    MATCH(1,
      ('Golf Log'!$A$2:$A$72=$A9)*
      ('Golf Log'!$B$2:$B$72=$B9)*
      ('Golf Log'!$C$2:$C$72=$C9),
    0),
    MATCH($G9,'Golf Log'!$E$1:$V$1,0)
  ),
"")</f>
        <v>3</v>
      </c>
      <c r="M9">
        <f t="shared" si="1"/>
        <v>-1</v>
      </c>
      <c r="N9" t="str">
        <f t="shared" si="2"/>
        <v>Birdie</v>
      </c>
      <c r="O9" cm="1">
        <f t="array" ref="O9">IFERROR(
  INDEX('Putt Log'!$E$2:$V$72,
    MATCH(1,
      ('Putt Log'!$A$2:$A$72=$A9)*
      ('Putt Log'!$B$2:$B$72=$B9)*
      ('Putt Log'!$C$2:$C$72=$C9),
    0),
    MATCH($G9,'Putt Log'!$E$1:$V$1,0)
  ),
"")</f>
        <v>1</v>
      </c>
      <c r="P9" cm="1">
        <f t="array" ref="P9">IF(K9=3,"",
  IFERROR(
    INDEX('Fairway Log'!$E$2:$V$72,
      MATCH(1,
        ('Fairway Log'!$A$2:$A$72=$A9)*
        ('Fairway Log'!$B$2:$B$72=$B9)*
        ('Fairway Log'!$C$2:$C80=$C9),
      0),
      MATCH($G9,'Fairway Log'!$E$1:$V$1,0)
    ),
  "")
)</f>
        <v>1</v>
      </c>
      <c r="Q9" cm="1">
        <f t="array" ref="Q9">IFERROR(
  INDEX('GIR Log'!$E$2:$V$72,
    MATCH(1,
      ('GIR Log'!$A$2:$A$72=$A9)*
      ('GIR Log'!$B$2:$B$72=$B9)*
      ('GIR Log'!$C$2:$C$72=$C9),
    0),
    MATCH($G9,'GIR Log'!$E$1:$V$1,0)
  ),
"")</f>
        <v>1</v>
      </c>
    </row>
    <row r="10" spans="1:17" x14ac:dyDescent="0.25">
      <c r="A10" s="20" t="s">
        <v>126</v>
      </c>
      <c r="B10" s="2">
        <v>45735</v>
      </c>
      <c r="C10" t="s">
        <v>3</v>
      </c>
      <c r="D10" t="s">
        <v>3</v>
      </c>
      <c r="E10" s="12" t="s">
        <v>36</v>
      </c>
      <c r="F10">
        <v>76</v>
      </c>
      <c r="G10" t="s">
        <v>55</v>
      </c>
      <c r="H10" s="9">
        <f t="shared" si="0"/>
        <v>9</v>
      </c>
      <c r="I10" cm="1">
        <f t="array" ref="I10">IFERROR(INDEX(CourseYardages[[Hole 1]:[Hole 18]],
  MATCH(1, (CourseYardages[Course]=C10)*(CourseYardages[Tees]=E10), 0),
  MATCH(G10, CourseYardages[[#Headers],[Hole 1]:[Hole 18]], 0)
),"")</f>
        <v>532</v>
      </c>
      <c r="J10" cm="1">
        <f t="array" ref="J10">IFERROR(INDEX(CourseHandicap[[Hole 1]:[Hole 18]],
  MATCH(1, (CourseHandicap[Course]=C10)*(CourseHandicap[Tees]=E10), 0),
  MATCH(G10, CourseHandicap[[#Headers],[Hole 1]:[Hole 18]], 0)
),"")</f>
        <v>1</v>
      </c>
      <c r="K10" cm="1">
        <f t="array" ref="K10">IFERROR(INDEX(CourseRatings[[Hole 1]:[Hole 18]],
  MATCH(1, (CourseRatings[Course]=C10)*(CourseRatings[Tees]=E10), 0),
  MATCH(G10, CourseRatings[[#Headers],[Hole 1]:[Hole 18]], 0)
),"")</f>
        <v>5</v>
      </c>
      <c r="L10" cm="1">
        <f t="array" ref="L10">IFERROR(
  INDEX('Golf Log'!$E$2:$V$72,
    MATCH(1,
      ('Golf Log'!$A$2:$A$72=$A10)*
      ('Golf Log'!$B$2:$B$72=$B10)*
      ('Golf Log'!$C$2:$C$72=$C10),
    0),
    MATCH($G10,'Golf Log'!$E$1:$V$1,0)
  ),
"")</f>
        <v>5</v>
      </c>
      <c r="M10">
        <f t="shared" si="1"/>
        <v>0</v>
      </c>
      <c r="N10" t="str">
        <f t="shared" si="2"/>
        <v>Par</v>
      </c>
      <c r="O10" cm="1">
        <f t="array" ref="O10">IFERROR(
  INDEX('Putt Log'!$E$2:$V$72,
    MATCH(1,
      ('Putt Log'!$A$2:$A$72=$A10)*
      ('Putt Log'!$B$2:$B$72=$B10)*
      ('Putt Log'!$C$2:$C$72=$C10),
    0),
    MATCH($G10,'Putt Log'!$E$1:$V$1,0)
  ),
"")</f>
        <v>2</v>
      </c>
      <c r="P10" cm="1">
        <f t="array" ref="P10">IF(K10=3,"",
  IFERROR(
    INDEX('Fairway Log'!$E$2:$V$72,
      MATCH(1,
        ('Fairway Log'!$A$2:$A$72=$A10)*
        ('Fairway Log'!$B$2:$B$72=$B10)*
        ('Fairway Log'!$C$2:$C81=$C10),
      0),
      MATCH($G10,'Fairway Log'!$E$1:$V$1,0)
    ),
  "")
)</f>
        <v>1</v>
      </c>
      <c r="Q10" cm="1">
        <f t="array" ref="Q10">IFERROR(
  INDEX('GIR Log'!$E$2:$V$72,
    MATCH(1,
      ('GIR Log'!$A$2:$A$72=$A10)*
      ('GIR Log'!$B$2:$B$72=$B10)*
      ('GIR Log'!$C$2:$C$72=$C10),
    0),
    MATCH($G10,'GIR Log'!$E$1:$V$1,0)
  ),
"")</f>
        <v>1</v>
      </c>
    </row>
    <row r="11" spans="1:17" x14ac:dyDescent="0.25">
      <c r="A11" s="20" t="s">
        <v>126</v>
      </c>
      <c r="B11" s="2">
        <v>45735</v>
      </c>
      <c r="C11" t="s">
        <v>3</v>
      </c>
      <c r="D11" t="s">
        <v>3</v>
      </c>
      <c r="E11" s="12" t="s">
        <v>36</v>
      </c>
      <c r="F11">
        <v>76</v>
      </c>
      <c r="G11" t="s">
        <v>56</v>
      </c>
      <c r="H11" s="9">
        <f t="shared" si="0"/>
        <v>10</v>
      </c>
      <c r="I11" cm="1">
        <f t="array" ref="I11">IFERROR(INDEX(CourseYardages[[Hole 1]:[Hole 18]],
  MATCH(1, (CourseYardages[Course]=C11)*(CourseYardages[Tees]=E11), 0),
  MATCH(G11, CourseYardages[[#Headers],[Hole 1]:[Hole 18]], 0)
),"")</f>
        <v>328</v>
      </c>
      <c r="J11" cm="1">
        <f t="array" ref="J11">IFERROR(INDEX(CourseHandicap[[Hole 1]:[Hole 18]],
  MATCH(1, (CourseHandicap[Course]=C11)*(CourseHandicap[Tees]=E11), 0),
  MATCH(G11, CourseHandicap[[#Headers],[Hole 1]:[Hole 18]], 0)
),"")</f>
        <v>12</v>
      </c>
      <c r="K11" cm="1">
        <f t="array" ref="K11">IFERROR(INDEX(CourseRatings[[Hole 1]:[Hole 18]],
  MATCH(1, (CourseRatings[Course]=C11)*(CourseRatings[Tees]=E11), 0),
  MATCH(G11, CourseRatings[[#Headers],[Hole 1]:[Hole 18]], 0)
),"")</f>
        <v>4</v>
      </c>
      <c r="L11" cm="1">
        <f t="array" ref="L11">IFERROR(
  INDEX('Golf Log'!$E$2:$V$72,
    MATCH(1,
      ('Golf Log'!$A$2:$A$72=$A11)*
      ('Golf Log'!$B$2:$B$72=$B11)*
      ('Golf Log'!$C$2:$C$72=$C11),
    0),
    MATCH($G11,'Golf Log'!$E$1:$V$1,0)
  ),
"")</f>
        <v>4</v>
      </c>
      <c r="M11">
        <f t="shared" si="1"/>
        <v>0</v>
      </c>
      <c r="N11" t="str">
        <f t="shared" si="2"/>
        <v>Par</v>
      </c>
      <c r="O11" cm="1">
        <f t="array" ref="O11">IFERROR(
  INDEX('Putt Log'!$E$2:$V$72,
    MATCH(1,
      ('Putt Log'!$A$2:$A$72=$A11)*
      ('Putt Log'!$B$2:$B$72=$B11)*
      ('Putt Log'!$C$2:$C$72=$C11),
    0),
    MATCH($G11,'Putt Log'!$E$1:$V$1,0)
  ),
"")</f>
        <v>2</v>
      </c>
      <c r="P11" t="str" cm="1">
        <f t="array" ref="P11">IF(K11=3,"",
  IFERROR(
    INDEX('Fairway Log'!$E$2:$V$72,
      MATCH(1,
        ('Fairway Log'!$A$2:$A$72=$A11)*
        ('Fairway Log'!$B$2:$B$72=$B11)*
        ('Fairway Log'!$C$2:$C82=$C11),
      0),
      MATCH($G11,'Fairway Log'!$E$1:$V$1,0)
    ),
  "")
)</f>
        <v>→</v>
      </c>
      <c r="Q11" cm="1">
        <f t="array" ref="Q11">IFERROR(
  INDEX('GIR Log'!$E$2:$V$72,
    MATCH(1,
      ('GIR Log'!$A$2:$A$72=$A11)*
      ('GIR Log'!$B$2:$B$72=$B11)*
      ('GIR Log'!$C$2:$C$72=$C11),
    0),
    MATCH($G11,'GIR Log'!$E$1:$V$1,0)
  ),
"")</f>
        <v>1</v>
      </c>
    </row>
    <row r="12" spans="1:17" x14ac:dyDescent="0.25">
      <c r="A12" s="20" t="s">
        <v>126</v>
      </c>
      <c r="B12" s="2">
        <v>45735</v>
      </c>
      <c r="C12" t="s">
        <v>3</v>
      </c>
      <c r="D12" t="s">
        <v>3</v>
      </c>
      <c r="E12" s="12" t="s">
        <v>36</v>
      </c>
      <c r="F12">
        <v>76</v>
      </c>
      <c r="G12" t="s">
        <v>57</v>
      </c>
      <c r="H12" s="9">
        <f t="shared" si="0"/>
        <v>11</v>
      </c>
      <c r="I12" cm="1">
        <f t="array" ref="I12">IFERROR(INDEX(CourseYardages[[Hole 1]:[Hole 18]],
  MATCH(1, (CourseYardages[Course]=C12)*(CourseYardages[Tees]=E12), 0),
  MATCH(G12, CourseYardages[[#Headers],[Hole 1]:[Hole 18]], 0)
),"")</f>
        <v>159</v>
      </c>
      <c r="J12" cm="1">
        <f t="array" ref="J12">IFERROR(INDEX(CourseHandicap[[Hole 1]:[Hole 18]],
  MATCH(1, (CourseHandicap[Course]=C12)*(CourseHandicap[Tees]=E12), 0),
  MATCH(G12, CourseHandicap[[#Headers],[Hole 1]:[Hole 18]], 0)
),"")</f>
        <v>16</v>
      </c>
      <c r="K12" cm="1">
        <f t="array" ref="K12">IFERROR(INDEX(CourseRatings[[Hole 1]:[Hole 18]],
  MATCH(1, (CourseRatings[Course]=C12)*(CourseRatings[Tees]=E12), 0),
  MATCH(G12, CourseRatings[[#Headers],[Hole 1]:[Hole 18]], 0)
),"")</f>
        <v>3</v>
      </c>
      <c r="L12" cm="1">
        <f t="array" ref="L12">IFERROR(
  INDEX('Golf Log'!$E$2:$V$72,
    MATCH(1,
      ('Golf Log'!$A$2:$A$72=$A12)*
      ('Golf Log'!$B$2:$B$72=$B12)*
      ('Golf Log'!$C$2:$C$72=$C12),
    0),
    MATCH($G12,'Golf Log'!$E$1:$V$1,0)
  ),
"")</f>
        <v>4</v>
      </c>
      <c r="M12">
        <f t="shared" si="1"/>
        <v>1</v>
      </c>
      <c r="N12" t="str">
        <f t="shared" si="2"/>
        <v>Bogey</v>
      </c>
      <c r="O12" cm="1">
        <f t="array" ref="O12">IFERROR(
  INDEX('Putt Log'!$E$2:$V$72,
    MATCH(1,
      ('Putt Log'!$A$2:$A$72=$A12)*
      ('Putt Log'!$B$2:$B$72=$B12)*
      ('Putt Log'!$C$2:$C$72=$C12),
    0),
    MATCH($G12,'Putt Log'!$E$1:$V$1,0)
  ),
"")</f>
        <v>2</v>
      </c>
      <c r="P12" t="str" cm="1">
        <f t="array" ref="P12">IF(K12=3,"",
  IFERROR(
    INDEX('Fairway Log'!$E$2:$V$72,
      MATCH(1,
        ('Fairway Log'!$A$2:$A$72=$A12)*
        ('Fairway Log'!$B$2:$B$72=$B12)*
        ('Fairway Log'!$C$2:$C83=$C12),
      0),
      MATCH($G12,'Fairway Log'!$E$1:$V$1,0)
    ),
  "")
)</f>
        <v/>
      </c>
      <c r="Q12" t="str" cm="1">
        <f t="array" ref="Q12">IFERROR(
  INDEX('GIR Log'!$E$2:$V$72,
    MATCH(1,
      ('GIR Log'!$A$2:$A$72=$A12)*
      ('GIR Log'!$B$2:$B$72=$B12)*
      ('GIR Log'!$C$2:$C$72=$C12),
    0),
    MATCH($G12,'GIR Log'!$E$1:$V$1,0)
  ),
"")</f>
        <v>→</v>
      </c>
    </row>
    <row r="13" spans="1:17" x14ac:dyDescent="0.25">
      <c r="A13" s="20" t="s">
        <v>126</v>
      </c>
      <c r="B13" s="2">
        <v>45735</v>
      </c>
      <c r="C13" t="s">
        <v>3</v>
      </c>
      <c r="D13" t="s">
        <v>3</v>
      </c>
      <c r="E13" s="12" t="s">
        <v>36</v>
      </c>
      <c r="F13">
        <v>76</v>
      </c>
      <c r="G13" t="s">
        <v>58</v>
      </c>
      <c r="H13" s="9">
        <f t="shared" si="0"/>
        <v>12</v>
      </c>
      <c r="I13" cm="1">
        <f t="array" ref="I13">IFERROR(INDEX(CourseYardages[[Hole 1]:[Hole 18]],
  MATCH(1, (CourseYardages[Course]=C13)*(CourseYardages[Tees]=E13), 0),
  MATCH(G13, CourseYardages[[#Headers],[Hole 1]:[Hole 18]], 0)
),"")</f>
        <v>279</v>
      </c>
      <c r="J13" cm="1">
        <f t="array" ref="J13">IFERROR(INDEX(CourseHandicap[[Hole 1]:[Hole 18]],
  MATCH(1, (CourseHandicap[Course]=C13)*(CourseHandicap[Tees]=E13), 0),
  MATCH(G13, CourseHandicap[[#Headers],[Hole 1]:[Hole 18]], 0)
),"")</f>
        <v>18</v>
      </c>
      <c r="K13" cm="1">
        <f t="array" ref="K13">IFERROR(INDEX(CourseRatings[[Hole 1]:[Hole 18]],
  MATCH(1, (CourseRatings[Course]=C13)*(CourseRatings[Tees]=E13), 0),
  MATCH(G13, CourseRatings[[#Headers],[Hole 1]:[Hole 18]], 0)
),"")</f>
        <v>4</v>
      </c>
      <c r="L13" cm="1">
        <f t="array" ref="L13">IFERROR(
  INDEX('Golf Log'!$E$2:$V$72,
    MATCH(1,
      ('Golf Log'!$A$2:$A$72=$A13)*
      ('Golf Log'!$B$2:$B$72=$B13)*
      ('Golf Log'!$C$2:$C$72=$C13),
    0),
    MATCH($G13,'Golf Log'!$E$1:$V$1,0)
  ),
"")</f>
        <v>4</v>
      </c>
      <c r="M13">
        <f t="shared" si="1"/>
        <v>0</v>
      </c>
      <c r="N13" t="str">
        <f t="shared" si="2"/>
        <v>Par</v>
      </c>
      <c r="O13" cm="1">
        <f t="array" ref="O13">IFERROR(
  INDEX('Putt Log'!$E$2:$V$72,
    MATCH(1,
      ('Putt Log'!$A$2:$A$72=$A13)*
      ('Putt Log'!$B$2:$B$72=$B13)*
      ('Putt Log'!$C$2:$C$72=$C13),
    0),
    MATCH($G13,'Putt Log'!$E$1:$V$1,0)
  ),
"")</f>
        <v>2</v>
      </c>
      <c r="P13" cm="1">
        <f t="array" ref="P13">IF(K13=3,"",
  IFERROR(
    INDEX('Fairway Log'!$E$2:$V$72,
      MATCH(1,
        ('Fairway Log'!$A$2:$A$72=$A13)*
        ('Fairway Log'!$B$2:$B$72=$B13)*
        ('Fairway Log'!$C$2:$C84=$C13),
      0),
      MATCH($G13,'Fairway Log'!$E$1:$V$1,0)
    ),
  "")
)</f>
        <v>1</v>
      </c>
      <c r="Q13" cm="1">
        <f t="array" ref="Q13">IFERROR(
  INDEX('GIR Log'!$E$2:$V$72,
    MATCH(1,
      ('GIR Log'!$A$2:$A$72=$A13)*
      ('GIR Log'!$B$2:$B$72=$B13)*
      ('GIR Log'!$C$2:$C$72=$C13),
    0),
    MATCH($G13,'GIR Log'!$E$1:$V$1,0)
  ),
"")</f>
        <v>1</v>
      </c>
    </row>
    <row r="14" spans="1:17" x14ac:dyDescent="0.25">
      <c r="A14" s="20" t="s">
        <v>126</v>
      </c>
      <c r="B14" s="2">
        <v>45735</v>
      </c>
      <c r="C14" t="s">
        <v>3</v>
      </c>
      <c r="D14" t="s">
        <v>3</v>
      </c>
      <c r="E14" s="12" t="s">
        <v>36</v>
      </c>
      <c r="F14">
        <v>76</v>
      </c>
      <c r="G14" t="s">
        <v>59</v>
      </c>
      <c r="H14" s="9">
        <f t="shared" si="0"/>
        <v>13</v>
      </c>
      <c r="I14" cm="1">
        <f t="array" ref="I14">IFERROR(INDEX(CourseYardages[[Hole 1]:[Hole 18]],
  MATCH(1, (CourseYardages[Course]=C14)*(CourseYardages[Tees]=E14), 0),
  MATCH(G14, CourseYardages[[#Headers],[Hole 1]:[Hole 18]], 0)
),"")</f>
        <v>553</v>
      </c>
      <c r="J14" cm="1">
        <f t="array" ref="J14">IFERROR(INDEX(CourseHandicap[[Hole 1]:[Hole 18]],
  MATCH(1, (CourseHandicap[Course]=C14)*(CourseHandicap[Tees]=E14), 0),
  MATCH(G14, CourseHandicap[[#Headers],[Hole 1]:[Hole 18]], 0)
),"")</f>
        <v>2</v>
      </c>
      <c r="K14" cm="1">
        <f t="array" ref="K14">IFERROR(INDEX(CourseRatings[[Hole 1]:[Hole 18]],
  MATCH(1, (CourseRatings[Course]=C14)*(CourseRatings[Tees]=E14), 0),
  MATCH(G14, CourseRatings[[#Headers],[Hole 1]:[Hole 18]], 0)
),"")</f>
        <v>5</v>
      </c>
      <c r="L14" cm="1">
        <f t="array" ref="L14">IFERROR(
  INDEX('Golf Log'!$E$2:$V$72,
    MATCH(1,
      ('Golf Log'!$A$2:$A$72=$A14)*
      ('Golf Log'!$B$2:$B$72=$B14)*
      ('Golf Log'!$C$2:$C$72=$C14),
    0),
    MATCH($G14,'Golf Log'!$E$1:$V$1,0)
  ),
"")</f>
        <v>5</v>
      </c>
      <c r="M14">
        <f t="shared" si="1"/>
        <v>0</v>
      </c>
      <c r="N14" t="str">
        <f t="shared" si="2"/>
        <v>Par</v>
      </c>
      <c r="O14" cm="1">
        <f t="array" ref="O14">IFERROR(
  INDEX('Putt Log'!$E$2:$V$72,
    MATCH(1,
      ('Putt Log'!$A$2:$A$72=$A14)*
      ('Putt Log'!$B$2:$B$72=$B14)*
      ('Putt Log'!$C$2:$C$72=$C14),
    0),
    MATCH($G14,'Putt Log'!$E$1:$V$1,0)
  ),
"")</f>
        <v>2</v>
      </c>
      <c r="P14" cm="1">
        <f t="array" ref="P14">IF(K14=3,"",
  IFERROR(
    INDEX('Fairway Log'!$E$2:$V$72,
      MATCH(1,
        ('Fairway Log'!$A$2:$A$72=$A14)*
        ('Fairway Log'!$B$2:$B$72=$B14)*
        ('Fairway Log'!$C$2:$C85=$C14),
      0),
      MATCH($G14,'Fairway Log'!$E$1:$V$1,0)
    ),
  "")
)</f>
        <v>1</v>
      </c>
      <c r="Q14" cm="1">
        <f t="array" ref="Q14">IFERROR(
  INDEX('GIR Log'!$E$2:$V$72,
    MATCH(1,
      ('GIR Log'!$A$2:$A$72=$A14)*
      ('GIR Log'!$B$2:$B$72=$B14)*
      ('GIR Log'!$C$2:$C$72=$C14),
    0),
    MATCH($G14,'GIR Log'!$E$1:$V$1,0)
  ),
"")</f>
        <v>1</v>
      </c>
    </row>
    <row r="15" spans="1:17" x14ac:dyDescent="0.25">
      <c r="A15" s="20" t="s">
        <v>126</v>
      </c>
      <c r="B15" s="2">
        <v>45735</v>
      </c>
      <c r="C15" t="s">
        <v>3</v>
      </c>
      <c r="D15" t="s">
        <v>3</v>
      </c>
      <c r="E15" s="12" t="s">
        <v>36</v>
      </c>
      <c r="F15">
        <v>76</v>
      </c>
      <c r="G15" t="s">
        <v>60</v>
      </c>
      <c r="H15" s="9">
        <f t="shared" si="0"/>
        <v>14</v>
      </c>
      <c r="I15" cm="1">
        <f t="array" ref="I15">IFERROR(INDEX(CourseYardages[[Hole 1]:[Hole 18]],
  MATCH(1, (CourseYardages[Course]=C15)*(CourseYardages[Tees]=E15), 0),
  MATCH(G15, CourseYardages[[#Headers],[Hole 1]:[Hole 18]], 0)
),"")</f>
        <v>352</v>
      </c>
      <c r="J15" cm="1">
        <f t="array" ref="J15">IFERROR(INDEX(CourseHandicap[[Hole 1]:[Hole 18]],
  MATCH(1, (CourseHandicap[Course]=C15)*(CourseHandicap[Tees]=E15), 0),
  MATCH(G15, CourseHandicap[[#Headers],[Hole 1]:[Hole 18]], 0)
),"")</f>
        <v>14</v>
      </c>
      <c r="K15" cm="1">
        <f t="array" ref="K15">IFERROR(INDEX(CourseRatings[[Hole 1]:[Hole 18]],
  MATCH(1, (CourseRatings[Course]=C15)*(CourseRatings[Tees]=E15), 0),
  MATCH(G15, CourseRatings[[#Headers],[Hole 1]:[Hole 18]], 0)
),"")</f>
        <v>4</v>
      </c>
      <c r="L15" cm="1">
        <f t="array" ref="L15">IFERROR(
  INDEX('Golf Log'!$E$2:$V$72,
    MATCH(1,
      ('Golf Log'!$A$2:$A$72=$A15)*
      ('Golf Log'!$B$2:$B$72=$B15)*
      ('Golf Log'!$C$2:$C$72=$C15),
    0),
    MATCH($G15,'Golf Log'!$E$1:$V$1,0)
  ),
"")</f>
        <v>4</v>
      </c>
      <c r="M15">
        <f t="shared" si="1"/>
        <v>0</v>
      </c>
      <c r="N15" t="str">
        <f t="shared" si="2"/>
        <v>Par</v>
      </c>
      <c r="O15" cm="1">
        <f t="array" ref="O15">IFERROR(
  INDEX('Putt Log'!$E$2:$V$72,
    MATCH(1,
      ('Putt Log'!$A$2:$A$72=$A15)*
      ('Putt Log'!$B$2:$B$72=$B15)*
      ('Putt Log'!$C$2:$C$72=$C15),
    0),
    MATCH($G15,'Putt Log'!$E$1:$V$1,0)
  ),
"")</f>
        <v>2</v>
      </c>
      <c r="P15" t="str" cm="1">
        <f t="array" ref="P15">IF(K15=3,"",
  IFERROR(
    INDEX('Fairway Log'!$E$2:$V$72,
      MATCH(1,
        ('Fairway Log'!$A$2:$A$72=$A15)*
        ('Fairway Log'!$B$2:$B$72=$B15)*
        ('Fairway Log'!$C$2:$C86=$C15),
      0),
      MATCH($G15,'Fairway Log'!$E$1:$V$1,0)
    ),
  "")
)</f>
        <v>→</v>
      </c>
      <c r="Q15" cm="1">
        <f t="array" ref="Q15">IFERROR(
  INDEX('GIR Log'!$E$2:$V$72,
    MATCH(1,
      ('GIR Log'!$A$2:$A$72=$A15)*
      ('GIR Log'!$B$2:$B$72=$B15)*
      ('GIR Log'!$C$2:$C$72=$C15),
    0),
    MATCH($G15,'GIR Log'!$E$1:$V$1,0)
  ),
"")</f>
        <v>1</v>
      </c>
    </row>
    <row r="16" spans="1:17" x14ac:dyDescent="0.25">
      <c r="A16" s="20" t="s">
        <v>126</v>
      </c>
      <c r="B16" s="2">
        <v>45735</v>
      </c>
      <c r="C16" t="s">
        <v>3</v>
      </c>
      <c r="D16" t="s">
        <v>3</v>
      </c>
      <c r="E16" s="12" t="s">
        <v>36</v>
      </c>
      <c r="F16">
        <v>76</v>
      </c>
      <c r="G16" t="s">
        <v>61</v>
      </c>
      <c r="H16" s="9">
        <f t="shared" si="0"/>
        <v>15</v>
      </c>
      <c r="I16" cm="1">
        <f t="array" ref="I16">IFERROR(INDEX(CourseYardages[[Hole 1]:[Hole 18]],
  MATCH(1, (CourseYardages[Course]=C16)*(CourseYardages[Tees]=E16), 0),
  MATCH(G16, CourseYardages[[#Headers],[Hole 1]:[Hole 18]], 0)
),"")</f>
        <v>165</v>
      </c>
      <c r="J16" cm="1">
        <f t="array" ref="J16">IFERROR(INDEX(CourseHandicap[[Hole 1]:[Hole 18]],
  MATCH(1, (CourseHandicap[Course]=C16)*(CourseHandicap[Tees]=E16), 0),
  MATCH(G16, CourseHandicap[[#Headers],[Hole 1]:[Hole 18]], 0)
),"")</f>
        <v>8</v>
      </c>
      <c r="K16" cm="1">
        <f t="array" ref="K16">IFERROR(INDEX(CourseRatings[[Hole 1]:[Hole 18]],
  MATCH(1, (CourseRatings[Course]=C16)*(CourseRatings[Tees]=E16), 0),
  MATCH(G16, CourseRatings[[#Headers],[Hole 1]:[Hole 18]], 0)
),"")</f>
        <v>3</v>
      </c>
      <c r="L16" cm="1">
        <f t="array" ref="L16">IFERROR(
  INDEX('Golf Log'!$E$2:$V$72,
    MATCH(1,
      ('Golf Log'!$A$2:$A$72=$A16)*
      ('Golf Log'!$B$2:$B$72=$B16)*
      ('Golf Log'!$C$2:$C$72=$C16),
    0),
    MATCH($G16,'Golf Log'!$E$1:$V$1,0)
  ),
"")</f>
        <v>3</v>
      </c>
      <c r="M16">
        <f t="shared" si="1"/>
        <v>0</v>
      </c>
      <c r="N16" t="str">
        <f t="shared" si="2"/>
        <v>Par</v>
      </c>
      <c r="O16" cm="1">
        <f t="array" ref="O16">IFERROR(
  INDEX('Putt Log'!$E$2:$V$72,
    MATCH(1,
      ('Putt Log'!$A$2:$A$72=$A16)*
      ('Putt Log'!$B$2:$B$72=$B16)*
      ('Putt Log'!$C$2:$C$72=$C16),
    0),
    MATCH($G16,'Putt Log'!$E$1:$V$1,0)
  ),
"")</f>
        <v>1</v>
      </c>
      <c r="P16" t="str" cm="1">
        <f t="array" ref="P16">IF(K16=3,"",
  IFERROR(
    INDEX('Fairway Log'!$E$2:$V$72,
      MATCH(1,
        ('Fairway Log'!$A$2:$A$72=$A16)*
        ('Fairway Log'!$B$2:$B$72=$B16)*
        ('Fairway Log'!$C$2:$C87=$C16),
      0),
      MATCH($G16,'Fairway Log'!$E$1:$V$1,0)
    ),
  "")
)</f>
        <v/>
      </c>
      <c r="Q16" t="str" cm="1">
        <f t="array" ref="Q16">IFERROR(
  INDEX('GIR Log'!$E$2:$V$72,
    MATCH(1,
      ('GIR Log'!$A$2:$A$72=$A16)*
      ('GIR Log'!$B$2:$B$72=$B16)*
      ('GIR Log'!$C$2:$C$72=$C16),
    0),
    MATCH($G16,'GIR Log'!$E$1:$V$1,0)
  ),
"")</f>
        <v>↓</v>
      </c>
    </row>
    <row r="17" spans="1:17" x14ac:dyDescent="0.25">
      <c r="A17" s="20" t="s">
        <v>126</v>
      </c>
      <c r="B17" s="2">
        <v>45735</v>
      </c>
      <c r="C17" t="s">
        <v>3</v>
      </c>
      <c r="D17" t="s">
        <v>3</v>
      </c>
      <c r="E17" s="12" t="s">
        <v>36</v>
      </c>
      <c r="F17">
        <v>76</v>
      </c>
      <c r="G17" t="s">
        <v>62</v>
      </c>
      <c r="H17" s="9">
        <f t="shared" si="0"/>
        <v>16</v>
      </c>
      <c r="I17" cm="1">
        <f t="array" ref="I17">IFERROR(INDEX(CourseYardages[[Hole 1]:[Hole 18]],
  MATCH(1, (CourseYardages[Course]=C17)*(CourseYardages[Tees]=E17), 0),
  MATCH(G17, CourseYardages[[#Headers],[Hole 1]:[Hole 18]], 0)
),"")</f>
        <v>343</v>
      </c>
      <c r="J17" cm="1">
        <f t="array" ref="J17">IFERROR(INDEX(CourseHandicap[[Hole 1]:[Hole 18]],
  MATCH(1, (CourseHandicap[Course]=C17)*(CourseHandicap[Tees]=E17), 0),
  MATCH(G17, CourseHandicap[[#Headers],[Hole 1]:[Hole 18]], 0)
),"")</f>
        <v>10</v>
      </c>
      <c r="K17" cm="1">
        <f t="array" ref="K17">IFERROR(INDEX(CourseRatings[[Hole 1]:[Hole 18]],
  MATCH(1, (CourseRatings[Course]=C17)*(CourseRatings[Tees]=E17), 0),
  MATCH(G17, CourseRatings[[#Headers],[Hole 1]:[Hole 18]], 0)
),"")</f>
        <v>4</v>
      </c>
      <c r="L17" cm="1">
        <f t="array" ref="L17">IFERROR(
  INDEX('Golf Log'!$E$2:$V$72,
    MATCH(1,
      ('Golf Log'!$A$2:$A$72=$A17)*
      ('Golf Log'!$B$2:$B$72=$B17)*
      ('Golf Log'!$C$2:$C$72=$C17),
    0),
    MATCH($G17,'Golf Log'!$E$1:$V$1,0)
  ),
"")</f>
        <v>4</v>
      </c>
      <c r="M17">
        <f t="shared" si="1"/>
        <v>0</v>
      </c>
      <c r="N17" t="str">
        <f t="shared" si="2"/>
        <v>Par</v>
      </c>
      <c r="O17" cm="1">
        <f t="array" ref="O17">IFERROR(
  INDEX('Putt Log'!$E$2:$V$72,
    MATCH(1,
      ('Putt Log'!$A$2:$A$72=$A17)*
      ('Putt Log'!$B$2:$B$72=$B17)*
      ('Putt Log'!$C$2:$C$72=$C17),
    0),
    MATCH($G17,'Putt Log'!$E$1:$V$1,0)
  ),
"")</f>
        <v>2</v>
      </c>
      <c r="P17" t="str" cm="1">
        <f t="array" ref="P17">IF(K17=3,"",
  IFERROR(
    INDEX('Fairway Log'!$E$2:$V$72,
      MATCH(1,
        ('Fairway Log'!$A$2:$A$72=$A17)*
        ('Fairway Log'!$B$2:$B$72=$B17)*
        ('Fairway Log'!$C$2:$C88=$C17),
      0),
      MATCH($G17,'Fairway Log'!$E$1:$V$1,0)
    ),
  "")
)</f>
        <v>→</v>
      </c>
      <c r="Q17" cm="1">
        <f t="array" ref="Q17">IFERROR(
  INDEX('GIR Log'!$E$2:$V$72,
    MATCH(1,
      ('GIR Log'!$A$2:$A$72=$A17)*
      ('GIR Log'!$B$2:$B$72=$B17)*
      ('GIR Log'!$C$2:$C$72=$C17),
    0),
    MATCH($G17,'GIR Log'!$E$1:$V$1,0)
  ),
"")</f>
        <v>1</v>
      </c>
    </row>
    <row r="18" spans="1:17" x14ac:dyDescent="0.25">
      <c r="A18" s="20" t="s">
        <v>126</v>
      </c>
      <c r="B18" s="2">
        <v>45735</v>
      </c>
      <c r="C18" t="s">
        <v>3</v>
      </c>
      <c r="D18" t="s">
        <v>3</v>
      </c>
      <c r="E18" s="12" t="s">
        <v>36</v>
      </c>
      <c r="F18">
        <v>76</v>
      </c>
      <c r="G18" t="s">
        <v>63</v>
      </c>
      <c r="H18" s="9">
        <f t="shared" si="0"/>
        <v>17</v>
      </c>
      <c r="I18" cm="1">
        <f t="array" ref="I18">IFERROR(INDEX(CourseYardages[[Hole 1]:[Hole 18]],
  MATCH(1, (CourseYardages[Course]=C18)*(CourseYardages[Tees]=E18), 0),
  MATCH(G18, CourseYardages[[#Headers],[Hole 1]:[Hole 18]], 0)
),"")</f>
        <v>408</v>
      </c>
      <c r="J18" cm="1">
        <f t="array" ref="J18">IFERROR(INDEX(CourseHandicap[[Hole 1]:[Hole 18]],
  MATCH(1, (CourseHandicap[Course]=C18)*(CourseHandicap[Tees]=E18), 0),
  MATCH(G18, CourseHandicap[[#Headers],[Hole 1]:[Hole 18]], 0)
),"")</f>
        <v>4</v>
      </c>
      <c r="K18" cm="1">
        <f t="array" ref="K18">IFERROR(INDEX(CourseRatings[[Hole 1]:[Hole 18]],
  MATCH(1, (CourseRatings[Course]=C18)*(CourseRatings[Tees]=E18), 0),
  MATCH(G18, CourseRatings[[#Headers],[Hole 1]:[Hole 18]], 0)
),"")</f>
        <v>4</v>
      </c>
      <c r="L18" cm="1">
        <f t="array" ref="L18">IFERROR(
  INDEX('Golf Log'!$E$2:$V$72,
    MATCH(1,
      ('Golf Log'!$A$2:$A$72=$A18)*
      ('Golf Log'!$B$2:$B$72=$B18)*
      ('Golf Log'!$C$2:$C$72=$C18),
    0),
    MATCH($G18,'Golf Log'!$E$1:$V$1,0)
  ),
"")</f>
        <v>4</v>
      </c>
      <c r="M18">
        <f t="shared" si="1"/>
        <v>0</v>
      </c>
      <c r="N18" t="str">
        <f t="shared" si="2"/>
        <v>Par</v>
      </c>
      <c r="O18" cm="1">
        <f t="array" ref="O18">IFERROR(
  INDEX('Putt Log'!$E$2:$V$72,
    MATCH(1,
      ('Putt Log'!$A$2:$A$72=$A18)*
      ('Putt Log'!$B$2:$B$72=$B18)*
      ('Putt Log'!$C$2:$C$72=$C18),
    0),
    MATCH($G18,'Putt Log'!$E$1:$V$1,0)
  ),
"")</f>
        <v>2</v>
      </c>
      <c r="P18" cm="1">
        <f t="array" ref="P18">IF(K18=3,"",
  IFERROR(
    INDEX('Fairway Log'!$E$2:$V$72,
      MATCH(1,
        ('Fairway Log'!$A$2:$A$72=$A18)*
        ('Fairway Log'!$B$2:$B$72=$B18)*
        ('Fairway Log'!$C$2:$C89=$C18),
      0),
      MATCH($G18,'Fairway Log'!$E$1:$V$1,0)
    ),
  "")
)</f>
        <v>1</v>
      </c>
      <c r="Q18" cm="1">
        <f t="array" ref="Q18">IFERROR(
  INDEX('GIR Log'!$E$2:$V$72,
    MATCH(1,
      ('GIR Log'!$A$2:$A$72=$A18)*
      ('GIR Log'!$B$2:$B$72=$B18)*
      ('GIR Log'!$C$2:$C$72=$C18),
    0),
    MATCH($G18,'GIR Log'!$E$1:$V$1,0)
  ),
"")</f>
        <v>1</v>
      </c>
    </row>
    <row r="19" spans="1:17" x14ac:dyDescent="0.25">
      <c r="A19" s="20" t="s">
        <v>126</v>
      </c>
      <c r="B19" s="2">
        <v>45735</v>
      </c>
      <c r="C19" t="s">
        <v>3</v>
      </c>
      <c r="D19" t="s">
        <v>3</v>
      </c>
      <c r="E19" s="12" t="s">
        <v>36</v>
      </c>
      <c r="F19">
        <v>76</v>
      </c>
      <c r="G19" t="s">
        <v>64</v>
      </c>
      <c r="H19" s="9">
        <f t="shared" si="0"/>
        <v>18</v>
      </c>
      <c r="I19" cm="1">
        <f t="array" ref="I19">IFERROR(INDEX(CourseYardages[[Hole 1]:[Hole 18]],
  MATCH(1, (CourseYardages[Course]=C19)*(CourseYardages[Tees]=E19), 0),
  MATCH(G19, CourseYardages[[#Headers],[Hole 1]:[Hole 18]], 0)
),"")</f>
        <v>386</v>
      </c>
      <c r="J19" cm="1">
        <f t="array" ref="J19">IFERROR(INDEX(CourseHandicap[[Hole 1]:[Hole 18]],
  MATCH(1, (CourseHandicap[Course]=C19)*(CourseHandicap[Tees]=E19), 0),
  MATCH(G19, CourseHandicap[[#Headers],[Hole 1]:[Hole 18]], 0)
),"")</f>
        <v>6</v>
      </c>
      <c r="K19" cm="1">
        <f t="array" ref="K19">IFERROR(INDEX(CourseRatings[[Hole 1]:[Hole 18]],
  MATCH(1, (CourseRatings[Course]=C19)*(CourseRatings[Tees]=E19), 0),
  MATCH(G19, CourseRatings[[#Headers],[Hole 1]:[Hole 18]], 0)
),"")</f>
        <v>4</v>
      </c>
      <c r="L19" cm="1">
        <f t="array" ref="L19">IFERROR(
  INDEX('Golf Log'!$E$2:$V$72,
    MATCH(1,
      ('Golf Log'!$A$2:$A$72=$A19)*
      ('Golf Log'!$B$2:$B$72=$B19)*
      ('Golf Log'!$C$2:$C$72=$C19),
    0),
    MATCH($G19,'Golf Log'!$E$1:$V$1,0)
  ),
"")</f>
        <v>4</v>
      </c>
      <c r="M19">
        <f t="shared" si="1"/>
        <v>0</v>
      </c>
      <c r="N19" t="str">
        <f t="shared" si="2"/>
        <v>Par</v>
      </c>
      <c r="O19" cm="1">
        <f t="array" ref="O19">IFERROR(
  INDEX('Putt Log'!$E$2:$V$72,
    MATCH(1,
      ('Putt Log'!$A$2:$A$72=$A19)*
      ('Putt Log'!$B$2:$B$72=$B19)*
      ('Putt Log'!$C$2:$C$72=$C19),
    0),
    MATCH($G19,'Putt Log'!$E$1:$V$1,0)
  ),
"")</f>
        <v>1</v>
      </c>
      <c r="P19" t="str" cm="1">
        <f t="array" ref="P19">IF(K19=3,"",
  IFERROR(
    INDEX('Fairway Log'!$E$2:$V$72,
      MATCH(1,
        ('Fairway Log'!$A$2:$A$72=$A19)*
        ('Fairway Log'!$B$2:$B$72=$B19)*
        ('Fairway Log'!$C$2:$C90=$C19),
      0),
      MATCH($G19,'Fairway Log'!$E$1:$V$1,0)
    ),
  "")
)</f>
        <v>→</v>
      </c>
      <c r="Q19" t="str" cm="1">
        <f t="array" ref="Q19">IFERROR(
  INDEX('GIR Log'!$E$2:$V$72,
    MATCH(1,
      ('GIR Log'!$A$2:$A$72=$A19)*
      ('GIR Log'!$B$2:$B$72=$B19)*
      ('GIR Log'!$C$2:$C$72=$C19),
    0),
    MATCH($G19,'GIR Log'!$E$1:$V$1,0)
  ),
"")</f>
        <v>↓</v>
      </c>
    </row>
    <row r="20" spans="1:17" x14ac:dyDescent="0.25">
      <c r="A20" s="20" t="s">
        <v>126</v>
      </c>
      <c r="B20" s="2">
        <v>45655</v>
      </c>
      <c r="C20" t="s">
        <v>4</v>
      </c>
      <c r="D20" t="s">
        <v>71</v>
      </c>
      <c r="E20" s="12" t="s">
        <v>34</v>
      </c>
      <c r="F20">
        <v>85</v>
      </c>
      <c r="G20" t="s">
        <v>47</v>
      </c>
      <c r="H20" s="9">
        <f t="shared" si="0"/>
        <v>1</v>
      </c>
      <c r="I20" cm="1">
        <f t="array" ref="I20">IFERROR(INDEX(CourseYardages[[Hole 1]:[Hole 18]],
  MATCH(1, (CourseYardages[Course]=C20)*(CourseYardages[Tees]=E20), 0),
  MATCH(G20, CourseYardages[[#Headers],[Hole 1]:[Hole 18]], 0)
),"")</f>
        <v>354</v>
      </c>
      <c r="J20" cm="1">
        <f t="array" ref="J20">IFERROR(INDEX(CourseHandicap[[Hole 1]:[Hole 18]],
  MATCH(1, (CourseHandicap[Course]=C20)*(CourseHandicap[Tees]=E20), 0),
  MATCH(G20, CourseHandicap[[#Headers],[Hole 1]:[Hole 18]], 0)
),"")</f>
        <v>17</v>
      </c>
      <c r="K20" cm="1">
        <f t="array" ref="K20">IFERROR(INDEX(CourseRatings[[Hole 1]:[Hole 18]],
  MATCH(1, (CourseRatings[Course]=C20)*(CourseRatings[Tees]=E20), 0),
  MATCH(G20, CourseRatings[[#Headers],[Hole 1]:[Hole 18]], 0)
),"")</f>
        <v>4</v>
      </c>
      <c r="L20" cm="1">
        <f t="array" ref="L20">IFERROR(
  INDEX('Golf Log'!$E$2:$V$72,
    MATCH(1,
      ('Golf Log'!$A$2:$A$72=$A20)*
      ('Golf Log'!$B$2:$B$72=$B20)*
      ('Golf Log'!$C$2:$C$72=$C20),
    0),
    MATCH($G20,'Golf Log'!$E$1:$V$1,0)
  ),
"")</f>
        <v>4</v>
      </c>
      <c r="M20">
        <f t="shared" si="1"/>
        <v>0</v>
      </c>
      <c r="N20" t="str">
        <f t="shared" si="2"/>
        <v>Par</v>
      </c>
      <c r="O20" cm="1">
        <f t="array" ref="O20">IFERROR(
  INDEX('Putt Log'!$E$2:$V$72,
    MATCH(1,
      ('Putt Log'!$A$2:$A$72=$A20)*
      ('Putt Log'!$B$2:$B$72=$B20)*
      ('Putt Log'!$C$2:$C$72=$C20),
    0),
    MATCH($G20,'Putt Log'!$E$1:$V$1,0)
  ),
"")</f>
        <v>2</v>
      </c>
      <c r="P20" t="str" cm="1">
        <f t="array" ref="P20">IF(K20=3,"",
  IFERROR(
    INDEX('Fairway Log'!$E$2:$V$72,
      MATCH(1,
        ('Fairway Log'!$A$2:$A$72=$A20)*
        ('Fairway Log'!$B$2:$B$72=$B20)*
        ('Fairway Log'!$C$2:$C91=$C20),
      0),
      MATCH($G20,'Fairway Log'!$E$1:$V$1,0)
    ),
  "")
)</f>
        <v>→</v>
      </c>
      <c r="Q20" cm="1">
        <f t="array" ref="Q20">IFERROR(
  INDEX('GIR Log'!$E$2:$V$72,
    MATCH(1,
      ('GIR Log'!$A$2:$A$72=$A20)*
      ('GIR Log'!$B$2:$B$72=$B20)*
      ('GIR Log'!$C$2:$C$72=$C20),
    0),
    MATCH($G20,'GIR Log'!$E$1:$V$1,0)
  ),
"")</f>
        <v>1</v>
      </c>
    </row>
    <row r="21" spans="1:17" x14ac:dyDescent="0.25">
      <c r="A21" s="20" t="s">
        <v>126</v>
      </c>
      <c r="B21" s="2">
        <v>45655</v>
      </c>
      <c r="C21" t="s">
        <v>4</v>
      </c>
      <c r="D21" t="s">
        <v>71</v>
      </c>
      <c r="E21" s="12" t="s">
        <v>34</v>
      </c>
      <c r="F21">
        <v>85</v>
      </c>
      <c r="G21" t="s">
        <v>48</v>
      </c>
      <c r="H21" s="9">
        <f t="shared" si="0"/>
        <v>2</v>
      </c>
      <c r="I21" cm="1">
        <f t="array" ref="I21">IFERROR(INDEX(CourseYardages[[Hole 1]:[Hole 18]],
  MATCH(1, (CourseYardages[Course]=C21)*(CourseYardages[Tees]=E21), 0),
  MATCH(G21, CourseYardages[[#Headers],[Hole 1]:[Hole 18]], 0)
),"")</f>
        <v>484</v>
      </c>
      <c r="J21" cm="1">
        <f t="array" ref="J21">IFERROR(INDEX(CourseHandicap[[Hole 1]:[Hole 18]],
  MATCH(1, (CourseHandicap[Course]=C21)*(CourseHandicap[Tees]=E21), 0),
  MATCH(G21, CourseHandicap[[#Headers],[Hole 1]:[Hole 18]], 0)
),"")</f>
        <v>5</v>
      </c>
      <c r="K21" cm="1">
        <f t="array" ref="K21">IFERROR(INDEX(CourseRatings[[Hole 1]:[Hole 18]],
  MATCH(1, (CourseRatings[Course]=C21)*(CourseRatings[Tees]=E21), 0),
  MATCH(G21, CourseRatings[[#Headers],[Hole 1]:[Hole 18]], 0)
),"")</f>
        <v>5</v>
      </c>
      <c r="L21" cm="1">
        <f t="array" ref="L21">IFERROR(
  INDEX('Golf Log'!$E$2:$V$72,
    MATCH(1,
      ('Golf Log'!$A$2:$A$72=$A21)*
      ('Golf Log'!$B$2:$B$72=$B21)*
      ('Golf Log'!$C$2:$C$72=$C21),
    0),
    MATCH($G21,'Golf Log'!$E$1:$V$1,0)
  ),
"")</f>
        <v>7</v>
      </c>
      <c r="M21">
        <f t="shared" si="1"/>
        <v>2</v>
      </c>
      <c r="N21" t="str">
        <f t="shared" si="2"/>
        <v>Double Bogey</v>
      </c>
      <c r="O21" cm="1">
        <f t="array" ref="O21">IFERROR(
  INDEX('Putt Log'!$E$2:$V$72,
    MATCH(1,
      ('Putt Log'!$A$2:$A$72=$A21)*
      ('Putt Log'!$B$2:$B$72=$B21)*
      ('Putt Log'!$C$2:$C$72=$C21),
    0),
    MATCH($G21,'Putt Log'!$E$1:$V$1,0)
  ),
"")</f>
        <v>3</v>
      </c>
      <c r="P21" cm="1">
        <f t="array" ref="P21">IF(K21=3,"",
  IFERROR(
    INDEX('Fairway Log'!$E$2:$V$72,
      MATCH(1,
        ('Fairway Log'!$A$2:$A$72=$A21)*
        ('Fairway Log'!$B$2:$B$72=$B21)*
        ('Fairway Log'!$C$2:$C92=$C21),
      0),
      MATCH($G21,'Fairway Log'!$E$1:$V$1,0)
    ),
  "")
)</f>
        <v>1</v>
      </c>
      <c r="Q21" t="str" cm="1">
        <f t="array" ref="Q21">IFERROR(
  INDEX('GIR Log'!$E$2:$V$72,
    MATCH(1,
      ('GIR Log'!$A$2:$A$72=$A21)*
      ('GIR Log'!$B$2:$B$72=$B21)*
      ('GIR Log'!$C$2:$C$72=$C21),
    0),
    MATCH($G21,'GIR Log'!$E$1:$V$1,0)
  ),
"")</f>
        <v>↓</v>
      </c>
    </row>
    <row r="22" spans="1:17" x14ac:dyDescent="0.25">
      <c r="A22" s="20" t="s">
        <v>126</v>
      </c>
      <c r="B22" s="2">
        <v>45655</v>
      </c>
      <c r="C22" t="s">
        <v>4</v>
      </c>
      <c r="D22" t="s">
        <v>71</v>
      </c>
      <c r="E22" s="12" t="s">
        <v>34</v>
      </c>
      <c r="F22">
        <v>85</v>
      </c>
      <c r="G22" t="s">
        <v>49</v>
      </c>
      <c r="H22" s="9">
        <f t="shared" si="0"/>
        <v>3</v>
      </c>
      <c r="I22" cm="1">
        <f t="array" ref="I22">IFERROR(INDEX(CourseYardages[[Hole 1]:[Hole 18]],
  MATCH(1, (CourseYardages[Course]=C22)*(CourseYardages[Tees]=E22), 0),
  MATCH(G22, CourseYardages[[#Headers],[Hole 1]:[Hole 18]], 0)
),"")</f>
        <v>174</v>
      </c>
      <c r="J22" cm="1">
        <f t="array" ref="J22">IFERROR(INDEX(CourseHandicap[[Hole 1]:[Hole 18]],
  MATCH(1, (CourseHandicap[Course]=C22)*(CourseHandicap[Tees]=E22), 0),
  MATCH(G22, CourseHandicap[[#Headers],[Hole 1]:[Hole 18]], 0)
),"")</f>
        <v>9</v>
      </c>
      <c r="K22" cm="1">
        <f t="array" ref="K22">IFERROR(INDEX(CourseRatings[[Hole 1]:[Hole 18]],
  MATCH(1, (CourseRatings[Course]=C22)*(CourseRatings[Tees]=E22), 0),
  MATCH(G22, CourseRatings[[#Headers],[Hole 1]:[Hole 18]], 0)
),"")</f>
        <v>3</v>
      </c>
      <c r="L22" cm="1">
        <f t="array" ref="L22">IFERROR(
  INDEX('Golf Log'!$E$2:$V$72,
    MATCH(1,
      ('Golf Log'!$A$2:$A$72=$A22)*
      ('Golf Log'!$B$2:$B$72=$B22)*
      ('Golf Log'!$C$2:$C$72=$C22),
    0),
    MATCH($G22,'Golf Log'!$E$1:$V$1,0)
  ),
"")</f>
        <v>4</v>
      </c>
      <c r="M22">
        <f t="shared" si="1"/>
        <v>1</v>
      </c>
      <c r="N22" t="str">
        <f t="shared" si="2"/>
        <v>Bogey</v>
      </c>
      <c r="O22" cm="1">
        <f t="array" ref="O22">IFERROR(
  INDEX('Putt Log'!$E$2:$V$72,
    MATCH(1,
      ('Putt Log'!$A$2:$A$72=$A22)*
      ('Putt Log'!$B$2:$B$72=$B22)*
      ('Putt Log'!$C$2:$C$72=$C22),
    0),
    MATCH($G22,'Putt Log'!$E$1:$V$1,0)
  ),
"")</f>
        <v>2</v>
      </c>
      <c r="P22" t="str" cm="1">
        <f t="array" ref="P22">IF(K22=3,"",
  IFERROR(
    INDEX('Fairway Log'!$E$2:$V$72,
      MATCH(1,
        ('Fairway Log'!$A$2:$A$72=$A22)*
        ('Fairway Log'!$B$2:$B$72=$B22)*
        ('Fairway Log'!$C$2:$C93=$C22),
      0),
      MATCH($G22,'Fairway Log'!$E$1:$V$1,0)
    ),
  "")
)</f>
        <v/>
      </c>
      <c r="Q22" t="str" cm="1">
        <f t="array" ref="Q22">IFERROR(
  INDEX('GIR Log'!$E$2:$V$72,
    MATCH(1,
      ('GIR Log'!$A$2:$A$72=$A22)*
      ('GIR Log'!$B$2:$B$72=$B22)*
      ('GIR Log'!$C$2:$C$72=$C22),
    0),
    MATCH($G22,'GIR Log'!$E$1:$V$1,0)
  ),
"")</f>
        <v>→</v>
      </c>
    </row>
    <row r="23" spans="1:17" x14ac:dyDescent="0.25">
      <c r="A23" s="20" t="s">
        <v>126</v>
      </c>
      <c r="B23" s="2">
        <v>45655</v>
      </c>
      <c r="C23" t="s">
        <v>4</v>
      </c>
      <c r="D23" t="s">
        <v>71</v>
      </c>
      <c r="E23" s="12" t="s">
        <v>34</v>
      </c>
      <c r="F23">
        <v>85</v>
      </c>
      <c r="G23" t="s">
        <v>50</v>
      </c>
      <c r="H23" s="9">
        <f t="shared" si="0"/>
        <v>4</v>
      </c>
      <c r="I23" cm="1">
        <f t="array" ref="I23">IFERROR(INDEX(CourseYardages[[Hole 1]:[Hole 18]],
  MATCH(1, (CourseYardages[Course]=C23)*(CourseYardages[Tees]=E23), 0),
  MATCH(G23, CourseYardages[[#Headers],[Hole 1]:[Hole 18]], 0)
),"")</f>
        <v>344</v>
      </c>
      <c r="J23" cm="1">
        <f t="array" ref="J23">IFERROR(INDEX(CourseHandicap[[Hole 1]:[Hole 18]],
  MATCH(1, (CourseHandicap[Course]=C23)*(CourseHandicap[Tees]=E23), 0),
  MATCH(G23, CourseHandicap[[#Headers],[Hole 1]:[Hole 18]], 0)
),"")</f>
        <v>13</v>
      </c>
      <c r="K23" cm="1">
        <f t="array" ref="K23">IFERROR(INDEX(CourseRatings[[Hole 1]:[Hole 18]],
  MATCH(1, (CourseRatings[Course]=C23)*(CourseRatings[Tees]=E23), 0),
  MATCH(G23, CourseRatings[[#Headers],[Hole 1]:[Hole 18]], 0)
),"")</f>
        <v>4</v>
      </c>
      <c r="L23" cm="1">
        <f t="array" ref="L23">IFERROR(
  INDEX('Golf Log'!$E$2:$V$72,
    MATCH(1,
      ('Golf Log'!$A$2:$A$72=$A23)*
      ('Golf Log'!$B$2:$B$72=$B23)*
      ('Golf Log'!$C$2:$C$72=$C23),
    0),
    MATCH($G23,'Golf Log'!$E$1:$V$1,0)
  ),
"")</f>
        <v>4</v>
      </c>
      <c r="M23">
        <f t="shared" si="1"/>
        <v>0</v>
      </c>
      <c r="N23" t="str">
        <f t="shared" si="2"/>
        <v>Par</v>
      </c>
      <c r="O23" cm="1">
        <f t="array" ref="O23">IFERROR(
  INDEX('Putt Log'!$E$2:$V$72,
    MATCH(1,
      ('Putt Log'!$A$2:$A$72=$A23)*
      ('Putt Log'!$B$2:$B$72=$B23)*
      ('Putt Log'!$C$2:$C$72=$C23),
    0),
    MATCH($G23,'Putt Log'!$E$1:$V$1,0)
  ),
"")</f>
        <v>2</v>
      </c>
      <c r="P23" cm="1">
        <f t="array" ref="P23">IF(K23=3,"",
  IFERROR(
    INDEX('Fairway Log'!$E$2:$V$72,
      MATCH(1,
        ('Fairway Log'!$A$2:$A$72=$A23)*
        ('Fairway Log'!$B$2:$B$72=$B23)*
        ('Fairway Log'!$C$2:$C94=$C23),
      0),
      MATCH($G23,'Fairway Log'!$E$1:$V$1,0)
    ),
  "")
)</f>
        <v>1</v>
      </c>
      <c r="Q23" cm="1">
        <f t="array" ref="Q23">IFERROR(
  INDEX('GIR Log'!$E$2:$V$72,
    MATCH(1,
      ('GIR Log'!$A$2:$A$72=$A23)*
      ('GIR Log'!$B$2:$B$72=$B23)*
      ('GIR Log'!$C$2:$C$72=$C23),
    0),
    MATCH($G23,'GIR Log'!$E$1:$V$1,0)
  ),
"")</f>
        <v>1</v>
      </c>
    </row>
    <row r="24" spans="1:17" x14ac:dyDescent="0.25">
      <c r="A24" s="20" t="s">
        <v>126</v>
      </c>
      <c r="B24" s="2">
        <v>45655</v>
      </c>
      <c r="C24" t="s">
        <v>4</v>
      </c>
      <c r="D24" t="s">
        <v>71</v>
      </c>
      <c r="E24" s="12" t="s">
        <v>34</v>
      </c>
      <c r="F24">
        <v>85</v>
      </c>
      <c r="G24" t="s">
        <v>51</v>
      </c>
      <c r="H24" s="9">
        <f t="shared" si="0"/>
        <v>5</v>
      </c>
      <c r="I24" cm="1">
        <f t="array" ref="I24">IFERROR(INDEX(CourseYardages[[Hole 1]:[Hole 18]],
  MATCH(1, (CourseYardages[Course]=C24)*(CourseYardages[Tees]=E24), 0),
  MATCH(G24, CourseYardages[[#Headers],[Hole 1]:[Hole 18]], 0)
),"")</f>
        <v>352</v>
      </c>
      <c r="J24" cm="1">
        <f t="array" ref="J24">IFERROR(INDEX(CourseHandicap[[Hole 1]:[Hole 18]],
  MATCH(1, (CourseHandicap[Course]=C24)*(CourseHandicap[Tees]=E24), 0),
  MATCH(G24, CourseHandicap[[#Headers],[Hole 1]:[Hole 18]], 0)
),"")</f>
        <v>1</v>
      </c>
      <c r="K24" cm="1">
        <f t="array" ref="K24">IFERROR(INDEX(CourseRatings[[Hole 1]:[Hole 18]],
  MATCH(1, (CourseRatings[Course]=C24)*(CourseRatings[Tees]=E24), 0),
  MATCH(G24, CourseRatings[[#Headers],[Hole 1]:[Hole 18]], 0)
),"")</f>
        <v>4</v>
      </c>
      <c r="L24" cm="1">
        <f t="array" ref="L24">IFERROR(
  INDEX('Golf Log'!$E$2:$V$72,
    MATCH(1,
      ('Golf Log'!$A$2:$A$72=$A24)*
      ('Golf Log'!$B$2:$B$72=$B24)*
      ('Golf Log'!$C$2:$C$72=$C24),
    0),
    MATCH($G24,'Golf Log'!$E$1:$V$1,0)
  ),
"")</f>
        <v>5</v>
      </c>
      <c r="M24">
        <f t="shared" si="1"/>
        <v>1</v>
      </c>
      <c r="N24" t="str">
        <f t="shared" si="2"/>
        <v>Bogey</v>
      </c>
      <c r="O24" cm="1">
        <f t="array" ref="O24">IFERROR(
  INDEX('Putt Log'!$E$2:$V$72,
    MATCH(1,
      ('Putt Log'!$A$2:$A$72=$A24)*
      ('Putt Log'!$B$2:$B$72=$B24)*
      ('Putt Log'!$C$2:$C$72=$C24),
    0),
    MATCH($G24,'Putt Log'!$E$1:$V$1,0)
  ),
"")</f>
        <v>2</v>
      </c>
      <c r="P24" cm="1">
        <f t="array" ref="P24">IF(K24=3,"",
  IFERROR(
    INDEX('Fairway Log'!$E$2:$V$72,
      MATCH(1,
        ('Fairway Log'!$A$2:$A$72=$A24)*
        ('Fairway Log'!$B$2:$B$72=$B24)*
        ('Fairway Log'!$C$2:$C95=$C24),
      0),
      MATCH($G24,'Fairway Log'!$E$1:$V$1,0)
    ),
  "")
)</f>
        <v>1</v>
      </c>
      <c r="Q24" t="str" cm="1">
        <f t="array" ref="Q24">IFERROR(
  INDEX('GIR Log'!$E$2:$V$72,
    MATCH(1,
      ('GIR Log'!$A$2:$A$72=$A24)*
      ('GIR Log'!$B$2:$B$72=$B24)*
      ('GIR Log'!$C$2:$C$72=$C24),
    0),
    MATCH($G24,'GIR Log'!$E$1:$V$1,0)
  ),
"")</f>
        <v>↓</v>
      </c>
    </row>
    <row r="25" spans="1:17" x14ac:dyDescent="0.25">
      <c r="A25" s="20" t="s">
        <v>126</v>
      </c>
      <c r="B25" s="2">
        <v>45655</v>
      </c>
      <c r="C25" t="s">
        <v>4</v>
      </c>
      <c r="D25" t="s">
        <v>71</v>
      </c>
      <c r="E25" s="12" t="s">
        <v>34</v>
      </c>
      <c r="F25">
        <v>85</v>
      </c>
      <c r="G25" t="s">
        <v>52</v>
      </c>
      <c r="H25" s="9">
        <f t="shared" si="0"/>
        <v>6</v>
      </c>
      <c r="I25" cm="1">
        <f t="array" ref="I25">IFERROR(INDEX(CourseYardages[[Hole 1]:[Hole 18]],
  MATCH(1, (CourseYardages[Course]=C25)*(CourseYardages[Tees]=E25), 0),
  MATCH(G25, CourseYardages[[#Headers],[Hole 1]:[Hole 18]], 0)
),"")</f>
        <v>438</v>
      </c>
      <c r="J25" cm="1">
        <f t="array" ref="J25">IFERROR(INDEX(CourseHandicap[[Hole 1]:[Hole 18]],
  MATCH(1, (CourseHandicap[Course]=C25)*(CourseHandicap[Tees]=E25), 0),
  MATCH(G25, CourseHandicap[[#Headers],[Hole 1]:[Hole 18]], 0)
),"")</f>
        <v>3</v>
      </c>
      <c r="K25" cm="1">
        <f t="array" ref="K25">IFERROR(INDEX(CourseRatings[[Hole 1]:[Hole 18]],
  MATCH(1, (CourseRatings[Course]=C25)*(CourseRatings[Tees]=E25), 0),
  MATCH(G25, CourseRatings[[#Headers],[Hole 1]:[Hole 18]], 0)
),"")</f>
        <v>4</v>
      </c>
      <c r="L25" cm="1">
        <f t="array" ref="L25">IFERROR(
  INDEX('Golf Log'!$E$2:$V$72,
    MATCH(1,
      ('Golf Log'!$A$2:$A$72=$A25)*
      ('Golf Log'!$B$2:$B$72=$B25)*
      ('Golf Log'!$C$2:$C$72=$C25),
    0),
    MATCH($G25,'Golf Log'!$E$1:$V$1,0)
  ),
"")</f>
        <v>5</v>
      </c>
      <c r="M25">
        <f t="shared" si="1"/>
        <v>1</v>
      </c>
      <c r="N25" t="str">
        <f t="shared" si="2"/>
        <v>Bogey</v>
      </c>
      <c r="O25" cm="1">
        <f t="array" ref="O25">IFERROR(
  INDEX('Putt Log'!$E$2:$V$72,
    MATCH(1,
      ('Putt Log'!$A$2:$A$72=$A25)*
      ('Putt Log'!$B$2:$B$72=$B25)*
      ('Putt Log'!$C$2:$C$72=$C25),
    0),
    MATCH($G25,'Putt Log'!$E$1:$V$1,0)
  ),
"")</f>
        <v>2</v>
      </c>
      <c r="P25" cm="1">
        <f t="array" ref="P25">IF(K25=3,"",
  IFERROR(
    INDEX('Fairway Log'!$E$2:$V$72,
      MATCH(1,
        ('Fairway Log'!$A$2:$A$72=$A25)*
        ('Fairway Log'!$B$2:$B$72=$B25)*
        ('Fairway Log'!$C$2:$C96=$C25),
      0),
      MATCH($G25,'Fairway Log'!$E$1:$V$1,0)
    ),
  "")
)</f>
        <v>1</v>
      </c>
      <c r="Q25" t="str" cm="1">
        <f t="array" ref="Q25">IFERROR(
  INDEX('GIR Log'!$E$2:$V$72,
    MATCH(1,
      ('GIR Log'!$A$2:$A$72=$A25)*
      ('GIR Log'!$B$2:$B$72=$B25)*
      ('GIR Log'!$C$2:$C$72=$C25),
    0),
    MATCH($G25,'GIR Log'!$E$1:$V$1,0)
  ),
"")</f>
        <v>↓</v>
      </c>
    </row>
    <row r="26" spans="1:17" x14ac:dyDescent="0.25">
      <c r="A26" s="20" t="s">
        <v>126</v>
      </c>
      <c r="B26" s="2">
        <v>45655</v>
      </c>
      <c r="C26" t="s">
        <v>4</v>
      </c>
      <c r="D26" t="s">
        <v>71</v>
      </c>
      <c r="E26" s="12" t="s">
        <v>34</v>
      </c>
      <c r="F26">
        <v>85</v>
      </c>
      <c r="G26" t="s">
        <v>53</v>
      </c>
      <c r="H26" s="9">
        <f t="shared" si="0"/>
        <v>7</v>
      </c>
      <c r="I26" cm="1">
        <f t="array" ref="I26">IFERROR(INDEX(CourseYardages[[Hole 1]:[Hole 18]],
  MATCH(1, (CourseYardages[Course]=C26)*(CourseYardages[Tees]=E26), 0),
  MATCH(G26, CourseYardages[[#Headers],[Hole 1]:[Hole 18]], 0)
),"")</f>
        <v>378</v>
      </c>
      <c r="J26" cm="1">
        <f t="array" ref="J26">IFERROR(INDEX(CourseHandicap[[Hole 1]:[Hole 18]],
  MATCH(1, (CourseHandicap[Course]=C26)*(CourseHandicap[Tees]=E26), 0),
  MATCH(G26, CourseHandicap[[#Headers],[Hole 1]:[Hole 18]], 0)
),"")</f>
        <v>7</v>
      </c>
      <c r="K26" cm="1">
        <f t="array" ref="K26">IFERROR(INDEX(CourseRatings[[Hole 1]:[Hole 18]],
  MATCH(1, (CourseRatings[Course]=C26)*(CourseRatings[Tees]=E26), 0),
  MATCH(G26, CourseRatings[[#Headers],[Hole 1]:[Hole 18]], 0)
),"")</f>
        <v>4</v>
      </c>
      <c r="L26" cm="1">
        <f t="array" ref="L26">IFERROR(
  INDEX('Golf Log'!$E$2:$V$72,
    MATCH(1,
      ('Golf Log'!$A$2:$A$72=$A26)*
      ('Golf Log'!$B$2:$B$72=$B26)*
      ('Golf Log'!$C$2:$C$72=$C26),
    0),
    MATCH($G26,'Golf Log'!$E$1:$V$1,0)
  ),
"")</f>
        <v>4</v>
      </c>
      <c r="M26">
        <f t="shared" si="1"/>
        <v>0</v>
      </c>
      <c r="N26" t="str">
        <f t="shared" si="2"/>
        <v>Par</v>
      </c>
      <c r="O26" cm="1">
        <f t="array" ref="O26">IFERROR(
  INDEX('Putt Log'!$E$2:$V$72,
    MATCH(1,
      ('Putt Log'!$A$2:$A$72=$A26)*
      ('Putt Log'!$B$2:$B$72=$B26)*
      ('Putt Log'!$C$2:$C$72=$C26),
    0),
    MATCH($G26,'Putt Log'!$E$1:$V$1,0)
  ),
"")</f>
        <v>1</v>
      </c>
      <c r="P26" t="str" cm="1">
        <f t="array" ref="P26">IF(K26=3,"",
  IFERROR(
    INDEX('Fairway Log'!$E$2:$V$72,
      MATCH(1,
        ('Fairway Log'!$A$2:$A$72=$A26)*
        ('Fairway Log'!$B$2:$B$72=$B26)*
        ('Fairway Log'!$C$2:$C97=$C26),
      0),
      MATCH($G26,'Fairway Log'!$E$1:$V$1,0)
    ),
  "")
)</f>
        <v>→</v>
      </c>
      <c r="Q26" t="str" cm="1">
        <f t="array" ref="Q26">IFERROR(
  INDEX('GIR Log'!$E$2:$V$72,
    MATCH(1,
      ('GIR Log'!$A$2:$A$72=$A26)*
      ('GIR Log'!$B$2:$B$72=$B26)*
      ('GIR Log'!$C$2:$C$72=$C26),
    0),
    MATCH($G26,'GIR Log'!$E$1:$V$1,0)
  ),
"")</f>
        <v>↓</v>
      </c>
    </row>
    <row r="27" spans="1:17" x14ac:dyDescent="0.25">
      <c r="A27" s="20" t="s">
        <v>126</v>
      </c>
      <c r="B27" s="2">
        <v>45655</v>
      </c>
      <c r="C27" t="s">
        <v>4</v>
      </c>
      <c r="D27" t="s">
        <v>71</v>
      </c>
      <c r="E27" s="12" t="s">
        <v>34</v>
      </c>
      <c r="F27">
        <v>85</v>
      </c>
      <c r="G27" t="s">
        <v>54</v>
      </c>
      <c r="H27" s="9">
        <f t="shared" si="0"/>
        <v>8</v>
      </c>
      <c r="I27" cm="1">
        <f t="array" ref="I27">IFERROR(INDEX(CourseYardages[[Hole 1]:[Hole 18]],
  MATCH(1, (CourseYardages[Course]=C27)*(CourseYardages[Tees]=E27), 0),
  MATCH(G27, CourseYardages[[#Headers],[Hole 1]:[Hole 18]], 0)
),"")</f>
        <v>135</v>
      </c>
      <c r="J27" cm="1">
        <f t="array" ref="J27">IFERROR(INDEX(CourseHandicap[[Hole 1]:[Hole 18]],
  MATCH(1, (CourseHandicap[Course]=C27)*(CourseHandicap[Tees]=E27), 0),
  MATCH(G27, CourseHandicap[[#Headers],[Hole 1]:[Hole 18]], 0)
),"")</f>
        <v>15</v>
      </c>
      <c r="K27" cm="1">
        <f t="array" ref="K27">IFERROR(INDEX(CourseRatings[[Hole 1]:[Hole 18]],
  MATCH(1, (CourseRatings[Course]=C27)*(CourseRatings[Tees]=E27), 0),
  MATCH(G27, CourseRatings[[#Headers],[Hole 1]:[Hole 18]], 0)
),"")</f>
        <v>3</v>
      </c>
      <c r="L27" cm="1">
        <f t="array" ref="L27">IFERROR(
  INDEX('Golf Log'!$E$2:$V$72,
    MATCH(1,
      ('Golf Log'!$A$2:$A$72=$A27)*
      ('Golf Log'!$B$2:$B$72=$B27)*
      ('Golf Log'!$C$2:$C$72=$C27),
    0),
    MATCH($G27,'Golf Log'!$E$1:$V$1,0)
  ),
"")</f>
        <v>4</v>
      </c>
      <c r="M27">
        <f t="shared" si="1"/>
        <v>1</v>
      </c>
      <c r="N27" t="str">
        <f t="shared" si="2"/>
        <v>Bogey</v>
      </c>
      <c r="O27" cm="1">
        <f t="array" ref="O27">IFERROR(
  INDEX('Putt Log'!$E$2:$V$72,
    MATCH(1,
      ('Putt Log'!$A$2:$A$72=$A27)*
      ('Putt Log'!$B$2:$B$72=$B27)*
      ('Putt Log'!$C$2:$C$72=$C27),
    0),
    MATCH($G27,'Putt Log'!$E$1:$V$1,0)
  ),
"")</f>
        <v>2</v>
      </c>
      <c r="P27" t="str" cm="1">
        <f t="array" ref="P27">IF(K27=3,"",
  IFERROR(
    INDEX('Fairway Log'!$E$2:$V$72,
      MATCH(1,
        ('Fairway Log'!$A$2:$A$72=$A27)*
        ('Fairway Log'!$B$2:$B$72=$B27)*
        ('Fairway Log'!$C$2:$C98=$C27),
      0),
      MATCH($G27,'Fairway Log'!$E$1:$V$1,0)
    ),
  "")
)</f>
        <v/>
      </c>
      <c r="Q27" t="str" cm="1">
        <f t="array" ref="Q27">IFERROR(
  INDEX('GIR Log'!$E$2:$V$72,
    MATCH(1,
      ('GIR Log'!$A$2:$A$72=$A27)*
      ('GIR Log'!$B$2:$B$72=$B27)*
      ('GIR Log'!$C$2:$C$72=$C27),
    0),
    MATCH($G27,'GIR Log'!$E$1:$V$1,0)
  ),
"")</f>
        <v>↓</v>
      </c>
    </row>
    <row r="28" spans="1:17" x14ac:dyDescent="0.25">
      <c r="A28" s="20" t="s">
        <v>126</v>
      </c>
      <c r="B28" s="2">
        <v>45655</v>
      </c>
      <c r="C28" t="s">
        <v>4</v>
      </c>
      <c r="D28" t="s">
        <v>71</v>
      </c>
      <c r="E28" s="12" t="s">
        <v>34</v>
      </c>
      <c r="F28">
        <v>85</v>
      </c>
      <c r="G28" t="s">
        <v>55</v>
      </c>
      <c r="H28" s="9">
        <f t="shared" si="0"/>
        <v>9</v>
      </c>
      <c r="I28" cm="1">
        <f t="array" ref="I28">IFERROR(INDEX(CourseYardages[[Hole 1]:[Hole 18]],
  MATCH(1, (CourseYardages[Course]=C28)*(CourseYardages[Tees]=E28), 0),
  MATCH(G28, CourseYardages[[#Headers],[Hole 1]:[Hole 18]], 0)
),"")</f>
        <v>496</v>
      </c>
      <c r="J28" cm="1">
        <f t="array" ref="J28">IFERROR(INDEX(CourseHandicap[[Hole 1]:[Hole 18]],
  MATCH(1, (CourseHandicap[Course]=C28)*(CourseHandicap[Tees]=E28), 0),
  MATCH(G28, CourseHandicap[[#Headers],[Hole 1]:[Hole 18]], 0)
),"")</f>
        <v>11</v>
      </c>
      <c r="K28" cm="1">
        <f t="array" ref="K28">IFERROR(INDEX(CourseRatings[[Hole 1]:[Hole 18]],
  MATCH(1, (CourseRatings[Course]=C28)*(CourseRatings[Tees]=E28), 0),
  MATCH(G28, CourseRatings[[#Headers],[Hole 1]:[Hole 18]], 0)
),"")</f>
        <v>5</v>
      </c>
      <c r="L28" cm="1">
        <f t="array" ref="L28">IFERROR(
  INDEX('Golf Log'!$E$2:$V$72,
    MATCH(1,
      ('Golf Log'!$A$2:$A$72=$A28)*
      ('Golf Log'!$B$2:$B$72=$B28)*
      ('Golf Log'!$C$2:$C$72=$C28),
    0),
    MATCH($G28,'Golf Log'!$E$1:$V$1,0)
  ),
"")</f>
        <v>5</v>
      </c>
      <c r="M28">
        <f t="shared" si="1"/>
        <v>0</v>
      </c>
      <c r="N28" t="str">
        <f t="shared" si="2"/>
        <v>Par</v>
      </c>
      <c r="O28" cm="1">
        <f t="array" ref="O28">IFERROR(
  INDEX('Putt Log'!$E$2:$V$72,
    MATCH(1,
      ('Putt Log'!$A$2:$A$72=$A28)*
      ('Putt Log'!$B$2:$B$72=$B28)*
      ('Putt Log'!$C$2:$C$72=$C28),
    0),
    MATCH($G28,'Putt Log'!$E$1:$V$1,0)
  ),
"")</f>
        <v>2</v>
      </c>
      <c r="P28" cm="1">
        <f t="array" ref="P28">IF(K28=3,"",
  IFERROR(
    INDEX('Fairway Log'!$E$2:$V$72,
      MATCH(1,
        ('Fairway Log'!$A$2:$A$72=$A28)*
        ('Fairway Log'!$B$2:$B$72=$B28)*
        ('Fairway Log'!$C$2:$C99=$C28),
      0),
      MATCH($G28,'Fairway Log'!$E$1:$V$1,0)
    ),
  "")
)</f>
        <v>1</v>
      </c>
      <c r="Q28" cm="1">
        <f t="array" ref="Q28">IFERROR(
  INDEX('GIR Log'!$E$2:$V$72,
    MATCH(1,
      ('GIR Log'!$A$2:$A$72=$A28)*
      ('GIR Log'!$B$2:$B$72=$B28)*
      ('GIR Log'!$C$2:$C$72=$C28),
    0),
    MATCH($G28,'GIR Log'!$E$1:$V$1,0)
  ),
"")</f>
        <v>1</v>
      </c>
    </row>
    <row r="29" spans="1:17" x14ac:dyDescent="0.25">
      <c r="A29" s="20" t="s">
        <v>126</v>
      </c>
      <c r="B29" s="2">
        <v>45655</v>
      </c>
      <c r="C29" t="s">
        <v>4</v>
      </c>
      <c r="D29" t="s">
        <v>71</v>
      </c>
      <c r="E29" s="12" t="s">
        <v>34</v>
      </c>
      <c r="F29">
        <v>85</v>
      </c>
      <c r="G29" t="s">
        <v>56</v>
      </c>
      <c r="H29" s="9">
        <f t="shared" si="0"/>
        <v>10</v>
      </c>
      <c r="I29" cm="1">
        <f t="array" ref="I29">IFERROR(INDEX(CourseYardages[[Hole 1]:[Hole 18]],
  MATCH(1, (CourseYardages[Course]=C29)*(CourseYardages[Tees]=E29), 0),
  MATCH(G29, CourseYardages[[#Headers],[Hole 1]:[Hole 18]], 0)
),"")</f>
        <v>369</v>
      </c>
      <c r="J29" cm="1">
        <f t="array" ref="J29">IFERROR(INDEX(CourseHandicap[[Hole 1]:[Hole 18]],
  MATCH(1, (CourseHandicap[Course]=C29)*(CourseHandicap[Tees]=E29), 0),
  MATCH(G29, CourseHandicap[[#Headers],[Hole 1]:[Hole 18]], 0)
),"")</f>
        <v>2</v>
      </c>
      <c r="K29" cm="1">
        <f t="array" ref="K29">IFERROR(INDEX(CourseRatings[[Hole 1]:[Hole 18]],
  MATCH(1, (CourseRatings[Course]=C29)*(CourseRatings[Tees]=E29), 0),
  MATCH(G29, CourseRatings[[#Headers],[Hole 1]:[Hole 18]], 0)
),"")</f>
        <v>4</v>
      </c>
      <c r="L29" cm="1">
        <f t="array" ref="L29">IFERROR(
  INDEX('Golf Log'!$E$2:$V$72,
    MATCH(1,
      ('Golf Log'!$A$2:$A$72=$A29)*
      ('Golf Log'!$B$2:$B$72=$B29)*
      ('Golf Log'!$C$2:$C$72=$C29),
    0),
    MATCH($G29,'Golf Log'!$E$1:$V$1,0)
  ),
"")</f>
        <v>4</v>
      </c>
      <c r="M29">
        <f t="shared" si="1"/>
        <v>0</v>
      </c>
      <c r="N29" t="str">
        <f t="shared" si="2"/>
        <v>Par</v>
      </c>
      <c r="O29" cm="1">
        <f t="array" ref="O29">IFERROR(
  INDEX('Putt Log'!$E$2:$V$72,
    MATCH(1,
      ('Putt Log'!$A$2:$A$72=$A29)*
      ('Putt Log'!$B$2:$B$72=$B29)*
      ('Putt Log'!$C$2:$C$72=$C29),
    0),
    MATCH($G29,'Putt Log'!$E$1:$V$1,0)
  ),
"")</f>
        <v>2</v>
      </c>
      <c r="P29" cm="1">
        <f t="array" ref="P29">IF(K29=3,"",
  IFERROR(
    INDEX('Fairway Log'!$E$2:$V$72,
      MATCH(1,
        ('Fairway Log'!$A$2:$A$72=$A29)*
        ('Fairway Log'!$B$2:$B$72=$B29)*
        ('Fairway Log'!$C$2:$C100=$C29),
      0),
      MATCH($G29,'Fairway Log'!$E$1:$V$1,0)
    ),
  "")
)</f>
        <v>1</v>
      </c>
      <c r="Q29" cm="1">
        <f t="array" ref="Q29">IFERROR(
  INDEX('GIR Log'!$E$2:$V$72,
    MATCH(1,
      ('GIR Log'!$A$2:$A$72=$A29)*
      ('GIR Log'!$B$2:$B$72=$B29)*
      ('GIR Log'!$C$2:$C$72=$C29),
    0),
    MATCH($G29,'GIR Log'!$E$1:$V$1,0)
  ),
"")</f>
        <v>1</v>
      </c>
    </row>
    <row r="30" spans="1:17" x14ac:dyDescent="0.25">
      <c r="A30" s="20" t="s">
        <v>126</v>
      </c>
      <c r="B30" s="2">
        <v>45655</v>
      </c>
      <c r="C30" t="s">
        <v>4</v>
      </c>
      <c r="D30" t="s">
        <v>71</v>
      </c>
      <c r="E30" s="12" t="s">
        <v>34</v>
      </c>
      <c r="F30">
        <v>85</v>
      </c>
      <c r="G30" t="s">
        <v>57</v>
      </c>
      <c r="H30" s="9">
        <f t="shared" si="0"/>
        <v>11</v>
      </c>
      <c r="I30" cm="1">
        <f t="array" ref="I30">IFERROR(INDEX(CourseYardages[[Hole 1]:[Hole 18]],
  MATCH(1, (CourseYardages[Course]=C30)*(CourseYardages[Tees]=E30), 0),
  MATCH(G30, CourseYardages[[#Headers],[Hole 1]:[Hole 18]], 0)
),"")</f>
        <v>571</v>
      </c>
      <c r="J30" cm="1">
        <f t="array" ref="J30">IFERROR(INDEX(CourseHandicap[[Hole 1]:[Hole 18]],
  MATCH(1, (CourseHandicap[Course]=C30)*(CourseHandicap[Tees]=E30), 0),
  MATCH(G30, CourseHandicap[[#Headers],[Hole 1]:[Hole 18]], 0)
),"")</f>
        <v>8</v>
      </c>
      <c r="K30" cm="1">
        <f t="array" ref="K30">IFERROR(INDEX(CourseRatings[[Hole 1]:[Hole 18]],
  MATCH(1, (CourseRatings[Course]=C30)*(CourseRatings[Tees]=E30), 0),
  MATCH(G30, CourseRatings[[#Headers],[Hole 1]:[Hole 18]], 0)
),"")</f>
        <v>5</v>
      </c>
      <c r="L30" cm="1">
        <f t="array" ref="L30">IFERROR(
  INDEX('Golf Log'!$E$2:$V$72,
    MATCH(1,
      ('Golf Log'!$A$2:$A$72=$A30)*
      ('Golf Log'!$B$2:$B$72=$B30)*
      ('Golf Log'!$C$2:$C$72=$C30),
    0),
    MATCH($G30,'Golf Log'!$E$1:$V$1,0)
  ),
"")</f>
        <v>5</v>
      </c>
      <c r="M30">
        <f t="shared" si="1"/>
        <v>0</v>
      </c>
      <c r="N30" t="str">
        <f t="shared" si="2"/>
        <v>Par</v>
      </c>
      <c r="O30" cm="1">
        <f t="array" ref="O30">IFERROR(
  INDEX('Putt Log'!$E$2:$V$72,
    MATCH(1,
      ('Putt Log'!$A$2:$A$72=$A30)*
      ('Putt Log'!$B$2:$B$72=$B30)*
      ('Putt Log'!$C$2:$C$72=$C30),
    0),
    MATCH($G30,'Putt Log'!$E$1:$V$1,0)
  ),
"")</f>
        <v>1</v>
      </c>
      <c r="P30" cm="1">
        <f t="array" ref="P30">IF(K30=3,"",
  IFERROR(
    INDEX('Fairway Log'!$E$2:$V$72,
      MATCH(1,
        ('Fairway Log'!$A$2:$A$72=$A30)*
        ('Fairway Log'!$B$2:$B$72=$B30)*
        ('Fairway Log'!$C$2:$C101=$C30),
      0),
      MATCH($G30,'Fairway Log'!$E$1:$V$1,0)
    ),
  "")
)</f>
        <v>1</v>
      </c>
      <c r="Q30" t="str" cm="1">
        <f t="array" ref="Q30">IFERROR(
  INDEX('GIR Log'!$E$2:$V$72,
    MATCH(1,
      ('GIR Log'!$A$2:$A$72=$A30)*
      ('GIR Log'!$B$2:$B$72=$B30)*
      ('GIR Log'!$C$2:$C$72=$C30),
    0),
    MATCH($G30,'GIR Log'!$E$1:$V$1,0)
  ),
"")</f>
        <v>→</v>
      </c>
    </row>
    <row r="31" spans="1:17" x14ac:dyDescent="0.25">
      <c r="A31" s="20" t="s">
        <v>126</v>
      </c>
      <c r="B31" s="2">
        <v>45655</v>
      </c>
      <c r="C31" t="s">
        <v>4</v>
      </c>
      <c r="D31" t="s">
        <v>71</v>
      </c>
      <c r="E31" s="12" t="s">
        <v>34</v>
      </c>
      <c r="F31">
        <v>85</v>
      </c>
      <c r="G31" t="s">
        <v>58</v>
      </c>
      <c r="H31" s="9">
        <f t="shared" si="0"/>
        <v>12</v>
      </c>
      <c r="I31" cm="1">
        <f t="array" ref="I31">IFERROR(INDEX(CourseYardages[[Hole 1]:[Hole 18]],
  MATCH(1, (CourseYardages[Course]=C31)*(CourseYardages[Tees]=E31), 0),
  MATCH(G31, CourseYardages[[#Headers],[Hole 1]:[Hole 18]], 0)
),"")</f>
        <v>367</v>
      </c>
      <c r="J31" cm="1">
        <f t="array" ref="J31">IFERROR(INDEX(CourseHandicap[[Hole 1]:[Hole 18]],
  MATCH(1, (CourseHandicap[Course]=C31)*(CourseHandicap[Tees]=E31), 0),
  MATCH(G31, CourseHandicap[[#Headers],[Hole 1]:[Hole 18]], 0)
),"")</f>
        <v>6</v>
      </c>
      <c r="K31" cm="1">
        <f t="array" ref="K31">IFERROR(INDEX(CourseRatings[[Hole 1]:[Hole 18]],
  MATCH(1, (CourseRatings[Course]=C31)*(CourseRatings[Tees]=E31), 0),
  MATCH(G31, CourseRatings[[#Headers],[Hole 1]:[Hole 18]], 0)
),"")</f>
        <v>4</v>
      </c>
      <c r="L31" cm="1">
        <f t="array" ref="L31">IFERROR(
  INDEX('Golf Log'!$E$2:$V$72,
    MATCH(1,
      ('Golf Log'!$A$2:$A$72=$A31)*
      ('Golf Log'!$B$2:$B$72=$B31)*
      ('Golf Log'!$C$2:$C$72=$C31),
    0),
    MATCH($G31,'Golf Log'!$E$1:$V$1,0)
  ),
"")</f>
        <v>5</v>
      </c>
      <c r="M31">
        <f t="shared" si="1"/>
        <v>1</v>
      </c>
      <c r="N31" t="str">
        <f t="shared" si="2"/>
        <v>Bogey</v>
      </c>
      <c r="O31" cm="1">
        <f t="array" ref="O31">IFERROR(
  INDEX('Putt Log'!$E$2:$V$72,
    MATCH(1,
      ('Putt Log'!$A$2:$A$72=$A31)*
      ('Putt Log'!$B$2:$B$72=$B31)*
      ('Putt Log'!$C$2:$C$72=$C31),
    0),
    MATCH($G31,'Putt Log'!$E$1:$V$1,0)
  ),
"")</f>
        <v>2</v>
      </c>
      <c r="P31" cm="1">
        <f t="array" ref="P31">IF(K31=3,"",
  IFERROR(
    INDEX('Fairway Log'!$E$2:$V$72,
      MATCH(1,
        ('Fairway Log'!$A$2:$A$72=$A31)*
        ('Fairway Log'!$B$2:$B$72=$B31)*
        ('Fairway Log'!$C$2:$C102=$C31),
      0),
      MATCH($G31,'Fairway Log'!$E$1:$V$1,0)
    ),
  "")
)</f>
        <v>1</v>
      </c>
      <c r="Q31" t="str" cm="1">
        <f t="array" ref="Q31">IFERROR(
  INDEX('GIR Log'!$E$2:$V$72,
    MATCH(1,
      ('GIR Log'!$A$2:$A$72=$A31)*
      ('GIR Log'!$B$2:$B$72=$B31)*
      ('GIR Log'!$C$2:$C$72=$C31),
    0),
    MATCH($G31,'GIR Log'!$E$1:$V$1,0)
  ),
"")</f>
        <v>→</v>
      </c>
    </row>
    <row r="32" spans="1:17" x14ac:dyDescent="0.25">
      <c r="A32" s="20" t="s">
        <v>126</v>
      </c>
      <c r="B32" s="2">
        <v>45655</v>
      </c>
      <c r="C32" t="s">
        <v>4</v>
      </c>
      <c r="D32" t="s">
        <v>71</v>
      </c>
      <c r="E32" s="12" t="s">
        <v>34</v>
      </c>
      <c r="F32">
        <v>85</v>
      </c>
      <c r="G32" t="s">
        <v>59</v>
      </c>
      <c r="H32" s="9">
        <f t="shared" si="0"/>
        <v>13</v>
      </c>
      <c r="I32" cm="1">
        <f t="array" ref="I32">IFERROR(INDEX(CourseYardages[[Hole 1]:[Hole 18]],
  MATCH(1, (CourseYardages[Course]=C32)*(CourseYardages[Tees]=E32), 0),
  MATCH(G32, CourseYardages[[#Headers],[Hole 1]:[Hole 18]], 0)
),"")</f>
        <v>139</v>
      </c>
      <c r="J32" cm="1">
        <f t="array" ref="J32">IFERROR(INDEX(CourseHandicap[[Hole 1]:[Hole 18]],
  MATCH(1, (CourseHandicap[Course]=C32)*(CourseHandicap[Tees]=E32), 0),
  MATCH(G32, CourseHandicap[[#Headers],[Hole 1]:[Hole 18]], 0)
),"")</f>
        <v>18</v>
      </c>
      <c r="K32" cm="1">
        <f t="array" ref="K32">IFERROR(INDEX(CourseRatings[[Hole 1]:[Hole 18]],
  MATCH(1, (CourseRatings[Course]=C32)*(CourseRatings[Tees]=E32), 0),
  MATCH(G32, CourseRatings[[#Headers],[Hole 1]:[Hole 18]], 0)
),"")</f>
        <v>3</v>
      </c>
      <c r="L32" cm="1">
        <f t="array" ref="L32">IFERROR(
  INDEX('Golf Log'!$E$2:$V$72,
    MATCH(1,
      ('Golf Log'!$A$2:$A$72=$A32)*
      ('Golf Log'!$B$2:$B$72=$B32)*
      ('Golf Log'!$C$2:$C$72=$C32),
    0),
    MATCH($G32,'Golf Log'!$E$1:$V$1,0)
  ),
"")</f>
        <v>4</v>
      </c>
      <c r="M32">
        <f t="shared" si="1"/>
        <v>1</v>
      </c>
      <c r="N32" t="str">
        <f t="shared" si="2"/>
        <v>Bogey</v>
      </c>
      <c r="O32" cm="1">
        <f t="array" ref="O32">IFERROR(
  INDEX('Putt Log'!$E$2:$V$72,
    MATCH(1,
      ('Putt Log'!$A$2:$A$72=$A32)*
      ('Putt Log'!$B$2:$B$72=$B32)*
      ('Putt Log'!$C$2:$C$72=$C32),
    0),
    MATCH($G32,'Putt Log'!$E$1:$V$1,0)
  ),
"")</f>
        <v>2</v>
      </c>
      <c r="P32" t="str" cm="1">
        <f t="array" ref="P32">IF(K32=3,"",
  IFERROR(
    INDEX('Fairway Log'!$E$2:$V$72,
      MATCH(1,
        ('Fairway Log'!$A$2:$A$72=$A32)*
        ('Fairway Log'!$B$2:$B$72=$B32)*
        ('Fairway Log'!$C$2:$C103=$C32),
      0),
      MATCH($G32,'Fairway Log'!$E$1:$V$1,0)
    ),
  "")
)</f>
        <v/>
      </c>
      <c r="Q32" t="str" cm="1">
        <f t="array" ref="Q32">IFERROR(
  INDEX('GIR Log'!$E$2:$V$72,
    MATCH(1,
      ('GIR Log'!$A$2:$A$72=$A32)*
      ('GIR Log'!$B$2:$B$72=$B32)*
      ('GIR Log'!$C$2:$C$72=$C32),
    0),
    MATCH($G32,'GIR Log'!$E$1:$V$1,0)
  ),
"")</f>
        <v>↓</v>
      </c>
    </row>
    <row r="33" spans="1:17" x14ac:dyDescent="0.25">
      <c r="A33" s="20" t="s">
        <v>126</v>
      </c>
      <c r="B33" s="2">
        <v>45655</v>
      </c>
      <c r="C33" t="s">
        <v>4</v>
      </c>
      <c r="D33" t="s">
        <v>71</v>
      </c>
      <c r="E33" s="12" t="s">
        <v>34</v>
      </c>
      <c r="F33">
        <v>85</v>
      </c>
      <c r="G33" t="s">
        <v>60</v>
      </c>
      <c r="H33" s="9">
        <f t="shared" si="0"/>
        <v>14</v>
      </c>
      <c r="I33" cm="1">
        <f t="array" ref="I33">IFERROR(INDEX(CourseYardages[[Hole 1]:[Hole 18]],
  MATCH(1, (CourseYardages[Course]=C33)*(CourseYardages[Tees]=E33), 0),
  MATCH(G33, CourseYardages[[#Headers],[Hole 1]:[Hole 18]], 0)
),"")</f>
        <v>368</v>
      </c>
      <c r="J33" cm="1">
        <f t="array" ref="J33">IFERROR(INDEX(CourseHandicap[[Hole 1]:[Hole 18]],
  MATCH(1, (CourseHandicap[Course]=C33)*(CourseHandicap[Tees]=E33), 0),
  MATCH(G33, CourseHandicap[[#Headers],[Hole 1]:[Hole 18]], 0)
),"")</f>
        <v>10</v>
      </c>
      <c r="K33" cm="1">
        <f t="array" ref="K33">IFERROR(INDEX(CourseRatings[[Hole 1]:[Hole 18]],
  MATCH(1, (CourseRatings[Course]=C33)*(CourseRatings[Tees]=E33), 0),
  MATCH(G33, CourseRatings[[#Headers],[Hole 1]:[Hole 18]], 0)
),"")</f>
        <v>4</v>
      </c>
      <c r="L33" cm="1">
        <f t="array" ref="L33">IFERROR(
  INDEX('Golf Log'!$E$2:$V$72,
    MATCH(1,
      ('Golf Log'!$A$2:$A$72=$A33)*
      ('Golf Log'!$B$2:$B$72=$B33)*
      ('Golf Log'!$C$2:$C$72=$C33),
    0),
    MATCH($G33,'Golf Log'!$E$1:$V$1,0)
  ),
"")</f>
        <v>6</v>
      </c>
      <c r="M33">
        <f t="shared" si="1"/>
        <v>2</v>
      </c>
      <c r="N33" t="str">
        <f t="shared" si="2"/>
        <v>Double Bogey</v>
      </c>
      <c r="O33" cm="1">
        <f t="array" ref="O33">IFERROR(
  INDEX('Putt Log'!$E$2:$V$72,
    MATCH(1,
      ('Putt Log'!$A$2:$A$72=$A33)*
      ('Putt Log'!$B$2:$B$72=$B33)*
      ('Putt Log'!$C$2:$C$72=$C33),
    0),
    MATCH($G33,'Putt Log'!$E$1:$V$1,0)
  ),
"")</f>
        <v>2</v>
      </c>
      <c r="P33" t="str" cm="1">
        <f t="array" ref="P33">IF(K33=3,"",
  IFERROR(
    INDEX('Fairway Log'!$E$2:$V$72,
      MATCH(1,
        ('Fairway Log'!$A$2:$A$72=$A33)*
        ('Fairway Log'!$B$2:$B$72=$B33)*
        ('Fairway Log'!$C$2:$C104=$C33),
      0),
      MATCH($G33,'Fairway Log'!$E$1:$V$1,0)
    ),
  "")
)</f>
        <v>→</v>
      </c>
      <c r="Q33" t="str" cm="1">
        <f t="array" ref="Q33">IFERROR(
  INDEX('GIR Log'!$E$2:$V$72,
    MATCH(1,
      ('GIR Log'!$A$2:$A$72=$A33)*
      ('GIR Log'!$B$2:$B$72=$B33)*
      ('GIR Log'!$C$2:$C$72=$C33),
    0),
    MATCH($G33,'GIR Log'!$E$1:$V$1,0)
  ),
"")</f>
        <v>↓</v>
      </c>
    </row>
    <row r="34" spans="1:17" x14ac:dyDescent="0.25">
      <c r="A34" s="20" t="s">
        <v>126</v>
      </c>
      <c r="B34" s="2">
        <v>45655</v>
      </c>
      <c r="C34" t="s">
        <v>4</v>
      </c>
      <c r="D34" t="s">
        <v>71</v>
      </c>
      <c r="E34" s="12" t="s">
        <v>34</v>
      </c>
      <c r="F34">
        <v>85</v>
      </c>
      <c r="G34" t="s">
        <v>61</v>
      </c>
      <c r="H34" s="9">
        <f t="shared" si="0"/>
        <v>15</v>
      </c>
      <c r="I34" cm="1">
        <f t="array" ref="I34">IFERROR(INDEX(CourseYardages[[Hole 1]:[Hole 18]],
  MATCH(1, (CourseYardages[Course]=C34)*(CourseYardages[Tees]=E34), 0),
  MATCH(G34, CourseYardages[[#Headers],[Hole 1]:[Hole 18]], 0)
),"")</f>
        <v>395</v>
      </c>
      <c r="J34" cm="1">
        <f t="array" ref="J34">IFERROR(INDEX(CourseHandicap[[Hole 1]:[Hole 18]],
  MATCH(1, (CourseHandicap[Course]=C34)*(CourseHandicap[Tees]=E34), 0),
  MATCH(G34, CourseHandicap[[#Headers],[Hole 1]:[Hole 18]], 0)
),"")</f>
        <v>4</v>
      </c>
      <c r="K34" cm="1">
        <f t="array" ref="K34">IFERROR(INDEX(CourseRatings[[Hole 1]:[Hole 18]],
  MATCH(1, (CourseRatings[Course]=C34)*(CourseRatings[Tees]=E34), 0),
  MATCH(G34, CourseRatings[[#Headers],[Hole 1]:[Hole 18]], 0)
),"")</f>
        <v>4</v>
      </c>
      <c r="L34" cm="1">
        <f t="array" ref="L34">IFERROR(
  INDEX('Golf Log'!$E$2:$V$72,
    MATCH(1,
      ('Golf Log'!$A$2:$A$72=$A34)*
      ('Golf Log'!$B$2:$B$72=$B34)*
      ('Golf Log'!$C$2:$C$72=$C34),
    0),
    MATCH($G34,'Golf Log'!$E$1:$V$1,0)
  ),
"")</f>
        <v>6</v>
      </c>
      <c r="M34">
        <f t="shared" si="1"/>
        <v>2</v>
      </c>
      <c r="N34" t="str">
        <f t="shared" si="2"/>
        <v>Double Bogey</v>
      </c>
      <c r="O34" cm="1">
        <f t="array" ref="O34">IFERROR(
  INDEX('Putt Log'!$E$2:$V$72,
    MATCH(1,
      ('Putt Log'!$A$2:$A$72=$A34)*
      ('Putt Log'!$B$2:$B$72=$B34)*
      ('Putt Log'!$C$2:$C$72=$C34),
    0),
    MATCH($G34,'Putt Log'!$E$1:$V$1,0)
  ),
"")</f>
        <v>1</v>
      </c>
      <c r="P34" cm="1">
        <f t="array" ref="P34">IF(K34=3,"",
  IFERROR(
    INDEX('Fairway Log'!$E$2:$V$72,
      MATCH(1,
        ('Fairway Log'!$A$2:$A$72=$A34)*
        ('Fairway Log'!$B$2:$B$72=$B34)*
        ('Fairway Log'!$C$2:$C105=$C34),
      0),
      MATCH($G34,'Fairway Log'!$E$1:$V$1,0)
    ),
  "")
)</f>
        <v>1</v>
      </c>
      <c r="Q34" t="str" cm="1">
        <f t="array" ref="Q34">IFERROR(
  INDEX('GIR Log'!$E$2:$V$72,
    MATCH(1,
      ('GIR Log'!$A$2:$A$72=$A34)*
      ('GIR Log'!$B$2:$B$72=$B34)*
      ('GIR Log'!$C$2:$C$72=$C34),
    0),
    MATCH($G34,'GIR Log'!$E$1:$V$1,0)
  ),
"")</f>
        <v>↓</v>
      </c>
    </row>
    <row r="35" spans="1:17" x14ac:dyDescent="0.25">
      <c r="A35" s="20" t="s">
        <v>126</v>
      </c>
      <c r="B35" s="2">
        <v>45655</v>
      </c>
      <c r="C35" t="s">
        <v>4</v>
      </c>
      <c r="D35" t="s">
        <v>71</v>
      </c>
      <c r="E35" s="12" t="s">
        <v>34</v>
      </c>
      <c r="F35">
        <v>85</v>
      </c>
      <c r="G35" t="s">
        <v>62</v>
      </c>
      <c r="H35" s="9">
        <f t="shared" si="0"/>
        <v>16</v>
      </c>
      <c r="I35" cm="1">
        <f t="array" ref="I35">IFERROR(INDEX(CourseYardages[[Hole 1]:[Hole 18]],
  MATCH(1, (CourseYardages[Course]=C35)*(CourseYardages[Tees]=E35), 0),
  MATCH(G35, CourseYardages[[#Headers],[Hole 1]:[Hole 18]], 0)
),"")</f>
        <v>150</v>
      </c>
      <c r="J35" cm="1">
        <f t="array" ref="J35">IFERROR(INDEX(CourseHandicap[[Hole 1]:[Hole 18]],
  MATCH(1, (CourseHandicap[Course]=C35)*(CourseHandicap[Tees]=E35), 0),
  MATCH(G35, CourseHandicap[[#Headers],[Hole 1]:[Hole 18]], 0)
),"")</f>
        <v>14</v>
      </c>
      <c r="K35" cm="1">
        <f t="array" ref="K35">IFERROR(INDEX(CourseRatings[[Hole 1]:[Hole 18]],
  MATCH(1, (CourseRatings[Course]=C35)*(CourseRatings[Tees]=E35), 0),
  MATCH(G35, CourseRatings[[#Headers],[Hole 1]:[Hole 18]], 0)
),"")</f>
        <v>3</v>
      </c>
      <c r="L35" cm="1">
        <f t="array" ref="L35">IFERROR(
  INDEX('Golf Log'!$E$2:$V$72,
    MATCH(1,
      ('Golf Log'!$A$2:$A$72=$A35)*
      ('Golf Log'!$B$2:$B$72=$B35)*
      ('Golf Log'!$C$2:$C$72=$C35),
    0),
    MATCH($G35,'Golf Log'!$E$1:$V$1,0)
  ),
"")</f>
        <v>4</v>
      </c>
      <c r="M35">
        <f t="shared" si="1"/>
        <v>1</v>
      </c>
      <c r="N35" t="str">
        <f t="shared" si="2"/>
        <v>Bogey</v>
      </c>
      <c r="O35" cm="1">
        <f t="array" ref="O35">IFERROR(
  INDEX('Putt Log'!$E$2:$V$72,
    MATCH(1,
      ('Putt Log'!$A$2:$A$72=$A35)*
      ('Putt Log'!$B$2:$B$72=$B35)*
      ('Putt Log'!$C$2:$C$72=$C35),
    0),
    MATCH($G35,'Putt Log'!$E$1:$V$1,0)
  ),
"")</f>
        <v>2</v>
      </c>
      <c r="P35" t="str" cm="1">
        <f t="array" ref="P35">IF(K35=3,"",
  IFERROR(
    INDEX('Fairway Log'!$E$2:$V$72,
      MATCH(1,
        ('Fairway Log'!$A$2:$A$72=$A35)*
        ('Fairway Log'!$B$2:$B$72=$B35)*
        ('Fairway Log'!$C$2:$C106=$C35),
      0),
      MATCH($G35,'Fairway Log'!$E$1:$V$1,0)
    ),
  "")
)</f>
        <v/>
      </c>
      <c r="Q35" t="str" cm="1">
        <f t="array" ref="Q35">IFERROR(
  INDEX('GIR Log'!$E$2:$V$72,
    MATCH(1,
      ('GIR Log'!$A$2:$A$72=$A35)*
      ('GIR Log'!$B$2:$B$72=$B35)*
      ('GIR Log'!$C$2:$C$72=$C35),
    0),
    MATCH($G35,'GIR Log'!$E$1:$V$1,0)
  ),
"")</f>
        <v>↓</v>
      </c>
    </row>
    <row r="36" spans="1:17" x14ac:dyDescent="0.25">
      <c r="A36" s="20" t="s">
        <v>126</v>
      </c>
      <c r="B36" s="2">
        <v>45655</v>
      </c>
      <c r="C36" t="s">
        <v>4</v>
      </c>
      <c r="D36" t="s">
        <v>71</v>
      </c>
      <c r="E36" s="12" t="s">
        <v>34</v>
      </c>
      <c r="F36">
        <v>85</v>
      </c>
      <c r="G36" t="s">
        <v>63</v>
      </c>
      <c r="H36" s="9">
        <f t="shared" si="0"/>
        <v>17</v>
      </c>
      <c r="I36" cm="1">
        <f t="array" ref="I36">IFERROR(INDEX(CourseYardages[[Hole 1]:[Hole 18]],
  MATCH(1, (CourseYardages[Course]=C36)*(CourseYardages[Tees]=E36), 0),
  MATCH(G36, CourseYardages[[#Headers],[Hole 1]:[Hole 18]], 0)
),"")</f>
        <v>300</v>
      </c>
      <c r="J36" cm="1">
        <f t="array" ref="J36">IFERROR(INDEX(CourseHandicap[[Hole 1]:[Hole 18]],
  MATCH(1, (CourseHandicap[Course]=C36)*(CourseHandicap[Tees]=E36), 0),
  MATCH(G36, CourseHandicap[[#Headers],[Hole 1]:[Hole 18]], 0)
),"")</f>
        <v>16</v>
      </c>
      <c r="K36" cm="1">
        <f t="array" ref="K36">IFERROR(INDEX(CourseRatings[[Hole 1]:[Hole 18]],
  MATCH(1, (CourseRatings[Course]=C36)*(CourseRatings[Tees]=E36), 0),
  MATCH(G36, CourseRatings[[#Headers],[Hole 1]:[Hole 18]], 0)
),"")</f>
        <v>4</v>
      </c>
      <c r="L36" cm="1">
        <f t="array" ref="L36">IFERROR(
  INDEX('Golf Log'!$E$2:$V$72,
    MATCH(1,
      ('Golf Log'!$A$2:$A$72=$A36)*
      ('Golf Log'!$B$2:$B$72=$B36)*
      ('Golf Log'!$C$2:$C$72=$C36),
    0),
    MATCH($G36,'Golf Log'!$E$1:$V$1,0)
  ),
"")</f>
        <v>4</v>
      </c>
      <c r="M36">
        <f t="shared" si="1"/>
        <v>0</v>
      </c>
      <c r="N36" t="str">
        <f t="shared" si="2"/>
        <v>Par</v>
      </c>
      <c r="O36" cm="1">
        <f t="array" ref="O36">IFERROR(
  INDEX('Putt Log'!$E$2:$V$72,
    MATCH(1,
      ('Putt Log'!$A$2:$A$72=$A36)*
      ('Putt Log'!$B$2:$B$72=$B36)*
      ('Putt Log'!$C$2:$C$72=$C36),
    0),
    MATCH($G36,'Putt Log'!$E$1:$V$1,0)
  ),
"")</f>
        <v>2</v>
      </c>
      <c r="P36" cm="1">
        <f t="array" ref="P36">IF(K36=3,"",
  IFERROR(
    INDEX('Fairway Log'!$E$2:$V$72,
      MATCH(1,
        ('Fairway Log'!$A$2:$A$72=$A36)*
        ('Fairway Log'!$B$2:$B$72=$B36)*
        ('Fairway Log'!$C$2:$C107=$C36),
      0),
      MATCH($G36,'Fairway Log'!$E$1:$V$1,0)
    ),
  "")
)</f>
        <v>1</v>
      </c>
      <c r="Q36" cm="1">
        <f t="array" ref="Q36">IFERROR(
  INDEX('GIR Log'!$E$2:$V$72,
    MATCH(1,
      ('GIR Log'!$A$2:$A$72=$A36)*
      ('GIR Log'!$B$2:$B$72=$B36)*
      ('GIR Log'!$C$2:$C$72=$C36),
    0),
    MATCH($G36,'GIR Log'!$E$1:$V$1,0)
  ),
"")</f>
        <v>1</v>
      </c>
    </row>
    <row r="37" spans="1:17" x14ac:dyDescent="0.25">
      <c r="A37" s="20" t="s">
        <v>126</v>
      </c>
      <c r="B37" s="2">
        <v>45655</v>
      </c>
      <c r="C37" t="s">
        <v>4</v>
      </c>
      <c r="D37" t="s">
        <v>71</v>
      </c>
      <c r="E37" s="12" t="s">
        <v>34</v>
      </c>
      <c r="F37">
        <v>85</v>
      </c>
      <c r="G37" t="s">
        <v>64</v>
      </c>
      <c r="H37" s="9">
        <f t="shared" si="0"/>
        <v>18</v>
      </c>
      <c r="I37" cm="1">
        <f t="array" ref="I37">IFERROR(INDEX(CourseYardages[[Hole 1]:[Hole 18]],
  MATCH(1, (CourseYardages[Course]=C37)*(CourseYardages[Tees]=E37), 0),
  MATCH(G37, CourseYardages[[#Headers],[Hole 1]:[Hole 18]], 0)
),"")</f>
        <v>531</v>
      </c>
      <c r="J37" cm="1">
        <f t="array" ref="J37">IFERROR(INDEX(CourseHandicap[[Hole 1]:[Hole 18]],
  MATCH(1, (CourseHandicap[Course]=C37)*(CourseHandicap[Tees]=E37), 0),
  MATCH(G37, CourseHandicap[[#Headers],[Hole 1]:[Hole 18]], 0)
),"")</f>
        <v>12</v>
      </c>
      <c r="K37" cm="1">
        <f t="array" ref="K37">IFERROR(INDEX(CourseRatings[[Hole 1]:[Hole 18]],
  MATCH(1, (CourseRatings[Course]=C37)*(CourseRatings[Tees]=E37), 0),
  MATCH(G37, CourseRatings[[#Headers],[Hole 1]:[Hole 18]], 0)
),"")</f>
        <v>5</v>
      </c>
      <c r="L37" cm="1">
        <f t="array" ref="L37">IFERROR(
  INDEX('Golf Log'!$E$2:$V$72,
    MATCH(1,
      ('Golf Log'!$A$2:$A$72=$A37)*
      ('Golf Log'!$B$2:$B$72=$B37)*
      ('Golf Log'!$C$2:$C$72=$C37),
    0),
    MATCH($G37,'Golf Log'!$E$1:$V$1,0)
  ),
"")</f>
        <v>5</v>
      </c>
      <c r="M37">
        <f t="shared" si="1"/>
        <v>0</v>
      </c>
      <c r="N37" t="str">
        <f t="shared" si="2"/>
        <v>Par</v>
      </c>
      <c r="O37" cm="1">
        <f t="array" ref="O37">IFERROR(
  INDEX('Putt Log'!$E$2:$V$72,
    MATCH(1,
      ('Putt Log'!$A$2:$A$72=$A37)*
      ('Putt Log'!$B$2:$B$72=$B37)*
      ('Putt Log'!$C$2:$C$72=$C37),
    0),
    MATCH($G37,'Putt Log'!$E$1:$V$1,0)
  ),
"")</f>
        <v>2</v>
      </c>
      <c r="P37" cm="1">
        <f t="array" ref="P37">IF(K37=3,"",
  IFERROR(
    INDEX('Fairway Log'!$E$2:$V$72,
      MATCH(1,
        ('Fairway Log'!$A$2:$A$72=$A37)*
        ('Fairway Log'!$B$2:$B$72=$B37)*
        ('Fairway Log'!$C$2:$C108=$C37),
      0),
      MATCH($G37,'Fairway Log'!$E$1:$V$1,0)
    ),
  "")
)</f>
        <v>1</v>
      </c>
      <c r="Q37" cm="1">
        <f t="array" ref="Q37">IFERROR(
  INDEX('GIR Log'!$E$2:$V$72,
    MATCH(1,
      ('GIR Log'!$A$2:$A$72=$A37)*
      ('GIR Log'!$B$2:$B$72=$B37)*
      ('GIR Log'!$C$2:$C$72=$C37),
    0),
    MATCH($G37,'GIR Log'!$E$1:$V$1,0)
  ),
"")</f>
        <v>1</v>
      </c>
    </row>
    <row r="38" spans="1:17" x14ac:dyDescent="0.25">
      <c r="A38" s="20" t="s">
        <v>126</v>
      </c>
      <c r="B38" s="2">
        <v>45653</v>
      </c>
      <c r="C38" t="s">
        <v>2</v>
      </c>
      <c r="D38" t="s">
        <v>72</v>
      </c>
      <c r="E38" s="12" t="s">
        <v>34</v>
      </c>
      <c r="F38">
        <v>80</v>
      </c>
      <c r="G38" t="s">
        <v>47</v>
      </c>
      <c r="H38" s="9">
        <f t="shared" si="0"/>
        <v>1</v>
      </c>
      <c r="I38" cm="1">
        <f t="array" ref="I38">IFERROR(INDEX(CourseYardages[[Hole 1]:[Hole 18]],
  MATCH(1, (CourseYardages[Course]=C38)*(CourseYardages[Tees]=E38), 0),
  MATCH(G38, CourseYardages[[#Headers],[Hole 1]:[Hole 18]], 0)
),"")</f>
        <v>400</v>
      </c>
      <c r="J38" cm="1">
        <f t="array" ref="J38">IFERROR(INDEX(CourseHandicap[[Hole 1]:[Hole 18]],
  MATCH(1, (CourseHandicap[Course]=C38)*(CourseHandicap[Tees]=E38), 0),
  MATCH(G38, CourseHandicap[[#Headers],[Hole 1]:[Hole 18]], 0)
),"")</f>
        <v>11</v>
      </c>
      <c r="K38" cm="1">
        <f t="array" ref="K38">IFERROR(INDEX(CourseRatings[[Hole 1]:[Hole 18]],
  MATCH(1, (CourseRatings[Course]=C38)*(CourseRatings[Tees]=E38), 0),
  MATCH(G38, CourseRatings[[#Headers],[Hole 1]:[Hole 18]], 0)
),"")</f>
        <v>4</v>
      </c>
      <c r="L38" cm="1">
        <f t="array" ref="L38">IFERROR(
  INDEX('Golf Log'!$E$2:$V$72,
    MATCH(1,
      ('Golf Log'!$A$2:$A$72=$A38)*
      ('Golf Log'!$B$2:$B$72=$B38)*
      ('Golf Log'!$C$2:$C$72=$C38),
    0),
    MATCH($G38,'Golf Log'!$E$1:$V$1,0)
  ),
"")</f>
        <v>5</v>
      </c>
      <c r="M38">
        <f t="shared" si="1"/>
        <v>1</v>
      </c>
      <c r="N38" t="str">
        <f t="shared" si="2"/>
        <v>Bogey</v>
      </c>
      <c r="O38" cm="1">
        <f t="array" ref="O38">IFERROR(
  INDEX('Putt Log'!$E$2:$V$72,
    MATCH(1,
      ('Putt Log'!$A$2:$A$72=$A38)*
      ('Putt Log'!$B$2:$B$72=$B38)*
      ('Putt Log'!$C$2:$C$72=$C38),
    0),
    MATCH($G38,'Putt Log'!$E$1:$V$1,0)
  ),
"")</f>
        <v>2</v>
      </c>
      <c r="P38" cm="1">
        <f t="array" ref="P38">IF(K38=3,"",
  IFERROR(
    INDEX('Fairway Log'!$E$2:$V$72,
      MATCH(1,
        ('Fairway Log'!$A$2:$A$72=$A38)*
        ('Fairway Log'!$B$2:$B$72=$B38)*
        ('Fairway Log'!$C$2:$C109=$C38),
      0),
      MATCH($G38,'Fairway Log'!$E$1:$V$1,0)
    ),
  "")
)</f>
        <v>1</v>
      </c>
      <c r="Q38" t="str" cm="1">
        <f t="array" ref="Q38">IFERROR(
  INDEX('GIR Log'!$E$2:$V$72,
    MATCH(1,
      ('GIR Log'!$A$2:$A$72=$A38)*
      ('GIR Log'!$B$2:$B$72=$B38)*
      ('GIR Log'!$C$2:$C$72=$C38),
    0),
    MATCH($G38,'GIR Log'!$E$1:$V$1,0)
  ),
"")</f>
        <v>↓</v>
      </c>
    </row>
    <row r="39" spans="1:17" x14ac:dyDescent="0.25">
      <c r="A39" s="20" t="s">
        <v>126</v>
      </c>
      <c r="B39" s="2">
        <v>45653</v>
      </c>
      <c r="C39" t="s">
        <v>2</v>
      </c>
      <c r="D39" t="s">
        <v>72</v>
      </c>
      <c r="E39" s="12" t="s">
        <v>34</v>
      </c>
      <c r="F39">
        <v>80</v>
      </c>
      <c r="G39" t="s">
        <v>48</v>
      </c>
      <c r="H39" s="9">
        <f t="shared" si="0"/>
        <v>2</v>
      </c>
      <c r="I39" cm="1">
        <f t="array" ref="I39">IFERROR(INDEX(CourseYardages[[Hole 1]:[Hole 18]],
  MATCH(1, (CourseYardages[Course]=C39)*(CourseYardages[Tees]=E39), 0),
  MATCH(G39, CourseYardages[[#Headers],[Hole 1]:[Hole 18]], 0)
),"")</f>
        <v>500</v>
      </c>
      <c r="J39" cm="1">
        <f t="array" ref="J39">IFERROR(INDEX(CourseHandicap[[Hole 1]:[Hole 18]],
  MATCH(1, (CourseHandicap[Course]=C39)*(CourseHandicap[Tees]=E39), 0),
  MATCH(G39, CourseHandicap[[#Headers],[Hole 1]:[Hole 18]], 0)
),"")</f>
        <v>9</v>
      </c>
      <c r="K39" cm="1">
        <f t="array" ref="K39">IFERROR(INDEX(CourseRatings[[Hole 1]:[Hole 18]],
  MATCH(1, (CourseRatings[Course]=C39)*(CourseRatings[Tees]=E39), 0),
  MATCH(G39, CourseRatings[[#Headers],[Hole 1]:[Hole 18]], 0)
),"")</f>
        <v>5</v>
      </c>
      <c r="L39" cm="1">
        <f t="array" ref="L39">IFERROR(
  INDEX('Golf Log'!$E$2:$V$72,
    MATCH(1,
      ('Golf Log'!$A$2:$A$72=$A39)*
      ('Golf Log'!$B$2:$B$72=$B39)*
      ('Golf Log'!$C$2:$C$72=$C39),
    0),
    MATCH($G39,'Golf Log'!$E$1:$V$1,0)
  ),
"")</f>
        <v>6</v>
      </c>
      <c r="M39">
        <f t="shared" si="1"/>
        <v>1</v>
      </c>
      <c r="N39" t="str">
        <f t="shared" si="2"/>
        <v>Bogey</v>
      </c>
      <c r="O39" cm="1">
        <f t="array" ref="O39">IFERROR(
  INDEX('Putt Log'!$E$2:$V$72,
    MATCH(1,
      ('Putt Log'!$A$2:$A$72=$A39)*
      ('Putt Log'!$B$2:$B$72=$B39)*
      ('Putt Log'!$C$2:$C$72=$C39),
    0),
    MATCH($G39,'Putt Log'!$E$1:$V$1,0)
  ),
"")</f>
        <v>3</v>
      </c>
      <c r="P39" cm="1">
        <f t="array" ref="P39">IF(K39=3,"",
  IFERROR(
    INDEX('Fairway Log'!$E$2:$V$72,
      MATCH(1,
        ('Fairway Log'!$A$2:$A$72=$A39)*
        ('Fairway Log'!$B$2:$B$72=$B39)*
        ('Fairway Log'!$C$2:$C110=$C39),
      0),
      MATCH($G39,'Fairway Log'!$E$1:$V$1,0)
    ),
  "")
)</f>
        <v>1</v>
      </c>
      <c r="Q39" cm="1">
        <f t="array" ref="Q39">IFERROR(
  INDEX('GIR Log'!$E$2:$V$72,
    MATCH(1,
      ('GIR Log'!$A$2:$A$72=$A39)*
      ('GIR Log'!$B$2:$B$72=$B39)*
      ('GIR Log'!$C$2:$C$72=$C39),
    0),
    MATCH($G39,'GIR Log'!$E$1:$V$1,0)
  ),
"")</f>
        <v>1</v>
      </c>
    </row>
    <row r="40" spans="1:17" x14ac:dyDescent="0.25">
      <c r="A40" s="20" t="s">
        <v>126</v>
      </c>
      <c r="B40" s="2">
        <v>45653</v>
      </c>
      <c r="C40" t="s">
        <v>2</v>
      </c>
      <c r="D40" t="s">
        <v>72</v>
      </c>
      <c r="E40" s="12" t="s">
        <v>34</v>
      </c>
      <c r="F40">
        <v>80</v>
      </c>
      <c r="G40" t="s">
        <v>49</v>
      </c>
      <c r="H40" s="9">
        <f t="shared" si="0"/>
        <v>3</v>
      </c>
      <c r="I40" cm="1">
        <f t="array" ref="I40">IFERROR(INDEX(CourseYardages[[Hole 1]:[Hole 18]],
  MATCH(1, (CourseYardages[Course]=C40)*(CourseYardages[Tees]=E40), 0),
  MATCH(G40, CourseYardages[[#Headers],[Hole 1]:[Hole 18]], 0)
),"")</f>
        <v>176</v>
      </c>
      <c r="J40" cm="1">
        <f t="array" ref="J40">IFERROR(INDEX(CourseHandicap[[Hole 1]:[Hole 18]],
  MATCH(1, (CourseHandicap[Course]=C40)*(CourseHandicap[Tees]=E40), 0),
  MATCH(G40, CourseHandicap[[#Headers],[Hole 1]:[Hole 18]], 0)
),"")</f>
        <v>15</v>
      </c>
      <c r="K40" cm="1">
        <f t="array" ref="K40">IFERROR(INDEX(CourseRatings[[Hole 1]:[Hole 18]],
  MATCH(1, (CourseRatings[Course]=C40)*(CourseRatings[Tees]=E40), 0),
  MATCH(G40, CourseRatings[[#Headers],[Hole 1]:[Hole 18]], 0)
),"")</f>
        <v>3</v>
      </c>
      <c r="L40" cm="1">
        <f t="array" ref="L40">IFERROR(
  INDEX('Golf Log'!$E$2:$V$72,
    MATCH(1,
      ('Golf Log'!$A$2:$A$72=$A40)*
      ('Golf Log'!$B$2:$B$72=$B40)*
      ('Golf Log'!$C$2:$C$72=$C40),
    0),
    MATCH($G40,'Golf Log'!$E$1:$V$1,0)
  ),
"")</f>
        <v>4</v>
      </c>
      <c r="M40">
        <f t="shared" si="1"/>
        <v>1</v>
      </c>
      <c r="N40" t="str">
        <f t="shared" si="2"/>
        <v>Bogey</v>
      </c>
      <c r="O40" cm="1">
        <f t="array" ref="O40">IFERROR(
  INDEX('Putt Log'!$E$2:$V$72,
    MATCH(1,
      ('Putt Log'!$A$2:$A$72=$A40)*
      ('Putt Log'!$B$2:$B$72=$B40)*
      ('Putt Log'!$C$2:$C$72=$C40),
    0),
    MATCH($G40,'Putt Log'!$E$1:$V$1,0)
  ),
"")</f>
        <v>2</v>
      </c>
      <c r="P40" t="str" cm="1">
        <f t="array" ref="P40">IF(K40=3,"",
  IFERROR(
    INDEX('Fairway Log'!$E$2:$V$72,
      MATCH(1,
        ('Fairway Log'!$A$2:$A$72=$A40)*
        ('Fairway Log'!$B$2:$B$72=$B40)*
        ('Fairway Log'!$C$2:$C111=$C40),
      0),
      MATCH($G40,'Fairway Log'!$E$1:$V$1,0)
    ),
  "")
)</f>
        <v/>
      </c>
      <c r="Q40" t="str" cm="1">
        <f t="array" ref="Q40">IFERROR(
  INDEX('GIR Log'!$E$2:$V$72,
    MATCH(1,
      ('GIR Log'!$A$2:$A$72=$A40)*
      ('GIR Log'!$B$2:$B$72=$B40)*
      ('GIR Log'!$C$2:$C$72=$C40),
    0),
    MATCH($G40,'GIR Log'!$E$1:$V$1,0)
  ),
"")</f>
        <v>↑</v>
      </c>
    </row>
    <row r="41" spans="1:17" x14ac:dyDescent="0.25">
      <c r="A41" s="20" t="s">
        <v>126</v>
      </c>
      <c r="B41" s="2">
        <v>45653</v>
      </c>
      <c r="C41" t="s">
        <v>2</v>
      </c>
      <c r="D41" t="s">
        <v>72</v>
      </c>
      <c r="E41" s="12" t="s">
        <v>34</v>
      </c>
      <c r="F41">
        <v>80</v>
      </c>
      <c r="G41" t="s">
        <v>50</v>
      </c>
      <c r="H41" s="9">
        <f t="shared" si="0"/>
        <v>4</v>
      </c>
      <c r="I41" cm="1">
        <f t="array" ref="I41">IFERROR(INDEX(CourseYardages[[Hole 1]:[Hole 18]],
  MATCH(1, (CourseYardages[Course]=C41)*(CourseYardages[Tees]=E41), 0),
  MATCH(G41, CourseYardages[[#Headers],[Hole 1]:[Hole 18]], 0)
),"")</f>
        <v>393</v>
      </c>
      <c r="J41" cm="1">
        <f t="array" ref="J41">IFERROR(INDEX(CourseHandicap[[Hole 1]:[Hole 18]],
  MATCH(1, (CourseHandicap[Course]=C41)*(CourseHandicap[Tees]=E41), 0),
  MATCH(G41, CourseHandicap[[#Headers],[Hole 1]:[Hole 18]], 0)
),"")</f>
        <v>5</v>
      </c>
      <c r="K41" cm="1">
        <f t="array" ref="K41">IFERROR(INDEX(CourseRatings[[Hole 1]:[Hole 18]],
  MATCH(1, (CourseRatings[Course]=C41)*(CourseRatings[Tees]=E41), 0),
  MATCH(G41, CourseRatings[[#Headers],[Hole 1]:[Hole 18]], 0)
),"")</f>
        <v>4</v>
      </c>
      <c r="L41" cm="1">
        <f t="array" ref="L41">IFERROR(
  INDEX('Golf Log'!$E$2:$V$72,
    MATCH(1,
      ('Golf Log'!$A$2:$A$72=$A41)*
      ('Golf Log'!$B$2:$B$72=$B41)*
      ('Golf Log'!$C$2:$C$72=$C41),
    0),
    MATCH($G41,'Golf Log'!$E$1:$V$1,0)
  ),
"")</f>
        <v>4</v>
      </c>
      <c r="M41">
        <f t="shared" si="1"/>
        <v>0</v>
      </c>
      <c r="N41" t="str">
        <f t="shared" si="2"/>
        <v>Par</v>
      </c>
      <c r="O41" cm="1">
        <f t="array" ref="O41">IFERROR(
  INDEX('Putt Log'!$E$2:$V$72,
    MATCH(1,
      ('Putt Log'!$A$2:$A$72=$A41)*
      ('Putt Log'!$B$2:$B$72=$B41)*
      ('Putt Log'!$C$2:$C$72=$C41),
    0),
    MATCH($G41,'Putt Log'!$E$1:$V$1,0)
  ),
"")</f>
        <v>2</v>
      </c>
      <c r="P41" cm="1">
        <f t="array" ref="P41">IF(K41=3,"",
  IFERROR(
    INDEX('Fairway Log'!$E$2:$V$72,
      MATCH(1,
        ('Fairway Log'!$A$2:$A$72=$A41)*
        ('Fairway Log'!$B$2:$B$72=$B41)*
        ('Fairway Log'!$C$2:$C112=$C41),
      0),
      MATCH($G41,'Fairway Log'!$E$1:$V$1,0)
    ),
  "")
)</f>
        <v>1</v>
      </c>
      <c r="Q41" cm="1">
        <f t="array" ref="Q41">IFERROR(
  INDEX('GIR Log'!$E$2:$V$72,
    MATCH(1,
      ('GIR Log'!$A$2:$A$72=$A41)*
      ('GIR Log'!$B$2:$B$72=$B41)*
      ('GIR Log'!$C$2:$C$72=$C41),
    0),
    MATCH($G41,'GIR Log'!$E$1:$V$1,0)
  ),
"")</f>
        <v>1</v>
      </c>
    </row>
    <row r="42" spans="1:17" x14ac:dyDescent="0.25">
      <c r="A42" s="20" t="s">
        <v>126</v>
      </c>
      <c r="B42" s="2">
        <v>45653</v>
      </c>
      <c r="C42" t="s">
        <v>2</v>
      </c>
      <c r="D42" t="s">
        <v>72</v>
      </c>
      <c r="E42" s="12" t="s">
        <v>34</v>
      </c>
      <c r="F42">
        <v>80</v>
      </c>
      <c r="G42" t="s">
        <v>51</v>
      </c>
      <c r="H42" s="9">
        <f t="shared" si="0"/>
        <v>5</v>
      </c>
      <c r="I42" cm="1">
        <f t="array" ref="I42">IFERROR(INDEX(CourseYardages[[Hole 1]:[Hole 18]],
  MATCH(1, (CourseYardages[Course]=C42)*(CourseYardages[Tees]=E42), 0),
  MATCH(G42, CourseYardages[[#Headers],[Hole 1]:[Hole 18]], 0)
),"")</f>
        <v>428</v>
      </c>
      <c r="J42" cm="1">
        <f t="array" ref="J42">IFERROR(INDEX(CourseHandicap[[Hole 1]:[Hole 18]],
  MATCH(1, (CourseHandicap[Course]=C42)*(CourseHandicap[Tees]=E42), 0),
  MATCH(G42, CourseHandicap[[#Headers],[Hole 1]:[Hole 18]], 0)
),"")</f>
        <v>3</v>
      </c>
      <c r="K42" cm="1">
        <f t="array" ref="K42">IFERROR(INDEX(CourseRatings[[Hole 1]:[Hole 18]],
  MATCH(1, (CourseRatings[Course]=C42)*(CourseRatings[Tees]=E42), 0),
  MATCH(G42, CourseRatings[[#Headers],[Hole 1]:[Hole 18]], 0)
),"")</f>
        <v>4</v>
      </c>
      <c r="L42" cm="1">
        <f t="array" ref="L42">IFERROR(
  INDEX('Golf Log'!$E$2:$V$72,
    MATCH(1,
      ('Golf Log'!$A$2:$A$72=$A42)*
      ('Golf Log'!$B$2:$B$72=$B42)*
      ('Golf Log'!$C$2:$C$72=$C42),
    0),
    MATCH($G42,'Golf Log'!$E$1:$V$1,0)
  ),
"")</f>
        <v>4</v>
      </c>
      <c r="M42">
        <f t="shared" si="1"/>
        <v>0</v>
      </c>
      <c r="N42" t="str">
        <f t="shared" si="2"/>
        <v>Par</v>
      </c>
      <c r="O42" cm="1">
        <f t="array" ref="O42">IFERROR(
  INDEX('Putt Log'!$E$2:$V$72,
    MATCH(1,
      ('Putt Log'!$A$2:$A$72=$A42)*
      ('Putt Log'!$B$2:$B$72=$B42)*
      ('Putt Log'!$C$2:$C$72=$C42),
    0),
    MATCH($G42,'Putt Log'!$E$1:$V$1,0)
  ),
"")</f>
        <v>1</v>
      </c>
      <c r="P42" t="str" cm="1">
        <f t="array" ref="P42">IF(K42=3,"",
  IFERROR(
    INDEX('Fairway Log'!$E$2:$V$72,
      MATCH(1,
        ('Fairway Log'!$A$2:$A$72=$A42)*
        ('Fairway Log'!$B$2:$B$72=$B42)*
        ('Fairway Log'!$C$2:$C113=$C42),
      0),
      MATCH($G42,'Fairway Log'!$E$1:$V$1,0)
    ),
  "")
)</f>
        <v>←</v>
      </c>
      <c r="Q42" t="str" cm="1">
        <f t="array" ref="Q42">IFERROR(
  INDEX('GIR Log'!$E$2:$V$72,
    MATCH(1,
      ('GIR Log'!$A$2:$A$72=$A42)*
      ('GIR Log'!$B$2:$B$72=$B42)*
      ('GIR Log'!$C$2:$C$72=$C42),
    0),
    MATCH($G42,'GIR Log'!$E$1:$V$1,0)
  ),
"")</f>
        <v>↓</v>
      </c>
    </row>
    <row r="43" spans="1:17" x14ac:dyDescent="0.25">
      <c r="A43" s="20" t="s">
        <v>126</v>
      </c>
      <c r="B43" s="2">
        <v>45653</v>
      </c>
      <c r="C43" t="s">
        <v>2</v>
      </c>
      <c r="D43" t="s">
        <v>72</v>
      </c>
      <c r="E43" s="12" t="s">
        <v>34</v>
      </c>
      <c r="F43">
        <v>80</v>
      </c>
      <c r="G43" t="s">
        <v>52</v>
      </c>
      <c r="H43" s="9">
        <f t="shared" si="0"/>
        <v>6</v>
      </c>
      <c r="I43" cm="1">
        <f t="array" ref="I43">IFERROR(INDEX(CourseYardages[[Hole 1]:[Hole 18]],
  MATCH(1, (CourseYardages[Course]=C43)*(CourseYardages[Tees]=E43), 0),
  MATCH(G43, CourseYardages[[#Headers],[Hole 1]:[Hole 18]], 0)
),"")</f>
        <v>264</v>
      </c>
      <c r="J43" cm="1">
        <f t="array" ref="J43">IFERROR(INDEX(CourseHandicap[[Hole 1]:[Hole 18]],
  MATCH(1, (CourseHandicap[Course]=C43)*(CourseHandicap[Tees]=E43), 0),
  MATCH(G43, CourseHandicap[[#Headers],[Hole 1]:[Hole 18]], 0)
),"")</f>
        <v>17</v>
      </c>
      <c r="K43" cm="1">
        <f t="array" ref="K43">IFERROR(INDEX(CourseRatings[[Hole 1]:[Hole 18]],
  MATCH(1, (CourseRatings[Course]=C43)*(CourseRatings[Tees]=E43), 0),
  MATCH(G43, CourseRatings[[#Headers],[Hole 1]:[Hole 18]], 0)
),"")</f>
        <v>4</v>
      </c>
      <c r="L43" cm="1">
        <f t="array" ref="L43">IFERROR(
  INDEX('Golf Log'!$E$2:$V$72,
    MATCH(1,
      ('Golf Log'!$A$2:$A$72=$A43)*
      ('Golf Log'!$B$2:$B$72=$B43)*
      ('Golf Log'!$C$2:$C$72=$C43),
    0),
    MATCH($G43,'Golf Log'!$E$1:$V$1,0)
  ),
"")</f>
        <v>4</v>
      </c>
      <c r="M43">
        <f t="shared" si="1"/>
        <v>0</v>
      </c>
      <c r="N43" t="str">
        <f t="shared" si="2"/>
        <v>Par</v>
      </c>
      <c r="O43" cm="1">
        <f t="array" ref="O43">IFERROR(
  INDEX('Putt Log'!$E$2:$V$72,
    MATCH(1,
      ('Putt Log'!$A$2:$A$72=$A43)*
      ('Putt Log'!$B$2:$B$72=$B43)*
      ('Putt Log'!$C$2:$C$72=$C43),
    0),
    MATCH($G43,'Putt Log'!$E$1:$V$1,0)
  ),
"")</f>
        <v>2</v>
      </c>
      <c r="P43" t="str" cm="1">
        <f t="array" ref="P43">IF(K43=3,"",
  IFERROR(
    INDEX('Fairway Log'!$E$2:$V$72,
      MATCH(1,
        ('Fairway Log'!$A$2:$A$72=$A43)*
        ('Fairway Log'!$B$2:$B$72=$B43)*
        ('Fairway Log'!$C$2:$C114=$C43),
      0),
      MATCH($G43,'Fairway Log'!$E$1:$V$1,0)
    ),
  "")
)</f>
        <v>→</v>
      </c>
      <c r="Q43" cm="1">
        <f t="array" ref="Q43">IFERROR(
  INDEX('GIR Log'!$E$2:$V$72,
    MATCH(1,
      ('GIR Log'!$A$2:$A$72=$A43)*
      ('GIR Log'!$B$2:$B$72=$B43)*
      ('GIR Log'!$C$2:$C$72=$C43),
    0),
    MATCH($G43,'GIR Log'!$E$1:$V$1,0)
  ),
"")</f>
        <v>1</v>
      </c>
    </row>
    <row r="44" spans="1:17" x14ac:dyDescent="0.25">
      <c r="A44" s="20" t="s">
        <v>126</v>
      </c>
      <c r="B44" s="2">
        <v>45653</v>
      </c>
      <c r="C44" t="s">
        <v>2</v>
      </c>
      <c r="D44" t="s">
        <v>72</v>
      </c>
      <c r="E44" s="12" t="s">
        <v>34</v>
      </c>
      <c r="F44">
        <v>80</v>
      </c>
      <c r="G44" t="s">
        <v>53</v>
      </c>
      <c r="H44" s="9">
        <f t="shared" si="0"/>
        <v>7</v>
      </c>
      <c r="I44" cm="1">
        <f t="array" ref="I44">IFERROR(INDEX(CourseYardages[[Hole 1]:[Hole 18]],
  MATCH(1, (CourseYardages[Course]=C44)*(CourseYardages[Tees]=E44), 0),
  MATCH(G44, CourseYardages[[#Headers],[Hole 1]:[Hole 18]], 0)
),"")</f>
        <v>567</v>
      </c>
      <c r="J44" cm="1">
        <f t="array" ref="J44">IFERROR(INDEX(CourseHandicap[[Hole 1]:[Hole 18]],
  MATCH(1, (CourseHandicap[Course]=C44)*(CourseHandicap[Tees]=E44), 0),
  MATCH(G44, CourseHandicap[[#Headers],[Hole 1]:[Hole 18]], 0)
),"")</f>
        <v>1</v>
      </c>
      <c r="K44" cm="1">
        <f t="array" ref="K44">IFERROR(INDEX(CourseRatings[[Hole 1]:[Hole 18]],
  MATCH(1, (CourseRatings[Course]=C44)*(CourseRatings[Tees]=E44), 0),
  MATCH(G44, CourseRatings[[#Headers],[Hole 1]:[Hole 18]], 0)
),"")</f>
        <v>5</v>
      </c>
      <c r="L44" cm="1">
        <f t="array" ref="L44">IFERROR(
  INDEX('Golf Log'!$E$2:$V$72,
    MATCH(1,
      ('Golf Log'!$A$2:$A$72=$A44)*
      ('Golf Log'!$B$2:$B$72=$B44)*
      ('Golf Log'!$C$2:$C$72=$C44),
    0),
    MATCH($G44,'Golf Log'!$E$1:$V$1,0)
  ),
"")</f>
        <v>5</v>
      </c>
      <c r="M44">
        <f t="shared" si="1"/>
        <v>0</v>
      </c>
      <c r="N44" t="str">
        <f t="shared" si="2"/>
        <v>Par</v>
      </c>
      <c r="O44" cm="1">
        <f t="array" ref="O44">IFERROR(
  INDEX('Putt Log'!$E$2:$V$72,
    MATCH(1,
      ('Putt Log'!$A$2:$A$72=$A44)*
      ('Putt Log'!$B$2:$B$72=$B44)*
      ('Putt Log'!$C$2:$C$72=$C44),
    0),
    MATCH($G44,'Putt Log'!$E$1:$V$1,0)
  ),
"")</f>
        <v>1</v>
      </c>
      <c r="P44" cm="1">
        <f t="array" ref="P44">IF(K44=3,"",
  IFERROR(
    INDEX('Fairway Log'!$E$2:$V$72,
      MATCH(1,
        ('Fairway Log'!$A$2:$A$72=$A44)*
        ('Fairway Log'!$B$2:$B$72=$B44)*
        ('Fairway Log'!$C$2:$C115=$C44),
      0),
      MATCH($G44,'Fairway Log'!$E$1:$V$1,0)
    ),
  "")
)</f>
        <v>1</v>
      </c>
      <c r="Q44" t="str" cm="1">
        <f t="array" ref="Q44">IFERROR(
  INDEX('GIR Log'!$E$2:$V$72,
    MATCH(1,
      ('GIR Log'!$A$2:$A$72=$A44)*
      ('GIR Log'!$B$2:$B$72=$B44)*
      ('GIR Log'!$C$2:$C$72=$C44),
    0),
    MATCH($G44,'GIR Log'!$E$1:$V$1,0)
  ),
"")</f>
        <v>→</v>
      </c>
    </row>
    <row r="45" spans="1:17" x14ac:dyDescent="0.25">
      <c r="A45" s="20" t="s">
        <v>126</v>
      </c>
      <c r="B45" s="2">
        <v>45653</v>
      </c>
      <c r="C45" t="s">
        <v>2</v>
      </c>
      <c r="D45" t="s">
        <v>72</v>
      </c>
      <c r="E45" s="12" t="s">
        <v>34</v>
      </c>
      <c r="F45">
        <v>80</v>
      </c>
      <c r="G45" t="s">
        <v>54</v>
      </c>
      <c r="H45" s="9">
        <f t="shared" si="0"/>
        <v>8</v>
      </c>
      <c r="I45" cm="1">
        <f t="array" ref="I45">IFERROR(INDEX(CourseYardages[[Hole 1]:[Hole 18]],
  MATCH(1, (CourseYardages[Course]=C45)*(CourseYardages[Tees]=E45), 0),
  MATCH(G45, CourseYardages[[#Headers],[Hole 1]:[Hole 18]], 0)
),"")</f>
        <v>188</v>
      </c>
      <c r="J45" cm="1">
        <f t="array" ref="J45">IFERROR(INDEX(CourseHandicap[[Hole 1]:[Hole 18]],
  MATCH(1, (CourseHandicap[Course]=C45)*(CourseHandicap[Tees]=E45), 0),
  MATCH(G45, CourseHandicap[[#Headers],[Hole 1]:[Hole 18]], 0)
),"")</f>
        <v>13</v>
      </c>
      <c r="K45" cm="1">
        <f t="array" ref="K45">IFERROR(INDEX(CourseRatings[[Hole 1]:[Hole 18]],
  MATCH(1, (CourseRatings[Course]=C45)*(CourseRatings[Tees]=E45), 0),
  MATCH(G45, CourseRatings[[#Headers],[Hole 1]:[Hole 18]], 0)
),"")</f>
        <v>3</v>
      </c>
      <c r="L45" cm="1">
        <f t="array" ref="L45">IFERROR(
  INDEX('Golf Log'!$E$2:$V$72,
    MATCH(1,
      ('Golf Log'!$A$2:$A$72=$A45)*
      ('Golf Log'!$B$2:$B$72=$B45)*
      ('Golf Log'!$C$2:$C$72=$C45),
    0),
    MATCH($G45,'Golf Log'!$E$1:$V$1,0)
  ),
"")</f>
        <v>3</v>
      </c>
      <c r="M45">
        <f t="shared" si="1"/>
        <v>0</v>
      </c>
      <c r="N45" t="str">
        <f t="shared" si="2"/>
        <v>Par</v>
      </c>
      <c r="O45" cm="1">
        <f t="array" ref="O45">IFERROR(
  INDEX('Putt Log'!$E$2:$V$72,
    MATCH(1,
      ('Putt Log'!$A$2:$A$72=$A45)*
      ('Putt Log'!$B$2:$B$72=$B45)*
      ('Putt Log'!$C$2:$C$72=$C45),
    0),
    MATCH($G45,'Putt Log'!$E$1:$V$1,0)
  ),
"")</f>
        <v>2</v>
      </c>
      <c r="P45" t="str" cm="1">
        <f t="array" ref="P45">IF(K45=3,"",
  IFERROR(
    INDEX('Fairway Log'!$E$2:$V$72,
      MATCH(1,
        ('Fairway Log'!$A$2:$A$72=$A45)*
        ('Fairway Log'!$B$2:$B$72=$B45)*
        ('Fairway Log'!$C$2:$C116=$C45),
      0),
      MATCH($G45,'Fairway Log'!$E$1:$V$1,0)
    ),
  "")
)</f>
        <v/>
      </c>
      <c r="Q45" cm="1">
        <f t="array" ref="Q45">IFERROR(
  INDEX('GIR Log'!$E$2:$V$72,
    MATCH(1,
      ('GIR Log'!$A$2:$A$72=$A45)*
      ('GIR Log'!$B$2:$B$72=$B45)*
      ('GIR Log'!$C$2:$C$72=$C45),
    0),
    MATCH($G45,'GIR Log'!$E$1:$V$1,0)
  ),
"")</f>
        <v>1</v>
      </c>
    </row>
    <row r="46" spans="1:17" x14ac:dyDescent="0.25">
      <c r="A46" s="20" t="s">
        <v>126</v>
      </c>
      <c r="B46" s="2">
        <v>45653</v>
      </c>
      <c r="C46" t="s">
        <v>2</v>
      </c>
      <c r="D46" t="s">
        <v>72</v>
      </c>
      <c r="E46" s="12" t="s">
        <v>34</v>
      </c>
      <c r="F46">
        <v>80</v>
      </c>
      <c r="G46" t="s">
        <v>55</v>
      </c>
      <c r="H46" s="9">
        <f t="shared" si="0"/>
        <v>9</v>
      </c>
      <c r="I46" cm="1">
        <f t="array" ref="I46">IFERROR(INDEX(CourseYardages[[Hole 1]:[Hole 18]],
  MATCH(1, (CourseYardages[Course]=C46)*(CourseYardages[Tees]=E46), 0),
  MATCH(G46, CourseYardages[[#Headers],[Hole 1]:[Hole 18]], 0)
),"")</f>
        <v>333</v>
      </c>
      <c r="J46" cm="1">
        <f t="array" ref="J46">IFERROR(INDEX(CourseHandicap[[Hole 1]:[Hole 18]],
  MATCH(1, (CourseHandicap[Course]=C46)*(CourseHandicap[Tees]=E46), 0),
  MATCH(G46, CourseHandicap[[#Headers],[Hole 1]:[Hole 18]], 0)
),"")</f>
        <v>7</v>
      </c>
      <c r="K46" cm="1">
        <f t="array" ref="K46">IFERROR(INDEX(CourseRatings[[Hole 1]:[Hole 18]],
  MATCH(1, (CourseRatings[Course]=C46)*(CourseRatings[Tees]=E46), 0),
  MATCH(G46, CourseRatings[[#Headers],[Hole 1]:[Hole 18]], 0)
),"")</f>
        <v>4</v>
      </c>
      <c r="L46" cm="1">
        <f t="array" ref="L46">IFERROR(
  INDEX('Golf Log'!$E$2:$V$72,
    MATCH(1,
      ('Golf Log'!$A$2:$A$72=$A46)*
      ('Golf Log'!$B$2:$B$72=$B46)*
      ('Golf Log'!$C$2:$C$72=$C46),
    0),
    MATCH($G46,'Golf Log'!$E$1:$V$1,0)
  ),
"")</f>
        <v>5</v>
      </c>
      <c r="M46">
        <f t="shared" si="1"/>
        <v>1</v>
      </c>
      <c r="N46" t="str">
        <f t="shared" si="2"/>
        <v>Bogey</v>
      </c>
      <c r="O46" cm="1">
        <f t="array" ref="O46">IFERROR(
  INDEX('Putt Log'!$E$2:$V$72,
    MATCH(1,
      ('Putt Log'!$A$2:$A$72=$A46)*
      ('Putt Log'!$B$2:$B$72=$B46)*
      ('Putt Log'!$C$2:$C$72=$C46),
    0),
    MATCH($G46,'Putt Log'!$E$1:$V$1,0)
  ),
"")</f>
        <v>2</v>
      </c>
      <c r="P46" cm="1">
        <f t="array" ref="P46">IF(K46=3,"",
  IFERROR(
    INDEX('Fairway Log'!$E$2:$V$72,
      MATCH(1,
        ('Fairway Log'!$A$2:$A$72=$A46)*
        ('Fairway Log'!$B$2:$B$72=$B46)*
        ('Fairway Log'!$C$2:$C117=$C46),
      0),
      MATCH($G46,'Fairway Log'!$E$1:$V$1,0)
    ),
  "")
)</f>
        <v>1</v>
      </c>
      <c r="Q46" t="str" cm="1">
        <f t="array" ref="Q46">IFERROR(
  INDEX('GIR Log'!$E$2:$V$72,
    MATCH(1,
      ('GIR Log'!$A$2:$A$72=$A46)*
      ('GIR Log'!$B$2:$B$72=$B46)*
      ('GIR Log'!$C$2:$C$72=$C46),
    0),
    MATCH($G46,'GIR Log'!$E$1:$V$1,0)
  ),
"")</f>
        <v>↓</v>
      </c>
    </row>
    <row r="47" spans="1:17" x14ac:dyDescent="0.25">
      <c r="A47" s="20" t="s">
        <v>126</v>
      </c>
      <c r="B47" s="2">
        <v>45653</v>
      </c>
      <c r="C47" t="s">
        <v>2</v>
      </c>
      <c r="D47" t="s">
        <v>72</v>
      </c>
      <c r="E47" s="12" t="s">
        <v>34</v>
      </c>
      <c r="F47">
        <v>80</v>
      </c>
      <c r="G47" t="s">
        <v>56</v>
      </c>
      <c r="H47" s="9">
        <f t="shared" si="0"/>
        <v>10</v>
      </c>
      <c r="I47" cm="1">
        <f t="array" ref="I47">IFERROR(INDEX(CourseYardages[[Hole 1]:[Hole 18]],
  MATCH(1, (CourseYardages[Course]=C47)*(CourseYardages[Tees]=E47), 0),
  MATCH(G47, CourseYardages[[#Headers],[Hole 1]:[Hole 18]], 0)
),"")</f>
        <v>397</v>
      </c>
      <c r="J47" cm="1">
        <f t="array" ref="J47">IFERROR(INDEX(CourseHandicap[[Hole 1]:[Hole 18]],
  MATCH(1, (CourseHandicap[Course]=C47)*(CourseHandicap[Tees]=E47), 0),
  MATCH(G47, CourseHandicap[[#Headers],[Hole 1]:[Hole 18]], 0)
),"")</f>
        <v>12</v>
      </c>
      <c r="K47" cm="1">
        <f t="array" ref="K47">IFERROR(INDEX(CourseRatings[[Hole 1]:[Hole 18]],
  MATCH(1, (CourseRatings[Course]=C47)*(CourseRatings[Tees]=E47), 0),
  MATCH(G47, CourseRatings[[#Headers],[Hole 1]:[Hole 18]], 0)
),"")</f>
        <v>4</v>
      </c>
      <c r="L47" cm="1">
        <f t="array" ref="L47">IFERROR(
  INDEX('Golf Log'!$E$2:$V$72,
    MATCH(1,
      ('Golf Log'!$A$2:$A$72=$A47)*
      ('Golf Log'!$B$2:$B$72=$B47)*
      ('Golf Log'!$C$2:$C$72=$C47),
    0),
    MATCH($G47,'Golf Log'!$E$1:$V$1,0)
  ),
"")</f>
        <v>5</v>
      </c>
      <c r="M47">
        <f t="shared" si="1"/>
        <v>1</v>
      </c>
      <c r="N47" t="str">
        <f t="shared" si="2"/>
        <v>Bogey</v>
      </c>
      <c r="O47" cm="1">
        <f t="array" ref="O47">IFERROR(
  INDEX('Putt Log'!$E$2:$V$72,
    MATCH(1,
      ('Putt Log'!$A$2:$A$72=$A47)*
      ('Putt Log'!$B$2:$B$72=$B47)*
      ('Putt Log'!$C$2:$C$72=$C47),
    0),
    MATCH($G47,'Putt Log'!$E$1:$V$1,0)
  ),
"")</f>
        <v>2</v>
      </c>
      <c r="P47" cm="1">
        <f t="array" ref="P47">IF(K47=3,"",
  IFERROR(
    INDEX('Fairway Log'!$E$2:$V$72,
      MATCH(1,
        ('Fairway Log'!$A$2:$A$72=$A47)*
        ('Fairway Log'!$B$2:$B$72=$B47)*
        ('Fairway Log'!$C$2:$C118=$C47),
      0),
      MATCH($G47,'Fairway Log'!$E$1:$V$1,0)
    ),
  "")
)</f>
        <v>1</v>
      </c>
      <c r="Q47" t="str" cm="1">
        <f t="array" ref="Q47">IFERROR(
  INDEX('GIR Log'!$E$2:$V$72,
    MATCH(1,
      ('GIR Log'!$A$2:$A$72=$A47)*
      ('GIR Log'!$B$2:$B$72=$B47)*
      ('GIR Log'!$C$2:$C$72=$C47),
    0),
    MATCH($G47,'GIR Log'!$E$1:$V$1,0)
  ),
"")</f>
        <v>↑</v>
      </c>
    </row>
    <row r="48" spans="1:17" x14ac:dyDescent="0.25">
      <c r="A48" s="20" t="s">
        <v>126</v>
      </c>
      <c r="B48" s="2">
        <v>45653</v>
      </c>
      <c r="C48" t="s">
        <v>2</v>
      </c>
      <c r="D48" t="s">
        <v>72</v>
      </c>
      <c r="E48" s="12" t="s">
        <v>34</v>
      </c>
      <c r="F48">
        <v>80</v>
      </c>
      <c r="G48" t="s">
        <v>57</v>
      </c>
      <c r="H48" s="9">
        <f t="shared" si="0"/>
        <v>11</v>
      </c>
      <c r="I48" cm="1">
        <f t="array" ref="I48">IFERROR(INDEX(CourseYardages[[Hole 1]:[Hole 18]],
  MATCH(1, (CourseYardages[Course]=C48)*(CourseYardages[Tees]=E48), 0),
  MATCH(G48, CourseYardages[[#Headers],[Hole 1]:[Hole 18]], 0)
),"")</f>
        <v>159</v>
      </c>
      <c r="J48" cm="1">
        <f t="array" ref="J48">IFERROR(INDEX(CourseHandicap[[Hole 1]:[Hole 18]],
  MATCH(1, (CourseHandicap[Course]=C48)*(CourseHandicap[Tees]=E48), 0),
  MATCH(G48, CourseHandicap[[#Headers],[Hole 1]:[Hole 18]], 0)
),"")</f>
        <v>16</v>
      </c>
      <c r="K48" cm="1">
        <f t="array" ref="K48">IFERROR(INDEX(CourseRatings[[Hole 1]:[Hole 18]],
  MATCH(1, (CourseRatings[Course]=C48)*(CourseRatings[Tees]=E48), 0),
  MATCH(G48, CourseRatings[[#Headers],[Hole 1]:[Hole 18]], 0)
),"")</f>
        <v>3</v>
      </c>
      <c r="L48" cm="1">
        <f t="array" ref="L48">IFERROR(
  INDEX('Golf Log'!$E$2:$V$72,
    MATCH(1,
      ('Golf Log'!$A$2:$A$72=$A48)*
      ('Golf Log'!$B$2:$B$72=$B48)*
      ('Golf Log'!$C$2:$C$72=$C48),
    0),
    MATCH($G48,'Golf Log'!$E$1:$V$1,0)
  ),
"")</f>
        <v>3</v>
      </c>
      <c r="M48">
        <f t="shared" si="1"/>
        <v>0</v>
      </c>
      <c r="N48" t="str">
        <f t="shared" si="2"/>
        <v>Par</v>
      </c>
      <c r="O48" cm="1">
        <f t="array" ref="O48">IFERROR(
  INDEX('Putt Log'!$E$2:$V$72,
    MATCH(1,
      ('Putt Log'!$A$2:$A$72=$A48)*
      ('Putt Log'!$B$2:$B$72=$B48)*
      ('Putt Log'!$C$2:$C$72=$C48),
    0),
    MATCH($G48,'Putt Log'!$E$1:$V$1,0)
  ),
"")</f>
        <v>2</v>
      </c>
      <c r="P48" t="str" cm="1">
        <f t="array" ref="P48">IF(K48=3,"",
  IFERROR(
    INDEX('Fairway Log'!$E$2:$V$72,
      MATCH(1,
        ('Fairway Log'!$A$2:$A$72=$A48)*
        ('Fairway Log'!$B$2:$B$72=$B48)*
        ('Fairway Log'!$C$2:$C119=$C48),
      0),
      MATCH($G48,'Fairway Log'!$E$1:$V$1,0)
    ),
  "")
)</f>
        <v/>
      </c>
      <c r="Q48" cm="1">
        <f t="array" ref="Q48">IFERROR(
  INDEX('GIR Log'!$E$2:$V$72,
    MATCH(1,
      ('GIR Log'!$A$2:$A$72=$A48)*
      ('GIR Log'!$B$2:$B$72=$B48)*
      ('GIR Log'!$C$2:$C$72=$C48),
    0),
    MATCH($G48,'GIR Log'!$E$1:$V$1,0)
  ),
"")</f>
        <v>1</v>
      </c>
    </row>
    <row r="49" spans="1:17" x14ac:dyDescent="0.25">
      <c r="A49" s="20" t="s">
        <v>126</v>
      </c>
      <c r="B49" s="2">
        <v>45653</v>
      </c>
      <c r="C49" t="s">
        <v>2</v>
      </c>
      <c r="D49" t="s">
        <v>72</v>
      </c>
      <c r="E49" s="12" t="s">
        <v>34</v>
      </c>
      <c r="F49">
        <v>80</v>
      </c>
      <c r="G49" t="s">
        <v>58</v>
      </c>
      <c r="H49" s="9">
        <f t="shared" si="0"/>
        <v>12</v>
      </c>
      <c r="I49" cm="1">
        <f t="array" ref="I49">IFERROR(INDEX(CourseYardages[[Hole 1]:[Hole 18]],
  MATCH(1, (CourseYardages[Course]=C49)*(CourseYardages[Tees]=E49), 0),
  MATCH(G49, CourseYardages[[#Headers],[Hole 1]:[Hole 18]], 0)
),"")</f>
        <v>470</v>
      </c>
      <c r="J49" cm="1">
        <f t="array" ref="J49">IFERROR(INDEX(CourseHandicap[[Hole 1]:[Hole 18]],
  MATCH(1, (CourseHandicap[Course]=C49)*(CourseHandicap[Tees]=E49), 0),
  MATCH(G49, CourseHandicap[[#Headers],[Hole 1]:[Hole 18]], 0)
),"")</f>
        <v>2</v>
      </c>
      <c r="K49" cm="1">
        <f t="array" ref="K49">IFERROR(INDEX(CourseRatings[[Hole 1]:[Hole 18]],
  MATCH(1, (CourseRatings[Course]=C49)*(CourseRatings[Tees]=E49), 0),
  MATCH(G49, CourseRatings[[#Headers],[Hole 1]:[Hole 18]], 0)
),"")</f>
        <v>4</v>
      </c>
      <c r="L49" cm="1">
        <f t="array" ref="L49">IFERROR(
  INDEX('Golf Log'!$E$2:$V$72,
    MATCH(1,
      ('Golf Log'!$A$2:$A$72=$A49)*
      ('Golf Log'!$B$2:$B$72=$B49)*
      ('Golf Log'!$C$2:$C$72=$C49),
    0),
    MATCH($G49,'Golf Log'!$E$1:$V$1,0)
  ),
"")</f>
        <v>5</v>
      </c>
      <c r="M49">
        <f t="shared" si="1"/>
        <v>1</v>
      </c>
      <c r="N49" t="str">
        <f t="shared" si="2"/>
        <v>Bogey</v>
      </c>
      <c r="O49" cm="1">
        <f t="array" ref="O49">IFERROR(
  INDEX('Putt Log'!$E$2:$V$72,
    MATCH(1,
      ('Putt Log'!$A$2:$A$72=$A49)*
      ('Putt Log'!$B$2:$B$72=$B49)*
      ('Putt Log'!$C$2:$C$72=$C49),
    0),
    MATCH($G49,'Putt Log'!$E$1:$V$1,0)
  ),
"")</f>
        <v>2</v>
      </c>
      <c r="P49" t="str" cm="1">
        <f t="array" ref="P49">IF(K49=3,"",
  IFERROR(
    INDEX('Fairway Log'!$E$2:$V$72,
      MATCH(1,
        ('Fairway Log'!$A$2:$A$72=$A49)*
        ('Fairway Log'!$B$2:$B$72=$B49)*
        ('Fairway Log'!$C$2:$C120=$C49),
      0),
      MATCH($G49,'Fairway Log'!$E$1:$V$1,0)
    ),
  "")
)</f>
        <v>←</v>
      </c>
      <c r="Q49" t="str" cm="1">
        <f t="array" ref="Q49">IFERROR(
  INDEX('GIR Log'!$E$2:$V$72,
    MATCH(1,
      ('GIR Log'!$A$2:$A$72=$A49)*
      ('GIR Log'!$B$2:$B$72=$B49)*
      ('GIR Log'!$C$2:$C$72=$C49),
    0),
    MATCH($G49,'GIR Log'!$E$1:$V$1,0)
  ),
"")</f>
        <v>↓</v>
      </c>
    </row>
    <row r="50" spans="1:17" x14ac:dyDescent="0.25">
      <c r="A50" s="20" t="s">
        <v>126</v>
      </c>
      <c r="B50" s="2">
        <v>45653</v>
      </c>
      <c r="C50" t="s">
        <v>2</v>
      </c>
      <c r="D50" t="s">
        <v>72</v>
      </c>
      <c r="E50" s="12" t="s">
        <v>34</v>
      </c>
      <c r="F50">
        <v>80</v>
      </c>
      <c r="G50" t="s">
        <v>59</v>
      </c>
      <c r="H50" s="9">
        <f t="shared" si="0"/>
        <v>13</v>
      </c>
      <c r="I50" cm="1">
        <f t="array" ref="I50">IFERROR(INDEX(CourseYardages[[Hole 1]:[Hole 18]],
  MATCH(1, (CourseYardages[Course]=C50)*(CourseYardages[Tees]=E50), 0),
  MATCH(G50, CourseYardages[[#Headers],[Hole 1]:[Hole 18]], 0)
),"")</f>
        <v>514</v>
      </c>
      <c r="J50" cm="1">
        <f t="array" ref="J50">IFERROR(INDEX(CourseHandicap[[Hole 1]:[Hole 18]],
  MATCH(1, (CourseHandicap[Course]=C50)*(CourseHandicap[Tees]=E50), 0),
  MATCH(G50, CourseHandicap[[#Headers],[Hole 1]:[Hole 18]], 0)
),"")</f>
        <v>8</v>
      </c>
      <c r="K50" cm="1">
        <f t="array" ref="K50">IFERROR(INDEX(CourseRatings[[Hole 1]:[Hole 18]],
  MATCH(1, (CourseRatings[Course]=C50)*(CourseRatings[Tees]=E50), 0),
  MATCH(G50, CourseRatings[[#Headers],[Hole 1]:[Hole 18]], 0)
),"")</f>
        <v>5</v>
      </c>
      <c r="L50" cm="1">
        <f t="array" ref="L50">IFERROR(
  INDEX('Golf Log'!$E$2:$V$72,
    MATCH(1,
      ('Golf Log'!$A$2:$A$72=$A50)*
      ('Golf Log'!$B$2:$B$72=$B50)*
      ('Golf Log'!$C$2:$C$72=$C50),
    0),
    MATCH($G50,'Golf Log'!$E$1:$V$1,0)
  ),
"")</f>
        <v>5</v>
      </c>
      <c r="M50">
        <f t="shared" si="1"/>
        <v>0</v>
      </c>
      <c r="N50" t="str">
        <f t="shared" si="2"/>
        <v>Par</v>
      </c>
      <c r="O50" cm="1">
        <f t="array" ref="O50">IFERROR(
  INDEX('Putt Log'!$E$2:$V$72,
    MATCH(1,
      ('Putt Log'!$A$2:$A$72=$A50)*
      ('Putt Log'!$B$2:$B$72=$B50)*
      ('Putt Log'!$C$2:$C$72=$C50),
    0),
    MATCH($G50,'Putt Log'!$E$1:$V$1,0)
  ),
"")</f>
        <v>1</v>
      </c>
      <c r="P50" t="str" cm="1">
        <f t="array" ref="P50">IF(K50=3,"",
  IFERROR(
    INDEX('Fairway Log'!$E$2:$V$72,
      MATCH(1,
        ('Fairway Log'!$A$2:$A$72=$A50)*
        ('Fairway Log'!$B$2:$B$72=$B50)*
        ('Fairway Log'!$C$2:$C121=$C50),
      0),
      MATCH($G50,'Fairway Log'!$E$1:$V$1,0)
    ),
  "")
)</f>
        <v>→</v>
      </c>
      <c r="Q50" t="str" cm="1">
        <f t="array" ref="Q50">IFERROR(
  INDEX('GIR Log'!$E$2:$V$72,
    MATCH(1,
      ('GIR Log'!$A$2:$A$72=$A50)*
      ('GIR Log'!$B$2:$B$72=$B50)*
      ('GIR Log'!$C$2:$C$72=$C50),
    0),
    MATCH($G50,'GIR Log'!$E$1:$V$1,0)
  ),
"")</f>
        <v>↓</v>
      </c>
    </row>
    <row r="51" spans="1:17" x14ac:dyDescent="0.25">
      <c r="A51" s="20" t="s">
        <v>126</v>
      </c>
      <c r="B51" s="2">
        <v>45653</v>
      </c>
      <c r="C51" t="s">
        <v>2</v>
      </c>
      <c r="D51" t="s">
        <v>72</v>
      </c>
      <c r="E51" s="12" t="s">
        <v>34</v>
      </c>
      <c r="F51">
        <v>80</v>
      </c>
      <c r="G51" t="s">
        <v>60</v>
      </c>
      <c r="H51" s="9">
        <f t="shared" si="0"/>
        <v>14</v>
      </c>
      <c r="I51" cm="1">
        <f t="array" ref="I51">IFERROR(INDEX(CourseYardages[[Hole 1]:[Hole 18]],
  MATCH(1, (CourseYardages[Course]=C51)*(CourseYardages[Tees]=E51), 0),
  MATCH(G51, CourseYardages[[#Headers],[Hole 1]:[Hole 18]], 0)
),"")</f>
        <v>420</v>
      </c>
      <c r="J51" cm="1">
        <f t="array" ref="J51">IFERROR(INDEX(CourseHandicap[[Hole 1]:[Hole 18]],
  MATCH(1, (CourseHandicap[Course]=C51)*(CourseHandicap[Tees]=E51), 0),
  MATCH(G51, CourseHandicap[[#Headers],[Hole 1]:[Hole 18]], 0)
),"")</f>
        <v>4</v>
      </c>
      <c r="K51" cm="1">
        <f t="array" ref="K51">IFERROR(INDEX(CourseRatings[[Hole 1]:[Hole 18]],
  MATCH(1, (CourseRatings[Course]=C51)*(CourseRatings[Tees]=E51), 0),
  MATCH(G51, CourseRatings[[#Headers],[Hole 1]:[Hole 18]], 0)
),"")</f>
        <v>4</v>
      </c>
      <c r="L51" cm="1">
        <f t="array" ref="L51">IFERROR(
  INDEX('Golf Log'!$E$2:$V$72,
    MATCH(1,
      ('Golf Log'!$A$2:$A$72=$A51)*
      ('Golf Log'!$B$2:$B$72=$B51)*
      ('Golf Log'!$C$2:$C$72=$C51),
    0),
    MATCH($G51,'Golf Log'!$E$1:$V$1,0)
  ),
"")</f>
        <v>4</v>
      </c>
      <c r="M51">
        <f t="shared" si="1"/>
        <v>0</v>
      </c>
      <c r="N51" t="str">
        <f t="shared" si="2"/>
        <v>Par</v>
      </c>
      <c r="O51" cm="1">
        <f t="array" ref="O51">IFERROR(
  INDEX('Putt Log'!$E$2:$V$72,
    MATCH(1,
      ('Putt Log'!$A$2:$A$72=$A51)*
      ('Putt Log'!$B$2:$B$72=$B51)*
      ('Putt Log'!$C$2:$C$72=$C51),
    0),
    MATCH($G51,'Putt Log'!$E$1:$V$1,0)
  ),
"")</f>
        <v>1</v>
      </c>
      <c r="P51" t="str" cm="1">
        <f t="array" ref="P51">IF(K51=3,"",
  IFERROR(
    INDEX('Fairway Log'!$E$2:$V$72,
      MATCH(1,
        ('Fairway Log'!$A$2:$A$72=$A51)*
        ('Fairway Log'!$B$2:$B$72=$B51)*
        ('Fairway Log'!$C$2:$C122=$C51),
      0),
      MATCH($G51,'Fairway Log'!$E$1:$V$1,0)
    ),
  "")
)</f>
        <v>→</v>
      </c>
      <c r="Q51" t="str" cm="1">
        <f t="array" ref="Q51">IFERROR(
  INDEX('GIR Log'!$E$2:$V$72,
    MATCH(1,
      ('GIR Log'!$A$2:$A$72=$A51)*
      ('GIR Log'!$B$2:$B$72=$B51)*
      ('GIR Log'!$C$2:$C$72=$C51),
    0),
    MATCH($G51,'GIR Log'!$E$1:$V$1,0)
  ),
"")</f>
        <v>↓</v>
      </c>
    </row>
    <row r="52" spans="1:17" x14ac:dyDescent="0.25">
      <c r="A52" s="20" t="s">
        <v>126</v>
      </c>
      <c r="B52" s="2">
        <v>45653</v>
      </c>
      <c r="C52" t="s">
        <v>2</v>
      </c>
      <c r="D52" t="s">
        <v>72</v>
      </c>
      <c r="E52" s="12" t="s">
        <v>34</v>
      </c>
      <c r="F52">
        <v>80</v>
      </c>
      <c r="G52" t="s">
        <v>61</v>
      </c>
      <c r="H52" s="9">
        <f t="shared" si="0"/>
        <v>15</v>
      </c>
      <c r="I52" cm="1">
        <f t="array" ref="I52">IFERROR(INDEX(CourseYardages[[Hole 1]:[Hole 18]],
  MATCH(1, (CourseYardages[Course]=C52)*(CourseYardages[Tees]=E52), 0),
  MATCH(G52, CourseYardages[[#Headers],[Hole 1]:[Hole 18]], 0)
),"")</f>
        <v>507</v>
      </c>
      <c r="J52" cm="1">
        <f t="array" ref="J52">IFERROR(INDEX(CourseHandicap[[Hole 1]:[Hole 18]],
  MATCH(1, (CourseHandicap[Course]=C52)*(CourseHandicap[Tees]=E52), 0),
  MATCH(G52, CourseHandicap[[#Headers],[Hole 1]:[Hole 18]], 0)
),"")</f>
        <v>14</v>
      </c>
      <c r="K52" cm="1">
        <f t="array" ref="K52">IFERROR(INDEX(CourseRatings[[Hole 1]:[Hole 18]],
  MATCH(1, (CourseRatings[Course]=C52)*(CourseRatings[Tees]=E52), 0),
  MATCH(G52, CourseRatings[[#Headers],[Hole 1]:[Hole 18]], 0)
),"")</f>
        <v>5</v>
      </c>
      <c r="L52" cm="1">
        <f t="array" ref="L52">IFERROR(
  INDEX('Golf Log'!$E$2:$V$72,
    MATCH(1,
      ('Golf Log'!$A$2:$A$72=$A52)*
      ('Golf Log'!$B$2:$B$72=$B52)*
      ('Golf Log'!$C$2:$C$72=$C52),
    0),
    MATCH($G52,'Golf Log'!$E$1:$V$1,0)
  ),
"")</f>
        <v>5</v>
      </c>
      <c r="M52">
        <f t="shared" si="1"/>
        <v>0</v>
      </c>
      <c r="N52" t="str">
        <f t="shared" si="2"/>
        <v>Par</v>
      </c>
      <c r="O52" cm="1">
        <f t="array" ref="O52">IFERROR(
  INDEX('Putt Log'!$E$2:$V$72,
    MATCH(1,
      ('Putt Log'!$A$2:$A$72=$A52)*
      ('Putt Log'!$B$2:$B$72=$B52)*
      ('Putt Log'!$C$2:$C$72=$C52),
    0),
    MATCH($G52,'Putt Log'!$E$1:$V$1,0)
  ),
"")</f>
        <v>1</v>
      </c>
      <c r="P52" t="str" cm="1">
        <f t="array" ref="P52">IF(K52=3,"",
  IFERROR(
    INDEX('Fairway Log'!$E$2:$V$72,
      MATCH(1,
        ('Fairway Log'!$A$2:$A$72=$A52)*
        ('Fairway Log'!$B$2:$B$72=$B52)*
        ('Fairway Log'!$C$2:$C123=$C52),
      0),
      MATCH($G52,'Fairway Log'!$E$1:$V$1,0)
    ),
  "")
)</f>
        <v>→</v>
      </c>
      <c r="Q52" t="str" cm="1">
        <f t="array" ref="Q52">IFERROR(
  INDEX('GIR Log'!$E$2:$V$72,
    MATCH(1,
      ('GIR Log'!$A$2:$A$72=$A52)*
      ('GIR Log'!$B$2:$B$72=$B52)*
      ('GIR Log'!$C$2:$C$72=$C52),
    0),
    MATCH($G52,'GIR Log'!$E$1:$V$1,0)
  ),
"")</f>
        <v>↑</v>
      </c>
    </row>
    <row r="53" spans="1:17" x14ac:dyDescent="0.25">
      <c r="A53" s="20" t="s">
        <v>126</v>
      </c>
      <c r="B53" s="2">
        <v>45653</v>
      </c>
      <c r="C53" t="s">
        <v>2</v>
      </c>
      <c r="D53" t="s">
        <v>72</v>
      </c>
      <c r="E53" s="12" t="s">
        <v>34</v>
      </c>
      <c r="F53">
        <v>80</v>
      </c>
      <c r="G53" t="s">
        <v>62</v>
      </c>
      <c r="H53" s="9">
        <f t="shared" si="0"/>
        <v>16</v>
      </c>
      <c r="I53" cm="1">
        <f t="array" ref="I53">IFERROR(INDEX(CourseYardages[[Hole 1]:[Hole 18]],
  MATCH(1, (CourseYardages[Course]=C53)*(CourseYardages[Tees]=E53), 0),
  MATCH(G53, CourseYardages[[#Headers],[Hole 1]:[Hole 18]], 0)
),"")</f>
        <v>180</v>
      </c>
      <c r="J53" cm="1">
        <f t="array" ref="J53">IFERROR(INDEX(CourseHandicap[[Hole 1]:[Hole 18]],
  MATCH(1, (CourseHandicap[Course]=C53)*(CourseHandicap[Tees]=E53), 0),
  MATCH(G53, CourseHandicap[[#Headers],[Hole 1]:[Hole 18]], 0)
),"")</f>
        <v>18</v>
      </c>
      <c r="K53" cm="1">
        <f t="array" ref="K53">IFERROR(INDEX(CourseRatings[[Hole 1]:[Hole 18]],
  MATCH(1, (CourseRatings[Course]=C53)*(CourseRatings[Tees]=E53), 0),
  MATCH(G53, CourseRatings[[#Headers],[Hole 1]:[Hole 18]], 0)
),"")</f>
        <v>3</v>
      </c>
      <c r="L53" cm="1">
        <f t="array" ref="L53">IFERROR(
  INDEX('Golf Log'!$E$2:$V$72,
    MATCH(1,
      ('Golf Log'!$A$2:$A$72=$A53)*
      ('Golf Log'!$B$2:$B$72=$B53)*
      ('Golf Log'!$C$2:$C$72=$C53),
    0),
    MATCH($G53,'Golf Log'!$E$1:$V$1,0)
  ),
"")</f>
        <v>4</v>
      </c>
      <c r="M53">
        <f t="shared" si="1"/>
        <v>1</v>
      </c>
      <c r="N53" t="str">
        <f t="shared" si="2"/>
        <v>Bogey</v>
      </c>
      <c r="O53" cm="1">
        <f t="array" ref="O53">IFERROR(
  INDEX('Putt Log'!$E$2:$V$72,
    MATCH(1,
      ('Putt Log'!$A$2:$A$72=$A53)*
      ('Putt Log'!$B$2:$B$72=$B53)*
      ('Putt Log'!$C$2:$C$72=$C53),
    0),
    MATCH($G53,'Putt Log'!$E$1:$V$1,0)
  ),
"")</f>
        <v>2</v>
      </c>
      <c r="P53" t="str" cm="1">
        <f t="array" ref="P53">IF(K53=3,"",
  IFERROR(
    INDEX('Fairway Log'!$E$2:$V$72,
      MATCH(1,
        ('Fairway Log'!$A$2:$A$72=$A53)*
        ('Fairway Log'!$B$2:$B$72=$B53)*
        ('Fairway Log'!$C$2:$C124=$C53),
      0),
      MATCH($G53,'Fairway Log'!$E$1:$V$1,0)
    ),
  "")
)</f>
        <v/>
      </c>
      <c r="Q53" t="str" cm="1">
        <f t="array" ref="Q53">IFERROR(
  INDEX('GIR Log'!$E$2:$V$72,
    MATCH(1,
      ('GIR Log'!$A$2:$A$72=$A53)*
      ('GIR Log'!$B$2:$B$72=$B53)*
      ('GIR Log'!$C$2:$C$72=$C53),
    0),
    MATCH($G53,'GIR Log'!$E$1:$V$1,0)
  ),
"")</f>
        <v>↑</v>
      </c>
    </row>
    <row r="54" spans="1:17" x14ac:dyDescent="0.25">
      <c r="A54" s="20" t="s">
        <v>126</v>
      </c>
      <c r="B54" s="2">
        <v>45653</v>
      </c>
      <c r="C54" t="s">
        <v>2</v>
      </c>
      <c r="D54" t="s">
        <v>72</v>
      </c>
      <c r="E54" s="12" t="s">
        <v>34</v>
      </c>
      <c r="F54">
        <v>80</v>
      </c>
      <c r="G54" t="s">
        <v>63</v>
      </c>
      <c r="H54" s="9">
        <f t="shared" si="0"/>
        <v>17</v>
      </c>
      <c r="I54" cm="1">
        <f t="array" ref="I54">IFERROR(INDEX(CourseYardages[[Hole 1]:[Hole 18]],
  MATCH(1, (CourseYardages[Course]=C54)*(CourseYardages[Tees]=E54), 0),
  MATCH(G54, CourseYardages[[#Headers],[Hole 1]:[Hole 18]], 0)
),"")</f>
        <v>348</v>
      </c>
      <c r="J54" cm="1">
        <f t="array" ref="J54">IFERROR(INDEX(CourseHandicap[[Hole 1]:[Hole 18]],
  MATCH(1, (CourseHandicap[Course]=C54)*(CourseHandicap[Tees]=E54), 0),
  MATCH(G54, CourseHandicap[[#Headers],[Hole 1]:[Hole 18]], 0)
),"")</f>
        <v>6</v>
      </c>
      <c r="K54" cm="1">
        <f t="array" ref="K54">IFERROR(INDEX(CourseRatings[[Hole 1]:[Hole 18]],
  MATCH(1, (CourseRatings[Course]=C54)*(CourseRatings[Tees]=E54), 0),
  MATCH(G54, CourseRatings[[#Headers],[Hole 1]:[Hole 18]], 0)
),"")</f>
        <v>4</v>
      </c>
      <c r="L54" cm="1">
        <f t="array" ref="L54">IFERROR(
  INDEX('Golf Log'!$E$2:$V$72,
    MATCH(1,
      ('Golf Log'!$A$2:$A$72=$A54)*
      ('Golf Log'!$B$2:$B$72=$B54)*
      ('Golf Log'!$C$2:$C$72=$C54),
    0),
    MATCH($G54,'Golf Log'!$E$1:$V$1,0)
  ),
"")</f>
        <v>5</v>
      </c>
      <c r="M54">
        <f t="shared" si="1"/>
        <v>1</v>
      </c>
      <c r="N54" t="str">
        <f t="shared" si="2"/>
        <v>Bogey</v>
      </c>
      <c r="O54" cm="1">
        <f t="array" ref="O54">IFERROR(
  INDEX('Putt Log'!$E$2:$V$72,
    MATCH(1,
      ('Putt Log'!$A$2:$A$72=$A54)*
      ('Putt Log'!$B$2:$B$72=$B54)*
      ('Putt Log'!$C$2:$C$72=$C54),
    0),
    MATCH($G54,'Putt Log'!$E$1:$V$1,0)
  ),
"")</f>
        <v>2</v>
      </c>
      <c r="P54" cm="1">
        <f t="array" ref="P54">IF(K54=3,"",
  IFERROR(
    INDEX('Fairway Log'!$E$2:$V$72,
      MATCH(1,
        ('Fairway Log'!$A$2:$A$72=$A54)*
        ('Fairway Log'!$B$2:$B$72=$B54)*
        ('Fairway Log'!$C$2:$C125=$C54),
      0),
      MATCH($G54,'Fairway Log'!$E$1:$V$1,0)
    ),
  "")
)</f>
        <v>1</v>
      </c>
      <c r="Q54" t="str" cm="1">
        <f t="array" ref="Q54">IFERROR(
  INDEX('GIR Log'!$E$2:$V$72,
    MATCH(1,
      ('GIR Log'!$A$2:$A$72=$A54)*
      ('GIR Log'!$B$2:$B$72=$B54)*
      ('GIR Log'!$C$2:$C$72=$C54),
    0),
    MATCH($G54,'GIR Log'!$E$1:$V$1,0)
  ),
"")</f>
        <v>↑</v>
      </c>
    </row>
    <row r="55" spans="1:17" x14ac:dyDescent="0.25">
      <c r="A55" s="20" t="s">
        <v>126</v>
      </c>
      <c r="B55" s="2">
        <v>45653</v>
      </c>
      <c r="C55" t="s">
        <v>2</v>
      </c>
      <c r="D55" t="s">
        <v>72</v>
      </c>
      <c r="E55" s="12" t="s">
        <v>34</v>
      </c>
      <c r="F55">
        <v>80</v>
      </c>
      <c r="G55" t="s">
        <v>64</v>
      </c>
      <c r="H55" s="9">
        <f t="shared" si="0"/>
        <v>18</v>
      </c>
      <c r="I55" cm="1">
        <f t="array" ref="I55">IFERROR(INDEX(CourseYardages[[Hole 1]:[Hole 18]],
  MATCH(1, (CourseYardages[Course]=C55)*(CourseYardages[Tees]=E55), 0),
  MATCH(G55, CourseYardages[[#Headers],[Hole 1]:[Hole 18]], 0)
),"")</f>
        <v>409</v>
      </c>
      <c r="J55" cm="1">
        <f t="array" ref="J55">IFERROR(INDEX(CourseHandicap[[Hole 1]:[Hole 18]],
  MATCH(1, (CourseHandicap[Course]=C55)*(CourseHandicap[Tees]=E55), 0),
  MATCH(G55, CourseHandicap[[#Headers],[Hole 1]:[Hole 18]], 0)
),"")</f>
        <v>10</v>
      </c>
      <c r="K55" cm="1">
        <f t="array" ref="K55">IFERROR(INDEX(CourseRatings[[Hole 1]:[Hole 18]],
  MATCH(1, (CourseRatings[Course]=C55)*(CourseRatings[Tees]=E55), 0),
  MATCH(G55, CourseRatings[[#Headers],[Hole 1]:[Hole 18]], 0)
),"")</f>
        <v>4</v>
      </c>
      <c r="L55" cm="1">
        <f t="array" ref="L55">IFERROR(
  INDEX('Golf Log'!$E$2:$V$72,
    MATCH(1,
      ('Golf Log'!$A$2:$A$72=$A55)*
      ('Golf Log'!$B$2:$B$72=$B55)*
      ('Golf Log'!$C$2:$C$72=$C55),
    0),
    MATCH($G55,'Golf Log'!$E$1:$V$1,0)
  ),
"")</f>
        <v>4</v>
      </c>
      <c r="M55">
        <f t="shared" si="1"/>
        <v>0</v>
      </c>
      <c r="N55" t="str">
        <f t="shared" si="2"/>
        <v>Par</v>
      </c>
      <c r="O55" cm="1">
        <f t="array" ref="O55">IFERROR(
  INDEX('Putt Log'!$E$2:$V$72,
    MATCH(1,
      ('Putt Log'!$A$2:$A$72=$A55)*
      ('Putt Log'!$B$2:$B$72=$B55)*
      ('Putt Log'!$C$2:$C$72=$C55),
    0),
    MATCH($G55,'Putt Log'!$E$1:$V$1,0)
  ),
"")</f>
        <v>1</v>
      </c>
      <c r="P55" cm="1">
        <f t="array" ref="P55">IF(K55=3,"",
  IFERROR(
    INDEX('Fairway Log'!$E$2:$V$72,
      MATCH(1,
        ('Fairway Log'!$A$2:$A$72=$A55)*
        ('Fairway Log'!$B$2:$B$72=$B55)*
        ('Fairway Log'!$C$2:$C126=$C55),
      0),
      MATCH($G55,'Fairway Log'!$E$1:$V$1,0)
    ),
  "")
)</f>
        <v>1</v>
      </c>
      <c r="Q55" t="str" cm="1">
        <f t="array" ref="Q55">IFERROR(
  INDEX('GIR Log'!$E$2:$V$72,
    MATCH(1,
      ('GIR Log'!$A$2:$A$72=$A55)*
      ('GIR Log'!$B$2:$B$72=$B55)*
      ('GIR Log'!$C$2:$C$72=$C55),
    0),
    MATCH($G55,'GIR Log'!$E$1:$V$1,0)
  ),
"")</f>
        <v>→</v>
      </c>
    </row>
    <row r="56" spans="1:17" x14ac:dyDescent="0.25">
      <c r="A56" s="20" t="s">
        <v>126</v>
      </c>
      <c r="B56" s="2">
        <v>45649</v>
      </c>
      <c r="C56" s="12" t="s">
        <v>14</v>
      </c>
      <c r="D56" s="12" t="s">
        <v>73</v>
      </c>
      <c r="E56" s="12" t="s">
        <v>40</v>
      </c>
      <c r="F56">
        <v>88</v>
      </c>
      <c r="G56" t="s">
        <v>47</v>
      </c>
      <c r="H56" s="9">
        <f t="shared" si="0"/>
        <v>1</v>
      </c>
      <c r="I56" cm="1">
        <f t="array" ref="I56">IFERROR(INDEX(CourseYardages[[Hole 1]:[Hole 18]],
  MATCH(1, (CourseYardages[Course]=C56)*(CourseYardages[Tees]=E56), 0),
  MATCH(G56, CourseYardages[[#Headers],[Hole 1]:[Hole 18]], 0)
),"")</f>
        <v>502</v>
      </c>
      <c r="J56" cm="1">
        <f t="array" ref="J56">IFERROR(INDEX(CourseHandicap[[Hole 1]:[Hole 18]],
  MATCH(1, (CourseHandicap[Course]=C56)*(CourseHandicap[Tees]=E56), 0),
  MATCH(G56, CourseHandicap[[#Headers],[Hole 1]:[Hole 18]], 0)
),"")</f>
        <v>5</v>
      </c>
      <c r="K56" cm="1">
        <f t="array" ref="K56">IFERROR(INDEX(CourseRatings[[Hole 1]:[Hole 18]],
  MATCH(1, (CourseRatings[Course]=C56)*(CourseRatings[Tees]=E56), 0),
  MATCH(G56, CourseRatings[[#Headers],[Hole 1]:[Hole 18]], 0)
),"")</f>
        <v>5</v>
      </c>
      <c r="L56" cm="1">
        <f t="array" ref="L56">IFERROR(
  INDEX('Golf Log'!$E$2:$V$72,
    MATCH(1,
      ('Golf Log'!$A$2:$A$72=$A56)*
      ('Golf Log'!$B$2:$B$72=$B56)*
      ('Golf Log'!$C$2:$C$72=$C56),
    0),
    MATCH($G56,'Golf Log'!$E$1:$V$1,0)
  ),
"")</f>
        <v>6</v>
      </c>
      <c r="M56">
        <f t="shared" si="1"/>
        <v>1</v>
      </c>
      <c r="N56" t="str">
        <f t="shared" si="2"/>
        <v>Bogey</v>
      </c>
      <c r="O56" cm="1">
        <f t="array" ref="O56">IFERROR(
  INDEX('Putt Log'!$E$2:$V$72,
    MATCH(1,
      ('Putt Log'!$A$2:$A$72=$A56)*
      ('Putt Log'!$B$2:$B$72=$B56)*
      ('Putt Log'!$C$2:$C$72=$C56),
    0),
    MATCH($G56,'Putt Log'!$E$1:$V$1,0)
  ),
"")</f>
        <v>2</v>
      </c>
      <c r="P56" t="str" cm="1">
        <f t="array" ref="P56">IF(K56=3,"",
  IFERROR(
    INDEX('Fairway Log'!$E$2:$V$72,
      MATCH(1,
        ('Fairway Log'!$A$2:$A$72=$A56)*
        ('Fairway Log'!$B$2:$B$72=$B56)*
        ('Fairway Log'!$C$2:$C127=$C56),
      0),
      MATCH($G56,'Fairway Log'!$E$1:$V$1,0)
    ),
  "")
)</f>
        <v>↓</v>
      </c>
      <c r="Q56" t="str" cm="1">
        <f t="array" ref="Q56">IFERROR(
  INDEX('GIR Log'!$E$2:$V$72,
    MATCH(1,
      ('GIR Log'!$A$2:$A$72=$A56)*
      ('GIR Log'!$B$2:$B$72=$B56)*
      ('GIR Log'!$C$2:$C$72=$C56),
    0),
    MATCH($G56,'GIR Log'!$E$1:$V$1,0)
  ),
"")</f>
        <v>←</v>
      </c>
    </row>
    <row r="57" spans="1:17" x14ac:dyDescent="0.25">
      <c r="A57" s="20" t="s">
        <v>126</v>
      </c>
      <c r="B57" s="2">
        <v>45649</v>
      </c>
      <c r="C57" s="12" t="s">
        <v>14</v>
      </c>
      <c r="D57" s="12" t="s">
        <v>73</v>
      </c>
      <c r="E57" s="12" t="s">
        <v>40</v>
      </c>
      <c r="F57">
        <v>88</v>
      </c>
      <c r="G57" t="s">
        <v>48</v>
      </c>
      <c r="H57" s="9">
        <f t="shared" si="0"/>
        <v>2</v>
      </c>
      <c r="I57" cm="1">
        <f t="array" ref="I57">IFERROR(INDEX(CourseYardages[[Hole 1]:[Hole 18]],
  MATCH(1, (CourseYardages[Course]=C57)*(CourseYardages[Tees]=E57), 0),
  MATCH(G57, CourseYardages[[#Headers],[Hole 1]:[Hole 18]], 0)
),"")</f>
        <v>175</v>
      </c>
      <c r="J57" cm="1">
        <f t="array" ref="J57">IFERROR(INDEX(CourseHandicap[[Hole 1]:[Hole 18]],
  MATCH(1, (CourseHandicap[Course]=C57)*(CourseHandicap[Tees]=E57), 0),
  MATCH(G57, CourseHandicap[[#Headers],[Hole 1]:[Hole 18]], 0)
),"")</f>
        <v>15</v>
      </c>
      <c r="K57" cm="1">
        <f t="array" ref="K57">IFERROR(INDEX(CourseRatings[[Hole 1]:[Hole 18]],
  MATCH(1, (CourseRatings[Course]=C57)*(CourseRatings[Tees]=E57), 0),
  MATCH(G57, CourseRatings[[#Headers],[Hole 1]:[Hole 18]], 0)
),"")</f>
        <v>3</v>
      </c>
      <c r="L57" cm="1">
        <f t="array" ref="L57">IFERROR(
  INDEX('Golf Log'!$E$2:$V$72,
    MATCH(1,
      ('Golf Log'!$A$2:$A$72=$A57)*
      ('Golf Log'!$B$2:$B$72=$B57)*
      ('Golf Log'!$C$2:$C$72=$C57),
    0),
    MATCH($G57,'Golf Log'!$E$1:$V$1,0)
  ),
"")</f>
        <v>5</v>
      </c>
      <c r="M57">
        <f t="shared" si="1"/>
        <v>2</v>
      </c>
      <c r="N57" t="str">
        <f t="shared" si="2"/>
        <v>Double Bogey</v>
      </c>
      <c r="O57" cm="1">
        <f t="array" ref="O57">IFERROR(
  INDEX('Putt Log'!$E$2:$V$72,
    MATCH(1,
      ('Putt Log'!$A$2:$A$72=$A57)*
      ('Putt Log'!$B$2:$B$72=$B57)*
      ('Putt Log'!$C$2:$C$72=$C57),
    0),
    MATCH($G57,'Putt Log'!$E$1:$V$1,0)
  ),
"")</f>
        <v>3</v>
      </c>
      <c r="P57" t="str" cm="1">
        <f t="array" ref="P57">IF(K57=3,"",
  IFERROR(
    INDEX('Fairway Log'!$E$2:$V$72,
      MATCH(1,
        ('Fairway Log'!$A$2:$A$72=$A57)*
        ('Fairway Log'!$B$2:$B$72=$B57)*
        ('Fairway Log'!$C$2:$C128=$C57),
      0),
      MATCH($G57,'Fairway Log'!$E$1:$V$1,0)
    ),
  "")
)</f>
        <v/>
      </c>
      <c r="Q57" t="str" cm="1">
        <f t="array" ref="Q57">IFERROR(
  INDEX('GIR Log'!$E$2:$V$72,
    MATCH(1,
      ('GIR Log'!$A$2:$A$72=$A57)*
      ('GIR Log'!$B$2:$B$72=$B57)*
      ('GIR Log'!$C$2:$C$72=$C57),
    0),
    MATCH($G57,'GIR Log'!$E$1:$V$1,0)
  ),
"")</f>
        <v>↓</v>
      </c>
    </row>
    <row r="58" spans="1:17" x14ac:dyDescent="0.25">
      <c r="A58" s="20" t="s">
        <v>126</v>
      </c>
      <c r="B58" s="2">
        <v>45649</v>
      </c>
      <c r="C58" s="12" t="s">
        <v>14</v>
      </c>
      <c r="D58" s="12" t="s">
        <v>73</v>
      </c>
      <c r="E58" s="12" t="s">
        <v>40</v>
      </c>
      <c r="F58">
        <v>88</v>
      </c>
      <c r="G58" t="s">
        <v>49</v>
      </c>
      <c r="H58" s="9">
        <f t="shared" si="0"/>
        <v>3</v>
      </c>
      <c r="I58" cm="1">
        <f t="array" ref="I58">IFERROR(INDEX(CourseYardages[[Hole 1]:[Hole 18]],
  MATCH(1, (CourseYardages[Course]=C58)*(CourseYardages[Tees]=E58), 0),
  MATCH(G58, CourseYardages[[#Headers],[Hole 1]:[Hole 18]], 0)
),"")</f>
        <v>353</v>
      </c>
      <c r="J58" cm="1">
        <f t="array" ref="J58">IFERROR(INDEX(CourseHandicap[[Hole 1]:[Hole 18]],
  MATCH(1, (CourseHandicap[Course]=C58)*(CourseHandicap[Tees]=E58), 0),
  MATCH(G58, CourseHandicap[[#Headers],[Hole 1]:[Hole 18]], 0)
),"")</f>
        <v>3</v>
      </c>
      <c r="K58" cm="1">
        <f t="array" ref="K58">IFERROR(INDEX(CourseRatings[[Hole 1]:[Hole 18]],
  MATCH(1, (CourseRatings[Course]=C58)*(CourseRatings[Tees]=E58), 0),
  MATCH(G58, CourseRatings[[#Headers],[Hole 1]:[Hole 18]], 0)
),"")</f>
        <v>4</v>
      </c>
      <c r="L58" cm="1">
        <f t="array" ref="L58">IFERROR(
  INDEX('Golf Log'!$E$2:$V$72,
    MATCH(1,
      ('Golf Log'!$A$2:$A$72=$A58)*
      ('Golf Log'!$B$2:$B$72=$B58)*
      ('Golf Log'!$C$2:$C$72=$C58),
    0),
    MATCH($G58,'Golf Log'!$E$1:$V$1,0)
  ),
"")</f>
        <v>5</v>
      </c>
      <c r="M58">
        <f t="shared" si="1"/>
        <v>1</v>
      </c>
      <c r="N58" t="str">
        <f t="shared" si="2"/>
        <v>Bogey</v>
      </c>
      <c r="O58" cm="1">
        <f t="array" ref="O58">IFERROR(
  INDEX('Putt Log'!$E$2:$V$72,
    MATCH(1,
      ('Putt Log'!$A$2:$A$72=$A58)*
      ('Putt Log'!$B$2:$B$72=$B58)*
      ('Putt Log'!$C$2:$C$72=$C58),
    0),
    MATCH($G58,'Putt Log'!$E$1:$V$1,0)
  ),
"")</f>
        <v>2</v>
      </c>
      <c r="P58" t="str" cm="1">
        <f t="array" ref="P58">IF(K58=3,"",
  IFERROR(
    INDEX('Fairway Log'!$E$2:$V$72,
      MATCH(1,
        ('Fairway Log'!$A$2:$A$72=$A58)*
        ('Fairway Log'!$B$2:$B$72=$B58)*
        ('Fairway Log'!$C$2:$C129=$C58),
      0),
      MATCH($G58,'Fairway Log'!$E$1:$V$1,0)
    ),
  "")
)</f>
        <v>→</v>
      </c>
      <c r="Q58" t="str" cm="1">
        <f t="array" ref="Q58">IFERROR(
  INDEX('GIR Log'!$E$2:$V$72,
    MATCH(1,
      ('GIR Log'!$A$2:$A$72=$A58)*
      ('GIR Log'!$B$2:$B$72=$B58)*
      ('GIR Log'!$C$2:$C$72=$C58),
    0),
    MATCH($G58,'GIR Log'!$E$1:$V$1,0)
  ),
"")</f>
        <v>→</v>
      </c>
    </row>
    <row r="59" spans="1:17" x14ac:dyDescent="0.25">
      <c r="A59" s="20" t="s">
        <v>126</v>
      </c>
      <c r="B59" s="2">
        <v>45649</v>
      </c>
      <c r="C59" s="12" t="s">
        <v>14</v>
      </c>
      <c r="D59" s="12" t="s">
        <v>73</v>
      </c>
      <c r="E59" s="12" t="s">
        <v>40</v>
      </c>
      <c r="F59">
        <v>88</v>
      </c>
      <c r="G59" t="s">
        <v>50</v>
      </c>
      <c r="H59" s="9">
        <f t="shared" si="0"/>
        <v>4</v>
      </c>
      <c r="I59" cm="1">
        <f t="array" ref="I59">IFERROR(INDEX(CourseYardages[[Hole 1]:[Hole 18]],
  MATCH(1, (CourseYardages[Course]=C59)*(CourseYardages[Tees]=E59), 0),
  MATCH(G59, CourseYardages[[#Headers],[Hole 1]:[Hole 18]], 0)
),"")</f>
        <v>359</v>
      </c>
      <c r="J59" cm="1">
        <f t="array" ref="J59">IFERROR(INDEX(CourseHandicap[[Hole 1]:[Hole 18]],
  MATCH(1, (CourseHandicap[Course]=C59)*(CourseHandicap[Tees]=E59), 0),
  MATCH(G59, CourseHandicap[[#Headers],[Hole 1]:[Hole 18]], 0)
),"")</f>
        <v>11</v>
      </c>
      <c r="K59" cm="1">
        <f t="array" ref="K59">IFERROR(INDEX(CourseRatings[[Hole 1]:[Hole 18]],
  MATCH(1, (CourseRatings[Course]=C59)*(CourseRatings[Tees]=E59), 0),
  MATCH(G59, CourseRatings[[#Headers],[Hole 1]:[Hole 18]], 0)
),"")</f>
        <v>4</v>
      </c>
      <c r="L59" cm="1">
        <f t="array" ref="L59">IFERROR(
  INDEX('Golf Log'!$E$2:$V$72,
    MATCH(1,
      ('Golf Log'!$A$2:$A$72=$A59)*
      ('Golf Log'!$B$2:$B$72=$B59)*
      ('Golf Log'!$C$2:$C$72=$C59),
    0),
    MATCH($G59,'Golf Log'!$E$1:$V$1,0)
  ),
"")</f>
        <v>6</v>
      </c>
      <c r="M59">
        <f t="shared" si="1"/>
        <v>2</v>
      </c>
      <c r="N59" t="str">
        <f t="shared" si="2"/>
        <v>Double Bogey</v>
      </c>
      <c r="O59" cm="1">
        <f t="array" ref="O59">IFERROR(
  INDEX('Putt Log'!$E$2:$V$72,
    MATCH(1,
      ('Putt Log'!$A$2:$A$72=$A59)*
      ('Putt Log'!$B$2:$B$72=$B59)*
      ('Putt Log'!$C$2:$C$72=$C59),
    0),
    MATCH($G59,'Putt Log'!$E$1:$V$1,0)
  ),
"")</f>
        <v>2</v>
      </c>
      <c r="P59" t="str" cm="1">
        <f t="array" ref="P59">IF(K59=3,"",
  IFERROR(
    INDEX('Fairway Log'!$E$2:$V$72,
      MATCH(1,
        ('Fairway Log'!$A$2:$A$72=$A59)*
        ('Fairway Log'!$B$2:$B$72=$B59)*
        ('Fairway Log'!$C$2:$C130=$C59),
      0),
      MATCH($G59,'Fairway Log'!$E$1:$V$1,0)
    ),
  "")
)</f>
        <v>↓</v>
      </c>
      <c r="Q59" t="str" cm="1">
        <f t="array" ref="Q59">IFERROR(
  INDEX('GIR Log'!$E$2:$V$72,
    MATCH(1,
      ('GIR Log'!$A$2:$A$72=$A59)*
      ('GIR Log'!$B$2:$B$72=$B59)*
      ('GIR Log'!$C$2:$C$72=$C59),
    0),
    MATCH($G59,'GIR Log'!$E$1:$V$1,0)
  ),
"")</f>
        <v>↑</v>
      </c>
    </row>
    <row r="60" spans="1:17" x14ac:dyDescent="0.25">
      <c r="A60" s="20" t="s">
        <v>126</v>
      </c>
      <c r="B60" s="2">
        <v>45649</v>
      </c>
      <c r="C60" s="12" t="s">
        <v>14</v>
      </c>
      <c r="D60" s="12" t="s">
        <v>73</v>
      </c>
      <c r="E60" s="12" t="s">
        <v>40</v>
      </c>
      <c r="F60">
        <v>88</v>
      </c>
      <c r="G60" t="s">
        <v>51</v>
      </c>
      <c r="H60" s="9">
        <f t="shared" si="0"/>
        <v>5</v>
      </c>
      <c r="I60" cm="1">
        <f t="array" ref="I60">IFERROR(INDEX(CourseYardages[[Hole 1]:[Hole 18]],
  MATCH(1, (CourseYardages[Course]=C60)*(CourseYardages[Tees]=E60), 0),
  MATCH(G60, CourseYardages[[#Headers],[Hole 1]:[Hole 18]], 0)
),"")</f>
        <v>440</v>
      </c>
      <c r="J60" cm="1">
        <f t="array" ref="J60">IFERROR(INDEX(CourseHandicap[[Hole 1]:[Hole 18]],
  MATCH(1, (CourseHandicap[Course]=C60)*(CourseHandicap[Tees]=E60), 0),
  MATCH(G60, CourseHandicap[[#Headers],[Hole 1]:[Hole 18]], 0)
),"")</f>
        <v>1</v>
      </c>
      <c r="K60" cm="1">
        <f t="array" ref="K60">IFERROR(INDEX(CourseRatings[[Hole 1]:[Hole 18]],
  MATCH(1, (CourseRatings[Course]=C60)*(CourseRatings[Tees]=E60), 0),
  MATCH(G60, CourseRatings[[#Headers],[Hole 1]:[Hole 18]], 0)
),"")</f>
        <v>4</v>
      </c>
      <c r="L60" cm="1">
        <f t="array" ref="L60">IFERROR(
  INDEX('Golf Log'!$E$2:$V$72,
    MATCH(1,
      ('Golf Log'!$A$2:$A$72=$A60)*
      ('Golf Log'!$B$2:$B$72=$B60)*
      ('Golf Log'!$C$2:$C$72=$C60),
    0),
    MATCH($G60,'Golf Log'!$E$1:$V$1,0)
  ),
"")</f>
        <v>5</v>
      </c>
      <c r="M60">
        <f t="shared" si="1"/>
        <v>1</v>
      </c>
      <c r="N60" t="str">
        <f t="shared" si="2"/>
        <v>Bogey</v>
      </c>
      <c r="O60" cm="1">
        <f t="array" ref="O60">IFERROR(
  INDEX('Putt Log'!$E$2:$V$72,
    MATCH(1,
      ('Putt Log'!$A$2:$A$72=$A60)*
      ('Putt Log'!$B$2:$B$72=$B60)*
      ('Putt Log'!$C$2:$C$72=$C60),
    0),
    MATCH($G60,'Putt Log'!$E$1:$V$1,0)
  ),
"")</f>
        <v>2</v>
      </c>
      <c r="P60" cm="1">
        <f t="array" ref="P60">IF(K60=3,"",
  IFERROR(
    INDEX('Fairway Log'!$E$2:$V$72,
      MATCH(1,
        ('Fairway Log'!$A$2:$A$72=$A60)*
        ('Fairway Log'!$B$2:$B$72=$B60)*
        ('Fairway Log'!$C$2:$C131=$C60),
      0),
      MATCH($G60,'Fairway Log'!$E$1:$V$1,0)
    ),
  "")
)</f>
        <v>0</v>
      </c>
      <c r="Q60" cm="1">
        <f t="array" ref="Q60">IFERROR(
  INDEX('GIR Log'!$E$2:$V$72,
    MATCH(1,
      ('GIR Log'!$A$2:$A$72=$A60)*
      ('GIR Log'!$B$2:$B$72=$B60)*
      ('GIR Log'!$C$2:$C$72=$C60),
    0),
    MATCH($G60,'GIR Log'!$E$1:$V$1,0)
  ),
"")</f>
        <v>0</v>
      </c>
    </row>
    <row r="61" spans="1:17" x14ac:dyDescent="0.25">
      <c r="A61" s="20" t="s">
        <v>126</v>
      </c>
      <c r="B61" s="2">
        <v>45649</v>
      </c>
      <c r="C61" s="12" t="s">
        <v>14</v>
      </c>
      <c r="D61" s="12" t="s">
        <v>73</v>
      </c>
      <c r="E61" s="12" t="s">
        <v>40</v>
      </c>
      <c r="F61">
        <v>88</v>
      </c>
      <c r="G61" t="s">
        <v>52</v>
      </c>
      <c r="H61" s="9">
        <f t="shared" si="0"/>
        <v>6</v>
      </c>
      <c r="I61" cm="1">
        <f t="array" ref="I61">IFERROR(INDEX(CourseYardages[[Hole 1]:[Hole 18]],
  MATCH(1, (CourseYardages[Course]=C61)*(CourseYardages[Tees]=E61), 0),
  MATCH(G61, CourseYardages[[#Headers],[Hole 1]:[Hole 18]], 0)
),"")</f>
        <v>440</v>
      </c>
      <c r="J61" cm="1">
        <f t="array" ref="J61">IFERROR(INDEX(CourseHandicap[[Hole 1]:[Hole 18]],
  MATCH(1, (CourseHandicap[Course]=C61)*(CourseHandicap[Tees]=E61), 0),
  MATCH(G61, CourseHandicap[[#Headers],[Hole 1]:[Hole 18]], 0)
),"")</f>
        <v>9</v>
      </c>
      <c r="K61" cm="1">
        <f t="array" ref="K61">IFERROR(INDEX(CourseRatings[[Hole 1]:[Hole 18]],
  MATCH(1, (CourseRatings[Course]=C61)*(CourseRatings[Tees]=E61), 0),
  MATCH(G61, CourseRatings[[#Headers],[Hole 1]:[Hole 18]], 0)
),"")</f>
        <v>5</v>
      </c>
      <c r="L61" cm="1">
        <f t="array" ref="L61">IFERROR(
  INDEX('Golf Log'!$E$2:$V$72,
    MATCH(1,
      ('Golf Log'!$A$2:$A$72=$A61)*
      ('Golf Log'!$B$2:$B$72=$B61)*
      ('Golf Log'!$C$2:$C$72=$C61),
    0),
    MATCH($G61,'Golf Log'!$E$1:$V$1,0)
  ),
"")</f>
        <v>5</v>
      </c>
      <c r="M61">
        <f t="shared" si="1"/>
        <v>0</v>
      </c>
      <c r="N61" t="str">
        <f t="shared" si="2"/>
        <v>Par</v>
      </c>
      <c r="O61" cm="1">
        <f t="array" ref="O61">IFERROR(
  INDEX('Putt Log'!$E$2:$V$72,
    MATCH(1,
      ('Putt Log'!$A$2:$A$72=$A61)*
      ('Putt Log'!$B$2:$B$72=$B61)*
      ('Putt Log'!$C$2:$C$72=$C61),
    0),
    MATCH($G61,'Putt Log'!$E$1:$V$1,0)
  ),
"")</f>
        <v>2</v>
      </c>
      <c r="P61" t="str" cm="1">
        <f t="array" ref="P61">IF(K61=3,"",
  IFERROR(
    INDEX('Fairway Log'!$E$2:$V$72,
      MATCH(1,
        ('Fairway Log'!$A$2:$A$72=$A61)*
        ('Fairway Log'!$B$2:$B$72=$B61)*
        ('Fairway Log'!$C$2:$C132=$C61),
      0),
      MATCH($G61,'Fairway Log'!$E$1:$V$1,0)
    ),
  "")
)</f>
        <v>←</v>
      </c>
      <c r="Q61" cm="1">
        <f t="array" ref="Q61">IFERROR(
  INDEX('GIR Log'!$E$2:$V$72,
    MATCH(1,
      ('GIR Log'!$A$2:$A$72=$A61)*
      ('GIR Log'!$B$2:$B$72=$B61)*
      ('GIR Log'!$C$2:$C$72=$C61),
    0),
    MATCH($G61,'GIR Log'!$E$1:$V$1,0)
  ),
"")</f>
        <v>1</v>
      </c>
    </row>
    <row r="62" spans="1:17" x14ac:dyDescent="0.25">
      <c r="A62" s="20" t="s">
        <v>126</v>
      </c>
      <c r="B62" s="2">
        <v>45649</v>
      </c>
      <c r="C62" s="12" t="s">
        <v>14</v>
      </c>
      <c r="D62" s="12" t="s">
        <v>73</v>
      </c>
      <c r="E62" s="12" t="s">
        <v>40</v>
      </c>
      <c r="F62">
        <v>88</v>
      </c>
      <c r="G62" t="s">
        <v>53</v>
      </c>
      <c r="H62" s="9">
        <f t="shared" si="0"/>
        <v>7</v>
      </c>
      <c r="I62" cm="1">
        <f t="array" ref="I62">IFERROR(INDEX(CourseYardages[[Hole 1]:[Hole 18]],
  MATCH(1, (CourseYardages[Course]=C62)*(CourseYardages[Tees]=E62), 0),
  MATCH(G62, CourseYardages[[#Headers],[Hole 1]:[Hole 18]], 0)
),"")</f>
        <v>306</v>
      </c>
      <c r="J62" cm="1">
        <f t="array" ref="J62">IFERROR(INDEX(CourseHandicap[[Hole 1]:[Hole 18]],
  MATCH(1, (CourseHandicap[Course]=C62)*(CourseHandicap[Tees]=E62), 0),
  MATCH(G62, CourseHandicap[[#Headers],[Hole 1]:[Hole 18]], 0)
),"")</f>
        <v>13</v>
      </c>
      <c r="K62" cm="1">
        <f t="array" ref="K62">IFERROR(INDEX(CourseRatings[[Hole 1]:[Hole 18]],
  MATCH(1, (CourseRatings[Course]=C62)*(CourseRatings[Tees]=E62), 0),
  MATCH(G62, CourseRatings[[#Headers],[Hole 1]:[Hole 18]], 0)
),"")</f>
        <v>4</v>
      </c>
      <c r="L62" cm="1">
        <f t="array" ref="L62">IFERROR(
  INDEX('Golf Log'!$E$2:$V$72,
    MATCH(1,
      ('Golf Log'!$A$2:$A$72=$A62)*
      ('Golf Log'!$B$2:$B$72=$B62)*
      ('Golf Log'!$C$2:$C$72=$C62),
    0),
    MATCH($G62,'Golf Log'!$E$1:$V$1,0)
  ),
"")</f>
        <v>5</v>
      </c>
      <c r="M62">
        <f t="shared" si="1"/>
        <v>1</v>
      </c>
      <c r="N62" t="str">
        <f t="shared" si="2"/>
        <v>Bogey</v>
      </c>
      <c r="O62" cm="1">
        <f t="array" ref="O62">IFERROR(
  INDEX('Putt Log'!$E$2:$V$72,
    MATCH(1,
      ('Putt Log'!$A$2:$A$72=$A62)*
      ('Putt Log'!$B$2:$B$72=$B62)*
      ('Putt Log'!$C$2:$C$72=$C62),
    0),
    MATCH($G62,'Putt Log'!$E$1:$V$1,0)
  ),
"")</f>
        <v>2</v>
      </c>
      <c r="P62" t="str" cm="1">
        <f t="array" ref="P62">IF(K62=3,"",
  IFERROR(
    INDEX('Fairway Log'!$E$2:$V$72,
      MATCH(1,
        ('Fairway Log'!$A$2:$A$72=$A62)*
        ('Fairway Log'!$B$2:$B$72=$B62)*
        ('Fairway Log'!$C$2:$C133=$C62),
      0),
      MATCH($G62,'Fairway Log'!$E$1:$V$1,0)
    ),
  "")
)</f>
        <v>→</v>
      </c>
      <c r="Q62" t="str" cm="1">
        <f t="array" ref="Q62">IFERROR(
  INDEX('GIR Log'!$E$2:$V$72,
    MATCH(1,
      ('GIR Log'!$A$2:$A$72=$A62)*
      ('GIR Log'!$B$2:$B$72=$B62)*
      ('GIR Log'!$C$2:$C$72=$C62),
    0),
    MATCH($G62,'GIR Log'!$E$1:$V$1,0)
  ),
"")</f>
        <v>↓</v>
      </c>
    </row>
    <row r="63" spans="1:17" x14ac:dyDescent="0.25">
      <c r="A63" s="20" t="s">
        <v>126</v>
      </c>
      <c r="B63" s="2">
        <v>45649</v>
      </c>
      <c r="C63" s="12" t="s">
        <v>14</v>
      </c>
      <c r="D63" s="12" t="s">
        <v>73</v>
      </c>
      <c r="E63" s="12" t="s">
        <v>40</v>
      </c>
      <c r="F63">
        <v>88</v>
      </c>
      <c r="G63" t="s">
        <v>54</v>
      </c>
      <c r="H63" s="9">
        <f t="shared" si="0"/>
        <v>8</v>
      </c>
      <c r="I63" cm="1">
        <f t="array" ref="I63">IFERROR(INDEX(CourseYardages[[Hole 1]:[Hole 18]],
  MATCH(1, (CourseYardages[Course]=C63)*(CourseYardages[Tees]=E63), 0),
  MATCH(G63, CourseYardages[[#Headers],[Hole 1]:[Hole 18]], 0)
),"")</f>
        <v>167</v>
      </c>
      <c r="J63" cm="1">
        <f t="array" ref="J63">IFERROR(INDEX(CourseHandicap[[Hole 1]:[Hole 18]],
  MATCH(1, (CourseHandicap[Course]=C63)*(CourseHandicap[Tees]=E63), 0),
  MATCH(G63, CourseHandicap[[#Headers],[Hole 1]:[Hole 18]], 0)
),"")</f>
        <v>17</v>
      </c>
      <c r="K63" cm="1">
        <f t="array" ref="K63">IFERROR(INDEX(CourseRatings[[Hole 1]:[Hole 18]],
  MATCH(1, (CourseRatings[Course]=C63)*(CourseRatings[Tees]=E63), 0),
  MATCH(G63, CourseRatings[[#Headers],[Hole 1]:[Hole 18]], 0)
),"")</f>
        <v>3</v>
      </c>
      <c r="L63" cm="1">
        <f t="array" ref="L63">IFERROR(
  INDEX('Golf Log'!$E$2:$V$72,
    MATCH(1,
      ('Golf Log'!$A$2:$A$72=$A63)*
      ('Golf Log'!$B$2:$B$72=$B63)*
      ('Golf Log'!$C$2:$C$72=$C63),
    0),
    MATCH($G63,'Golf Log'!$E$1:$V$1,0)
  ),
"")</f>
        <v>4</v>
      </c>
      <c r="M63">
        <f t="shared" si="1"/>
        <v>1</v>
      </c>
      <c r="N63" t="str">
        <f t="shared" si="2"/>
        <v>Bogey</v>
      </c>
      <c r="O63" cm="1">
        <f t="array" ref="O63">IFERROR(
  INDEX('Putt Log'!$E$2:$V$72,
    MATCH(1,
      ('Putt Log'!$A$2:$A$72=$A63)*
      ('Putt Log'!$B$2:$B$72=$B63)*
      ('Putt Log'!$C$2:$C$72=$C63),
    0),
    MATCH($G63,'Putt Log'!$E$1:$V$1,0)
  ),
"")</f>
        <v>2</v>
      </c>
      <c r="P63" t="str" cm="1">
        <f t="array" ref="P63">IF(K63=3,"",
  IFERROR(
    INDEX('Fairway Log'!$E$2:$V$72,
      MATCH(1,
        ('Fairway Log'!$A$2:$A$72=$A63)*
        ('Fairway Log'!$B$2:$B$72=$B63)*
        ('Fairway Log'!$C$2:$C134=$C63),
      0),
      MATCH($G63,'Fairway Log'!$E$1:$V$1,0)
    ),
  "")
)</f>
        <v/>
      </c>
      <c r="Q63" t="str" cm="1">
        <f t="array" ref="Q63">IFERROR(
  INDEX('GIR Log'!$E$2:$V$72,
    MATCH(1,
      ('GIR Log'!$A$2:$A$72=$A63)*
      ('GIR Log'!$B$2:$B$72=$B63)*
      ('GIR Log'!$C$2:$C$72=$C63),
    0),
    MATCH($G63,'GIR Log'!$E$1:$V$1,0)
  ),
"")</f>
        <v>↓</v>
      </c>
    </row>
    <row r="64" spans="1:17" x14ac:dyDescent="0.25">
      <c r="A64" s="20" t="s">
        <v>126</v>
      </c>
      <c r="B64" s="2">
        <v>45649</v>
      </c>
      <c r="C64" s="12" t="s">
        <v>14</v>
      </c>
      <c r="D64" s="12" t="s">
        <v>73</v>
      </c>
      <c r="E64" s="12" t="s">
        <v>40</v>
      </c>
      <c r="F64">
        <v>88</v>
      </c>
      <c r="G64" t="s">
        <v>55</v>
      </c>
      <c r="H64" s="9">
        <f t="shared" si="0"/>
        <v>9</v>
      </c>
      <c r="I64" cm="1">
        <f t="array" ref="I64">IFERROR(INDEX(CourseYardages[[Hole 1]:[Hole 18]],
  MATCH(1, (CourseYardages[Course]=C64)*(CourseYardages[Tees]=E64), 0),
  MATCH(G64, CourseYardages[[#Headers],[Hole 1]:[Hole 18]], 0)
),"")</f>
        <v>467</v>
      </c>
      <c r="J64" cm="1">
        <f t="array" ref="J64">IFERROR(INDEX(CourseHandicap[[Hole 1]:[Hole 18]],
  MATCH(1, (CourseHandicap[Course]=C64)*(CourseHandicap[Tees]=E64), 0),
  MATCH(G64, CourseHandicap[[#Headers],[Hole 1]:[Hole 18]], 0)
),"")</f>
        <v>7</v>
      </c>
      <c r="K64" cm="1">
        <f t="array" ref="K64">IFERROR(INDEX(CourseRatings[[Hole 1]:[Hole 18]],
  MATCH(1, (CourseRatings[Course]=C64)*(CourseRatings[Tees]=E64), 0),
  MATCH(G64, CourseRatings[[#Headers],[Hole 1]:[Hole 18]], 0)
),"")</f>
        <v>5</v>
      </c>
      <c r="L64" cm="1">
        <f t="array" ref="L64">IFERROR(
  INDEX('Golf Log'!$E$2:$V$72,
    MATCH(1,
      ('Golf Log'!$A$2:$A$72=$A64)*
      ('Golf Log'!$B$2:$B$72=$B64)*
      ('Golf Log'!$C$2:$C$72=$C64),
    0),
    MATCH($G64,'Golf Log'!$E$1:$V$1,0)
  ),
"")</f>
        <v>6</v>
      </c>
      <c r="M64">
        <f t="shared" si="1"/>
        <v>1</v>
      </c>
      <c r="N64" t="str">
        <f t="shared" si="2"/>
        <v>Bogey</v>
      </c>
      <c r="O64" cm="1">
        <f t="array" ref="O64">IFERROR(
  INDEX('Putt Log'!$E$2:$V$72,
    MATCH(1,
      ('Putt Log'!$A$2:$A$72=$A64)*
      ('Putt Log'!$B$2:$B$72=$B64)*
      ('Putt Log'!$C$2:$C$72=$C64),
    0),
    MATCH($G64,'Putt Log'!$E$1:$V$1,0)
  ),
"")</f>
        <v>2</v>
      </c>
      <c r="P64" t="str" cm="1">
        <f t="array" ref="P64">IF(K64=3,"",
  IFERROR(
    INDEX('Fairway Log'!$E$2:$V$72,
      MATCH(1,
        ('Fairway Log'!$A$2:$A$72=$A64)*
        ('Fairway Log'!$B$2:$B$72=$B64)*
        ('Fairway Log'!$C$2:$C135=$C64),
      0),
      MATCH($G64,'Fairway Log'!$E$1:$V$1,0)
    ),
  "")
)</f>
        <v>→</v>
      </c>
      <c r="Q64" t="str" cm="1">
        <f t="array" ref="Q64">IFERROR(
  INDEX('GIR Log'!$E$2:$V$72,
    MATCH(1,
      ('GIR Log'!$A$2:$A$72=$A64)*
      ('GIR Log'!$B$2:$B$72=$B64)*
      ('GIR Log'!$C$2:$C$72=$C64),
    0),
    MATCH($G64,'GIR Log'!$E$1:$V$1,0)
  ),
"")</f>
        <v>↓</v>
      </c>
    </row>
    <row r="65" spans="1:17" x14ac:dyDescent="0.25">
      <c r="A65" s="20" t="s">
        <v>126</v>
      </c>
      <c r="B65" s="2">
        <v>45649</v>
      </c>
      <c r="C65" s="12" t="s">
        <v>14</v>
      </c>
      <c r="D65" s="12" t="s">
        <v>73</v>
      </c>
      <c r="E65" s="12" t="s">
        <v>40</v>
      </c>
      <c r="F65">
        <v>88</v>
      </c>
      <c r="G65" t="s">
        <v>56</v>
      </c>
      <c r="H65" s="9">
        <f t="shared" si="0"/>
        <v>10</v>
      </c>
      <c r="I65" cm="1">
        <f t="array" ref="I65">IFERROR(INDEX(CourseYardages[[Hole 1]:[Hole 18]],
  MATCH(1, (CourseYardages[Course]=C65)*(CourseYardages[Tees]=E65), 0),
  MATCH(G65, CourseYardages[[#Headers],[Hole 1]:[Hole 18]], 0)
),"")</f>
        <v>433</v>
      </c>
      <c r="J65" cm="1">
        <f t="array" ref="J65">IFERROR(INDEX(CourseHandicap[[Hole 1]:[Hole 18]],
  MATCH(1, (CourseHandicap[Course]=C65)*(CourseHandicap[Tees]=E65), 0),
  MATCH(G65, CourseHandicap[[#Headers],[Hole 1]:[Hole 18]], 0)
),"")</f>
        <v>6</v>
      </c>
      <c r="K65" cm="1">
        <f t="array" ref="K65">IFERROR(INDEX(CourseRatings[[Hole 1]:[Hole 18]],
  MATCH(1, (CourseRatings[Course]=C65)*(CourseRatings[Tees]=E65), 0),
  MATCH(G65, CourseRatings[[#Headers],[Hole 1]:[Hole 18]], 0)
),"")</f>
        <v>4</v>
      </c>
      <c r="L65" cm="1">
        <f t="array" ref="L65">IFERROR(
  INDEX('Golf Log'!$E$2:$V$72,
    MATCH(1,
      ('Golf Log'!$A$2:$A$72=$A65)*
      ('Golf Log'!$B$2:$B$72=$B65)*
      ('Golf Log'!$C$2:$C$72=$C65),
    0),
    MATCH($G65,'Golf Log'!$E$1:$V$1,0)
  ),
"")</f>
        <v>4</v>
      </c>
      <c r="M65">
        <f t="shared" si="1"/>
        <v>0</v>
      </c>
      <c r="N65" t="str">
        <f t="shared" si="2"/>
        <v>Par</v>
      </c>
      <c r="O65" cm="1">
        <f t="array" ref="O65">IFERROR(
  INDEX('Putt Log'!$E$2:$V$72,
    MATCH(1,
      ('Putt Log'!$A$2:$A$72=$A65)*
      ('Putt Log'!$B$2:$B$72=$B65)*
      ('Putt Log'!$C$2:$C$72=$C65),
    0),
    MATCH($G65,'Putt Log'!$E$1:$V$1,0)
  ),
"")</f>
        <v>1</v>
      </c>
      <c r="P65" t="str" cm="1">
        <f t="array" ref="P65">IF(K65=3,"",
  IFERROR(
    INDEX('Fairway Log'!$E$2:$V$72,
      MATCH(1,
        ('Fairway Log'!$A$2:$A$72=$A65)*
        ('Fairway Log'!$B$2:$B$72=$B65)*
        ('Fairway Log'!$C$2:$C136=$C65),
      0),
      MATCH($G65,'Fairway Log'!$E$1:$V$1,0)
    ),
  "")
)</f>
        <v>←</v>
      </c>
      <c r="Q65" t="str" cm="1">
        <f t="array" ref="Q65">IFERROR(
  INDEX('GIR Log'!$E$2:$V$72,
    MATCH(1,
      ('GIR Log'!$A$2:$A$72=$A65)*
      ('GIR Log'!$B$2:$B$72=$B65)*
      ('GIR Log'!$C$2:$C$72=$C65),
    0),
    MATCH($G65,'GIR Log'!$E$1:$V$1,0)
  ),
"")</f>
        <v>↓</v>
      </c>
    </row>
    <row r="66" spans="1:17" x14ac:dyDescent="0.25">
      <c r="A66" s="20" t="s">
        <v>126</v>
      </c>
      <c r="B66" s="2">
        <v>45649</v>
      </c>
      <c r="C66" s="12" t="s">
        <v>14</v>
      </c>
      <c r="D66" s="12" t="s">
        <v>73</v>
      </c>
      <c r="E66" s="12" t="s">
        <v>40</v>
      </c>
      <c r="F66">
        <v>88</v>
      </c>
      <c r="G66" t="s">
        <v>57</v>
      </c>
      <c r="H66" s="9">
        <f t="shared" si="0"/>
        <v>11</v>
      </c>
      <c r="I66" cm="1">
        <f t="array" ref="I66">IFERROR(INDEX(CourseYardages[[Hole 1]:[Hole 18]],
  MATCH(1, (CourseYardages[Course]=C66)*(CourseYardages[Tees]=E66), 0),
  MATCH(G66, CourseYardages[[#Headers],[Hole 1]:[Hole 18]], 0)
),"")</f>
        <v>399</v>
      </c>
      <c r="J66" cm="1">
        <f t="array" ref="J66">IFERROR(INDEX(CourseHandicap[[Hole 1]:[Hole 18]],
  MATCH(1, (CourseHandicap[Course]=C66)*(CourseHandicap[Tees]=E66), 0),
  MATCH(G66, CourseHandicap[[#Headers],[Hole 1]:[Hole 18]], 0)
),"")</f>
        <v>8</v>
      </c>
      <c r="K66" cm="1">
        <f t="array" ref="K66">IFERROR(INDEX(CourseRatings[[Hole 1]:[Hole 18]],
  MATCH(1, (CourseRatings[Course]=C66)*(CourseRatings[Tees]=E66), 0),
  MATCH(G66, CourseRatings[[#Headers],[Hole 1]:[Hole 18]], 0)
),"")</f>
        <v>4</v>
      </c>
      <c r="L66" cm="1">
        <f t="array" ref="L66">IFERROR(
  INDEX('Golf Log'!$E$2:$V$72,
    MATCH(1,
      ('Golf Log'!$A$2:$A$72=$A66)*
      ('Golf Log'!$B$2:$B$72=$B66)*
      ('Golf Log'!$C$2:$C$72=$C66),
    0),
    MATCH($G66,'Golf Log'!$E$1:$V$1,0)
  ),
"")</f>
        <v>5</v>
      </c>
      <c r="M66">
        <f t="shared" si="1"/>
        <v>1</v>
      </c>
      <c r="N66" t="str">
        <f t="shared" si="2"/>
        <v>Bogey</v>
      </c>
      <c r="O66" cm="1">
        <f t="array" ref="O66">IFERROR(
  INDEX('Putt Log'!$E$2:$V$72,
    MATCH(1,
      ('Putt Log'!$A$2:$A$72=$A66)*
      ('Putt Log'!$B$2:$B$72=$B66)*
      ('Putt Log'!$C$2:$C$72=$C66),
    0),
    MATCH($G66,'Putt Log'!$E$1:$V$1,0)
  ),
"")</f>
        <v>2</v>
      </c>
      <c r="P66" cm="1">
        <f t="array" ref="P66">IF(K66=3,"",
  IFERROR(
    INDEX('Fairway Log'!$E$2:$V$72,
      MATCH(1,
        ('Fairway Log'!$A$2:$A$72=$A66)*
        ('Fairway Log'!$B$2:$B$72=$B66)*
        ('Fairway Log'!$C$2:$C137=$C66),
      0),
      MATCH($G66,'Fairway Log'!$E$1:$V$1,0)
    ),
  "")
)</f>
        <v>1</v>
      </c>
      <c r="Q66" t="str" cm="1">
        <f t="array" ref="Q66">IFERROR(
  INDEX('GIR Log'!$E$2:$V$72,
    MATCH(1,
      ('GIR Log'!$A$2:$A$72=$A66)*
      ('GIR Log'!$B$2:$B$72=$B66)*
      ('GIR Log'!$C$2:$C$72=$C66),
    0),
    MATCH($G66,'GIR Log'!$E$1:$V$1,0)
  ),
"")</f>
        <v>↓</v>
      </c>
    </row>
    <row r="67" spans="1:17" x14ac:dyDescent="0.25">
      <c r="A67" s="20" t="s">
        <v>126</v>
      </c>
      <c r="B67" s="2">
        <v>45649</v>
      </c>
      <c r="C67" s="12" t="s">
        <v>14</v>
      </c>
      <c r="D67" s="12" t="s">
        <v>73</v>
      </c>
      <c r="E67" s="12" t="s">
        <v>40</v>
      </c>
      <c r="F67">
        <v>88</v>
      </c>
      <c r="G67" t="s">
        <v>58</v>
      </c>
      <c r="H67" s="9">
        <f t="shared" ref="H67:H130" si="3">VALUE(RIGHT(G67, LEN(G67) - 5))</f>
        <v>12</v>
      </c>
      <c r="I67" cm="1">
        <f t="array" ref="I67">IFERROR(INDEX(CourseYardages[[Hole 1]:[Hole 18]],
  MATCH(1, (CourseYardages[Course]=C67)*(CourseYardages[Tees]=E67), 0),
  MATCH(G67, CourseYardages[[#Headers],[Hole 1]:[Hole 18]], 0)
),"")</f>
        <v>335</v>
      </c>
      <c r="J67" cm="1">
        <f t="array" ref="J67">IFERROR(INDEX(CourseHandicap[[Hole 1]:[Hole 18]],
  MATCH(1, (CourseHandicap[Course]=C67)*(CourseHandicap[Tees]=E67), 0),
  MATCH(G67, CourseHandicap[[#Headers],[Hole 1]:[Hole 18]], 0)
),"")</f>
        <v>14</v>
      </c>
      <c r="K67" cm="1">
        <f t="array" ref="K67">IFERROR(INDEX(CourseRatings[[Hole 1]:[Hole 18]],
  MATCH(1, (CourseRatings[Course]=C67)*(CourseRatings[Tees]=E67), 0),
  MATCH(G67, CourseRatings[[#Headers],[Hole 1]:[Hole 18]], 0)
),"")</f>
        <v>4</v>
      </c>
      <c r="L67" cm="1">
        <f t="array" ref="L67">IFERROR(
  INDEX('Golf Log'!$E$2:$V$72,
    MATCH(1,
      ('Golf Log'!$A$2:$A$72=$A67)*
      ('Golf Log'!$B$2:$B$72=$B67)*
      ('Golf Log'!$C$2:$C$72=$C67),
    0),
    MATCH($G67,'Golf Log'!$E$1:$V$1,0)
  ),
"")</f>
        <v>5</v>
      </c>
      <c r="M67">
        <f t="shared" ref="M67:M117" si="4">IFERROR(L67-K67,"")</f>
        <v>1</v>
      </c>
      <c r="N67" t="str">
        <f t="shared" ref="N67:N291" si="5">IF(M67="","",(IF(M67=-2,"Eagle",IF(M67=-1,"Birdie",IF(M67=0,"Par",IF(M67=1,"Bogey",IF(M67=2,"Double Bogey",IF(M67=3,"Triple Bogey",IF(M67&gt;3,"Quad Bogey+")))))))))</f>
        <v>Bogey</v>
      </c>
      <c r="O67" cm="1">
        <f t="array" ref="O67">IFERROR(
  INDEX('Putt Log'!$E$2:$V$72,
    MATCH(1,
      ('Putt Log'!$A$2:$A$72=$A67)*
      ('Putt Log'!$B$2:$B$72=$B67)*
      ('Putt Log'!$C$2:$C$72=$C67),
    0),
    MATCH($G67,'Putt Log'!$E$1:$V$1,0)
  ),
"")</f>
        <v>2</v>
      </c>
      <c r="P67" cm="1">
        <f t="array" ref="P67">IF(K67=3,"",
  IFERROR(
    INDEX('Fairway Log'!$E$2:$V$72,
      MATCH(1,
        ('Fairway Log'!$A$2:$A$72=$A67)*
        ('Fairway Log'!$B$2:$B$72=$B67)*
        ('Fairway Log'!$C$2:$C138=$C67),
      0),
      MATCH($G67,'Fairway Log'!$E$1:$V$1,0)
    ),
  "")
)</f>
        <v>1</v>
      </c>
      <c r="Q67" t="str" cm="1">
        <f t="array" ref="Q67">IFERROR(
  INDEX('GIR Log'!$E$2:$V$72,
    MATCH(1,
      ('GIR Log'!$A$2:$A$72=$A67)*
      ('GIR Log'!$B$2:$B$72=$B67)*
      ('GIR Log'!$C$2:$C$72=$C67),
    0),
    MATCH($G67,'GIR Log'!$E$1:$V$1,0)
  ),
"")</f>
        <v>←</v>
      </c>
    </row>
    <row r="68" spans="1:17" x14ac:dyDescent="0.25">
      <c r="A68" s="20" t="s">
        <v>126</v>
      </c>
      <c r="B68" s="2">
        <v>45649</v>
      </c>
      <c r="C68" s="12" t="s">
        <v>14</v>
      </c>
      <c r="D68" s="12" t="s">
        <v>73</v>
      </c>
      <c r="E68" s="12" t="s">
        <v>40</v>
      </c>
      <c r="F68">
        <v>88</v>
      </c>
      <c r="G68" t="s">
        <v>59</v>
      </c>
      <c r="H68" s="9">
        <f t="shared" si="3"/>
        <v>13</v>
      </c>
      <c r="I68" cm="1">
        <f t="array" ref="I68">IFERROR(INDEX(CourseYardages[[Hole 1]:[Hole 18]],
  MATCH(1, (CourseYardages[Course]=C68)*(CourseYardages[Tees]=E68), 0),
  MATCH(G68, CourseYardages[[#Headers],[Hole 1]:[Hole 18]], 0)
),"")</f>
        <v>362</v>
      </c>
      <c r="J68" cm="1">
        <f t="array" ref="J68">IFERROR(INDEX(CourseHandicap[[Hole 1]:[Hole 18]],
  MATCH(1, (CourseHandicap[Course]=C68)*(CourseHandicap[Tees]=E68), 0),
  MATCH(G68, CourseHandicap[[#Headers],[Hole 1]:[Hole 18]], 0)
),"")</f>
        <v>4</v>
      </c>
      <c r="K68" cm="1">
        <f t="array" ref="K68">IFERROR(INDEX(CourseRatings[[Hole 1]:[Hole 18]],
  MATCH(1, (CourseRatings[Course]=C68)*(CourseRatings[Tees]=E68), 0),
  MATCH(G68, CourseRatings[[#Headers],[Hole 1]:[Hole 18]], 0)
),"")</f>
        <v>4</v>
      </c>
      <c r="L68" cm="1">
        <f t="array" ref="L68">IFERROR(
  INDEX('Golf Log'!$E$2:$V$72,
    MATCH(1,
      ('Golf Log'!$A$2:$A$72=$A68)*
      ('Golf Log'!$B$2:$B$72=$B68)*
      ('Golf Log'!$C$2:$C$72=$C68),
    0),
    MATCH($G68,'Golf Log'!$E$1:$V$1,0)
  ),
"")</f>
        <v>4</v>
      </c>
      <c r="M68">
        <f t="shared" si="4"/>
        <v>0</v>
      </c>
      <c r="N68" t="str">
        <f t="shared" si="5"/>
        <v>Par</v>
      </c>
      <c r="O68" cm="1">
        <f t="array" ref="O68">IFERROR(
  INDEX('Putt Log'!$E$2:$V$72,
    MATCH(1,
      ('Putt Log'!$A$2:$A$72=$A68)*
      ('Putt Log'!$B$2:$B$72=$B68)*
      ('Putt Log'!$C$2:$C$72=$C68),
    0),
    MATCH($G68,'Putt Log'!$E$1:$V$1,0)
  ),
"")</f>
        <v>1</v>
      </c>
      <c r="P68" cm="1">
        <f t="array" ref="P68">IF(K68=3,"",
  IFERROR(
    INDEX('Fairway Log'!$E$2:$V$72,
      MATCH(1,
        ('Fairway Log'!$A$2:$A$72=$A68)*
        ('Fairway Log'!$B$2:$B$72=$B68)*
        ('Fairway Log'!$C$2:$C139=$C68),
      0),
      MATCH($G68,'Fairway Log'!$E$1:$V$1,0)
    ),
  "")
)</f>
        <v>1</v>
      </c>
      <c r="Q68" t="str" cm="1">
        <f t="array" ref="Q68">IFERROR(
  INDEX('GIR Log'!$E$2:$V$72,
    MATCH(1,
      ('GIR Log'!$A$2:$A$72=$A68)*
      ('GIR Log'!$B$2:$B$72=$B68)*
      ('GIR Log'!$C$2:$C$72=$C68),
    0),
    MATCH($G68,'GIR Log'!$E$1:$V$1,0)
  ),
"")</f>
        <v>↓</v>
      </c>
    </row>
    <row r="69" spans="1:17" x14ac:dyDescent="0.25">
      <c r="A69" s="20" t="s">
        <v>126</v>
      </c>
      <c r="B69" s="2">
        <v>45649</v>
      </c>
      <c r="C69" s="12" t="s">
        <v>14</v>
      </c>
      <c r="D69" s="12" t="s">
        <v>73</v>
      </c>
      <c r="E69" s="12" t="s">
        <v>40</v>
      </c>
      <c r="F69">
        <v>88</v>
      </c>
      <c r="G69" t="s">
        <v>60</v>
      </c>
      <c r="H69" s="9">
        <f t="shared" si="3"/>
        <v>14</v>
      </c>
      <c r="I69" cm="1">
        <f t="array" ref="I69">IFERROR(INDEX(CourseYardages[[Hole 1]:[Hole 18]],
  MATCH(1, (CourseYardages[Course]=C69)*(CourseYardages[Tees]=E69), 0),
  MATCH(G69, CourseYardages[[#Headers],[Hole 1]:[Hole 18]], 0)
),"")</f>
        <v>380</v>
      </c>
      <c r="J69" cm="1">
        <f t="array" ref="J69">IFERROR(INDEX(CourseHandicap[[Hole 1]:[Hole 18]],
  MATCH(1, (CourseHandicap[Course]=C69)*(CourseHandicap[Tees]=E69), 0),
  MATCH(G69, CourseHandicap[[#Headers],[Hole 1]:[Hole 18]], 0)
),"")</f>
        <v>12</v>
      </c>
      <c r="K69" cm="1">
        <f t="array" ref="K69">IFERROR(INDEX(CourseRatings[[Hole 1]:[Hole 18]],
  MATCH(1, (CourseRatings[Course]=C69)*(CourseRatings[Tees]=E69), 0),
  MATCH(G69, CourseRatings[[#Headers],[Hole 1]:[Hole 18]], 0)
),"")</f>
        <v>4</v>
      </c>
      <c r="L69" cm="1">
        <f t="array" ref="L69">IFERROR(
  INDEX('Golf Log'!$E$2:$V$72,
    MATCH(1,
      ('Golf Log'!$A$2:$A$72=$A69)*
      ('Golf Log'!$B$2:$B$72=$B69)*
      ('Golf Log'!$C$2:$C$72=$C69),
    0),
    MATCH($G69,'Golf Log'!$E$1:$V$1,0)
  ),
"")</f>
        <v>5</v>
      </c>
      <c r="M69">
        <f t="shared" si="4"/>
        <v>1</v>
      </c>
      <c r="N69" t="str">
        <f t="shared" si="5"/>
        <v>Bogey</v>
      </c>
      <c r="O69" cm="1">
        <f t="array" ref="O69">IFERROR(
  INDEX('Putt Log'!$E$2:$V$72,
    MATCH(1,
      ('Putt Log'!$A$2:$A$72=$A69)*
      ('Putt Log'!$B$2:$B$72=$B69)*
      ('Putt Log'!$C$2:$C$72=$C69),
    0),
    MATCH($G69,'Putt Log'!$E$1:$V$1,0)
  ),
"")</f>
        <v>2</v>
      </c>
      <c r="P69" cm="1">
        <f t="array" ref="P69">IF(K69=3,"",
  IFERROR(
    INDEX('Fairway Log'!$E$2:$V$72,
      MATCH(1,
        ('Fairway Log'!$A$2:$A$72=$A69)*
        ('Fairway Log'!$B$2:$B$72=$B69)*
        ('Fairway Log'!$C$2:$C140=$C69),
      0),
      MATCH($G69,'Fairway Log'!$E$1:$V$1,0)
    ),
  "")
)</f>
        <v>1</v>
      </c>
      <c r="Q69" t="str" cm="1">
        <f t="array" ref="Q69">IFERROR(
  INDEX('GIR Log'!$E$2:$V$72,
    MATCH(1,
      ('GIR Log'!$A$2:$A$72=$A69)*
      ('GIR Log'!$B$2:$B$72=$B69)*
      ('GIR Log'!$C$2:$C$72=$C69),
    0),
    MATCH($G69,'GIR Log'!$E$1:$V$1,0)
  ),
"")</f>
        <v>←</v>
      </c>
    </row>
    <row r="70" spans="1:17" x14ac:dyDescent="0.25">
      <c r="A70" s="20" t="s">
        <v>126</v>
      </c>
      <c r="B70" s="2">
        <v>45649</v>
      </c>
      <c r="C70" s="12" t="s">
        <v>14</v>
      </c>
      <c r="D70" s="12" t="s">
        <v>73</v>
      </c>
      <c r="E70" s="12" t="s">
        <v>40</v>
      </c>
      <c r="F70">
        <v>88</v>
      </c>
      <c r="G70" t="s">
        <v>61</v>
      </c>
      <c r="H70" s="9">
        <f t="shared" si="3"/>
        <v>15</v>
      </c>
      <c r="I70" cm="1">
        <f t="array" ref="I70">IFERROR(INDEX(CourseYardages[[Hole 1]:[Hole 18]],
  MATCH(1, (CourseYardages[Course]=C70)*(CourseYardages[Tees]=E70), 0),
  MATCH(G70, CourseYardages[[#Headers],[Hole 1]:[Hole 18]], 0)
),"")</f>
        <v>171</v>
      </c>
      <c r="J70" cm="1">
        <f t="array" ref="J70">IFERROR(INDEX(CourseHandicap[[Hole 1]:[Hole 18]],
  MATCH(1, (CourseHandicap[Course]=C70)*(CourseHandicap[Tees]=E70), 0),
  MATCH(G70, CourseHandicap[[#Headers],[Hole 1]:[Hole 18]], 0)
),"")</f>
        <v>16</v>
      </c>
      <c r="K70" cm="1">
        <f t="array" ref="K70">IFERROR(INDEX(CourseRatings[[Hole 1]:[Hole 18]],
  MATCH(1, (CourseRatings[Course]=C70)*(CourseRatings[Tees]=E70), 0),
  MATCH(G70, CourseRatings[[#Headers],[Hole 1]:[Hole 18]], 0)
),"")</f>
        <v>3</v>
      </c>
      <c r="L70" cm="1">
        <f t="array" ref="L70">IFERROR(
  INDEX('Golf Log'!$E$2:$V$72,
    MATCH(1,
      ('Golf Log'!$A$2:$A$72=$A70)*
      ('Golf Log'!$B$2:$B$72=$B70)*
      ('Golf Log'!$C$2:$C$72=$C70),
    0),
    MATCH($G70,'Golf Log'!$E$1:$V$1,0)
  ),
"")</f>
        <v>4</v>
      </c>
      <c r="M70">
        <f t="shared" si="4"/>
        <v>1</v>
      </c>
      <c r="N70" t="str">
        <f t="shared" si="5"/>
        <v>Bogey</v>
      </c>
      <c r="O70" cm="1">
        <f t="array" ref="O70">IFERROR(
  INDEX('Putt Log'!$E$2:$V$72,
    MATCH(1,
      ('Putt Log'!$A$2:$A$72=$A70)*
      ('Putt Log'!$B$2:$B$72=$B70)*
      ('Putt Log'!$C$2:$C$72=$C70),
    0),
    MATCH($G70,'Putt Log'!$E$1:$V$1,0)
  ),
"")</f>
        <v>2</v>
      </c>
      <c r="P70" t="str" cm="1">
        <f t="array" ref="P70">IF(K70=3,"",
  IFERROR(
    INDEX('Fairway Log'!$E$2:$V$72,
      MATCH(1,
        ('Fairway Log'!$A$2:$A$72=$A70)*
        ('Fairway Log'!$B$2:$B$72=$B70)*
        ('Fairway Log'!$C$2:$C141=$C70),
      0),
      MATCH($G70,'Fairway Log'!$E$1:$V$1,0)
    ),
  "")
)</f>
        <v/>
      </c>
      <c r="Q70" t="str" cm="1">
        <f t="array" ref="Q70">IFERROR(
  INDEX('GIR Log'!$E$2:$V$72,
    MATCH(1,
      ('GIR Log'!$A$2:$A$72=$A70)*
      ('GIR Log'!$B$2:$B$72=$B70)*
      ('GIR Log'!$C$2:$C$72=$C70),
    0),
    MATCH($G70,'GIR Log'!$E$1:$V$1,0)
  ),
"")</f>
        <v>←</v>
      </c>
    </row>
    <row r="71" spans="1:17" x14ac:dyDescent="0.25">
      <c r="A71" s="20" t="s">
        <v>126</v>
      </c>
      <c r="B71" s="2">
        <v>45649</v>
      </c>
      <c r="C71" s="12" t="s">
        <v>14</v>
      </c>
      <c r="D71" s="12" t="s">
        <v>73</v>
      </c>
      <c r="E71" s="12" t="s">
        <v>40</v>
      </c>
      <c r="F71">
        <v>88</v>
      </c>
      <c r="G71" t="s">
        <v>62</v>
      </c>
      <c r="H71" s="9">
        <f t="shared" si="3"/>
        <v>16</v>
      </c>
      <c r="I71" cm="1">
        <f t="array" ref="I71">IFERROR(INDEX(CourseYardages[[Hole 1]:[Hole 18]],
  MATCH(1, (CourseYardages[Course]=C71)*(CourseYardages[Tees]=E71), 0),
  MATCH(G71, CourseYardages[[#Headers],[Hole 1]:[Hole 18]], 0)
),"")</f>
        <v>412</v>
      </c>
      <c r="J71" cm="1">
        <f t="array" ref="J71">IFERROR(INDEX(CourseHandicap[[Hole 1]:[Hole 18]],
  MATCH(1, (CourseHandicap[Course]=C71)*(CourseHandicap[Tees]=E71), 0),
  MATCH(G71, CourseHandicap[[#Headers],[Hole 1]:[Hole 18]], 0)
),"")</f>
        <v>10</v>
      </c>
      <c r="K71" cm="1">
        <f t="array" ref="K71">IFERROR(INDEX(CourseRatings[[Hole 1]:[Hole 18]],
  MATCH(1, (CourseRatings[Course]=C71)*(CourseRatings[Tees]=E71), 0),
  MATCH(G71, CourseRatings[[#Headers],[Hole 1]:[Hole 18]], 0)
),"")</f>
        <v>4</v>
      </c>
      <c r="L71" cm="1">
        <f t="array" ref="L71">IFERROR(
  INDEX('Golf Log'!$E$2:$V$72,
    MATCH(1,
      ('Golf Log'!$A$2:$A$72=$A71)*
      ('Golf Log'!$B$2:$B$72=$B71)*
      ('Golf Log'!$C$2:$C$72=$C71),
    0),
    MATCH($G71,'Golf Log'!$E$1:$V$1,0)
  ),
"")</f>
        <v>5</v>
      </c>
      <c r="M71">
        <f t="shared" si="4"/>
        <v>1</v>
      </c>
      <c r="N71" t="str">
        <f t="shared" si="5"/>
        <v>Bogey</v>
      </c>
      <c r="O71" cm="1">
        <f t="array" ref="O71">IFERROR(
  INDEX('Putt Log'!$E$2:$V$72,
    MATCH(1,
      ('Putt Log'!$A$2:$A$72=$A71)*
      ('Putt Log'!$B$2:$B$72=$B71)*
      ('Putt Log'!$C$2:$C$72=$C71),
    0),
    MATCH($G71,'Putt Log'!$E$1:$V$1,0)
  ),
"")</f>
        <v>2</v>
      </c>
      <c r="P71" t="str" cm="1">
        <f t="array" ref="P71">IF(K71=3,"",
  IFERROR(
    INDEX('Fairway Log'!$E$2:$V$72,
      MATCH(1,
        ('Fairway Log'!$A$2:$A$72=$A71)*
        ('Fairway Log'!$B$2:$B$72=$B71)*
        ('Fairway Log'!$C$2:$C142=$C71),
      0),
      MATCH($G71,'Fairway Log'!$E$1:$V$1,0)
    ),
  "")
)</f>
        <v>→</v>
      </c>
      <c r="Q71" t="str" cm="1">
        <f t="array" ref="Q71">IFERROR(
  INDEX('GIR Log'!$E$2:$V$72,
    MATCH(1,
      ('GIR Log'!$A$2:$A$72=$A71)*
      ('GIR Log'!$B$2:$B$72=$B71)*
      ('GIR Log'!$C$2:$C$72=$C71),
    0),
    MATCH($G71,'GIR Log'!$E$1:$V$1,0)
  ),
"")</f>
        <v>↑</v>
      </c>
    </row>
    <row r="72" spans="1:17" x14ac:dyDescent="0.25">
      <c r="A72" s="20" t="s">
        <v>126</v>
      </c>
      <c r="B72" s="2">
        <v>45649</v>
      </c>
      <c r="C72" s="12" t="s">
        <v>14</v>
      </c>
      <c r="D72" s="12" t="s">
        <v>73</v>
      </c>
      <c r="E72" s="12" t="s">
        <v>40</v>
      </c>
      <c r="F72">
        <v>88</v>
      </c>
      <c r="G72" t="s">
        <v>63</v>
      </c>
      <c r="H72" s="9">
        <f t="shared" si="3"/>
        <v>17</v>
      </c>
      <c r="I72" cm="1">
        <f t="array" ref="I72">IFERROR(INDEX(CourseYardages[[Hole 1]:[Hole 18]],
  MATCH(1, (CourseYardages[Course]=C72)*(CourseYardages[Tees]=E72), 0),
  MATCH(G72, CourseYardages[[#Headers],[Hole 1]:[Hole 18]], 0)
),"")</f>
        <v>140</v>
      </c>
      <c r="J72" cm="1">
        <f t="array" ref="J72">IFERROR(INDEX(CourseHandicap[[Hole 1]:[Hole 18]],
  MATCH(1, (CourseHandicap[Course]=C72)*(CourseHandicap[Tees]=E72), 0),
  MATCH(G72, CourseHandicap[[#Headers],[Hole 1]:[Hole 18]], 0)
),"")</f>
        <v>18</v>
      </c>
      <c r="K72" cm="1">
        <f t="array" ref="K72">IFERROR(INDEX(CourseRatings[[Hole 1]:[Hole 18]],
  MATCH(1, (CourseRatings[Course]=C72)*(CourseRatings[Tees]=E72), 0),
  MATCH(G72, CourseRatings[[#Headers],[Hole 1]:[Hole 18]], 0)
),"")</f>
        <v>3</v>
      </c>
      <c r="L72" cm="1">
        <f t="array" ref="L72">IFERROR(
  INDEX('Golf Log'!$E$2:$V$72,
    MATCH(1,
      ('Golf Log'!$A$2:$A$72=$A72)*
      ('Golf Log'!$B$2:$B$72=$B72)*
      ('Golf Log'!$C$2:$C$72=$C72),
    0),
    MATCH($G72,'Golf Log'!$E$1:$V$1,0)
  ),
"")</f>
        <v>4</v>
      </c>
      <c r="M72">
        <f t="shared" si="4"/>
        <v>1</v>
      </c>
      <c r="N72" t="str">
        <f t="shared" si="5"/>
        <v>Bogey</v>
      </c>
      <c r="O72" cm="1">
        <f t="array" ref="O72">IFERROR(
  INDEX('Putt Log'!$E$2:$V$72,
    MATCH(1,
      ('Putt Log'!$A$2:$A$72=$A72)*
      ('Putt Log'!$B$2:$B$72=$B72)*
      ('Putt Log'!$C$2:$C$72=$C72),
    0),
    MATCH($G72,'Putt Log'!$E$1:$V$1,0)
  ),
"")</f>
        <v>2</v>
      </c>
      <c r="P72" t="str" cm="1">
        <f t="array" ref="P72">IF(K72=3,"",
  IFERROR(
    INDEX('Fairway Log'!$E$2:$V$72,
      MATCH(1,
        ('Fairway Log'!$A$2:$A$72=$A72)*
        ('Fairway Log'!$B$2:$B$72=$B72)*
        ('Fairway Log'!$C$2:$C143=$C72),
      0),
      MATCH($G72,'Fairway Log'!$E$1:$V$1,0)
    ),
  "")
)</f>
        <v/>
      </c>
      <c r="Q72" t="str" cm="1">
        <f t="array" ref="Q72">IFERROR(
  INDEX('GIR Log'!$E$2:$V$72,
    MATCH(1,
      ('GIR Log'!$A$2:$A$72=$A72)*
      ('GIR Log'!$B$2:$B$72=$B72)*
      ('GIR Log'!$C$2:$C$72=$C72),
    0),
    MATCH($G72,'GIR Log'!$E$1:$V$1,0)
  ),
"")</f>
        <v>→</v>
      </c>
    </row>
    <row r="73" spans="1:17" x14ac:dyDescent="0.25">
      <c r="A73" s="20" t="s">
        <v>126</v>
      </c>
      <c r="B73" s="2">
        <v>45649</v>
      </c>
      <c r="C73" s="12" t="s">
        <v>14</v>
      </c>
      <c r="D73" s="12" t="s">
        <v>73</v>
      </c>
      <c r="E73" s="12" t="s">
        <v>40</v>
      </c>
      <c r="F73">
        <v>88</v>
      </c>
      <c r="G73" t="s">
        <v>64</v>
      </c>
      <c r="H73" s="9">
        <f t="shared" si="3"/>
        <v>18</v>
      </c>
      <c r="I73" cm="1">
        <f t="array" ref="I73">IFERROR(INDEX(CourseYardages[[Hole 1]:[Hole 18]],
  MATCH(1, (CourseYardages[Course]=C73)*(CourseYardages[Tees]=E73), 0),
  MATCH(G73, CourseYardages[[#Headers],[Hole 1]:[Hole 18]], 0)
),"")</f>
        <v>426</v>
      </c>
      <c r="J73" cm="1">
        <f t="array" ref="J73">IFERROR(INDEX(CourseHandicap[[Hole 1]:[Hole 18]],
  MATCH(1, (CourseHandicap[Course]=C73)*(CourseHandicap[Tees]=E73), 0),
  MATCH(G73, CourseHandicap[[#Headers],[Hole 1]:[Hole 18]], 0)
),"")</f>
        <v>2</v>
      </c>
      <c r="K73" cm="1">
        <f t="array" ref="K73">IFERROR(INDEX(CourseRatings[[Hole 1]:[Hole 18]],
  MATCH(1, (CourseRatings[Course]=C73)*(CourseRatings[Tees]=E73), 0),
  MATCH(G73, CourseRatings[[#Headers],[Hole 1]:[Hole 18]], 0)
),"")</f>
        <v>4</v>
      </c>
      <c r="L73" cm="1">
        <f t="array" ref="L73">IFERROR(
  INDEX('Golf Log'!$E$2:$V$72,
    MATCH(1,
      ('Golf Log'!$A$2:$A$72=$A73)*
      ('Golf Log'!$B$2:$B$72=$B73)*
      ('Golf Log'!$C$2:$C$72=$C73),
    0),
    MATCH($G73,'Golf Log'!$E$1:$V$1,0)
  ),
"")</f>
        <v>5</v>
      </c>
      <c r="M73">
        <f t="shared" si="4"/>
        <v>1</v>
      </c>
      <c r="N73" t="str">
        <f t="shared" si="5"/>
        <v>Bogey</v>
      </c>
      <c r="O73" cm="1">
        <f t="array" ref="O73">IFERROR(
  INDEX('Putt Log'!$E$2:$V$72,
    MATCH(1,
      ('Putt Log'!$A$2:$A$72=$A73)*
      ('Putt Log'!$B$2:$B$72=$B73)*
      ('Putt Log'!$C$2:$C$72=$C73),
    0),
    MATCH($G73,'Putt Log'!$E$1:$V$1,0)
  ),
"")</f>
        <v>2</v>
      </c>
      <c r="P73" cm="1">
        <f t="array" ref="P73">IF(K73=3,"",
  IFERROR(
    INDEX('Fairway Log'!$E$2:$V$72,
      MATCH(1,
        ('Fairway Log'!$A$2:$A$72=$A73)*
        ('Fairway Log'!$B$2:$B$72=$B73)*
        ('Fairway Log'!$C$2:$C144=$C73),
      0),
      MATCH($G73,'Fairway Log'!$E$1:$V$1,0)
    ),
  "")
)</f>
        <v>1</v>
      </c>
      <c r="Q73" t="str" cm="1">
        <f t="array" ref="Q73">IFERROR(
  INDEX('GIR Log'!$E$2:$V$72,
    MATCH(1,
      ('GIR Log'!$A$2:$A$72=$A73)*
      ('GIR Log'!$B$2:$B$72=$B73)*
      ('GIR Log'!$C$2:$C$72=$C73),
    0),
    MATCH($G73,'GIR Log'!$E$1:$V$1,0)
  ),
"")</f>
        <v>↓</v>
      </c>
    </row>
    <row r="74" spans="1:17" x14ac:dyDescent="0.25">
      <c r="A74" s="20" t="s">
        <v>126</v>
      </c>
      <c r="B74" s="2">
        <v>45580</v>
      </c>
      <c r="C74" t="s">
        <v>7</v>
      </c>
      <c r="D74" t="s">
        <v>74</v>
      </c>
      <c r="E74" s="12" t="s">
        <v>36</v>
      </c>
      <c r="F74">
        <v>83</v>
      </c>
      <c r="G74" t="s">
        <v>47</v>
      </c>
      <c r="H74" s="9">
        <f t="shared" si="3"/>
        <v>1</v>
      </c>
      <c r="I74" cm="1">
        <f t="array" ref="I74">IFERROR(INDEX(CourseYardages[[Hole 1]:[Hole 18]],
  MATCH(1, (CourseYardages[Course]=C74)*(CourseYardages[Tees]=E74), 0),
  MATCH(G74, CourseYardages[[#Headers],[Hole 1]:[Hole 18]], 0)
),"")</f>
        <v>316</v>
      </c>
      <c r="J74" cm="1">
        <f t="array" ref="J74">IFERROR(INDEX(CourseHandicap[[Hole 1]:[Hole 18]],
  MATCH(1, (CourseHandicap[Course]=C74)*(CourseHandicap[Tees]=E74), 0),
  MATCH(G74, CourseHandicap[[#Headers],[Hole 1]:[Hole 18]], 0)
),"")</f>
        <v>15</v>
      </c>
      <c r="K74" cm="1">
        <f t="array" ref="K74">IFERROR(INDEX(CourseRatings[[Hole 1]:[Hole 18]],
  MATCH(1, (CourseRatings[Course]=C74)*(CourseRatings[Tees]=E74), 0),
  MATCH(G74, CourseRatings[[#Headers],[Hole 1]:[Hole 18]], 0)
),"")</f>
        <v>4</v>
      </c>
      <c r="L74" cm="1">
        <f t="array" ref="L74">IFERROR(
  INDEX('Golf Log'!$E$2:$V$72,
    MATCH(1,
      ('Golf Log'!$A$2:$A$72=$A74)*
      ('Golf Log'!$B$2:$B$72=$B74)*
      ('Golf Log'!$C$2:$C$72=$C74),
    0),
    MATCH($G74,'Golf Log'!$E$1:$V$1,0)
  ),
"")</f>
        <v>6</v>
      </c>
      <c r="M74">
        <f t="shared" si="4"/>
        <v>2</v>
      </c>
      <c r="N74" t="str">
        <f t="shared" si="5"/>
        <v>Double Bogey</v>
      </c>
      <c r="O74" cm="1">
        <f t="array" ref="O74">IFERROR(
  INDEX('Putt Log'!$E$2:$V$72,
    MATCH(1,
      ('Putt Log'!$A$2:$A$72=$A74)*
      ('Putt Log'!$B$2:$B$72=$B74)*
      ('Putt Log'!$C$2:$C$72=$C74),
    0),
    MATCH($G74,'Putt Log'!$E$1:$V$1,0)
  ),
"")</f>
        <v>3</v>
      </c>
      <c r="P74" t="str" cm="1">
        <f t="array" ref="P74">IF(K74=3,"",
  IFERROR(
    INDEX('Fairway Log'!$E$2:$V$72,
      MATCH(1,
        ('Fairway Log'!$A$2:$A$72=$A74)*
        ('Fairway Log'!$B$2:$B$72=$B74)*
        ('Fairway Log'!$C$2:$C145=$C74),
      0),
      MATCH($G74,'Fairway Log'!$E$1:$V$1,0)
    ),
  "")
)</f>
        <v>←</v>
      </c>
      <c r="Q74" t="str" cm="1">
        <f t="array" ref="Q74">IFERROR(
  INDEX('GIR Log'!$E$2:$V$72,
    MATCH(1,
      ('GIR Log'!$A$2:$A$72=$A74)*
      ('GIR Log'!$B$2:$B$72=$B74)*
      ('GIR Log'!$C$2:$C$72=$C74),
    0),
    MATCH($G74,'GIR Log'!$E$1:$V$1,0)
  ),
"")</f>
        <v>↑</v>
      </c>
    </row>
    <row r="75" spans="1:17" x14ac:dyDescent="0.25">
      <c r="A75" s="20" t="s">
        <v>126</v>
      </c>
      <c r="B75" s="2">
        <v>45580</v>
      </c>
      <c r="C75" t="s">
        <v>7</v>
      </c>
      <c r="D75" t="s">
        <v>74</v>
      </c>
      <c r="E75" s="12" t="s">
        <v>36</v>
      </c>
      <c r="F75">
        <v>83</v>
      </c>
      <c r="G75" t="s">
        <v>48</v>
      </c>
      <c r="H75" s="9">
        <f t="shared" si="3"/>
        <v>2</v>
      </c>
      <c r="I75" cm="1">
        <f t="array" ref="I75">IFERROR(INDEX(CourseYardages[[Hole 1]:[Hole 18]],
  MATCH(1, (CourseYardages[Course]=C75)*(CourseYardages[Tees]=E75), 0),
  MATCH(G75, CourseYardages[[#Headers],[Hole 1]:[Hole 18]], 0)
),"")</f>
        <v>391</v>
      </c>
      <c r="J75" cm="1">
        <f t="array" ref="J75">IFERROR(INDEX(CourseHandicap[[Hole 1]:[Hole 18]],
  MATCH(1, (CourseHandicap[Course]=C75)*(CourseHandicap[Tees]=E75), 0),
  MATCH(G75, CourseHandicap[[#Headers],[Hole 1]:[Hole 18]], 0)
),"")</f>
        <v>1</v>
      </c>
      <c r="K75" cm="1">
        <f t="array" ref="K75">IFERROR(INDEX(CourseRatings[[Hole 1]:[Hole 18]],
  MATCH(1, (CourseRatings[Course]=C75)*(CourseRatings[Tees]=E75), 0),
  MATCH(G75, CourseRatings[[#Headers],[Hole 1]:[Hole 18]], 0)
),"")</f>
        <v>4</v>
      </c>
      <c r="L75" cm="1">
        <f t="array" ref="L75">IFERROR(
  INDEX('Golf Log'!$E$2:$V$72,
    MATCH(1,
      ('Golf Log'!$A$2:$A$72=$A75)*
      ('Golf Log'!$B$2:$B$72=$B75)*
      ('Golf Log'!$C$2:$C$72=$C75),
    0),
    MATCH($G75,'Golf Log'!$E$1:$V$1,0)
  ),
"")</f>
        <v>6</v>
      </c>
      <c r="M75">
        <f t="shared" si="4"/>
        <v>2</v>
      </c>
      <c r="N75" t="str">
        <f t="shared" si="5"/>
        <v>Double Bogey</v>
      </c>
      <c r="O75" cm="1">
        <f t="array" ref="O75">IFERROR(
  INDEX('Putt Log'!$E$2:$V$72,
    MATCH(1,
      ('Putt Log'!$A$2:$A$72=$A75)*
      ('Putt Log'!$B$2:$B$72=$B75)*
      ('Putt Log'!$C$2:$C$72=$C75),
    0),
    MATCH($G75,'Putt Log'!$E$1:$V$1,0)
  ),
"")</f>
        <v>3</v>
      </c>
      <c r="P75" cm="1">
        <f t="array" ref="P75">IF(K75=3,"",
  IFERROR(
    INDEX('Fairway Log'!$E$2:$V$72,
      MATCH(1,
        ('Fairway Log'!$A$2:$A$72=$A75)*
        ('Fairway Log'!$B$2:$B$72=$B75)*
        ('Fairway Log'!$C$2:$C146=$C75),
      0),
      MATCH($G75,'Fairway Log'!$E$1:$V$1,0)
    ),
  "")
)</f>
        <v>1</v>
      </c>
      <c r="Q75" t="str" cm="1">
        <f t="array" ref="Q75">IFERROR(
  INDEX('GIR Log'!$E$2:$V$72,
    MATCH(1,
      ('GIR Log'!$A$2:$A$72=$A75)*
      ('GIR Log'!$B$2:$B$72=$B75)*
      ('GIR Log'!$C$2:$C$72=$C75),
    0),
    MATCH($G75,'GIR Log'!$E$1:$V$1,0)
  ),
"")</f>
        <v>↓</v>
      </c>
    </row>
    <row r="76" spans="1:17" x14ac:dyDescent="0.25">
      <c r="A76" s="20" t="s">
        <v>126</v>
      </c>
      <c r="B76" s="2">
        <v>45580</v>
      </c>
      <c r="C76" t="s">
        <v>7</v>
      </c>
      <c r="D76" t="s">
        <v>74</v>
      </c>
      <c r="E76" s="12" t="s">
        <v>36</v>
      </c>
      <c r="F76">
        <v>83</v>
      </c>
      <c r="G76" t="s">
        <v>49</v>
      </c>
      <c r="H76" s="9">
        <f t="shared" si="3"/>
        <v>3</v>
      </c>
      <c r="I76" cm="1">
        <f t="array" ref="I76">IFERROR(INDEX(CourseYardages[[Hole 1]:[Hole 18]],
  MATCH(1, (CourseYardages[Course]=C76)*(CourseYardages[Tees]=E76), 0),
  MATCH(G76, CourseYardages[[#Headers],[Hole 1]:[Hole 18]], 0)
),"")</f>
        <v>384</v>
      </c>
      <c r="J76" cm="1">
        <f t="array" ref="J76">IFERROR(INDEX(CourseHandicap[[Hole 1]:[Hole 18]],
  MATCH(1, (CourseHandicap[Course]=C76)*(CourseHandicap[Tees]=E76), 0),
  MATCH(G76, CourseHandicap[[#Headers],[Hole 1]:[Hole 18]], 0)
),"")</f>
        <v>5</v>
      </c>
      <c r="K76" cm="1">
        <f t="array" ref="K76">IFERROR(INDEX(CourseRatings[[Hole 1]:[Hole 18]],
  MATCH(1, (CourseRatings[Course]=C76)*(CourseRatings[Tees]=E76), 0),
  MATCH(G76, CourseRatings[[#Headers],[Hole 1]:[Hole 18]], 0)
),"")</f>
        <v>4</v>
      </c>
      <c r="L76" cm="1">
        <f t="array" ref="L76">IFERROR(
  INDEX('Golf Log'!$E$2:$V$72,
    MATCH(1,
      ('Golf Log'!$A$2:$A$72=$A76)*
      ('Golf Log'!$B$2:$B$72=$B76)*
      ('Golf Log'!$C$2:$C$72=$C76),
    0),
    MATCH($G76,'Golf Log'!$E$1:$V$1,0)
  ),
"")</f>
        <v>3</v>
      </c>
      <c r="M76">
        <f t="shared" si="4"/>
        <v>-1</v>
      </c>
      <c r="N76" t="str">
        <f t="shared" si="5"/>
        <v>Birdie</v>
      </c>
      <c r="O76" cm="1">
        <f t="array" ref="O76">IFERROR(
  INDEX('Putt Log'!$E$2:$V$72,
    MATCH(1,
      ('Putt Log'!$A$2:$A$72=$A76)*
      ('Putt Log'!$B$2:$B$72=$B76)*
      ('Putt Log'!$C$2:$C$72=$C76),
    0),
    MATCH($G76,'Putt Log'!$E$1:$V$1,0)
  ),
"")</f>
        <v>1</v>
      </c>
      <c r="P76" t="str" cm="1">
        <f t="array" ref="P76">IF(K76=3,"",
  IFERROR(
    INDEX('Fairway Log'!$E$2:$V$72,
      MATCH(1,
        ('Fairway Log'!$A$2:$A$72=$A76)*
        ('Fairway Log'!$B$2:$B$72=$B76)*
        ('Fairway Log'!$C$2:$C147=$C76),
      0),
      MATCH($G76,'Fairway Log'!$E$1:$V$1,0)
    ),
  "")
)</f>
        <v>→</v>
      </c>
      <c r="Q76" cm="1">
        <f t="array" ref="Q76">IFERROR(
  INDEX('GIR Log'!$E$2:$V$72,
    MATCH(1,
      ('GIR Log'!$A$2:$A$72=$A76)*
      ('GIR Log'!$B$2:$B$72=$B76)*
      ('GIR Log'!$C$2:$C$72=$C76),
    0),
    MATCH($G76,'GIR Log'!$E$1:$V$1,0)
  ),
"")</f>
        <v>1</v>
      </c>
    </row>
    <row r="77" spans="1:17" x14ac:dyDescent="0.25">
      <c r="A77" s="20" t="s">
        <v>126</v>
      </c>
      <c r="B77" s="2">
        <v>45580</v>
      </c>
      <c r="C77" t="s">
        <v>7</v>
      </c>
      <c r="D77" t="s">
        <v>74</v>
      </c>
      <c r="E77" s="12" t="s">
        <v>36</v>
      </c>
      <c r="F77">
        <v>83</v>
      </c>
      <c r="G77" t="s">
        <v>50</v>
      </c>
      <c r="H77" s="9">
        <f t="shared" si="3"/>
        <v>4</v>
      </c>
      <c r="I77" cm="1">
        <f t="array" ref="I77">IFERROR(INDEX(CourseYardages[[Hole 1]:[Hole 18]],
  MATCH(1, (CourseYardages[Course]=C77)*(CourseYardages[Tees]=E77), 0),
  MATCH(G77, CourseYardages[[#Headers],[Hole 1]:[Hole 18]], 0)
),"")</f>
        <v>188</v>
      </c>
      <c r="J77" cm="1">
        <f t="array" ref="J77">IFERROR(INDEX(CourseHandicap[[Hole 1]:[Hole 18]],
  MATCH(1, (CourseHandicap[Course]=C77)*(CourseHandicap[Tees]=E77), 0),
  MATCH(G77, CourseHandicap[[#Headers],[Hole 1]:[Hole 18]], 0)
),"")</f>
        <v>13</v>
      </c>
      <c r="K77" cm="1">
        <f t="array" ref="K77">IFERROR(INDEX(CourseRatings[[Hole 1]:[Hole 18]],
  MATCH(1, (CourseRatings[Course]=C77)*(CourseRatings[Tees]=E77), 0),
  MATCH(G77, CourseRatings[[#Headers],[Hole 1]:[Hole 18]], 0)
),"")</f>
        <v>3</v>
      </c>
      <c r="L77" cm="1">
        <f t="array" ref="L77">IFERROR(
  INDEX('Golf Log'!$E$2:$V$72,
    MATCH(1,
      ('Golf Log'!$A$2:$A$72=$A77)*
      ('Golf Log'!$B$2:$B$72=$B77)*
      ('Golf Log'!$C$2:$C$72=$C77),
    0),
    MATCH($G77,'Golf Log'!$E$1:$V$1,0)
  ),
"")</f>
        <v>5</v>
      </c>
      <c r="M77">
        <f t="shared" si="4"/>
        <v>2</v>
      </c>
      <c r="N77" t="str">
        <f t="shared" si="5"/>
        <v>Double Bogey</v>
      </c>
      <c r="O77" cm="1">
        <f t="array" ref="O77">IFERROR(
  INDEX('Putt Log'!$E$2:$V$72,
    MATCH(1,
      ('Putt Log'!$A$2:$A$72=$A77)*
      ('Putt Log'!$B$2:$B$72=$B77)*
      ('Putt Log'!$C$2:$C$72=$C77),
    0),
    MATCH($G77,'Putt Log'!$E$1:$V$1,0)
  ),
"")</f>
        <v>2</v>
      </c>
      <c r="P77" t="str" cm="1">
        <f t="array" ref="P77">IF(K77=3,"",
  IFERROR(
    INDEX('Fairway Log'!$E$2:$V$72,
      MATCH(1,
        ('Fairway Log'!$A$2:$A$72=$A77)*
        ('Fairway Log'!$B$2:$B$72=$B77)*
        ('Fairway Log'!$C$2:$C148=$C77),
      0),
      MATCH($G77,'Fairway Log'!$E$1:$V$1,0)
    ),
  "")
)</f>
        <v/>
      </c>
      <c r="Q77" t="str" cm="1">
        <f t="array" ref="Q77">IFERROR(
  INDEX('GIR Log'!$E$2:$V$72,
    MATCH(1,
      ('GIR Log'!$A$2:$A$72=$A77)*
      ('GIR Log'!$B$2:$B$72=$B77)*
      ('GIR Log'!$C$2:$C$72=$C77),
    0),
    MATCH($G77,'GIR Log'!$E$1:$V$1,0)
  ),
"")</f>
        <v>→</v>
      </c>
    </row>
    <row r="78" spans="1:17" x14ac:dyDescent="0.25">
      <c r="A78" s="20" t="s">
        <v>126</v>
      </c>
      <c r="B78" s="2">
        <v>45580</v>
      </c>
      <c r="C78" t="s">
        <v>7</v>
      </c>
      <c r="D78" t="s">
        <v>74</v>
      </c>
      <c r="E78" s="12" t="s">
        <v>36</v>
      </c>
      <c r="F78">
        <v>83</v>
      </c>
      <c r="G78" t="s">
        <v>51</v>
      </c>
      <c r="H78" s="9">
        <f t="shared" si="3"/>
        <v>5</v>
      </c>
      <c r="I78" cm="1">
        <f t="array" ref="I78">IFERROR(INDEX(CourseYardages[[Hole 1]:[Hole 18]],
  MATCH(1, (CourseYardages[Course]=C78)*(CourseYardages[Tees]=E78), 0),
  MATCH(G78, CourseYardages[[#Headers],[Hole 1]:[Hole 18]], 0)
),"")</f>
        <v>320</v>
      </c>
      <c r="J78" cm="1">
        <f t="array" ref="J78">IFERROR(INDEX(CourseHandicap[[Hole 1]:[Hole 18]],
  MATCH(1, (CourseHandicap[Course]=C78)*(CourseHandicap[Tees]=E78), 0),
  MATCH(G78, CourseHandicap[[#Headers],[Hole 1]:[Hole 18]], 0)
),"")</f>
        <v>17</v>
      </c>
      <c r="K78" cm="1">
        <f t="array" ref="K78">IFERROR(INDEX(CourseRatings[[Hole 1]:[Hole 18]],
  MATCH(1, (CourseRatings[Course]=C78)*(CourseRatings[Tees]=E78), 0),
  MATCH(G78, CourseRatings[[#Headers],[Hole 1]:[Hole 18]], 0)
),"")</f>
        <v>4</v>
      </c>
      <c r="L78" cm="1">
        <f t="array" ref="L78">IFERROR(
  INDEX('Golf Log'!$E$2:$V$72,
    MATCH(1,
      ('Golf Log'!$A$2:$A$72=$A78)*
      ('Golf Log'!$B$2:$B$72=$B78)*
      ('Golf Log'!$C$2:$C$72=$C78),
    0),
    MATCH($G78,'Golf Log'!$E$1:$V$1,0)
  ),
"")</f>
        <v>3</v>
      </c>
      <c r="M78">
        <f t="shared" si="4"/>
        <v>-1</v>
      </c>
      <c r="N78" t="str">
        <f t="shared" si="5"/>
        <v>Birdie</v>
      </c>
      <c r="O78" cm="1">
        <f t="array" ref="O78">IFERROR(
  INDEX('Putt Log'!$E$2:$V$72,
    MATCH(1,
      ('Putt Log'!$A$2:$A$72=$A78)*
      ('Putt Log'!$B$2:$B$72=$B78)*
      ('Putt Log'!$C$2:$C$72=$C78),
    0),
    MATCH($G78,'Putt Log'!$E$1:$V$1,0)
  ),
"")</f>
        <v>1</v>
      </c>
      <c r="P78" cm="1">
        <f t="array" ref="P78">IF(K78=3,"",
  IFERROR(
    INDEX('Fairway Log'!$E$2:$V$72,
      MATCH(1,
        ('Fairway Log'!$A$2:$A$72=$A78)*
        ('Fairway Log'!$B$2:$B$72=$B78)*
        ('Fairway Log'!$C$2:$C149=$C78),
      0),
      MATCH($G78,'Fairway Log'!$E$1:$V$1,0)
    ),
  "")
)</f>
        <v>1</v>
      </c>
      <c r="Q78" cm="1">
        <f t="array" ref="Q78">IFERROR(
  INDEX('GIR Log'!$E$2:$V$72,
    MATCH(1,
      ('GIR Log'!$A$2:$A$72=$A78)*
      ('GIR Log'!$B$2:$B$72=$B78)*
      ('GIR Log'!$C$2:$C$72=$C78),
    0),
    MATCH($G78,'GIR Log'!$E$1:$V$1,0)
  ),
"")</f>
        <v>1</v>
      </c>
    </row>
    <row r="79" spans="1:17" x14ac:dyDescent="0.25">
      <c r="A79" s="20" t="s">
        <v>126</v>
      </c>
      <c r="B79" s="2">
        <v>45580</v>
      </c>
      <c r="C79" t="s">
        <v>7</v>
      </c>
      <c r="D79" t="s">
        <v>74</v>
      </c>
      <c r="E79" s="12" t="s">
        <v>36</v>
      </c>
      <c r="F79">
        <v>83</v>
      </c>
      <c r="G79" t="s">
        <v>52</v>
      </c>
      <c r="H79" s="9">
        <f t="shared" si="3"/>
        <v>6</v>
      </c>
      <c r="I79" cm="1">
        <f t="array" ref="I79">IFERROR(INDEX(CourseYardages[[Hole 1]:[Hole 18]],
  MATCH(1, (CourseYardages[Course]=C79)*(CourseYardages[Tees]=E79), 0),
  MATCH(G79, CourseYardages[[#Headers],[Hole 1]:[Hole 18]], 0)
),"")</f>
        <v>361</v>
      </c>
      <c r="J79" cm="1">
        <f t="array" ref="J79">IFERROR(INDEX(CourseHandicap[[Hole 1]:[Hole 18]],
  MATCH(1, (CourseHandicap[Course]=C79)*(CourseHandicap[Tees]=E79), 0),
  MATCH(G79, CourseHandicap[[#Headers],[Hole 1]:[Hole 18]], 0)
),"")</f>
        <v>7</v>
      </c>
      <c r="K79" cm="1">
        <f t="array" ref="K79">IFERROR(INDEX(CourseRatings[[Hole 1]:[Hole 18]],
  MATCH(1, (CourseRatings[Course]=C79)*(CourseRatings[Tees]=E79), 0),
  MATCH(G79, CourseRatings[[#Headers],[Hole 1]:[Hole 18]], 0)
),"")</f>
        <v>4</v>
      </c>
      <c r="L79" cm="1">
        <f t="array" ref="L79">IFERROR(
  INDEX('Golf Log'!$E$2:$V$72,
    MATCH(1,
      ('Golf Log'!$A$2:$A$72=$A79)*
      ('Golf Log'!$B$2:$B$72=$B79)*
      ('Golf Log'!$C$2:$C$72=$C79),
    0),
    MATCH($G79,'Golf Log'!$E$1:$V$1,0)
  ),
"")</f>
        <v>4</v>
      </c>
      <c r="M79">
        <f t="shared" si="4"/>
        <v>0</v>
      </c>
      <c r="N79" t="str">
        <f t="shared" si="5"/>
        <v>Par</v>
      </c>
      <c r="O79" cm="1">
        <f t="array" ref="O79">IFERROR(
  INDEX('Putt Log'!$E$2:$V$72,
    MATCH(1,
      ('Putt Log'!$A$2:$A$72=$A79)*
      ('Putt Log'!$B$2:$B$72=$B79)*
      ('Putt Log'!$C$2:$C$72=$C79),
    0),
    MATCH($G79,'Putt Log'!$E$1:$V$1,0)
  ),
"")</f>
        <v>1</v>
      </c>
      <c r="P79" t="str" cm="1">
        <f t="array" ref="P79">IF(K79=3,"",
  IFERROR(
    INDEX('Fairway Log'!$E$2:$V$72,
      MATCH(1,
        ('Fairway Log'!$A$2:$A$72=$A79)*
        ('Fairway Log'!$B$2:$B$72=$B79)*
        ('Fairway Log'!$C$2:$C150=$C79),
      0),
      MATCH($G79,'Fairway Log'!$E$1:$V$1,0)
    ),
  "")
)</f>
        <v>→</v>
      </c>
      <c r="Q79" t="str" cm="1">
        <f t="array" ref="Q79">IFERROR(
  INDEX('GIR Log'!$E$2:$V$72,
    MATCH(1,
      ('GIR Log'!$A$2:$A$72=$A79)*
      ('GIR Log'!$B$2:$B$72=$B79)*
      ('GIR Log'!$C$2:$C$72=$C79),
    0),
    MATCH($G79,'GIR Log'!$E$1:$V$1,0)
  ),
"")</f>
        <v>→</v>
      </c>
    </row>
    <row r="80" spans="1:17" x14ac:dyDescent="0.25">
      <c r="A80" s="20" t="s">
        <v>126</v>
      </c>
      <c r="B80" s="2">
        <v>45580</v>
      </c>
      <c r="C80" t="s">
        <v>7</v>
      </c>
      <c r="D80" t="s">
        <v>74</v>
      </c>
      <c r="E80" s="12" t="s">
        <v>36</v>
      </c>
      <c r="F80">
        <v>83</v>
      </c>
      <c r="G80" t="s">
        <v>53</v>
      </c>
      <c r="H80" s="9">
        <f t="shared" si="3"/>
        <v>7</v>
      </c>
      <c r="I80" cm="1">
        <f t="array" ref="I80">IFERROR(INDEX(CourseYardages[[Hole 1]:[Hole 18]],
  MATCH(1, (CourseYardages[Course]=C80)*(CourseYardages[Tees]=E80), 0),
  MATCH(G80, CourseYardages[[#Headers],[Hole 1]:[Hole 18]], 0)
),"")</f>
        <v>412</v>
      </c>
      <c r="J80" cm="1">
        <f t="array" ref="J80">IFERROR(INDEX(CourseHandicap[[Hole 1]:[Hole 18]],
  MATCH(1, (CourseHandicap[Course]=C80)*(CourseHandicap[Tees]=E80), 0),
  MATCH(G80, CourseHandicap[[#Headers],[Hole 1]:[Hole 18]], 0)
),"")</f>
        <v>3</v>
      </c>
      <c r="K80" cm="1">
        <f t="array" ref="K80">IFERROR(INDEX(CourseRatings[[Hole 1]:[Hole 18]],
  MATCH(1, (CourseRatings[Course]=C80)*(CourseRatings[Tees]=E80), 0),
  MATCH(G80, CourseRatings[[#Headers],[Hole 1]:[Hole 18]], 0)
),"")</f>
        <v>4</v>
      </c>
      <c r="L80" cm="1">
        <f t="array" ref="L80">IFERROR(
  INDEX('Golf Log'!$E$2:$V$72,
    MATCH(1,
      ('Golf Log'!$A$2:$A$72=$A80)*
      ('Golf Log'!$B$2:$B$72=$B80)*
      ('Golf Log'!$C$2:$C$72=$C80),
    0),
    MATCH($G80,'Golf Log'!$E$1:$V$1,0)
  ),
"")</f>
        <v>4</v>
      </c>
      <c r="M80">
        <f t="shared" si="4"/>
        <v>0</v>
      </c>
      <c r="N80" t="str">
        <f t="shared" si="5"/>
        <v>Par</v>
      </c>
      <c r="O80" cm="1">
        <f t="array" ref="O80">IFERROR(
  INDEX('Putt Log'!$E$2:$V$72,
    MATCH(1,
      ('Putt Log'!$A$2:$A$72=$A80)*
      ('Putt Log'!$B$2:$B$72=$B80)*
      ('Putt Log'!$C$2:$C$72=$C80),
    0),
    MATCH($G80,'Putt Log'!$E$1:$V$1,0)
  ),
"")</f>
        <v>1</v>
      </c>
      <c r="P80" t="str" cm="1">
        <f t="array" ref="P80">IF(K80=3,"",
  IFERROR(
    INDEX('Fairway Log'!$E$2:$V$72,
      MATCH(1,
        ('Fairway Log'!$A$2:$A$72=$A80)*
        ('Fairway Log'!$B$2:$B$72=$B80)*
        ('Fairway Log'!$C$2:$C151=$C80),
      0),
      MATCH($G80,'Fairway Log'!$E$1:$V$1,0)
    ),
  "")
)</f>
        <v>←</v>
      </c>
      <c r="Q80" cm="1">
        <f t="array" ref="Q80">IFERROR(
  INDEX('GIR Log'!$E$2:$V$72,
    MATCH(1,
      ('GIR Log'!$A$2:$A$72=$A80)*
      ('GIR Log'!$B$2:$B$72=$B80)*
      ('GIR Log'!$C$2:$C$72=$C80),
    0),
    MATCH($G80,'GIR Log'!$E$1:$V$1,0)
  ),
"")</f>
        <v>1</v>
      </c>
    </row>
    <row r="81" spans="1:17" x14ac:dyDescent="0.25">
      <c r="A81" s="20" t="s">
        <v>126</v>
      </c>
      <c r="B81" s="2">
        <v>45580</v>
      </c>
      <c r="C81" t="s">
        <v>7</v>
      </c>
      <c r="D81" t="s">
        <v>74</v>
      </c>
      <c r="E81" s="12" t="s">
        <v>36</v>
      </c>
      <c r="F81">
        <v>83</v>
      </c>
      <c r="G81" t="s">
        <v>54</v>
      </c>
      <c r="H81" s="9">
        <f t="shared" si="3"/>
        <v>8</v>
      </c>
      <c r="I81" cm="1">
        <f t="array" ref="I81">IFERROR(INDEX(CourseYardages[[Hole 1]:[Hole 18]],
  MATCH(1, (CourseYardages[Course]=C81)*(CourseYardages[Tees]=E81), 0),
  MATCH(G81, CourseYardages[[#Headers],[Hole 1]:[Hole 18]], 0)
),"")</f>
        <v>150</v>
      </c>
      <c r="J81" cm="1">
        <f t="array" ref="J81">IFERROR(INDEX(CourseHandicap[[Hole 1]:[Hole 18]],
  MATCH(1, (CourseHandicap[Course]=C81)*(CourseHandicap[Tees]=E81), 0),
  MATCH(G81, CourseHandicap[[#Headers],[Hole 1]:[Hole 18]], 0)
),"")</f>
        <v>11</v>
      </c>
      <c r="K81" cm="1">
        <f t="array" ref="K81">IFERROR(INDEX(CourseRatings[[Hole 1]:[Hole 18]],
  MATCH(1, (CourseRatings[Course]=C81)*(CourseRatings[Tees]=E81), 0),
  MATCH(G81, CourseRatings[[#Headers],[Hole 1]:[Hole 18]], 0)
),"")</f>
        <v>3</v>
      </c>
      <c r="L81" cm="1">
        <f t="array" ref="L81">IFERROR(
  INDEX('Golf Log'!$E$2:$V$72,
    MATCH(1,
      ('Golf Log'!$A$2:$A$72=$A81)*
      ('Golf Log'!$B$2:$B$72=$B81)*
      ('Golf Log'!$C$2:$C$72=$C81),
    0),
    MATCH($G81,'Golf Log'!$E$1:$V$1,0)
  ),
"")</f>
        <v>3</v>
      </c>
      <c r="M81">
        <f t="shared" si="4"/>
        <v>0</v>
      </c>
      <c r="N81" t="str">
        <f t="shared" si="5"/>
        <v>Par</v>
      </c>
      <c r="O81" cm="1">
        <f t="array" ref="O81">IFERROR(
  INDEX('Putt Log'!$E$2:$V$72,
    MATCH(1,
      ('Putt Log'!$A$2:$A$72=$A81)*
      ('Putt Log'!$B$2:$B$72=$B81)*
      ('Putt Log'!$C$2:$C$72=$C81),
    0),
    MATCH($G81,'Putt Log'!$E$1:$V$1,0)
  ),
"")</f>
        <v>1</v>
      </c>
      <c r="P81" t="str" cm="1">
        <f t="array" ref="P81">IF(K81=3,"",
  IFERROR(
    INDEX('Fairway Log'!$E$2:$V$72,
      MATCH(1,
        ('Fairway Log'!$A$2:$A$72=$A81)*
        ('Fairway Log'!$B$2:$B$72=$B81)*
        ('Fairway Log'!$C$2:$C152=$C81),
      0),
      MATCH($G81,'Fairway Log'!$E$1:$V$1,0)
    ),
  "")
)</f>
        <v/>
      </c>
      <c r="Q81" t="str" cm="1">
        <f t="array" ref="Q81">IFERROR(
  INDEX('GIR Log'!$E$2:$V$72,
    MATCH(1,
      ('GIR Log'!$A$2:$A$72=$A81)*
      ('GIR Log'!$B$2:$B$72=$B81)*
      ('GIR Log'!$C$2:$C$72=$C81),
    0),
    MATCH($G81,'GIR Log'!$E$1:$V$1,0)
  ),
"")</f>
        <v>↑</v>
      </c>
    </row>
    <row r="82" spans="1:17" x14ac:dyDescent="0.25">
      <c r="A82" s="20" t="s">
        <v>126</v>
      </c>
      <c r="B82" s="2">
        <v>45580</v>
      </c>
      <c r="C82" t="s">
        <v>7</v>
      </c>
      <c r="D82" t="s">
        <v>74</v>
      </c>
      <c r="E82" s="12" t="s">
        <v>36</v>
      </c>
      <c r="F82">
        <v>83</v>
      </c>
      <c r="G82" t="s">
        <v>55</v>
      </c>
      <c r="H82" s="9">
        <f t="shared" si="3"/>
        <v>9</v>
      </c>
      <c r="I82" cm="1">
        <f t="array" ref="I82">IFERROR(INDEX(CourseYardages[[Hole 1]:[Hole 18]],
  MATCH(1, (CourseYardages[Course]=C82)*(CourseYardages[Tees]=E82), 0),
  MATCH(G82, CourseYardages[[#Headers],[Hole 1]:[Hole 18]], 0)
),"")</f>
        <v>490</v>
      </c>
      <c r="J82" cm="1">
        <f t="array" ref="J82">IFERROR(INDEX(CourseHandicap[[Hole 1]:[Hole 18]],
  MATCH(1, (CourseHandicap[Course]=C82)*(CourseHandicap[Tees]=E82), 0),
  MATCH(G82, CourseHandicap[[#Headers],[Hole 1]:[Hole 18]], 0)
),"")</f>
        <v>9</v>
      </c>
      <c r="K82" cm="1">
        <f t="array" ref="K82">IFERROR(INDEX(CourseRatings[[Hole 1]:[Hole 18]],
  MATCH(1, (CourseRatings[Course]=C82)*(CourseRatings[Tees]=E82), 0),
  MATCH(G82, CourseRatings[[#Headers],[Hole 1]:[Hole 18]], 0)
),"")</f>
        <v>5</v>
      </c>
      <c r="L82" cm="1">
        <f t="array" ref="L82">IFERROR(
  INDEX('Golf Log'!$E$2:$V$72,
    MATCH(1,
      ('Golf Log'!$A$2:$A$72=$A82)*
      ('Golf Log'!$B$2:$B$72=$B82)*
      ('Golf Log'!$C$2:$C$72=$C82),
    0),
    MATCH($G82,'Golf Log'!$E$1:$V$1,0)
  ),
"")</f>
        <v>5</v>
      </c>
      <c r="M82">
        <f t="shared" si="4"/>
        <v>0</v>
      </c>
      <c r="N82" t="str">
        <f t="shared" si="5"/>
        <v>Par</v>
      </c>
      <c r="O82" cm="1">
        <f t="array" ref="O82">IFERROR(
  INDEX('Putt Log'!$E$2:$V$72,
    MATCH(1,
      ('Putt Log'!$A$2:$A$72=$A82)*
      ('Putt Log'!$B$2:$B$72=$B82)*
      ('Putt Log'!$C$2:$C$72=$C82),
    0),
    MATCH($G82,'Putt Log'!$E$1:$V$1,0)
  ),
"")</f>
        <v>2</v>
      </c>
      <c r="P82" cm="1">
        <f t="array" ref="P82">IF(K82=3,"",
  IFERROR(
    INDEX('Fairway Log'!$E$2:$V$72,
      MATCH(1,
        ('Fairway Log'!$A$2:$A$72=$A82)*
        ('Fairway Log'!$B$2:$B$72=$B82)*
        ('Fairway Log'!$C$2:$C153=$C82),
      0),
      MATCH($G82,'Fairway Log'!$E$1:$V$1,0)
    ),
  "")
)</f>
        <v>1</v>
      </c>
      <c r="Q82" cm="1">
        <f t="array" ref="Q82">IFERROR(
  INDEX('GIR Log'!$E$2:$V$72,
    MATCH(1,
      ('GIR Log'!$A$2:$A$72=$A82)*
      ('GIR Log'!$B$2:$B$72=$B82)*
      ('GIR Log'!$C$2:$C$72=$C82),
    0),
    MATCH($G82,'GIR Log'!$E$1:$V$1,0)
  ),
"")</f>
        <v>1</v>
      </c>
    </row>
    <row r="83" spans="1:17" x14ac:dyDescent="0.25">
      <c r="A83" s="20" t="s">
        <v>126</v>
      </c>
      <c r="B83" s="2">
        <v>45580</v>
      </c>
      <c r="C83" t="s">
        <v>7</v>
      </c>
      <c r="D83" t="s">
        <v>74</v>
      </c>
      <c r="E83" s="12" t="s">
        <v>36</v>
      </c>
      <c r="F83">
        <v>83</v>
      </c>
      <c r="G83" t="s">
        <v>56</v>
      </c>
      <c r="H83" s="9">
        <f t="shared" si="3"/>
        <v>10</v>
      </c>
      <c r="I83" cm="1">
        <f t="array" ref="I83">IFERROR(INDEX(CourseYardages[[Hole 1]:[Hole 18]],
  MATCH(1, (CourseYardages[Course]=C83)*(CourseYardages[Tees]=E83), 0),
  MATCH(G83, CourseYardages[[#Headers],[Hole 1]:[Hole 18]], 0)
),"")</f>
        <v>320</v>
      </c>
      <c r="J83" cm="1">
        <f t="array" ref="J83">IFERROR(INDEX(CourseHandicap[[Hole 1]:[Hole 18]],
  MATCH(1, (CourseHandicap[Course]=C83)*(CourseHandicap[Tees]=E83), 0),
  MATCH(G83, CourseHandicap[[#Headers],[Hole 1]:[Hole 18]], 0)
),"")</f>
        <v>14</v>
      </c>
      <c r="K83" cm="1">
        <f t="array" ref="K83">IFERROR(INDEX(CourseRatings[[Hole 1]:[Hole 18]],
  MATCH(1, (CourseRatings[Course]=C83)*(CourseRatings[Tees]=E83), 0),
  MATCH(G83, CourseRatings[[#Headers],[Hole 1]:[Hole 18]], 0)
),"")</f>
        <v>4</v>
      </c>
      <c r="L83" cm="1">
        <f t="array" ref="L83">IFERROR(
  INDEX('Golf Log'!$E$2:$V$72,
    MATCH(1,
      ('Golf Log'!$A$2:$A$72=$A83)*
      ('Golf Log'!$B$2:$B$72=$B83)*
      ('Golf Log'!$C$2:$C$72=$C83),
    0),
    MATCH($G83,'Golf Log'!$E$1:$V$1,0)
  ),
"")</f>
        <v>4</v>
      </c>
      <c r="M83">
        <f t="shared" si="4"/>
        <v>0</v>
      </c>
      <c r="N83" t="str">
        <f t="shared" si="5"/>
        <v>Par</v>
      </c>
      <c r="O83" cm="1">
        <f t="array" ref="O83">IFERROR(
  INDEX('Putt Log'!$E$2:$V$72,
    MATCH(1,
      ('Putt Log'!$A$2:$A$72=$A83)*
      ('Putt Log'!$B$2:$B$72=$B83)*
      ('Putt Log'!$C$2:$C$72=$C83),
    0),
    MATCH($G83,'Putt Log'!$E$1:$V$1,0)
  ),
"")</f>
        <v>1</v>
      </c>
      <c r="P83" cm="1">
        <f t="array" ref="P83">IF(K83=3,"",
  IFERROR(
    INDEX('Fairway Log'!$E$2:$V$72,
      MATCH(1,
        ('Fairway Log'!$A$2:$A$72=$A83)*
        ('Fairway Log'!$B$2:$B$72=$B83)*
        ('Fairway Log'!$C$2:$C154=$C83),
      0),
      MATCH($G83,'Fairway Log'!$E$1:$V$1,0)
    ),
  "")
)</f>
        <v>1</v>
      </c>
      <c r="Q83" t="str" cm="1">
        <f t="array" ref="Q83">IFERROR(
  INDEX('GIR Log'!$E$2:$V$72,
    MATCH(1,
      ('GIR Log'!$A$2:$A$72=$A83)*
      ('GIR Log'!$B$2:$B$72=$B83)*
      ('GIR Log'!$C$2:$C$72=$C83),
    0),
    MATCH($G83,'GIR Log'!$E$1:$V$1,0)
  ),
"")</f>
        <v>↓</v>
      </c>
    </row>
    <row r="84" spans="1:17" x14ac:dyDescent="0.25">
      <c r="A84" s="20" t="s">
        <v>126</v>
      </c>
      <c r="B84" s="2">
        <v>45580</v>
      </c>
      <c r="C84" t="s">
        <v>7</v>
      </c>
      <c r="D84" t="s">
        <v>74</v>
      </c>
      <c r="E84" s="12" t="s">
        <v>36</v>
      </c>
      <c r="F84">
        <v>83</v>
      </c>
      <c r="G84" t="s">
        <v>57</v>
      </c>
      <c r="H84" s="9">
        <f t="shared" si="3"/>
        <v>11</v>
      </c>
      <c r="I84" cm="1">
        <f t="array" ref="I84">IFERROR(INDEX(CourseYardages[[Hole 1]:[Hole 18]],
  MATCH(1, (CourseYardages[Course]=C84)*(CourseYardages[Tees]=E84), 0),
  MATCH(G84, CourseYardages[[#Headers],[Hole 1]:[Hole 18]], 0)
),"")</f>
        <v>412</v>
      </c>
      <c r="J84" cm="1">
        <f t="array" ref="J84">IFERROR(INDEX(CourseHandicap[[Hole 1]:[Hole 18]],
  MATCH(1, (CourseHandicap[Course]=C84)*(CourseHandicap[Tees]=E84), 0),
  MATCH(G84, CourseHandicap[[#Headers],[Hole 1]:[Hole 18]], 0)
),"")</f>
        <v>2</v>
      </c>
      <c r="K84" cm="1">
        <f t="array" ref="K84">IFERROR(INDEX(CourseRatings[[Hole 1]:[Hole 18]],
  MATCH(1, (CourseRatings[Course]=C84)*(CourseRatings[Tees]=E84), 0),
  MATCH(G84, CourseRatings[[#Headers],[Hole 1]:[Hole 18]], 0)
),"")</f>
        <v>4</v>
      </c>
      <c r="L84" cm="1">
        <f t="array" ref="L84">IFERROR(
  INDEX('Golf Log'!$E$2:$V$72,
    MATCH(1,
      ('Golf Log'!$A$2:$A$72=$A84)*
      ('Golf Log'!$B$2:$B$72=$B84)*
      ('Golf Log'!$C$2:$C$72=$C84),
    0),
    MATCH($G84,'Golf Log'!$E$1:$V$1,0)
  ),
"")</f>
        <v>5</v>
      </c>
      <c r="M84">
        <f t="shared" si="4"/>
        <v>1</v>
      </c>
      <c r="N84" t="str">
        <f t="shared" si="5"/>
        <v>Bogey</v>
      </c>
      <c r="O84" cm="1">
        <f t="array" ref="O84">IFERROR(
  INDEX('Putt Log'!$E$2:$V$72,
    MATCH(1,
      ('Putt Log'!$A$2:$A$72=$A84)*
      ('Putt Log'!$B$2:$B$72=$B84)*
      ('Putt Log'!$C$2:$C$72=$C84),
    0),
    MATCH($G84,'Putt Log'!$E$1:$V$1,0)
  ),
"")</f>
        <v>2</v>
      </c>
      <c r="P84" t="str" cm="1">
        <f t="array" ref="P84">IF(K84=3,"",
  IFERROR(
    INDEX('Fairway Log'!$E$2:$V$72,
      MATCH(1,
        ('Fairway Log'!$A$2:$A$72=$A84)*
        ('Fairway Log'!$B$2:$B$72=$B84)*
        ('Fairway Log'!$C$2:$C155=$C84),
      0),
      MATCH($G84,'Fairway Log'!$E$1:$V$1,0)
    ),
  "")
)</f>
        <v>←</v>
      </c>
      <c r="Q84" t="str" cm="1">
        <f t="array" ref="Q84">IFERROR(
  INDEX('GIR Log'!$E$2:$V$72,
    MATCH(1,
      ('GIR Log'!$A$2:$A$72=$A84)*
      ('GIR Log'!$B$2:$B$72=$B84)*
      ('GIR Log'!$C$2:$C$72=$C84),
    0),
    MATCH($G84,'GIR Log'!$E$1:$V$1,0)
  ),
"")</f>
        <v>↓</v>
      </c>
    </row>
    <row r="85" spans="1:17" x14ac:dyDescent="0.25">
      <c r="A85" s="20" t="s">
        <v>126</v>
      </c>
      <c r="B85" s="2">
        <v>45580</v>
      </c>
      <c r="C85" t="s">
        <v>7</v>
      </c>
      <c r="D85" t="s">
        <v>74</v>
      </c>
      <c r="E85" s="12" t="s">
        <v>36</v>
      </c>
      <c r="F85">
        <v>83</v>
      </c>
      <c r="G85" t="s">
        <v>58</v>
      </c>
      <c r="H85" s="9">
        <f t="shared" si="3"/>
        <v>12</v>
      </c>
      <c r="I85" cm="1">
        <f t="array" ref="I85">IFERROR(INDEX(CourseYardages[[Hole 1]:[Hole 18]],
  MATCH(1, (CourseYardages[Course]=C85)*(CourseYardages[Tees]=E85), 0),
  MATCH(G85, CourseYardages[[#Headers],[Hole 1]:[Hole 18]], 0)
),"")</f>
        <v>135</v>
      </c>
      <c r="J85" cm="1">
        <f t="array" ref="J85">IFERROR(INDEX(CourseHandicap[[Hole 1]:[Hole 18]],
  MATCH(1, (CourseHandicap[Course]=C85)*(CourseHandicap[Tees]=E85), 0),
  MATCH(G85, CourseHandicap[[#Headers],[Hole 1]:[Hole 18]], 0)
),"")</f>
        <v>18</v>
      </c>
      <c r="K85" cm="1">
        <f t="array" ref="K85">IFERROR(INDEX(CourseRatings[[Hole 1]:[Hole 18]],
  MATCH(1, (CourseRatings[Course]=C85)*(CourseRatings[Tees]=E85), 0),
  MATCH(G85, CourseRatings[[#Headers],[Hole 1]:[Hole 18]], 0)
),"")</f>
        <v>3</v>
      </c>
      <c r="L85" cm="1">
        <f t="array" ref="L85">IFERROR(
  INDEX('Golf Log'!$E$2:$V$72,
    MATCH(1,
      ('Golf Log'!$A$2:$A$72=$A85)*
      ('Golf Log'!$B$2:$B$72=$B85)*
      ('Golf Log'!$C$2:$C$72=$C85),
    0),
    MATCH($G85,'Golf Log'!$E$1:$V$1,0)
  ),
"")</f>
        <v>5</v>
      </c>
      <c r="M85">
        <f t="shared" si="4"/>
        <v>2</v>
      </c>
      <c r="N85" t="str">
        <f t="shared" si="5"/>
        <v>Double Bogey</v>
      </c>
      <c r="O85" cm="1">
        <f t="array" ref="O85">IFERROR(
  INDEX('Putt Log'!$E$2:$V$72,
    MATCH(1,
      ('Putt Log'!$A$2:$A$72=$A85)*
      ('Putt Log'!$B$2:$B$72=$B85)*
      ('Putt Log'!$C$2:$C$72=$C85),
    0),
    MATCH($G85,'Putt Log'!$E$1:$V$1,0)
  ),
"")</f>
        <v>2</v>
      </c>
      <c r="P85" t="str" cm="1">
        <f t="array" ref="P85">IF(K85=3,"",
  IFERROR(
    INDEX('Fairway Log'!$E$2:$V$72,
      MATCH(1,
        ('Fairway Log'!$A$2:$A$72=$A85)*
        ('Fairway Log'!$B$2:$B$72=$B85)*
        ('Fairway Log'!$C$2:$C156=$C85),
      0),
      MATCH($G85,'Fairway Log'!$E$1:$V$1,0)
    ),
  "")
)</f>
        <v/>
      </c>
      <c r="Q85" t="str" cm="1">
        <f t="array" ref="Q85">IFERROR(
  INDEX('GIR Log'!$E$2:$V$72,
    MATCH(1,
      ('GIR Log'!$A$2:$A$72=$A85)*
      ('GIR Log'!$B$2:$B$72=$B85)*
      ('GIR Log'!$C$2:$C$72=$C85),
    0),
    MATCH($G85,'GIR Log'!$E$1:$V$1,0)
  ),
"")</f>
        <v>←</v>
      </c>
    </row>
    <row r="86" spans="1:17" x14ac:dyDescent="0.25">
      <c r="A86" s="20" t="s">
        <v>126</v>
      </c>
      <c r="B86" s="2">
        <v>45580</v>
      </c>
      <c r="C86" t="s">
        <v>7</v>
      </c>
      <c r="D86" t="s">
        <v>74</v>
      </c>
      <c r="E86" s="12" t="s">
        <v>36</v>
      </c>
      <c r="F86">
        <v>83</v>
      </c>
      <c r="G86" t="s">
        <v>59</v>
      </c>
      <c r="H86" s="9">
        <f t="shared" si="3"/>
        <v>13</v>
      </c>
      <c r="I86" cm="1">
        <f t="array" ref="I86">IFERROR(INDEX(CourseYardages[[Hole 1]:[Hole 18]],
  MATCH(1, (CourseYardages[Course]=C86)*(CourseYardages[Tees]=E86), 0),
  MATCH(G86, CourseYardages[[#Headers],[Hole 1]:[Hole 18]], 0)
),"")</f>
        <v>495</v>
      </c>
      <c r="J86" cm="1">
        <f t="array" ref="J86">IFERROR(INDEX(CourseHandicap[[Hole 1]:[Hole 18]],
  MATCH(1, (CourseHandicap[Course]=C86)*(CourseHandicap[Tees]=E86), 0),
  MATCH(G86, CourseHandicap[[#Headers],[Hole 1]:[Hole 18]], 0)
),"")</f>
        <v>6</v>
      </c>
      <c r="K86" cm="1">
        <f t="array" ref="K86">IFERROR(INDEX(CourseRatings[[Hole 1]:[Hole 18]],
  MATCH(1, (CourseRatings[Course]=C86)*(CourseRatings[Tees]=E86), 0),
  MATCH(G86, CourseRatings[[#Headers],[Hole 1]:[Hole 18]], 0)
),"")</f>
        <v>5</v>
      </c>
      <c r="L86" cm="1">
        <f t="array" ref="L86">IFERROR(
  INDEX('Golf Log'!$E$2:$V$72,
    MATCH(1,
      ('Golf Log'!$A$2:$A$72=$A86)*
      ('Golf Log'!$B$2:$B$72=$B86)*
      ('Golf Log'!$C$2:$C$72=$C86),
    0),
    MATCH($G86,'Golf Log'!$E$1:$V$1,0)
  ),
"")</f>
        <v>6</v>
      </c>
      <c r="M86">
        <f t="shared" si="4"/>
        <v>1</v>
      </c>
      <c r="N86" t="str">
        <f t="shared" si="5"/>
        <v>Bogey</v>
      </c>
      <c r="O86" cm="1">
        <f t="array" ref="O86">IFERROR(
  INDEX('Putt Log'!$E$2:$V$72,
    MATCH(1,
      ('Putt Log'!$A$2:$A$72=$A86)*
      ('Putt Log'!$B$2:$B$72=$B86)*
      ('Putt Log'!$C$2:$C$72=$C86),
    0),
    MATCH($G86,'Putt Log'!$E$1:$V$1,0)
  ),
"")</f>
        <v>2</v>
      </c>
      <c r="P86" t="str" cm="1">
        <f t="array" ref="P86">IF(K86=3,"",
  IFERROR(
    INDEX('Fairway Log'!$E$2:$V$72,
      MATCH(1,
        ('Fairway Log'!$A$2:$A$72=$A86)*
        ('Fairway Log'!$B$2:$B$72=$B86)*
        ('Fairway Log'!$C$2:$C157=$C86),
      0),
      MATCH($G86,'Fairway Log'!$E$1:$V$1,0)
    ),
  "")
)</f>
        <v>→</v>
      </c>
      <c r="Q86" t="str" cm="1">
        <f t="array" ref="Q86">IFERROR(
  INDEX('GIR Log'!$E$2:$V$72,
    MATCH(1,
      ('GIR Log'!$A$2:$A$72=$A86)*
      ('GIR Log'!$B$2:$B$72=$B86)*
      ('GIR Log'!$C$2:$C$72=$C86),
    0),
    MATCH($G86,'GIR Log'!$E$1:$V$1,0)
  ),
"")</f>
        <v>←</v>
      </c>
    </row>
    <row r="87" spans="1:17" x14ac:dyDescent="0.25">
      <c r="A87" s="20" t="s">
        <v>126</v>
      </c>
      <c r="B87" s="2">
        <v>45580</v>
      </c>
      <c r="C87" t="s">
        <v>7</v>
      </c>
      <c r="D87" t="s">
        <v>74</v>
      </c>
      <c r="E87" s="12" t="s">
        <v>36</v>
      </c>
      <c r="F87">
        <v>83</v>
      </c>
      <c r="G87" t="s">
        <v>60</v>
      </c>
      <c r="H87" s="9">
        <f t="shared" si="3"/>
        <v>14</v>
      </c>
      <c r="I87" cm="1">
        <f t="array" ref="I87">IFERROR(INDEX(CourseYardages[[Hole 1]:[Hole 18]],
  MATCH(1, (CourseYardages[Course]=C87)*(CourseYardages[Tees]=E87), 0),
  MATCH(G87, CourseYardages[[#Headers],[Hole 1]:[Hole 18]], 0)
),"")</f>
        <v>405</v>
      </c>
      <c r="J87" cm="1">
        <f t="array" ref="J87">IFERROR(INDEX(CourseHandicap[[Hole 1]:[Hole 18]],
  MATCH(1, (CourseHandicap[Course]=C87)*(CourseHandicap[Tees]=E87), 0),
  MATCH(G87, CourseHandicap[[#Headers],[Hole 1]:[Hole 18]], 0)
),"")</f>
        <v>10</v>
      </c>
      <c r="K87" cm="1">
        <f t="array" ref="K87">IFERROR(INDEX(CourseRatings[[Hole 1]:[Hole 18]],
  MATCH(1, (CourseRatings[Course]=C87)*(CourseRatings[Tees]=E87), 0),
  MATCH(G87, CourseRatings[[#Headers],[Hole 1]:[Hole 18]], 0)
),"")</f>
        <v>4</v>
      </c>
      <c r="L87" cm="1">
        <f t="array" ref="L87">IFERROR(
  INDEX('Golf Log'!$E$2:$V$72,
    MATCH(1,
      ('Golf Log'!$A$2:$A$72=$A87)*
      ('Golf Log'!$B$2:$B$72=$B87)*
      ('Golf Log'!$C$2:$C$72=$C87),
    0),
    MATCH($G87,'Golf Log'!$E$1:$V$1,0)
  ),
"")</f>
        <v>6</v>
      </c>
      <c r="M87">
        <f t="shared" si="4"/>
        <v>2</v>
      </c>
      <c r="N87" t="str">
        <f t="shared" si="5"/>
        <v>Double Bogey</v>
      </c>
      <c r="O87" cm="1">
        <f t="array" ref="O87">IFERROR(
  INDEX('Putt Log'!$E$2:$V$72,
    MATCH(1,
      ('Putt Log'!$A$2:$A$72=$A87)*
      ('Putt Log'!$B$2:$B$72=$B87)*
      ('Putt Log'!$C$2:$C$72=$C87),
    0),
    MATCH($G87,'Putt Log'!$E$1:$V$1,0)
  ),
"")</f>
        <v>2</v>
      </c>
      <c r="P87" cm="1">
        <f t="array" ref="P87">IF(K87=3,"",
  IFERROR(
    INDEX('Fairway Log'!$E$2:$V$72,
      MATCH(1,
        ('Fairway Log'!$A$2:$A$72=$A87)*
        ('Fairway Log'!$B$2:$B$72=$B87)*
        ('Fairway Log'!$C$2:$C158=$C87),
      0),
      MATCH($G87,'Fairway Log'!$E$1:$V$1,0)
    ),
  "")
)</f>
        <v>1</v>
      </c>
      <c r="Q87" t="str" cm="1">
        <f t="array" ref="Q87">IFERROR(
  INDEX('GIR Log'!$E$2:$V$72,
    MATCH(1,
      ('GIR Log'!$A$2:$A$72=$A87)*
      ('GIR Log'!$B$2:$B$72=$B87)*
      ('GIR Log'!$C$2:$C$72=$C87),
    0),
    MATCH($G87,'GIR Log'!$E$1:$V$1,0)
  ),
"")</f>
        <v>↓</v>
      </c>
    </row>
    <row r="88" spans="1:17" x14ac:dyDescent="0.25">
      <c r="A88" s="20" t="s">
        <v>126</v>
      </c>
      <c r="B88" s="2">
        <v>45580</v>
      </c>
      <c r="C88" t="s">
        <v>7</v>
      </c>
      <c r="D88" t="s">
        <v>74</v>
      </c>
      <c r="E88" s="12" t="s">
        <v>36</v>
      </c>
      <c r="F88">
        <v>83</v>
      </c>
      <c r="G88" t="s">
        <v>61</v>
      </c>
      <c r="H88" s="9">
        <f t="shared" si="3"/>
        <v>15</v>
      </c>
      <c r="I88" cm="1">
        <f t="array" ref="I88">IFERROR(INDEX(CourseYardages[[Hole 1]:[Hole 18]],
  MATCH(1, (CourseYardages[Course]=C88)*(CourseYardages[Tees]=E88), 0),
  MATCH(G88, CourseYardages[[#Headers],[Hole 1]:[Hole 18]], 0)
),"")</f>
        <v>542</v>
      </c>
      <c r="J88" cm="1">
        <f t="array" ref="J88">IFERROR(INDEX(CourseHandicap[[Hole 1]:[Hole 18]],
  MATCH(1, (CourseHandicap[Course]=C88)*(CourseHandicap[Tees]=E88), 0),
  MATCH(G88, CourseHandicap[[#Headers],[Hole 1]:[Hole 18]], 0)
),"")</f>
        <v>8</v>
      </c>
      <c r="K88" cm="1">
        <f t="array" ref="K88">IFERROR(INDEX(CourseRatings[[Hole 1]:[Hole 18]],
  MATCH(1, (CourseRatings[Course]=C88)*(CourseRatings[Tees]=E88), 0),
  MATCH(G88, CourseRatings[[#Headers],[Hole 1]:[Hole 18]], 0)
),"")</f>
        <v>5</v>
      </c>
      <c r="L88" cm="1">
        <f t="array" ref="L88">IFERROR(
  INDEX('Golf Log'!$E$2:$V$72,
    MATCH(1,
      ('Golf Log'!$A$2:$A$72=$A88)*
      ('Golf Log'!$B$2:$B$72=$B88)*
      ('Golf Log'!$C$2:$C$72=$C88),
    0),
    MATCH($G88,'Golf Log'!$E$1:$V$1,0)
  ),
"")</f>
        <v>5</v>
      </c>
      <c r="M88">
        <f t="shared" si="4"/>
        <v>0</v>
      </c>
      <c r="N88" t="str">
        <f t="shared" si="5"/>
        <v>Par</v>
      </c>
      <c r="O88" cm="1">
        <f t="array" ref="O88">IFERROR(
  INDEX('Putt Log'!$E$2:$V$72,
    MATCH(1,
      ('Putt Log'!$A$2:$A$72=$A88)*
      ('Putt Log'!$B$2:$B$72=$B88)*
      ('Putt Log'!$C$2:$C$72=$C88),
    0),
    MATCH($G88,'Putt Log'!$E$1:$V$1,0)
  ),
"")</f>
        <v>2</v>
      </c>
      <c r="P88" cm="1">
        <f t="array" ref="P88">IF(K88=3,"",
  IFERROR(
    INDEX('Fairway Log'!$E$2:$V$72,
      MATCH(1,
        ('Fairway Log'!$A$2:$A$72=$A88)*
        ('Fairway Log'!$B$2:$B$72=$B88)*
        ('Fairway Log'!$C$2:$C159=$C88),
      0),
      MATCH($G88,'Fairway Log'!$E$1:$V$1,0)
    ),
  "")
)</f>
        <v>1</v>
      </c>
      <c r="Q88" cm="1">
        <f t="array" ref="Q88">IFERROR(
  INDEX('GIR Log'!$E$2:$V$72,
    MATCH(1,
      ('GIR Log'!$A$2:$A$72=$A88)*
      ('GIR Log'!$B$2:$B$72=$B88)*
      ('GIR Log'!$C$2:$C$72=$C88),
    0),
    MATCH($G88,'GIR Log'!$E$1:$V$1,0)
  ),
"")</f>
        <v>1</v>
      </c>
    </row>
    <row r="89" spans="1:17" x14ac:dyDescent="0.25">
      <c r="A89" s="20" t="s">
        <v>126</v>
      </c>
      <c r="B89" s="2">
        <v>45580</v>
      </c>
      <c r="C89" t="s">
        <v>7</v>
      </c>
      <c r="D89" t="s">
        <v>74</v>
      </c>
      <c r="E89" s="12" t="s">
        <v>36</v>
      </c>
      <c r="F89">
        <v>83</v>
      </c>
      <c r="G89" t="s">
        <v>62</v>
      </c>
      <c r="H89" s="9">
        <f t="shared" si="3"/>
        <v>16</v>
      </c>
      <c r="I89" cm="1">
        <f t="array" ref="I89">IFERROR(INDEX(CourseYardages[[Hole 1]:[Hole 18]],
  MATCH(1, (CourseYardages[Course]=C89)*(CourseYardages[Tees]=E89), 0),
  MATCH(G89, CourseYardages[[#Headers],[Hole 1]:[Hole 18]], 0)
),"")</f>
        <v>390</v>
      </c>
      <c r="J89" cm="1">
        <f t="array" ref="J89">IFERROR(INDEX(CourseHandicap[[Hole 1]:[Hole 18]],
  MATCH(1, (CourseHandicap[Course]=C89)*(CourseHandicap[Tees]=E89), 0),
  MATCH(G89, CourseHandicap[[#Headers],[Hole 1]:[Hole 18]], 0)
),"")</f>
        <v>4</v>
      </c>
      <c r="K89" cm="1">
        <f t="array" ref="K89">IFERROR(INDEX(CourseRatings[[Hole 1]:[Hole 18]],
  MATCH(1, (CourseRatings[Course]=C89)*(CourseRatings[Tees]=E89), 0),
  MATCH(G89, CourseRatings[[#Headers],[Hole 1]:[Hole 18]], 0)
),"")</f>
        <v>4</v>
      </c>
      <c r="L89" cm="1">
        <f t="array" ref="L89">IFERROR(
  INDEX('Golf Log'!$E$2:$V$72,
    MATCH(1,
      ('Golf Log'!$A$2:$A$72=$A89)*
      ('Golf Log'!$B$2:$B$72=$B89)*
      ('Golf Log'!$C$2:$C$72=$C89),
    0),
    MATCH($G89,'Golf Log'!$E$1:$V$1,0)
  ),
"")</f>
        <v>5</v>
      </c>
      <c r="M89">
        <f t="shared" si="4"/>
        <v>1</v>
      </c>
      <c r="N89" t="str">
        <f t="shared" si="5"/>
        <v>Bogey</v>
      </c>
      <c r="O89" cm="1">
        <f t="array" ref="O89">IFERROR(
  INDEX('Putt Log'!$E$2:$V$72,
    MATCH(1,
      ('Putt Log'!$A$2:$A$72=$A89)*
      ('Putt Log'!$B$2:$B$72=$B89)*
      ('Putt Log'!$C$2:$C$72=$C89),
    0),
    MATCH($G89,'Putt Log'!$E$1:$V$1,0)
  ),
"")</f>
        <v>1</v>
      </c>
      <c r="P89" t="str" cm="1">
        <f t="array" ref="P89">IF(K89=3,"",
  IFERROR(
    INDEX('Fairway Log'!$E$2:$V$72,
      MATCH(1,
        ('Fairway Log'!$A$2:$A$72=$A89)*
        ('Fairway Log'!$B$2:$B$72=$B89)*
        ('Fairway Log'!$C$2:$C160=$C89),
      0),
      MATCH($G89,'Fairway Log'!$E$1:$V$1,0)
    ),
  "")
)</f>
        <v>→</v>
      </c>
      <c r="Q89" cm="1">
        <f t="array" ref="Q89">IFERROR(
  INDEX('GIR Log'!$E$2:$V$72,
    MATCH(1,
      ('GIR Log'!$A$2:$A$72=$A89)*
      ('GIR Log'!$B$2:$B$72=$B89)*
      ('GIR Log'!$C$2:$C$72=$C89),
    0),
    MATCH($G89,'GIR Log'!$E$1:$V$1,0)
  ),
"")</f>
        <v>0</v>
      </c>
    </row>
    <row r="90" spans="1:17" x14ac:dyDescent="0.25">
      <c r="A90" s="20" t="s">
        <v>126</v>
      </c>
      <c r="B90" s="2">
        <v>45580</v>
      </c>
      <c r="C90" t="s">
        <v>7</v>
      </c>
      <c r="D90" t="s">
        <v>74</v>
      </c>
      <c r="E90" s="12" t="s">
        <v>36</v>
      </c>
      <c r="F90">
        <v>83</v>
      </c>
      <c r="G90" t="s">
        <v>63</v>
      </c>
      <c r="H90" s="9">
        <f t="shared" si="3"/>
        <v>17</v>
      </c>
      <c r="I90" cm="1">
        <f t="array" ref="I90">IFERROR(INDEX(CourseYardages[[Hole 1]:[Hole 18]],
  MATCH(1, (CourseYardages[Course]=C90)*(CourseYardages[Tees]=E90), 0),
  MATCH(G90, CourseYardages[[#Headers],[Hole 1]:[Hole 18]], 0)
),"")</f>
        <v>130</v>
      </c>
      <c r="J90" cm="1">
        <f t="array" ref="J90">IFERROR(INDEX(CourseHandicap[[Hole 1]:[Hole 18]],
  MATCH(1, (CourseHandicap[Course]=C90)*(CourseHandicap[Tees]=E90), 0),
  MATCH(G90, CourseHandicap[[#Headers],[Hole 1]:[Hole 18]], 0)
),"")</f>
        <v>16</v>
      </c>
      <c r="K90" cm="1">
        <f t="array" ref="K90">IFERROR(INDEX(CourseRatings[[Hole 1]:[Hole 18]],
  MATCH(1, (CourseRatings[Course]=C90)*(CourseRatings[Tees]=E90), 0),
  MATCH(G90, CourseRatings[[#Headers],[Hole 1]:[Hole 18]], 0)
),"")</f>
        <v>3</v>
      </c>
      <c r="L90" cm="1">
        <f t="array" ref="L90">IFERROR(
  INDEX('Golf Log'!$E$2:$V$72,
    MATCH(1,
      ('Golf Log'!$A$2:$A$72=$A90)*
      ('Golf Log'!$B$2:$B$72=$B90)*
      ('Golf Log'!$C$2:$C$72=$C90),
    0),
    MATCH($G90,'Golf Log'!$E$1:$V$1,0)
  ),
"")</f>
        <v>3</v>
      </c>
      <c r="M90">
        <f t="shared" si="4"/>
        <v>0</v>
      </c>
      <c r="N90" t="str">
        <f t="shared" si="5"/>
        <v>Par</v>
      </c>
      <c r="O90" cm="1">
        <f t="array" ref="O90">IFERROR(
  INDEX('Putt Log'!$E$2:$V$72,
    MATCH(1,
      ('Putt Log'!$A$2:$A$72=$A90)*
      ('Putt Log'!$B$2:$B$72=$B90)*
      ('Putt Log'!$C$2:$C$72=$C90),
    0),
    MATCH($G90,'Putt Log'!$E$1:$V$1,0)
  ),
"")</f>
        <v>1</v>
      </c>
      <c r="P90" t="str" cm="1">
        <f t="array" ref="P90">IF(K90=3,"",
  IFERROR(
    INDEX('Fairway Log'!$E$2:$V$72,
      MATCH(1,
        ('Fairway Log'!$A$2:$A$72=$A90)*
        ('Fairway Log'!$B$2:$B$72=$B90)*
        ('Fairway Log'!$C$2:$C161=$C90),
      0),
      MATCH($G90,'Fairway Log'!$E$1:$V$1,0)
    ),
  "")
)</f>
        <v/>
      </c>
      <c r="Q90" cm="1">
        <f t="array" ref="Q90">IFERROR(
  INDEX('GIR Log'!$E$2:$V$72,
    MATCH(1,
      ('GIR Log'!$A$2:$A$72=$A90)*
      ('GIR Log'!$B$2:$B$72=$B90)*
      ('GIR Log'!$C$2:$C$72=$C90),
    0),
    MATCH($G90,'GIR Log'!$E$1:$V$1,0)
  ),
"")</f>
        <v>0</v>
      </c>
    </row>
    <row r="91" spans="1:17" x14ac:dyDescent="0.25">
      <c r="A91" s="20" t="s">
        <v>126</v>
      </c>
      <c r="B91" s="2">
        <v>45580</v>
      </c>
      <c r="C91" t="s">
        <v>7</v>
      </c>
      <c r="D91" t="s">
        <v>74</v>
      </c>
      <c r="E91" s="12" t="s">
        <v>36</v>
      </c>
      <c r="F91">
        <v>83</v>
      </c>
      <c r="G91" t="s">
        <v>64</v>
      </c>
      <c r="H91" s="9">
        <f t="shared" si="3"/>
        <v>18</v>
      </c>
      <c r="I91" cm="1">
        <f t="array" ref="I91">IFERROR(INDEX(CourseYardages[[Hole 1]:[Hole 18]],
  MATCH(1, (CourseYardages[Course]=C91)*(CourseYardages[Tees]=E91), 0),
  MATCH(G91, CourseYardages[[#Headers],[Hole 1]:[Hole 18]], 0)
),"")</f>
        <v>501</v>
      </c>
      <c r="J91" cm="1">
        <f t="array" ref="J91">IFERROR(INDEX(CourseHandicap[[Hole 1]:[Hole 18]],
  MATCH(1, (CourseHandicap[Course]=C91)*(CourseHandicap[Tees]=E91), 0),
  MATCH(G91, CourseHandicap[[#Headers],[Hole 1]:[Hole 18]], 0)
),"")</f>
        <v>12</v>
      </c>
      <c r="K91" cm="1">
        <f t="array" ref="K91">IFERROR(INDEX(CourseRatings[[Hole 1]:[Hole 18]],
  MATCH(1, (CourseRatings[Course]=C91)*(CourseRatings[Tees]=E91), 0),
  MATCH(G91, CourseRatings[[#Headers],[Hole 1]:[Hole 18]], 0)
),"")</f>
        <v>5</v>
      </c>
      <c r="L91" cm="1">
        <f t="array" ref="L91">IFERROR(
  INDEX('Golf Log'!$E$2:$V$72,
    MATCH(1,
      ('Golf Log'!$A$2:$A$72=$A91)*
      ('Golf Log'!$B$2:$B$72=$B91)*
      ('Golf Log'!$C$2:$C$72=$C91),
    0),
    MATCH($G91,'Golf Log'!$E$1:$V$1,0)
  ),
"")</f>
        <v>5</v>
      </c>
      <c r="M91">
        <f t="shared" si="4"/>
        <v>0</v>
      </c>
      <c r="N91" t="str">
        <f t="shared" si="5"/>
        <v>Par</v>
      </c>
      <c r="O91" cm="1">
        <f t="array" ref="O91">IFERROR(
  INDEX('Putt Log'!$E$2:$V$72,
    MATCH(1,
      ('Putt Log'!$A$2:$A$72=$A91)*
      ('Putt Log'!$B$2:$B$72=$B91)*
      ('Putt Log'!$C$2:$C$72=$C91),
    0),
    MATCH($G91,'Putt Log'!$E$1:$V$1,0)
  ),
"")</f>
        <v>1</v>
      </c>
      <c r="P91" t="str" cm="1">
        <f t="array" ref="P91">IF(K91=3,"",
  IFERROR(
    INDEX('Fairway Log'!$E$2:$V$72,
      MATCH(1,
        ('Fairway Log'!$A$2:$A$72=$A91)*
        ('Fairway Log'!$B$2:$B$72=$B91)*
        ('Fairway Log'!$C$2:$C162=$C91),
      0),
      MATCH($G91,'Fairway Log'!$E$1:$V$1,0)
    ),
  "")
)</f>
        <v>→</v>
      </c>
      <c r="Q91" t="str" cm="1">
        <f t="array" ref="Q91">IFERROR(
  INDEX('GIR Log'!$E$2:$V$72,
    MATCH(1,
      ('GIR Log'!$A$2:$A$72=$A91)*
      ('GIR Log'!$B$2:$B$72=$B91)*
      ('GIR Log'!$C$2:$C$72=$C91),
    0),
    MATCH($G91,'GIR Log'!$E$1:$V$1,0)
  ),
"")</f>
        <v>←</v>
      </c>
    </row>
    <row r="92" spans="1:17" x14ac:dyDescent="0.25">
      <c r="A92" s="20" t="s">
        <v>126</v>
      </c>
      <c r="B92" s="2">
        <v>45570</v>
      </c>
      <c r="C92" t="s">
        <v>3</v>
      </c>
      <c r="D92" t="s">
        <v>3</v>
      </c>
      <c r="E92" s="12" t="s">
        <v>36</v>
      </c>
      <c r="F92">
        <v>79</v>
      </c>
      <c r="G92" t="s">
        <v>47</v>
      </c>
      <c r="H92" s="9">
        <f t="shared" si="3"/>
        <v>1</v>
      </c>
      <c r="I92" cm="1">
        <f t="array" ref="I92">IFERROR(INDEX(CourseYardages[[Hole 1]:[Hole 18]],
  MATCH(1, (CourseYardages[Course]=C92)*(CourseYardages[Tees]=E92), 0),
  MATCH(G92, CourseYardages[[#Headers],[Hole 1]:[Hole 18]], 0)
),"")</f>
        <v>345</v>
      </c>
      <c r="J92" cm="1">
        <f t="array" ref="J92">IFERROR(INDEX(CourseHandicap[[Hole 1]:[Hole 18]],
  MATCH(1, (CourseHandicap[Course]=C92)*(CourseHandicap[Tees]=E92), 0),
  MATCH(G92, CourseHandicap[[#Headers],[Hole 1]:[Hole 18]], 0)
),"")</f>
        <v>15</v>
      </c>
      <c r="K92" cm="1">
        <f t="array" ref="K92">IFERROR(INDEX(CourseRatings[[Hole 1]:[Hole 18]],
  MATCH(1, (CourseRatings[Course]=C92)*(CourseRatings[Tees]=E92), 0),
  MATCH(G92, CourseRatings[[#Headers],[Hole 1]:[Hole 18]], 0)
),"")</f>
        <v>4</v>
      </c>
      <c r="L92" cm="1">
        <f t="array" ref="L92">IFERROR(
  INDEX('Golf Log'!$E$2:$V$72,
    MATCH(1,
      ('Golf Log'!$A$2:$A$72=$A92)*
      ('Golf Log'!$B$2:$B$72=$B92)*
      ('Golf Log'!$C$2:$C$72=$C92),
    0),
    MATCH($G92,'Golf Log'!$E$1:$V$1,0)
  ),
"")</f>
        <v>4</v>
      </c>
      <c r="M92">
        <f t="shared" si="4"/>
        <v>0</v>
      </c>
      <c r="N92" t="str">
        <f t="shared" si="5"/>
        <v>Par</v>
      </c>
      <c r="O92" cm="1">
        <f t="array" ref="O92">IFERROR(
  INDEX('Putt Log'!$E$2:$V$72,
    MATCH(1,
      ('Putt Log'!$A$2:$A$72=$A92)*
      ('Putt Log'!$B$2:$B$72=$B92)*
      ('Putt Log'!$C$2:$C$72=$C92),
    0),
    MATCH($G92,'Putt Log'!$E$1:$V$1,0)
  ),
"")</f>
        <v>2</v>
      </c>
      <c r="P92" t="str" cm="1">
        <f t="array" ref="P92">IF(K92=3,"",
  IFERROR(
    INDEX('Fairway Log'!$E$2:$V$72,
      MATCH(1,
        ('Fairway Log'!$A$2:$A$72=$A92)*
        ('Fairway Log'!$B$2:$B$72=$B92)*
        ('Fairway Log'!$C$2:$C163=$C92),
      0),
      MATCH($G92,'Fairway Log'!$E$1:$V$1,0)
    ),
  "")
)</f>
        <v>←</v>
      </c>
      <c r="Q92" cm="1">
        <f t="array" ref="Q92">IFERROR(
  INDEX('GIR Log'!$E$2:$V$72,
    MATCH(1,
      ('GIR Log'!$A$2:$A$72=$A92)*
      ('GIR Log'!$B$2:$B$72=$B92)*
      ('GIR Log'!$C$2:$C$72=$C92),
    0),
    MATCH($G92,'GIR Log'!$E$1:$V$1,0)
  ),
"")</f>
        <v>1</v>
      </c>
    </row>
    <row r="93" spans="1:17" x14ac:dyDescent="0.25">
      <c r="A93" s="20" t="s">
        <v>126</v>
      </c>
      <c r="B93" s="2">
        <v>45570</v>
      </c>
      <c r="C93" t="s">
        <v>3</v>
      </c>
      <c r="D93" t="s">
        <v>3</v>
      </c>
      <c r="E93" s="12" t="s">
        <v>36</v>
      </c>
      <c r="F93">
        <v>79</v>
      </c>
      <c r="G93" t="s">
        <v>48</v>
      </c>
      <c r="H93" s="9">
        <f t="shared" si="3"/>
        <v>2</v>
      </c>
      <c r="I93" cm="1">
        <f t="array" ref="I93">IFERROR(INDEX(CourseYardages[[Hole 1]:[Hole 18]],
  MATCH(1, (CourseYardages[Course]=C93)*(CourseYardages[Tees]=E93), 0),
  MATCH(G93, CourseYardages[[#Headers],[Hole 1]:[Hole 18]], 0)
),"")</f>
        <v>367</v>
      </c>
      <c r="J93" cm="1">
        <f t="array" ref="J93">IFERROR(INDEX(CourseHandicap[[Hole 1]:[Hole 18]],
  MATCH(1, (CourseHandicap[Course]=C93)*(CourseHandicap[Tees]=E93), 0),
  MATCH(G93, CourseHandicap[[#Headers],[Hole 1]:[Hole 18]], 0)
),"")</f>
        <v>3</v>
      </c>
      <c r="K93" cm="1">
        <f t="array" ref="K93">IFERROR(INDEX(CourseRatings[[Hole 1]:[Hole 18]],
  MATCH(1, (CourseRatings[Course]=C93)*(CourseRatings[Tees]=E93), 0),
  MATCH(G93, CourseRatings[[#Headers],[Hole 1]:[Hole 18]], 0)
),"")</f>
        <v>4</v>
      </c>
      <c r="L93" cm="1">
        <f t="array" ref="L93">IFERROR(
  INDEX('Golf Log'!$E$2:$V$72,
    MATCH(1,
      ('Golf Log'!$A$2:$A$72=$A93)*
      ('Golf Log'!$B$2:$B$72=$B93)*
      ('Golf Log'!$C$2:$C$72=$C93),
    0),
    MATCH($G93,'Golf Log'!$E$1:$V$1,0)
  ),
"")</f>
        <v>5</v>
      </c>
      <c r="M93">
        <f t="shared" ref="M93:M108" si="6">IFERROR(L93-K93,"")</f>
        <v>1</v>
      </c>
      <c r="N93" t="str">
        <f t="shared" si="5"/>
        <v>Bogey</v>
      </c>
      <c r="O93" cm="1">
        <f t="array" ref="O93">IFERROR(
  INDEX('Putt Log'!$E$2:$V$72,
    MATCH(1,
      ('Putt Log'!$A$2:$A$72=$A93)*
      ('Putt Log'!$B$2:$B$72=$B93)*
      ('Putt Log'!$C$2:$C$72=$C93),
    0),
    MATCH($G93,'Putt Log'!$E$1:$V$1,0)
  ),
"")</f>
        <v>2</v>
      </c>
      <c r="P93" t="str" cm="1">
        <f t="array" ref="P93">IF(K93=3,"",
  IFERROR(
    INDEX('Fairway Log'!$E$2:$V$72,
      MATCH(1,
        ('Fairway Log'!$A$2:$A$72=$A93)*
        ('Fairway Log'!$B$2:$B$72=$B93)*
        ('Fairway Log'!$C$2:$C164=$C93),
      0),
      MATCH($G93,'Fairway Log'!$E$1:$V$1,0)
    ),
  "")
)</f>
        <v>→</v>
      </c>
      <c r="Q93" t="str" cm="1">
        <f t="array" ref="Q93">IFERROR(
  INDEX('GIR Log'!$E$2:$V$72,
    MATCH(1,
      ('GIR Log'!$A$2:$A$72=$A93)*
      ('GIR Log'!$B$2:$B$72=$B93)*
      ('GIR Log'!$C$2:$C$72=$C93),
    0),
    MATCH($G93,'GIR Log'!$E$1:$V$1,0)
  ),
"")</f>
        <v>←</v>
      </c>
    </row>
    <row r="94" spans="1:17" x14ac:dyDescent="0.25">
      <c r="A94" s="20" t="s">
        <v>126</v>
      </c>
      <c r="B94" s="2">
        <v>45570</v>
      </c>
      <c r="C94" t="s">
        <v>3</v>
      </c>
      <c r="D94" t="s">
        <v>3</v>
      </c>
      <c r="E94" s="12" t="s">
        <v>36</v>
      </c>
      <c r="F94">
        <v>79</v>
      </c>
      <c r="G94" t="s">
        <v>49</v>
      </c>
      <c r="H94" s="9">
        <f t="shared" si="3"/>
        <v>3</v>
      </c>
      <c r="I94" cm="1">
        <f t="array" ref="I94">IFERROR(INDEX(CourseYardages[[Hole 1]:[Hole 18]],
  MATCH(1, (CourseYardages[Course]=C94)*(CourseYardages[Tees]=E94), 0),
  MATCH(G94, CourseYardages[[#Headers],[Hole 1]:[Hole 18]], 0)
),"")</f>
        <v>133</v>
      </c>
      <c r="J94" cm="1">
        <f t="array" ref="J94">IFERROR(INDEX(CourseHandicap[[Hole 1]:[Hole 18]],
  MATCH(1, (CourseHandicap[Course]=C94)*(CourseHandicap[Tees]=E94), 0),
  MATCH(G94, CourseHandicap[[#Headers],[Hole 1]:[Hole 18]], 0)
),"")</f>
        <v>17</v>
      </c>
      <c r="K94" cm="1">
        <f t="array" ref="K94">IFERROR(INDEX(CourseRatings[[Hole 1]:[Hole 18]],
  MATCH(1, (CourseRatings[Course]=C94)*(CourseRatings[Tees]=E94), 0),
  MATCH(G94, CourseRatings[[#Headers],[Hole 1]:[Hole 18]], 0)
),"")</f>
        <v>3</v>
      </c>
      <c r="L94" cm="1">
        <f t="array" ref="L94">IFERROR(
  INDEX('Golf Log'!$E$2:$V$72,
    MATCH(1,
      ('Golf Log'!$A$2:$A$72=$A94)*
      ('Golf Log'!$B$2:$B$72=$B94)*
      ('Golf Log'!$C$2:$C$72=$C94),
    0),
    MATCH($G94,'Golf Log'!$E$1:$V$1,0)
  ),
"")</f>
        <v>3</v>
      </c>
      <c r="M94">
        <f t="shared" si="6"/>
        <v>0</v>
      </c>
      <c r="N94" t="str">
        <f t="shared" si="5"/>
        <v>Par</v>
      </c>
      <c r="O94" cm="1">
        <f t="array" ref="O94">IFERROR(
  INDEX('Putt Log'!$E$2:$V$72,
    MATCH(1,
      ('Putt Log'!$A$2:$A$72=$A94)*
      ('Putt Log'!$B$2:$B$72=$B94)*
      ('Putt Log'!$C$2:$C$72=$C94),
    0),
    MATCH($G94,'Putt Log'!$E$1:$V$1,0)
  ),
"")</f>
        <v>0</v>
      </c>
      <c r="P94" t="str" cm="1">
        <f t="array" ref="P94">IF(K94=3,"",
  IFERROR(
    INDEX('Fairway Log'!$E$2:$V$72,
      MATCH(1,
        ('Fairway Log'!$A$2:$A$72=$A94)*
        ('Fairway Log'!$B$2:$B$72=$B94)*
        ('Fairway Log'!$C$2:$C165=$C94),
      0),
      MATCH($G94,'Fairway Log'!$E$1:$V$1,0)
    ),
  "")
)</f>
        <v/>
      </c>
      <c r="Q94" t="str" cm="1">
        <f t="array" ref="Q94">IFERROR(
  INDEX('GIR Log'!$E$2:$V$72,
    MATCH(1,
      ('GIR Log'!$A$2:$A$72=$A94)*
      ('GIR Log'!$B$2:$B$72=$B94)*
      ('GIR Log'!$C$2:$C$72=$C94),
    0),
    MATCH($G94,'GIR Log'!$E$1:$V$1,0)
  ),
"")</f>
        <v>↓</v>
      </c>
    </row>
    <row r="95" spans="1:17" x14ac:dyDescent="0.25">
      <c r="A95" s="20" t="s">
        <v>126</v>
      </c>
      <c r="B95" s="2">
        <v>45570</v>
      </c>
      <c r="C95" t="s">
        <v>3</v>
      </c>
      <c r="D95" t="s">
        <v>3</v>
      </c>
      <c r="E95" s="12" t="s">
        <v>36</v>
      </c>
      <c r="F95">
        <v>79</v>
      </c>
      <c r="G95" t="s">
        <v>50</v>
      </c>
      <c r="H95" s="9">
        <f t="shared" si="3"/>
        <v>4</v>
      </c>
      <c r="I95" cm="1">
        <f t="array" ref="I95">IFERROR(INDEX(CourseYardages[[Hole 1]:[Hole 18]],
  MATCH(1, (CourseYardages[Course]=C95)*(CourseYardages[Tees]=E95), 0),
  MATCH(G95, CourseYardages[[#Headers],[Hole 1]:[Hole 18]], 0)
),"")</f>
        <v>344</v>
      </c>
      <c r="J95" cm="1">
        <f t="array" ref="J95">IFERROR(INDEX(CourseHandicap[[Hole 1]:[Hole 18]],
  MATCH(1, (CourseHandicap[Course]=C95)*(CourseHandicap[Tees]=E95), 0),
  MATCH(G95, CourseHandicap[[#Headers],[Hole 1]:[Hole 18]], 0)
),"")</f>
        <v>11</v>
      </c>
      <c r="K95" cm="1">
        <f t="array" ref="K95">IFERROR(INDEX(CourseRatings[[Hole 1]:[Hole 18]],
  MATCH(1, (CourseRatings[Course]=C95)*(CourseRatings[Tees]=E95), 0),
  MATCH(G95, CourseRatings[[#Headers],[Hole 1]:[Hole 18]], 0)
),"")</f>
        <v>4</v>
      </c>
      <c r="L95" cm="1">
        <f t="array" ref="L95">IFERROR(
  INDEX('Golf Log'!$E$2:$V$72,
    MATCH(1,
      ('Golf Log'!$A$2:$A$72=$A95)*
      ('Golf Log'!$B$2:$B$72=$B95)*
      ('Golf Log'!$C$2:$C$72=$C95),
    0),
    MATCH($G95,'Golf Log'!$E$1:$V$1,0)
  ),
"")</f>
        <v>4</v>
      </c>
      <c r="M95">
        <f t="shared" si="6"/>
        <v>0</v>
      </c>
      <c r="N95" t="str">
        <f t="shared" si="5"/>
        <v>Par</v>
      </c>
      <c r="O95" cm="1">
        <f t="array" ref="O95">IFERROR(
  INDEX('Putt Log'!$E$2:$V$72,
    MATCH(1,
      ('Putt Log'!$A$2:$A$72=$A95)*
      ('Putt Log'!$B$2:$B$72=$B95)*
      ('Putt Log'!$C$2:$C$72=$C95),
    0),
    MATCH($G95,'Putt Log'!$E$1:$V$1,0)
  ),
"")</f>
        <v>2</v>
      </c>
      <c r="P95" t="str" cm="1">
        <f t="array" ref="P95">IF(K95=3,"",
  IFERROR(
    INDEX('Fairway Log'!$E$2:$V$72,
      MATCH(1,
        ('Fairway Log'!$A$2:$A$72=$A95)*
        ('Fairway Log'!$B$2:$B$72=$B95)*
        ('Fairway Log'!$C$2:$C166=$C95),
      0),
      MATCH($G95,'Fairway Log'!$E$1:$V$1,0)
    ),
  "")
)</f>
        <v>→</v>
      </c>
      <c r="Q95" t="str" cm="1">
        <f t="array" ref="Q95">IFERROR(
  INDEX('GIR Log'!$E$2:$V$72,
    MATCH(1,
      ('GIR Log'!$A$2:$A$72=$A95)*
      ('GIR Log'!$B$2:$B$72=$B95)*
      ('GIR Log'!$C$2:$C$72=$C95),
    0),
    MATCH($G95,'GIR Log'!$E$1:$V$1,0)
  ),
"")</f>
        <v>↓</v>
      </c>
    </row>
    <row r="96" spans="1:17" x14ac:dyDescent="0.25">
      <c r="A96" s="20" t="s">
        <v>126</v>
      </c>
      <c r="B96" s="2">
        <v>45570</v>
      </c>
      <c r="C96" t="s">
        <v>3</v>
      </c>
      <c r="D96" t="s">
        <v>3</v>
      </c>
      <c r="E96" s="12" t="s">
        <v>36</v>
      </c>
      <c r="F96">
        <v>79</v>
      </c>
      <c r="G96" t="s">
        <v>51</v>
      </c>
      <c r="H96" s="9">
        <f t="shared" si="3"/>
        <v>5</v>
      </c>
      <c r="I96" cm="1">
        <f t="array" ref="I96">IFERROR(INDEX(CourseYardages[[Hole 1]:[Hole 18]],
  MATCH(1, (CourseYardages[Course]=C96)*(CourseYardages[Tees]=E96), 0),
  MATCH(G96, CourseYardages[[#Headers],[Hole 1]:[Hole 18]], 0)
),"")</f>
        <v>387</v>
      </c>
      <c r="J96" cm="1">
        <f t="array" ref="J96">IFERROR(INDEX(CourseHandicap[[Hole 1]:[Hole 18]],
  MATCH(1, (CourseHandicap[Course]=C96)*(CourseHandicap[Tees]=E96), 0),
  MATCH(G96, CourseHandicap[[#Headers],[Hole 1]:[Hole 18]], 0)
),"")</f>
        <v>7</v>
      </c>
      <c r="K96" cm="1">
        <f t="array" ref="K96">IFERROR(INDEX(CourseRatings[[Hole 1]:[Hole 18]],
  MATCH(1, (CourseRatings[Course]=C96)*(CourseRatings[Tees]=E96), 0),
  MATCH(G96, CourseRatings[[#Headers],[Hole 1]:[Hole 18]], 0)
),"")</f>
        <v>4</v>
      </c>
      <c r="L96" cm="1">
        <f t="array" ref="L96">IFERROR(
  INDEX('Golf Log'!$E$2:$V$72,
    MATCH(1,
      ('Golf Log'!$A$2:$A$72=$A96)*
      ('Golf Log'!$B$2:$B$72=$B96)*
      ('Golf Log'!$C$2:$C$72=$C96),
    0),
    MATCH($G96,'Golf Log'!$E$1:$V$1,0)
  ),
"")</f>
        <v>5</v>
      </c>
      <c r="M96">
        <f t="shared" si="6"/>
        <v>1</v>
      </c>
      <c r="N96" t="str">
        <f t="shared" si="5"/>
        <v>Bogey</v>
      </c>
      <c r="O96" cm="1">
        <f t="array" ref="O96">IFERROR(
  INDEX('Putt Log'!$E$2:$V$72,
    MATCH(1,
      ('Putt Log'!$A$2:$A$72=$A96)*
      ('Putt Log'!$B$2:$B$72=$B96)*
      ('Putt Log'!$C$2:$C$72=$C96),
    0),
    MATCH($G96,'Putt Log'!$E$1:$V$1,0)
  ),
"")</f>
        <v>2</v>
      </c>
      <c r="P96" t="str" cm="1">
        <f t="array" ref="P96">IF(K96=3,"",
  IFERROR(
    INDEX('Fairway Log'!$E$2:$V$72,
      MATCH(1,
        ('Fairway Log'!$A$2:$A$72=$A96)*
        ('Fairway Log'!$B$2:$B$72=$B96)*
        ('Fairway Log'!$C$2:$C167=$C96),
      0),
      MATCH($G96,'Fairway Log'!$E$1:$V$1,0)
    ),
  "")
)</f>
        <v>↑</v>
      </c>
      <c r="Q96" t="str" cm="1">
        <f t="array" ref="Q96">IFERROR(
  INDEX('GIR Log'!$E$2:$V$72,
    MATCH(1,
      ('GIR Log'!$A$2:$A$72=$A96)*
      ('GIR Log'!$B$2:$B$72=$B96)*
      ('GIR Log'!$C$2:$C$72=$C96),
    0),
    MATCH($G96,'GIR Log'!$E$1:$V$1,0)
  ),
"")</f>
        <v>↓</v>
      </c>
    </row>
    <row r="97" spans="1:17" x14ac:dyDescent="0.25">
      <c r="A97" s="20" t="s">
        <v>126</v>
      </c>
      <c r="B97" s="2">
        <v>45570</v>
      </c>
      <c r="C97" t="s">
        <v>3</v>
      </c>
      <c r="D97" t="s">
        <v>3</v>
      </c>
      <c r="E97" s="12" t="s">
        <v>36</v>
      </c>
      <c r="F97">
        <v>79</v>
      </c>
      <c r="G97" t="s">
        <v>52</v>
      </c>
      <c r="H97" s="9">
        <f t="shared" si="3"/>
        <v>6</v>
      </c>
      <c r="I97" cm="1">
        <f t="array" ref="I97">IFERROR(INDEX(CourseYardages[[Hole 1]:[Hole 18]],
  MATCH(1, (CourseYardages[Course]=C97)*(CourseYardages[Tees]=E97), 0),
  MATCH(G97, CourseYardages[[#Headers],[Hole 1]:[Hole 18]], 0)
),"")</f>
        <v>178</v>
      </c>
      <c r="J97" cm="1">
        <f t="array" ref="J97">IFERROR(INDEX(CourseHandicap[[Hole 1]:[Hole 18]],
  MATCH(1, (CourseHandicap[Course]=C97)*(CourseHandicap[Tees]=E97), 0),
  MATCH(G97, CourseHandicap[[#Headers],[Hole 1]:[Hole 18]], 0)
),"")</f>
        <v>5</v>
      </c>
      <c r="K97" cm="1">
        <f t="array" ref="K97">IFERROR(INDEX(CourseRatings[[Hole 1]:[Hole 18]],
  MATCH(1, (CourseRatings[Course]=C97)*(CourseRatings[Tees]=E97), 0),
  MATCH(G97, CourseRatings[[#Headers],[Hole 1]:[Hole 18]], 0)
),"")</f>
        <v>3</v>
      </c>
      <c r="L97" cm="1">
        <f t="array" ref="L97">IFERROR(
  INDEX('Golf Log'!$E$2:$V$72,
    MATCH(1,
      ('Golf Log'!$A$2:$A$72=$A97)*
      ('Golf Log'!$B$2:$B$72=$B97)*
      ('Golf Log'!$C$2:$C$72=$C97),
    0),
    MATCH($G97,'Golf Log'!$E$1:$V$1,0)
  ),
"")</f>
        <v>4</v>
      </c>
      <c r="M97">
        <f t="shared" si="6"/>
        <v>1</v>
      </c>
      <c r="N97" t="str">
        <f t="shared" si="5"/>
        <v>Bogey</v>
      </c>
      <c r="O97" cm="1">
        <f t="array" ref="O97">IFERROR(
  INDEX('Putt Log'!$E$2:$V$72,
    MATCH(1,
      ('Putt Log'!$A$2:$A$72=$A97)*
      ('Putt Log'!$B$2:$B$72=$B97)*
      ('Putt Log'!$C$2:$C$72=$C97),
    0),
    MATCH($G97,'Putt Log'!$E$1:$V$1,0)
  ),
"")</f>
        <v>2</v>
      </c>
      <c r="P97" t="str" cm="1">
        <f t="array" ref="P97">IF(K97=3,"",
  IFERROR(
    INDEX('Fairway Log'!$E$2:$V$72,
      MATCH(1,
        ('Fairway Log'!$A$2:$A$72=$A97)*
        ('Fairway Log'!$B$2:$B$72=$B97)*
        ('Fairway Log'!$C$2:$C168=$C97),
      0),
      MATCH($G97,'Fairway Log'!$E$1:$V$1,0)
    ),
  "")
)</f>
        <v/>
      </c>
      <c r="Q97" t="str" cm="1">
        <f t="array" ref="Q97">IFERROR(
  INDEX('GIR Log'!$E$2:$V$72,
    MATCH(1,
      ('GIR Log'!$A$2:$A$72=$A97)*
      ('GIR Log'!$B$2:$B$72=$B97)*
      ('GIR Log'!$C$2:$C$72=$C97),
    0),
    MATCH($G97,'GIR Log'!$E$1:$V$1,0)
  ),
"")</f>
        <v>→</v>
      </c>
    </row>
    <row r="98" spans="1:17" x14ac:dyDescent="0.25">
      <c r="A98" s="20" t="s">
        <v>126</v>
      </c>
      <c r="B98" s="2">
        <v>45570</v>
      </c>
      <c r="C98" t="s">
        <v>3</v>
      </c>
      <c r="D98" t="s">
        <v>3</v>
      </c>
      <c r="E98" s="12" t="s">
        <v>36</v>
      </c>
      <c r="F98">
        <v>79</v>
      </c>
      <c r="G98" t="s">
        <v>53</v>
      </c>
      <c r="H98" s="9">
        <f t="shared" si="3"/>
        <v>7</v>
      </c>
      <c r="I98" cm="1">
        <f t="array" ref="I98">IFERROR(INDEX(CourseYardages[[Hole 1]:[Hole 18]],
  MATCH(1, (CourseYardages[Course]=C98)*(CourseYardages[Tees]=E98), 0),
  MATCH(G98, CourseYardages[[#Headers],[Hole 1]:[Hole 18]], 0)
),"")</f>
        <v>500</v>
      </c>
      <c r="J98" cm="1">
        <f t="array" ref="J98">IFERROR(INDEX(CourseHandicap[[Hole 1]:[Hole 18]],
  MATCH(1, (CourseHandicap[Course]=C98)*(CourseHandicap[Tees]=E98), 0),
  MATCH(G98, CourseHandicap[[#Headers],[Hole 1]:[Hole 18]], 0)
),"")</f>
        <v>9</v>
      </c>
      <c r="K98" cm="1">
        <f t="array" ref="K98">IFERROR(INDEX(CourseRatings[[Hole 1]:[Hole 18]],
  MATCH(1, (CourseRatings[Course]=C98)*(CourseRatings[Tees]=E98), 0),
  MATCH(G98, CourseRatings[[#Headers],[Hole 1]:[Hole 18]], 0)
),"")</f>
        <v>5</v>
      </c>
      <c r="L98" cm="1">
        <f t="array" ref="L98">IFERROR(
  INDEX('Golf Log'!$E$2:$V$72,
    MATCH(1,
      ('Golf Log'!$A$2:$A$72=$A98)*
      ('Golf Log'!$B$2:$B$72=$B98)*
      ('Golf Log'!$C$2:$C$72=$C98),
    0),
    MATCH($G98,'Golf Log'!$E$1:$V$1,0)
  ),
"")</f>
        <v>5</v>
      </c>
      <c r="M98">
        <f t="shared" si="6"/>
        <v>0</v>
      </c>
      <c r="N98" t="str">
        <f t="shared" si="5"/>
        <v>Par</v>
      </c>
      <c r="O98" cm="1">
        <f t="array" ref="O98">IFERROR(
  INDEX('Putt Log'!$E$2:$V$72,
    MATCH(1,
      ('Putt Log'!$A$2:$A$72=$A98)*
      ('Putt Log'!$B$2:$B$72=$B98)*
      ('Putt Log'!$C$2:$C$72=$C98),
    0),
    MATCH($G98,'Putt Log'!$E$1:$V$1,0)
  ),
"")</f>
        <v>2</v>
      </c>
      <c r="P98" cm="1">
        <f t="array" ref="P98">IF(K98=3,"",
  IFERROR(
    INDEX('Fairway Log'!$E$2:$V$72,
      MATCH(1,
        ('Fairway Log'!$A$2:$A$72=$A98)*
        ('Fairway Log'!$B$2:$B$72=$B98)*
        ('Fairway Log'!$C$2:$C169=$C98),
      0),
      MATCH($G98,'Fairway Log'!$E$1:$V$1,0)
    ),
  "")
)</f>
        <v>1</v>
      </c>
      <c r="Q98" t="str" cm="1">
        <f t="array" ref="Q98">IFERROR(
  INDEX('GIR Log'!$E$2:$V$72,
    MATCH(1,
      ('GIR Log'!$A$2:$A$72=$A98)*
      ('GIR Log'!$B$2:$B$72=$B98)*
      ('GIR Log'!$C$2:$C$72=$C98),
    0),
    MATCH($G98,'GIR Log'!$E$1:$V$1,0)
  ),
"")</f>
        <v>→</v>
      </c>
    </row>
    <row r="99" spans="1:17" x14ac:dyDescent="0.25">
      <c r="A99" s="20" t="s">
        <v>126</v>
      </c>
      <c r="B99" s="2">
        <v>45570</v>
      </c>
      <c r="C99" t="s">
        <v>3</v>
      </c>
      <c r="D99" t="s">
        <v>3</v>
      </c>
      <c r="E99" s="12" t="s">
        <v>36</v>
      </c>
      <c r="F99">
        <v>79</v>
      </c>
      <c r="G99" t="s">
        <v>54</v>
      </c>
      <c r="H99" s="9">
        <f t="shared" si="3"/>
        <v>8</v>
      </c>
      <c r="I99" cm="1">
        <f t="array" ref="I99">IFERROR(INDEX(CourseYardages[[Hole 1]:[Hole 18]],
  MATCH(1, (CourseYardages[Course]=C99)*(CourseYardages[Tees]=E99), 0),
  MATCH(G99, CourseYardages[[#Headers],[Hole 1]:[Hole 18]], 0)
),"")</f>
        <v>337</v>
      </c>
      <c r="J99" cm="1">
        <f t="array" ref="J99">IFERROR(INDEX(CourseHandicap[[Hole 1]:[Hole 18]],
  MATCH(1, (CourseHandicap[Course]=C99)*(CourseHandicap[Tees]=E99), 0),
  MATCH(G99, CourseHandicap[[#Headers],[Hole 1]:[Hole 18]], 0)
),"")</f>
        <v>13</v>
      </c>
      <c r="K99" cm="1">
        <f t="array" ref="K99">IFERROR(INDEX(CourseRatings[[Hole 1]:[Hole 18]],
  MATCH(1, (CourseRatings[Course]=C99)*(CourseRatings[Tees]=E99), 0),
  MATCH(G99, CourseRatings[[#Headers],[Hole 1]:[Hole 18]], 0)
),"")</f>
        <v>4</v>
      </c>
      <c r="L99" cm="1">
        <f t="array" ref="L99">IFERROR(
  INDEX('Golf Log'!$E$2:$V$72,
    MATCH(1,
      ('Golf Log'!$A$2:$A$72=$A99)*
      ('Golf Log'!$B$2:$B$72=$B99)*
      ('Golf Log'!$C$2:$C$72=$C99),
    0),
    MATCH($G99,'Golf Log'!$E$1:$V$1,0)
  ),
"")</f>
        <v>4</v>
      </c>
      <c r="M99">
        <f t="shared" si="6"/>
        <v>0</v>
      </c>
      <c r="N99" t="str">
        <f t="shared" si="5"/>
        <v>Par</v>
      </c>
      <c r="O99" cm="1">
        <f t="array" ref="O99">IFERROR(
  INDEX('Putt Log'!$E$2:$V$72,
    MATCH(1,
      ('Putt Log'!$A$2:$A$72=$A99)*
      ('Putt Log'!$B$2:$B$72=$B99)*
      ('Putt Log'!$C$2:$C$72=$C99),
    0),
    MATCH($G99,'Putt Log'!$E$1:$V$1,0)
  ),
"")</f>
        <v>2</v>
      </c>
      <c r="P99" cm="1">
        <f t="array" ref="P99">IF(K99=3,"",
  IFERROR(
    INDEX('Fairway Log'!$E$2:$V$72,
      MATCH(1,
        ('Fairway Log'!$A$2:$A$72=$A99)*
        ('Fairway Log'!$B$2:$B$72=$B99)*
        ('Fairway Log'!$C$2:$C170=$C99),
      0),
      MATCH($G99,'Fairway Log'!$E$1:$V$1,0)
    ),
  "")
)</f>
        <v>1</v>
      </c>
      <c r="Q99" cm="1">
        <f t="array" ref="Q99">IFERROR(
  INDEX('GIR Log'!$E$2:$V$72,
    MATCH(1,
      ('GIR Log'!$A$2:$A$72=$A99)*
      ('GIR Log'!$B$2:$B$72=$B99)*
      ('GIR Log'!$C$2:$C$72=$C99),
    0),
    MATCH($G99,'GIR Log'!$E$1:$V$1,0)
  ),
"")</f>
        <v>1</v>
      </c>
    </row>
    <row r="100" spans="1:17" x14ac:dyDescent="0.25">
      <c r="A100" s="20" t="s">
        <v>126</v>
      </c>
      <c r="B100" s="2">
        <v>45570</v>
      </c>
      <c r="C100" t="s">
        <v>3</v>
      </c>
      <c r="D100" t="s">
        <v>3</v>
      </c>
      <c r="E100" s="12" t="s">
        <v>36</v>
      </c>
      <c r="F100">
        <v>79</v>
      </c>
      <c r="G100" t="s">
        <v>55</v>
      </c>
      <c r="H100" s="9">
        <f t="shared" si="3"/>
        <v>9</v>
      </c>
      <c r="I100" cm="1">
        <f t="array" ref="I100">IFERROR(INDEX(CourseYardages[[Hole 1]:[Hole 18]],
  MATCH(1, (CourseYardages[Course]=C100)*(CourseYardages[Tees]=E100), 0),
  MATCH(G100, CourseYardages[[#Headers],[Hole 1]:[Hole 18]], 0)
),"")</f>
        <v>532</v>
      </c>
      <c r="J100" cm="1">
        <f t="array" ref="J100">IFERROR(INDEX(CourseHandicap[[Hole 1]:[Hole 18]],
  MATCH(1, (CourseHandicap[Course]=C100)*(CourseHandicap[Tees]=E100), 0),
  MATCH(G100, CourseHandicap[[#Headers],[Hole 1]:[Hole 18]], 0)
),"")</f>
        <v>1</v>
      </c>
      <c r="K100" cm="1">
        <f t="array" ref="K100">IFERROR(INDEX(CourseRatings[[Hole 1]:[Hole 18]],
  MATCH(1, (CourseRatings[Course]=C100)*(CourseRatings[Tees]=E100), 0),
  MATCH(G100, CourseRatings[[#Headers],[Hole 1]:[Hole 18]], 0)
),"")</f>
        <v>5</v>
      </c>
      <c r="L100" cm="1">
        <f t="array" ref="L100">IFERROR(
  INDEX('Golf Log'!$E$2:$V$72,
    MATCH(1,
      ('Golf Log'!$A$2:$A$72=$A100)*
      ('Golf Log'!$B$2:$B$72=$B100)*
      ('Golf Log'!$C$2:$C$72=$C100),
    0),
    MATCH($G100,'Golf Log'!$E$1:$V$1,0)
  ),
"")</f>
        <v>4</v>
      </c>
      <c r="M100">
        <f t="shared" si="6"/>
        <v>-1</v>
      </c>
      <c r="N100" t="str">
        <f t="shared" si="5"/>
        <v>Birdie</v>
      </c>
      <c r="O100" cm="1">
        <f t="array" ref="O100">IFERROR(
  INDEX('Putt Log'!$E$2:$V$72,
    MATCH(1,
      ('Putt Log'!$A$2:$A$72=$A100)*
      ('Putt Log'!$B$2:$B$72=$B100)*
      ('Putt Log'!$C$2:$C$72=$C100),
    0),
    MATCH($G100,'Putt Log'!$E$1:$V$1,0)
  ),
"")</f>
        <v>1</v>
      </c>
      <c r="P100" cm="1">
        <f t="array" ref="P100">IF(K100=3,"",
  IFERROR(
    INDEX('Fairway Log'!$E$2:$V$72,
      MATCH(1,
        ('Fairway Log'!$A$2:$A$72=$A100)*
        ('Fairway Log'!$B$2:$B$72=$B100)*
        ('Fairway Log'!$C$2:$C171=$C100),
      0),
      MATCH($G100,'Fairway Log'!$E$1:$V$1,0)
    ),
  "")
)</f>
        <v>1</v>
      </c>
      <c r="Q100" cm="1">
        <f t="array" ref="Q100">IFERROR(
  INDEX('GIR Log'!$E$2:$V$72,
    MATCH(1,
      ('GIR Log'!$A$2:$A$72=$A100)*
      ('GIR Log'!$B$2:$B$72=$B100)*
      ('GIR Log'!$C$2:$C$72=$C100),
    0),
    MATCH($G100,'GIR Log'!$E$1:$V$1,0)
  ),
"")</f>
        <v>1</v>
      </c>
    </row>
    <row r="101" spans="1:17" x14ac:dyDescent="0.25">
      <c r="A101" s="20" t="s">
        <v>126</v>
      </c>
      <c r="B101" s="2">
        <v>45570</v>
      </c>
      <c r="C101" t="s">
        <v>3</v>
      </c>
      <c r="D101" t="s">
        <v>3</v>
      </c>
      <c r="E101" s="12" t="s">
        <v>36</v>
      </c>
      <c r="F101">
        <v>79</v>
      </c>
      <c r="G101" t="s">
        <v>56</v>
      </c>
      <c r="H101" s="9">
        <f t="shared" si="3"/>
        <v>10</v>
      </c>
      <c r="I101" cm="1">
        <f t="array" ref="I101">IFERROR(INDEX(CourseYardages[[Hole 1]:[Hole 18]],
  MATCH(1, (CourseYardages[Course]=C101)*(CourseYardages[Tees]=E101), 0),
  MATCH(G101, CourseYardages[[#Headers],[Hole 1]:[Hole 18]], 0)
),"")</f>
        <v>328</v>
      </c>
      <c r="J101" cm="1">
        <f t="array" ref="J101">IFERROR(INDEX(CourseHandicap[[Hole 1]:[Hole 18]],
  MATCH(1, (CourseHandicap[Course]=C101)*(CourseHandicap[Tees]=E101), 0),
  MATCH(G101, CourseHandicap[[#Headers],[Hole 1]:[Hole 18]], 0)
),"")</f>
        <v>12</v>
      </c>
      <c r="K101" cm="1">
        <f t="array" ref="K101">IFERROR(INDEX(CourseRatings[[Hole 1]:[Hole 18]],
  MATCH(1, (CourseRatings[Course]=C101)*(CourseRatings[Tees]=E101), 0),
  MATCH(G101, CourseRatings[[#Headers],[Hole 1]:[Hole 18]], 0)
),"")</f>
        <v>4</v>
      </c>
      <c r="L101" cm="1">
        <f t="array" ref="L101">IFERROR(
  INDEX('Golf Log'!$E$2:$V$72,
    MATCH(1,
      ('Golf Log'!$A$2:$A$72=$A101)*
      ('Golf Log'!$B$2:$B$72=$B101)*
      ('Golf Log'!$C$2:$C$72=$C101),
    0),
    MATCH($G101,'Golf Log'!$E$1:$V$1,0)
  ),
"")</f>
        <v>4</v>
      </c>
      <c r="M101">
        <f t="shared" si="6"/>
        <v>0</v>
      </c>
      <c r="N101" t="str">
        <f t="shared" si="5"/>
        <v>Par</v>
      </c>
      <c r="O101" cm="1">
        <f t="array" ref="O101">IFERROR(
  INDEX('Putt Log'!$E$2:$V$72,
    MATCH(1,
      ('Putt Log'!$A$2:$A$72=$A101)*
      ('Putt Log'!$B$2:$B$72=$B101)*
      ('Putt Log'!$C$2:$C$72=$C101),
    0),
    MATCH($G101,'Putt Log'!$E$1:$V$1,0)
  ),
"")</f>
        <v>1</v>
      </c>
      <c r="P101" t="str" cm="1">
        <f t="array" ref="P101">IF(K101=3,"",
  IFERROR(
    INDEX('Fairway Log'!$E$2:$V$72,
      MATCH(1,
        ('Fairway Log'!$A$2:$A$72=$A101)*
        ('Fairway Log'!$B$2:$B$72=$B101)*
        ('Fairway Log'!$C$2:$C172=$C101),
      0),
      MATCH($G101,'Fairway Log'!$E$1:$V$1,0)
    ),
  "")
)</f>
        <v>↑</v>
      </c>
      <c r="Q101" t="str" cm="1">
        <f t="array" ref="Q101">IFERROR(
  INDEX('GIR Log'!$E$2:$V$72,
    MATCH(1,
      ('GIR Log'!$A$2:$A$72=$A101)*
      ('GIR Log'!$B$2:$B$72=$B101)*
      ('GIR Log'!$C$2:$C$72=$C101),
    0),
    MATCH($G101,'GIR Log'!$E$1:$V$1,0)
  ),
"")</f>
        <v>↑</v>
      </c>
    </row>
    <row r="102" spans="1:17" x14ac:dyDescent="0.25">
      <c r="A102" s="20" t="s">
        <v>126</v>
      </c>
      <c r="B102" s="2">
        <v>45570</v>
      </c>
      <c r="C102" t="s">
        <v>3</v>
      </c>
      <c r="D102" t="s">
        <v>3</v>
      </c>
      <c r="E102" s="12" t="s">
        <v>36</v>
      </c>
      <c r="F102">
        <v>79</v>
      </c>
      <c r="G102" t="s">
        <v>57</v>
      </c>
      <c r="H102" s="9">
        <f t="shared" si="3"/>
        <v>11</v>
      </c>
      <c r="I102" cm="1">
        <f t="array" ref="I102">IFERROR(INDEX(CourseYardages[[Hole 1]:[Hole 18]],
  MATCH(1, (CourseYardages[Course]=C102)*(CourseYardages[Tees]=E102), 0),
  MATCH(G102, CourseYardages[[#Headers],[Hole 1]:[Hole 18]], 0)
),"")</f>
        <v>159</v>
      </c>
      <c r="J102" cm="1">
        <f t="array" ref="J102">IFERROR(INDEX(CourseHandicap[[Hole 1]:[Hole 18]],
  MATCH(1, (CourseHandicap[Course]=C102)*(CourseHandicap[Tees]=E102), 0),
  MATCH(G102, CourseHandicap[[#Headers],[Hole 1]:[Hole 18]], 0)
),"")</f>
        <v>16</v>
      </c>
      <c r="K102" cm="1">
        <f t="array" ref="K102">IFERROR(INDEX(CourseRatings[[Hole 1]:[Hole 18]],
  MATCH(1, (CourseRatings[Course]=C102)*(CourseRatings[Tees]=E102), 0),
  MATCH(G102, CourseRatings[[#Headers],[Hole 1]:[Hole 18]], 0)
),"")</f>
        <v>3</v>
      </c>
      <c r="L102" cm="1">
        <f t="array" ref="L102">IFERROR(
  INDEX('Golf Log'!$E$2:$V$72,
    MATCH(1,
      ('Golf Log'!$A$2:$A$72=$A102)*
      ('Golf Log'!$B$2:$B$72=$B102)*
      ('Golf Log'!$C$2:$C$72=$C102),
    0),
    MATCH($G102,'Golf Log'!$E$1:$V$1,0)
  ),
"")</f>
        <v>3</v>
      </c>
      <c r="M102">
        <f t="shared" si="6"/>
        <v>0</v>
      </c>
      <c r="N102" t="str">
        <f t="shared" si="5"/>
        <v>Par</v>
      </c>
      <c r="O102" cm="1">
        <f t="array" ref="O102">IFERROR(
  INDEX('Putt Log'!$E$2:$V$72,
    MATCH(1,
      ('Putt Log'!$A$2:$A$72=$A102)*
      ('Putt Log'!$B$2:$B$72=$B102)*
      ('Putt Log'!$C$2:$C$72=$C102),
    0),
    MATCH($G102,'Putt Log'!$E$1:$V$1,0)
  ),
"")</f>
        <v>2</v>
      </c>
      <c r="P102" t="str" cm="1">
        <f t="array" ref="P102">IF(K102=3,"",
  IFERROR(
    INDEX('Fairway Log'!$E$2:$V$72,
      MATCH(1,
        ('Fairway Log'!$A$2:$A$72=$A102)*
        ('Fairway Log'!$B$2:$B$72=$B102)*
        ('Fairway Log'!$C$2:$C173=$C102),
      0),
      MATCH($G102,'Fairway Log'!$E$1:$V$1,0)
    ),
  "")
)</f>
        <v/>
      </c>
      <c r="Q102" cm="1">
        <f t="array" ref="Q102">IFERROR(
  INDEX('GIR Log'!$E$2:$V$72,
    MATCH(1,
      ('GIR Log'!$A$2:$A$72=$A102)*
      ('GIR Log'!$B$2:$B$72=$B102)*
      ('GIR Log'!$C$2:$C$72=$C102),
    0),
    MATCH($G102,'GIR Log'!$E$1:$V$1,0)
  ),
"")</f>
        <v>1</v>
      </c>
    </row>
    <row r="103" spans="1:17" x14ac:dyDescent="0.25">
      <c r="A103" s="20" t="s">
        <v>126</v>
      </c>
      <c r="B103" s="2">
        <v>45570</v>
      </c>
      <c r="C103" t="s">
        <v>3</v>
      </c>
      <c r="D103" t="s">
        <v>3</v>
      </c>
      <c r="E103" s="12" t="s">
        <v>36</v>
      </c>
      <c r="F103">
        <v>79</v>
      </c>
      <c r="G103" t="s">
        <v>58</v>
      </c>
      <c r="H103" s="9">
        <f t="shared" si="3"/>
        <v>12</v>
      </c>
      <c r="I103" cm="1">
        <f t="array" ref="I103">IFERROR(INDEX(CourseYardages[[Hole 1]:[Hole 18]],
  MATCH(1, (CourseYardages[Course]=C103)*(CourseYardages[Tees]=E103), 0),
  MATCH(G103, CourseYardages[[#Headers],[Hole 1]:[Hole 18]], 0)
),"")</f>
        <v>279</v>
      </c>
      <c r="J103" cm="1">
        <f t="array" ref="J103">IFERROR(INDEX(CourseHandicap[[Hole 1]:[Hole 18]],
  MATCH(1, (CourseHandicap[Course]=C103)*(CourseHandicap[Tees]=E103), 0),
  MATCH(G103, CourseHandicap[[#Headers],[Hole 1]:[Hole 18]], 0)
),"")</f>
        <v>18</v>
      </c>
      <c r="K103" cm="1">
        <f t="array" ref="K103">IFERROR(INDEX(CourseRatings[[Hole 1]:[Hole 18]],
  MATCH(1, (CourseRatings[Course]=C103)*(CourseRatings[Tees]=E103), 0),
  MATCH(G103, CourseRatings[[#Headers],[Hole 1]:[Hole 18]], 0)
),"")</f>
        <v>4</v>
      </c>
      <c r="L103" cm="1">
        <f t="array" ref="L103">IFERROR(
  INDEX('Golf Log'!$E$2:$V$72,
    MATCH(1,
      ('Golf Log'!$A$2:$A$72=$A103)*
      ('Golf Log'!$B$2:$B$72=$B103)*
      ('Golf Log'!$C$2:$C$72=$C103),
    0),
    MATCH($G103,'Golf Log'!$E$1:$V$1,0)
  ),
"")</f>
        <v>4</v>
      </c>
      <c r="M103">
        <f t="shared" si="6"/>
        <v>0</v>
      </c>
      <c r="N103" t="str">
        <f t="shared" si="5"/>
        <v>Par</v>
      </c>
      <c r="O103" cm="1">
        <f t="array" ref="O103">IFERROR(
  INDEX('Putt Log'!$E$2:$V$72,
    MATCH(1,
      ('Putt Log'!$A$2:$A$72=$A103)*
      ('Putt Log'!$B$2:$B$72=$B103)*
      ('Putt Log'!$C$2:$C$72=$C103),
    0),
    MATCH($G103,'Putt Log'!$E$1:$V$1,0)
  ),
"")</f>
        <v>1</v>
      </c>
      <c r="P103" t="str" cm="1">
        <f t="array" ref="P103">IF(K103=3,"",
  IFERROR(
    INDEX('Fairway Log'!$E$2:$V$72,
      MATCH(1,
        ('Fairway Log'!$A$2:$A$72=$A103)*
        ('Fairway Log'!$B$2:$B$72=$B103)*
        ('Fairway Log'!$C$2:$C174=$C103),
      0),
      MATCH($G103,'Fairway Log'!$E$1:$V$1,0)
    ),
  "")
)</f>
        <v>→</v>
      </c>
      <c r="Q103" t="str" cm="1">
        <f t="array" ref="Q103">IFERROR(
  INDEX('GIR Log'!$E$2:$V$72,
    MATCH(1,
      ('GIR Log'!$A$2:$A$72=$A103)*
      ('GIR Log'!$B$2:$B$72=$B103)*
      ('GIR Log'!$C$2:$C$72=$C103),
    0),
    MATCH($G103,'GIR Log'!$E$1:$V$1,0)
  ),
"")</f>
        <v>↓</v>
      </c>
    </row>
    <row r="104" spans="1:17" x14ac:dyDescent="0.25">
      <c r="A104" s="20" t="s">
        <v>126</v>
      </c>
      <c r="B104" s="2">
        <v>45570</v>
      </c>
      <c r="C104" t="s">
        <v>3</v>
      </c>
      <c r="D104" t="s">
        <v>3</v>
      </c>
      <c r="E104" s="12" t="s">
        <v>36</v>
      </c>
      <c r="F104">
        <v>79</v>
      </c>
      <c r="G104" t="s">
        <v>59</v>
      </c>
      <c r="H104" s="9">
        <f t="shared" si="3"/>
        <v>13</v>
      </c>
      <c r="I104" cm="1">
        <f t="array" ref="I104">IFERROR(INDEX(CourseYardages[[Hole 1]:[Hole 18]],
  MATCH(1, (CourseYardages[Course]=C104)*(CourseYardages[Tees]=E104), 0),
  MATCH(G104, CourseYardages[[#Headers],[Hole 1]:[Hole 18]], 0)
),"")</f>
        <v>553</v>
      </c>
      <c r="J104" cm="1">
        <f t="array" ref="J104">IFERROR(INDEX(CourseHandicap[[Hole 1]:[Hole 18]],
  MATCH(1, (CourseHandicap[Course]=C104)*(CourseHandicap[Tees]=E104), 0),
  MATCH(G104, CourseHandicap[[#Headers],[Hole 1]:[Hole 18]], 0)
),"")</f>
        <v>2</v>
      </c>
      <c r="K104" cm="1">
        <f t="array" ref="K104">IFERROR(INDEX(CourseRatings[[Hole 1]:[Hole 18]],
  MATCH(1, (CourseRatings[Course]=C104)*(CourseRatings[Tees]=E104), 0),
  MATCH(G104, CourseRatings[[#Headers],[Hole 1]:[Hole 18]], 0)
),"")</f>
        <v>5</v>
      </c>
      <c r="L104" cm="1">
        <f t="array" ref="L104">IFERROR(
  INDEX('Golf Log'!$E$2:$V$72,
    MATCH(1,
      ('Golf Log'!$A$2:$A$72=$A104)*
      ('Golf Log'!$B$2:$B$72=$B104)*
      ('Golf Log'!$C$2:$C$72=$C104),
    0),
    MATCH($G104,'Golf Log'!$E$1:$V$1,0)
  ),
"")</f>
        <v>6</v>
      </c>
      <c r="M104">
        <f t="shared" si="6"/>
        <v>1</v>
      </c>
      <c r="N104" t="str">
        <f t="shared" si="5"/>
        <v>Bogey</v>
      </c>
      <c r="O104" cm="1">
        <f t="array" ref="O104">IFERROR(
  INDEX('Putt Log'!$E$2:$V$72,
    MATCH(1,
      ('Putt Log'!$A$2:$A$72=$A104)*
      ('Putt Log'!$B$2:$B$72=$B104)*
      ('Putt Log'!$C$2:$C$72=$C104),
    0),
    MATCH($G104,'Putt Log'!$E$1:$V$1,0)
  ),
"")</f>
        <v>1</v>
      </c>
      <c r="P104" t="str" cm="1">
        <f t="array" ref="P104">IF(K104=3,"",
  IFERROR(
    INDEX('Fairway Log'!$E$2:$V$72,
      MATCH(1,
        ('Fairway Log'!$A$2:$A$72=$A104)*
        ('Fairway Log'!$B$2:$B$72=$B104)*
        ('Fairway Log'!$C$2:$C175=$C104),
      0),
      MATCH($G104,'Fairway Log'!$E$1:$V$1,0)
    ),
  "")
)</f>
        <v>→</v>
      </c>
      <c r="Q104" t="str" cm="1">
        <f t="array" ref="Q104">IFERROR(
  INDEX('GIR Log'!$E$2:$V$72,
    MATCH(1,
      ('GIR Log'!$A$2:$A$72=$A104)*
      ('GIR Log'!$B$2:$B$72=$B104)*
      ('GIR Log'!$C$2:$C$72=$C104),
    0),
    MATCH($G104,'GIR Log'!$E$1:$V$1,0)
  ),
"")</f>
        <v>↓</v>
      </c>
    </row>
    <row r="105" spans="1:17" x14ac:dyDescent="0.25">
      <c r="A105" s="20" t="s">
        <v>126</v>
      </c>
      <c r="B105" s="2">
        <v>45570</v>
      </c>
      <c r="C105" t="s">
        <v>3</v>
      </c>
      <c r="D105" t="s">
        <v>3</v>
      </c>
      <c r="E105" s="12" t="s">
        <v>36</v>
      </c>
      <c r="F105">
        <v>79</v>
      </c>
      <c r="G105" t="s">
        <v>60</v>
      </c>
      <c r="H105" s="9">
        <f t="shared" si="3"/>
        <v>14</v>
      </c>
      <c r="I105" cm="1">
        <f t="array" ref="I105">IFERROR(INDEX(CourseYardages[[Hole 1]:[Hole 18]],
  MATCH(1, (CourseYardages[Course]=C105)*(CourseYardages[Tees]=E105), 0),
  MATCH(G105, CourseYardages[[#Headers],[Hole 1]:[Hole 18]], 0)
),"")</f>
        <v>352</v>
      </c>
      <c r="J105" cm="1">
        <f t="array" ref="J105">IFERROR(INDEX(CourseHandicap[[Hole 1]:[Hole 18]],
  MATCH(1, (CourseHandicap[Course]=C105)*(CourseHandicap[Tees]=E105), 0),
  MATCH(G105, CourseHandicap[[#Headers],[Hole 1]:[Hole 18]], 0)
),"")</f>
        <v>14</v>
      </c>
      <c r="K105" cm="1">
        <f t="array" ref="K105">IFERROR(INDEX(CourseRatings[[Hole 1]:[Hole 18]],
  MATCH(1, (CourseRatings[Course]=C105)*(CourseRatings[Tees]=E105), 0),
  MATCH(G105, CourseRatings[[#Headers],[Hole 1]:[Hole 18]], 0)
),"")</f>
        <v>4</v>
      </c>
      <c r="L105" cm="1">
        <f t="array" ref="L105">IFERROR(
  INDEX('Golf Log'!$E$2:$V$72,
    MATCH(1,
      ('Golf Log'!$A$2:$A$72=$A105)*
      ('Golf Log'!$B$2:$B$72=$B105)*
      ('Golf Log'!$C$2:$C$72=$C105),
    0),
    MATCH($G105,'Golf Log'!$E$1:$V$1,0)
  ),
"")</f>
        <v>6</v>
      </c>
      <c r="M105">
        <f t="shared" si="6"/>
        <v>2</v>
      </c>
      <c r="N105" t="str">
        <f t="shared" si="5"/>
        <v>Double Bogey</v>
      </c>
      <c r="O105" cm="1">
        <f t="array" ref="O105">IFERROR(
  INDEX('Putt Log'!$E$2:$V$72,
    MATCH(1,
      ('Putt Log'!$A$2:$A$72=$A105)*
      ('Putt Log'!$B$2:$B$72=$B105)*
      ('Putt Log'!$C$2:$C$72=$C105),
    0),
    MATCH($G105,'Putt Log'!$E$1:$V$1,0)
  ),
"")</f>
        <v>3</v>
      </c>
      <c r="P105" cm="1">
        <f t="array" ref="P105">IF(K105=3,"",
  IFERROR(
    INDEX('Fairway Log'!$E$2:$V$72,
      MATCH(1,
        ('Fairway Log'!$A$2:$A$72=$A105)*
        ('Fairway Log'!$B$2:$B$72=$B105)*
        ('Fairway Log'!$C$2:$C176=$C105),
      0),
      MATCH($G105,'Fairway Log'!$E$1:$V$1,0)
    ),
  "")
)</f>
        <v>1</v>
      </c>
      <c r="Q105" t="str" cm="1">
        <f t="array" ref="Q105">IFERROR(
  INDEX('GIR Log'!$E$2:$V$72,
    MATCH(1,
      ('GIR Log'!$A$2:$A$72=$A105)*
      ('GIR Log'!$B$2:$B$72=$B105)*
      ('GIR Log'!$C$2:$C$72=$C105),
    0),
    MATCH($G105,'GIR Log'!$E$1:$V$1,0)
  ),
"")</f>
        <v>←</v>
      </c>
    </row>
    <row r="106" spans="1:17" x14ac:dyDescent="0.25">
      <c r="A106" s="20" t="s">
        <v>126</v>
      </c>
      <c r="B106" s="2">
        <v>45570</v>
      </c>
      <c r="C106" t="s">
        <v>3</v>
      </c>
      <c r="D106" t="s">
        <v>3</v>
      </c>
      <c r="E106" s="12" t="s">
        <v>36</v>
      </c>
      <c r="F106">
        <v>79</v>
      </c>
      <c r="G106" t="s">
        <v>61</v>
      </c>
      <c r="H106" s="9">
        <f t="shared" si="3"/>
        <v>15</v>
      </c>
      <c r="I106" cm="1">
        <f t="array" ref="I106">IFERROR(INDEX(CourseYardages[[Hole 1]:[Hole 18]],
  MATCH(1, (CourseYardages[Course]=C106)*(CourseYardages[Tees]=E106), 0),
  MATCH(G106, CourseYardages[[#Headers],[Hole 1]:[Hole 18]], 0)
),"")</f>
        <v>165</v>
      </c>
      <c r="J106" cm="1">
        <f t="array" ref="J106">IFERROR(INDEX(CourseHandicap[[Hole 1]:[Hole 18]],
  MATCH(1, (CourseHandicap[Course]=C106)*(CourseHandicap[Tees]=E106), 0),
  MATCH(G106, CourseHandicap[[#Headers],[Hole 1]:[Hole 18]], 0)
),"")</f>
        <v>8</v>
      </c>
      <c r="K106" cm="1">
        <f t="array" ref="K106">IFERROR(INDEX(CourseRatings[[Hole 1]:[Hole 18]],
  MATCH(1, (CourseRatings[Course]=C106)*(CourseRatings[Tees]=E106), 0),
  MATCH(G106, CourseRatings[[#Headers],[Hole 1]:[Hole 18]], 0)
),"")</f>
        <v>3</v>
      </c>
      <c r="L106" cm="1">
        <f t="array" ref="L106">IFERROR(
  INDEX('Golf Log'!$E$2:$V$72,
    MATCH(1,
      ('Golf Log'!$A$2:$A$72=$A106)*
      ('Golf Log'!$B$2:$B$72=$B106)*
      ('Golf Log'!$C$2:$C$72=$C106),
    0),
    MATCH($G106,'Golf Log'!$E$1:$V$1,0)
  ),
"")</f>
        <v>4</v>
      </c>
      <c r="M106">
        <f t="shared" si="6"/>
        <v>1</v>
      </c>
      <c r="N106" t="str">
        <f t="shared" si="5"/>
        <v>Bogey</v>
      </c>
      <c r="O106" cm="1">
        <f t="array" ref="O106">IFERROR(
  INDEX('Putt Log'!$E$2:$V$72,
    MATCH(1,
      ('Putt Log'!$A$2:$A$72=$A106)*
      ('Putt Log'!$B$2:$B$72=$B106)*
      ('Putt Log'!$C$2:$C$72=$C106),
    0),
    MATCH($G106,'Putt Log'!$E$1:$V$1,0)
  ),
"")</f>
        <v>2</v>
      </c>
      <c r="P106" t="str" cm="1">
        <f t="array" ref="P106">IF(K106=3,"",
  IFERROR(
    INDEX('Fairway Log'!$E$2:$V$72,
      MATCH(1,
        ('Fairway Log'!$A$2:$A$72=$A106)*
        ('Fairway Log'!$B$2:$B$72=$B106)*
        ('Fairway Log'!$C$2:$C177=$C106),
      0),
      MATCH($G106,'Fairway Log'!$E$1:$V$1,0)
    ),
  "")
)</f>
        <v/>
      </c>
      <c r="Q106" t="str" cm="1">
        <f t="array" ref="Q106">IFERROR(
  INDEX('GIR Log'!$E$2:$V$72,
    MATCH(1,
      ('GIR Log'!$A$2:$A$72=$A106)*
      ('GIR Log'!$B$2:$B$72=$B106)*
      ('GIR Log'!$C$2:$C$72=$C106),
    0),
    MATCH($G106,'GIR Log'!$E$1:$V$1,0)
  ),
"")</f>
        <v>←</v>
      </c>
    </row>
    <row r="107" spans="1:17" x14ac:dyDescent="0.25">
      <c r="A107" s="20" t="s">
        <v>126</v>
      </c>
      <c r="B107" s="2">
        <v>45570</v>
      </c>
      <c r="C107" t="s">
        <v>3</v>
      </c>
      <c r="D107" t="s">
        <v>3</v>
      </c>
      <c r="E107" s="12" t="s">
        <v>36</v>
      </c>
      <c r="F107">
        <v>79</v>
      </c>
      <c r="G107" t="s">
        <v>62</v>
      </c>
      <c r="H107" s="9">
        <f t="shared" si="3"/>
        <v>16</v>
      </c>
      <c r="I107" cm="1">
        <f t="array" ref="I107">IFERROR(INDEX(CourseYardages[[Hole 1]:[Hole 18]],
  MATCH(1, (CourseYardages[Course]=C107)*(CourseYardages[Tees]=E107), 0),
  MATCH(G107, CourseYardages[[#Headers],[Hole 1]:[Hole 18]], 0)
),"")</f>
        <v>343</v>
      </c>
      <c r="J107" cm="1">
        <f t="array" ref="J107">IFERROR(INDEX(CourseHandicap[[Hole 1]:[Hole 18]],
  MATCH(1, (CourseHandicap[Course]=C107)*(CourseHandicap[Tees]=E107), 0),
  MATCH(G107, CourseHandicap[[#Headers],[Hole 1]:[Hole 18]], 0)
),"")</f>
        <v>10</v>
      </c>
      <c r="K107" cm="1">
        <f t="array" ref="K107">IFERROR(INDEX(CourseRatings[[Hole 1]:[Hole 18]],
  MATCH(1, (CourseRatings[Course]=C107)*(CourseRatings[Tees]=E107), 0),
  MATCH(G107, CourseRatings[[#Headers],[Hole 1]:[Hole 18]], 0)
),"")</f>
        <v>4</v>
      </c>
      <c r="L107" cm="1">
        <f t="array" ref="L107">IFERROR(
  INDEX('Golf Log'!$E$2:$V$72,
    MATCH(1,
      ('Golf Log'!$A$2:$A$72=$A107)*
      ('Golf Log'!$B$2:$B$72=$B107)*
      ('Golf Log'!$C$2:$C$72=$C107),
    0),
    MATCH($G107,'Golf Log'!$E$1:$V$1,0)
  ),
"")</f>
        <v>5</v>
      </c>
      <c r="M107">
        <f t="shared" si="6"/>
        <v>1</v>
      </c>
      <c r="N107" t="str">
        <f t="shared" si="5"/>
        <v>Bogey</v>
      </c>
      <c r="O107" cm="1">
        <f t="array" ref="O107">IFERROR(
  INDEX('Putt Log'!$E$2:$V$72,
    MATCH(1,
      ('Putt Log'!$A$2:$A$72=$A107)*
      ('Putt Log'!$B$2:$B$72=$B107)*
      ('Putt Log'!$C$2:$C$72=$C107),
    0),
    MATCH($G107,'Putt Log'!$E$1:$V$1,0)
  ),
"")</f>
        <v>1</v>
      </c>
      <c r="P107" t="str" cm="1">
        <f t="array" ref="P107">IF(K107=3,"",
  IFERROR(
    INDEX('Fairway Log'!$E$2:$V$72,
      MATCH(1,
        ('Fairway Log'!$A$2:$A$72=$A107)*
        ('Fairway Log'!$B$2:$B$72=$B107)*
        ('Fairway Log'!$C$2:$C178=$C107),
      0),
      MATCH($G107,'Fairway Log'!$E$1:$V$1,0)
    ),
  "")
)</f>
        <v>→</v>
      </c>
      <c r="Q107" t="str" cm="1">
        <f t="array" ref="Q107">IFERROR(
  INDEX('GIR Log'!$E$2:$V$72,
    MATCH(1,
      ('GIR Log'!$A$2:$A$72=$A107)*
      ('GIR Log'!$B$2:$B$72=$B107)*
      ('GIR Log'!$C$2:$C$72=$C107),
    0),
    MATCH($G107,'GIR Log'!$E$1:$V$1,0)
  ),
"")</f>
        <v>←</v>
      </c>
    </row>
    <row r="108" spans="1:17" x14ac:dyDescent="0.25">
      <c r="A108" s="20" t="s">
        <v>126</v>
      </c>
      <c r="B108" s="2">
        <v>45570</v>
      </c>
      <c r="C108" t="s">
        <v>3</v>
      </c>
      <c r="D108" t="s">
        <v>3</v>
      </c>
      <c r="E108" s="12" t="s">
        <v>36</v>
      </c>
      <c r="F108">
        <v>79</v>
      </c>
      <c r="G108" t="s">
        <v>63</v>
      </c>
      <c r="H108" s="9">
        <f t="shared" si="3"/>
        <v>17</v>
      </c>
      <c r="I108" cm="1">
        <f t="array" ref="I108">IFERROR(INDEX(CourseYardages[[Hole 1]:[Hole 18]],
  MATCH(1, (CourseYardages[Course]=C108)*(CourseYardages[Tees]=E108), 0),
  MATCH(G108, CourseYardages[[#Headers],[Hole 1]:[Hole 18]], 0)
),"")</f>
        <v>408</v>
      </c>
      <c r="J108" cm="1">
        <f t="array" ref="J108">IFERROR(INDEX(CourseHandicap[[Hole 1]:[Hole 18]],
  MATCH(1, (CourseHandicap[Course]=C108)*(CourseHandicap[Tees]=E108), 0),
  MATCH(G108, CourseHandicap[[#Headers],[Hole 1]:[Hole 18]], 0)
),"")</f>
        <v>4</v>
      </c>
      <c r="K108" cm="1">
        <f t="array" ref="K108">IFERROR(INDEX(CourseRatings[[Hole 1]:[Hole 18]],
  MATCH(1, (CourseRatings[Course]=C108)*(CourseRatings[Tees]=E108), 0),
  MATCH(G108, CourseRatings[[#Headers],[Hole 1]:[Hole 18]], 0)
),"")</f>
        <v>4</v>
      </c>
      <c r="L108" cm="1">
        <f t="array" ref="L108">IFERROR(
  INDEX('Golf Log'!$E$2:$V$72,
    MATCH(1,
      ('Golf Log'!$A$2:$A$72=$A108)*
      ('Golf Log'!$B$2:$B$72=$B108)*
      ('Golf Log'!$C$2:$C$72=$C108),
    0),
    MATCH($G108,'Golf Log'!$E$1:$V$1,0)
  ),
"")</f>
        <v>5</v>
      </c>
      <c r="M108">
        <f t="shared" si="6"/>
        <v>1</v>
      </c>
      <c r="N108" t="str">
        <f t="shared" si="5"/>
        <v>Bogey</v>
      </c>
      <c r="O108" cm="1">
        <f t="array" ref="O108">IFERROR(
  INDEX('Putt Log'!$E$2:$V$72,
    MATCH(1,
      ('Putt Log'!$A$2:$A$72=$A108)*
      ('Putt Log'!$B$2:$B$72=$B108)*
      ('Putt Log'!$C$2:$C$72=$C108),
    0),
    MATCH($G108,'Putt Log'!$E$1:$V$1,0)
  ),
"")</f>
        <v>2</v>
      </c>
      <c r="P108" t="str" cm="1">
        <f t="array" ref="P108">IF(K108=3,"",
  IFERROR(
    INDEX('Fairway Log'!$E$2:$V$72,
      MATCH(1,
        ('Fairway Log'!$A$2:$A$72=$A108)*
        ('Fairway Log'!$B$2:$B$72=$B108)*
        ('Fairway Log'!$C$2:$C179=$C108),
      0),
      MATCH($G108,'Fairway Log'!$E$1:$V$1,0)
    ),
  "")
)</f>
        <v>→</v>
      </c>
      <c r="Q108" t="str" cm="1">
        <f t="array" ref="Q108">IFERROR(
  INDEX('GIR Log'!$E$2:$V$72,
    MATCH(1,
      ('GIR Log'!$A$2:$A$72=$A108)*
      ('GIR Log'!$B$2:$B$72=$B108)*
      ('GIR Log'!$C$2:$C$72=$C108),
    0),
    MATCH($G108,'GIR Log'!$E$1:$V$1,0)
  ),
"")</f>
        <v>→</v>
      </c>
    </row>
    <row r="109" spans="1:17" x14ac:dyDescent="0.25">
      <c r="A109" s="20" t="s">
        <v>126</v>
      </c>
      <c r="B109" s="2">
        <v>45570</v>
      </c>
      <c r="C109" t="s">
        <v>3</v>
      </c>
      <c r="D109" t="s">
        <v>3</v>
      </c>
      <c r="E109" s="12" t="s">
        <v>36</v>
      </c>
      <c r="F109">
        <v>79</v>
      </c>
      <c r="G109" t="s">
        <v>64</v>
      </c>
      <c r="H109" s="9">
        <f t="shared" si="3"/>
        <v>18</v>
      </c>
      <c r="I109" cm="1">
        <f t="array" ref="I109">IFERROR(INDEX(CourseYardages[[Hole 1]:[Hole 18]],
  MATCH(1, (CourseYardages[Course]=C109)*(CourseYardages[Tees]=E109), 0),
  MATCH(G109, CourseYardages[[#Headers],[Hole 1]:[Hole 18]], 0)
),"")</f>
        <v>386</v>
      </c>
      <c r="J109" cm="1">
        <f t="array" ref="J109">IFERROR(INDEX(CourseHandicap[[Hole 1]:[Hole 18]],
  MATCH(1, (CourseHandicap[Course]=C109)*(CourseHandicap[Tees]=E109), 0),
  MATCH(G109, CourseHandicap[[#Headers],[Hole 1]:[Hole 18]], 0)
),"")</f>
        <v>6</v>
      </c>
      <c r="K109" cm="1">
        <f t="array" ref="K109">IFERROR(INDEX(CourseRatings[[Hole 1]:[Hole 18]],
  MATCH(1, (CourseRatings[Course]=C109)*(CourseRatings[Tees]=E109), 0),
  MATCH(G109, CourseRatings[[#Headers],[Hole 1]:[Hole 18]], 0)
),"")</f>
        <v>4</v>
      </c>
      <c r="L109" cm="1">
        <f t="array" ref="L109">IFERROR(
  INDEX('Golf Log'!$E$2:$V$72,
    MATCH(1,
      ('Golf Log'!$A$2:$A$72=$A109)*
      ('Golf Log'!$B$2:$B$72=$B109)*
      ('Golf Log'!$C$2:$C$72=$C109),
    0),
    MATCH($G109,'Golf Log'!$E$1:$V$1,0)
  ),
"")</f>
        <v>4</v>
      </c>
      <c r="M109">
        <f t="shared" ref="M109" si="7">IFERROR(L109-K109,"")</f>
        <v>0</v>
      </c>
      <c r="N109" t="str">
        <f t="shared" si="5"/>
        <v>Par</v>
      </c>
      <c r="O109" cm="1">
        <f t="array" ref="O109">IFERROR(
  INDEX('Putt Log'!$E$2:$V$72,
    MATCH(1,
      ('Putt Log'!$A$2:$A$72=$A109)*
      ('Putt Log'!$B$2:$B$72=$B109)*
      ('Putt Log'!$C$2:$C$72=$C109),
    0),
    MATCH($G109,'Putt Log'!$E$1:$V$1,0)
  ),
"")</f>
        <v>1</v>
      </c>
      <c r="P109" cm="1">
        <f t="array" ref="P109">IF(K109=3,"",
  IFERROR(
    INDEX('Fairway Log'!$E$2:$V$72,
      MATCH(1,
        ('Fairway Log'!$A$2:$A$72=$A109)*
        ('Fairway Log'!$B$2:$B$72=$B109)*
        ('Fairway Log'!$C$2:$C180=$C109),
      0),
      MATCH($G109,'Fairway Log'!$E$1:$V$1,0)
    ),
  "")
)</f>
        <v>1</v>
      </c>
      <c r="Q109" t="str" cm="1">
        <f t="array" ref="Q109">IFERROR(
  INDEX('GIR Log'!$E$2:$V$72,
    MATCH(1,
      ('GIR Log'!$A$2:$A$72=$A109)*
      ('GIR Log'!$B$2:$B$72=$B109)*
      ('GIR Log'!$C$2:$C$72=$C109),
    0),
    MATCH($G109,'GIR Log'!$E$1:$V$1,0)
  ),
"")</f>
        <v>←</v>
      </c>
    </row>
    <row r="110" spans="1:17" x14ac:dyDescent="0.25">
      <c r="A110" s="20" t="s">
        <v>126</v>
      </c>
      <c r="B110" s="2">
        <v>45535</v>
      </c>
      <c r="C110" t="s">
        <v>9</v>
      </c>
      <c r="D110" t="s">
        <v>9</v>
      </c>
      <c r="E110" t="s">
        <v>36</v>
      </c>
      <c r="F110">
        <v>87</v>
      </c>
      <c r="G110" t="s">
        <v>47</v>
      </c>
      <c r="H110" s="9">
        <f t="shared" si="3"/>
        <v>1</v>
      </c>
      <c r="I110" cm="1">
        <f t="array" ref="I110">IFERROR(INDEX(CourseYardages[[Hole 1]:[Hole 18]],
  MATCH(1, (CourseYardages[Course]=C110)*(CourseYardages[Tees]=E110), 0),
  MATCH(G110, CourseYardages[[#Headers],[Hole 1]:[Hole 18]], 0)
),"")</f>
        <v>381</v>
      </c>
      <c r="J110" cm="1">
        <f t="array" ref="J110">IFERROR(INDEX(CourseHandicap[[Hole 1]:[Hole 18]],
  MATCH(1, (CourseHandicap[Course]=C110)*(CourseHandicap[Tees]=E110), 0),
  MATCH(G110, CourseHandicap[[#Headers],[Hole 1]:[Hole 18]], 0)
),"")</f>
        <v>2</v>
      </c>
      <c r="K110" cm="1">
        <f t="array" ref="K110">IFERROR(INDEX(CourseRatings[[Hole 1]:[Hole 18]],
  MATCH(1, (CourseRatings[Course]=C110)*(CourseRatings[Tees]=E110), 0),
  MATCH(G110, CourseRatings[[#Headers],[Hole 1]:[Hole 18]], 0)
),"")</f>
        <v>4</v>
      </c>
      <c r="L110" cm="1">
        <f t="array" ref="L110">IFERROR(
  INDEX('Golf Log'!$E$2:$V$72,
    MATCH(1,
      ('Golf Log'!$A$2:$A$72=$A110)*
      ('Golf Log'!$B$2:$B$72=$B110)*
      ('Golf Log'!$C$2:$C$72=$C110),
    0),
    MATCH($G110,'Golf Log'!$E$1:$V$1,0)
  ),
"")</f>
        <v>6</v>
      </c>
      <c r="M110">
        <f t="shared" si="4"/>
        <v>2</v>
      </c>
      <c r="N110" t="str">
        <f t="shared" si="5"/>
        <v>Double Bogey</v>
      </c>
      <c r="O110" cm="1">
        <f t="array" ref="O110">IFERROR(
  INDEX('Putt Log'!$E$2:$V$72,
    MATCH(1,
      ('Putt Log'!$A$2:$A$72=$A110)*
      ('Putt Log'!$B$2:$B$72=$B110)*
      ('Putt Log'!$C$2:$C$72=$C110),
    0),
    MATCH($G110,'Putt Log'!$E$1:$V$1,0)
  ),
"")</f>
        <v>2</v>
      </c>
      <c r="P110" cm="1">
        <f t="array" ref="P110">IF(K110=3,"",
  IFERROR(
    INDEX('Fairway Log'!$E$2:$V$72,
      MATCH(1,
        ('Fairway Log'!$A$2:$A$72=$A110)*
        ('Fairway Log'!$B$2:$B$72=$B110)*
        ('Fairway Log'!$C$2:$C181=$C110),
      0),
      MATCH($G110,'Fairway Log'!$E$1:$V$1,0)
    ),
  "")
)</f>
        <v>1</v>
      </c>
      <c r="Q110" t="str" cm="1">
        <f t="array" ref="Q110">IFERROR(
  INDEX('GIR Log'!$E$2:$V$72,
    MATCH(1,
      ('GIR Log'!$A$2:$A$72=$A110)*
      ('GIR Log'!$B$2:$B$72=$B110)*
      ('GIR Log'!$C$2:$C$72=$C110),
    0),
    MATCH($G110,'GIR Log'!$E$1:$V$1,0)
  ),
"")</f>
        <v>NC</v>
      </c>
    </row>
    <row r="111" spans="1:17" x14ac:dyDescent="0.25">
      <c r="A111" s="20" t="s">
        <v>126</v>
      </c>
      <c r="B111" s="2">
        <v>45535</v>
      </c>
      <c r="C111" t="s">
        <v>9</v>
      </c>
      <c r="D111" t="s">
        <v>9</v>
      </c>
      <c r="E111" t="s">
        <v>36</v>
      </c>
      <c r="F111">
        <v>87</v>
      </c>
      <c r="G111" t="s">
        <v>48</v>
      </c>
      <c r="H111" s="9">
        <f t="shared" si="3"/>
        <v>2</v>
      </c>
      <c r="I111" cm="1">
        <f t="array" ref="I111">IFERROR(INDEX(CourseYardages[[Hole 1]:[Hole 18]],
  MATCH(1, (CourseYardages[Course]=C111)*(CourseYardages[Tees]=E111), 0),
  MATCH(G111, CourseYardages[[#Headers],[Hole 1]:[Hole 18]], 0)
),"")</f>
        <v>389</v>
      </c>
      <c r="J111" cm="1">
        <f t="array" ref="J111">IFERROR(INDEX(CourseHandicap[[Hole 1]:[Hole 18]],
  MATCH(1, (CourseHandicap[Course]=C111)*(CourseHandicap[Tees]=E111), 0),
  MATCH(G111, CourseHandicap[[#Headers],[Hole 1]:[Hole 18]], 0)
),"")</f>
        <v>4</v>
      </c>
      <c r="K111" cm="1">
        <f t="array" ref="K111">IFERROR(INDEX(CourseRatings[[Hole 1]:[Hole 18]],
  MATCH(1, (CourseRatings[Course]=C111)*(CourseRatings[Tees]=E111), 0),
  MATCH(G111, CourseRatings[[#Headers],[Hole 1]:[Hole 18]], 0)
),"")</f>
        <v>4</v>
      </c>
      <c r="L111" cm="1">
        <f t="array" ref="L111">IFERROR(
  INDEX('Golf Log'!$E$2:$V$72,
    MATCH(1,
      ('Golf Log'!$A$2:$A$72=$A111)*
      ('Golf Log'!$B$2:$B$72=$B111)*
      ('Golf Log'!$C$2:$C$72=$C111),
    0),
    MATCH($G111,'Golf Log'!$E$1:$V$1,0)
  ),
"")</f>
        <v>5</v>
      </c>
      <c r="M111">
        <f t="shared" si="4"/>
        <v>1</v>
      </c>
      <c r="N111" t="str">
        <f t="shared" si="5"/>
        <v>Bogey</v>
      </c>
      <c r="O111" cm="1">
        <f t="array" ref="O111">IFERROR(
  INDEX('Putt Log'!$E$2:$V$72,
    MATCH(1,
      ('Putt Log'!$A$2:$A$72=$A111)*
      ('Putt Log'!$B$2:$B$72=$B111)*
      ('Putt Log'!$C$2:$C$72=$C111),
    0),
    MATCH($G111,'Putt Log'!$E$1:$V$1,0)
  ),
"")</f>
        <v>2</v>
      </c>
      <c r="P111" t="str" cm="1">
        <f t="array" ref="P111">IF(K111=3,"",
  IFERROR(
    INDEX('Fairway Log'!$E$2:$V$72,
      MATCH(1,
        ('Fairway Log'!$A$2:$A$72=$A111)*
        ('Fairway Log'!$B$2:$B$72=$B111)*
        ('Fairway Log'!$C$2:$C182=$C111),
      0),
      MATCH($G111,'Fairway Log'!$E$1:$V$1,0)
    ),
  "")
)</f>
        <v>→</v>
      </c>
      <c r="Q111" t="str" cm="1">
        <f t="array" ref="Q111">IFERROR(
  INDEX('GIR Log'!$E$2:$V$72,
    MATCH(1,
      ('GIR Log'!$A$2:$A$72=$A111)*
      ('GIR Log'!$B$2:$B$72=$B111)*
      ('GIR Log'!$C$2:$C$72=$C111),
    0),
    MATCH($G111,'GIR Log'!$E$1:$V$1,0)
  ),
"")</f>
        <v>NC</v>
      </c>
    </row>
    <row r="112" spans="1:17" x14ac:dyDescent="0.25">
      <c r="A112" s="20" t="s">
        <v>126</v>
      </c>
      <c r="B112" s="2">
        <v>45535</v>
      </c>
      <c r="C112" t="s">
        <v>9</v>
      </c>
      <c r="D112" t="s">
        <v>9</v>
      </c>
      <c r="E112" t="s">
        <v>36</v>
      </c>
      <c r="F112">
        <v>87</v>
      </c>
      <c r="G112" t="s">
        <v>49</v>
      </c>
      <c r="H112" s="9">
        <f t="shared" si="3"/>
        <v>3</v>
      </c>
      <c r="I112" cm="1">
        <f t="array" ref="I112">IFERROR(INDEX(CourseYardages[[Hole 1]:[Hole 18]],
  MATCH(1, (CourseYardages[Course]=C112)*(CourseYardages[Tees]=E112), 0),
  MATCH(G112, CourseYardages[[#Headers],[Hole 1]:[Hole 18]], 0)
),"")</f>
        <v>366</v>
      </c>
      <c r="J112" cm="1">
        <f t="array" ref="J112">IFERROR(INDEX(CourseHandicap[[Hole 1]:[Hole 18]],
  MATCH(1, (CourseHandicap[Course]=C112)*(CourseHandicap[Tees]=E112), 0),
  MATCH(G112, CourseHandicap[[#Headers],[Hole 1]:[Hole 18]], 0)
),"")</f>
        <v>6</v>
      </c>
      <c r="K112" cm="1">
        <f t="array" ref="K112">IFERROR(INDEX(CourseRatings[[Hole 1]:[Hole 18]],
  MATCH(1, (CourseRatings[Course]=C112)*(CourseRatings[Tees]=E112), 0),
  MATCH(G112, CourseRatings[[#Headers],[Hole 1]:[Hole 18]], 0)
),"")</f>
        <v>4</v>
      </c>
      <c r="L112" cm="1">
        <f t="array" ref="L112">IFERROR(
  INDEX('Golf Log'!$E$2:$V$72,
    MATCH(1,
      ('Golf Log'!$A$2:$A$72=$A112)*
      ('Golf Log'!$B$2:$B$72=$B112)*
      ('Golf Log'!$C$2:$C$72=$C112),
    0),
    MATCH($G112,'Golf Log'!$E$1:$V$1,0)
  ),
"")</f>
        <v>5</v>
      </c>
      <c r="M112">
        <f t="shared" si="4"/>
        <v>1</v>
      </c>
      <c r="N112" t="str">
        <f t="shared" si="5"/>
        <v>Bogey</v>
      </c>
      <c r="O112" cm="1">
        <f t="array" ref="O112">IFERROR(
  INDEX('Putt Log'!$E$2:$V$72,
    MATCH(1,
      ('Putt Log'!$A$2:$A$72=$A112)*
      ('Putt Log'!$B$2:$B$72=$B112)*
      ('Putt Log'!$C$2:$C$72=$C112),
    0),
    MATCH($G112,'Putt Log'!$E$1:$V$1,0)
  ),
"")</f>
        <v>2</v>
      </c>
      <c r="P112" t="str" cm="1">
        <f t="array" ref="P112">IF(K112=3,"",
  IFERROR(
    INDEX('Fairway Log'!$E$2:$V$72,
      MATCH(1,
        ('Fairway Log'!$A$2:$A$72=$A112)*
        ('Fairway Log'!$B$2:$B$72=$B112)*
        ('Fairway Log'!$C$2:$C183=$C112),
      0),
      MATCH($G112,'Fairway Log'!$E$1:$V$1,0)
    ),
  "")
)</f>
        <v>↓</v>
      </c>
      <c r="Q112" t="str" cm="1">
        <f t="array" ref="Q112">IFERROR(
  INDEX('GIR Log'!$E$2:$V$72,
    MATCH(1,
      ('GIR Log'!$A$2:$A$72=$A112)*
      ('GIR Log'!$B$2:$B$72=$B112)*
      ('GIR Log'!$C$2:$C$72=$C112),
    0),
    MATCH($G112,'GIR Log'!$E$1:$V$1,0)
  ),
"")</f>
        <v>NC</v>
      </c>
    </row>
    <row r="113" spans="1:17" x14ac:dyDescent="0.25">
      <c r="A113" s="20" t="s">
        <v>126</v>
      </c>
      <c r="B113" s="2">
        <v>45535</v>
      </c>
      <c r="C113" t="s">
        <v>9</v>
      </c>
      <c r="D113" t="s">
        <v>9</v>
      </c>
      <c r="E113" t="s">
        <v>36</v>
      </c>
      <c r="F113">
        <v>87</v>
      </c>
      <c r="G113" t="s">
        <v>50</v>
      </c>
      <c r="H113" s="9">
        <f t="shared" si="3"/>
        <v>4</v>
      </c>
      <c r="I113" cm="1">
        <f t="array" ref="I113">IFERROR(INDEX(CourseYardages[[Hole 1]:[Hole 18]],
  MATCH(1, (CourseYardages[Course]=C113)*(CourseYardages[Tees]=E113), 0),
  MATCH(G113, CourseYardages[[#Headers],[Hole 1]:[Hole 18]], 0)
),"")</f>
        <v>151</v>
      </c>
      <c r="J113" cm="1">
        <f t="array" ref="J113">IFERROR(INDEX(CourseHandicap[[Hole 1]:[Hole 18]],
  MATCH(1, (CourseHandicap[Course]=C113)*(CourseHandicap[Tees]=E113), 0),
  MATCH(G113, CourseHandicap[[#Headers],[Hole 1]:[Hole 18]], 0)
),"")</f>
        <v>14</v>
      </c>
      <c r="K113" cm="1">
        <f t="array" ref="K113">IFERROR(INDEX(CourseRatings[[Hole 1]:[Hole 18]],
  MATCH(1, (CourseRatings[Course]=C113)*(CourseRatings[Tees]=E113), 0),
  MATCH(G113, CourseRatings[[#Headers],[Hole 1]:[Hole 18]], 0)
),"")</f>
        <v>3</v>
      </c>
      <c r="L113" cm="1">
        <f t="array" ref="L113">IFERROR(
  INDEX('Golf Log'!$E$2:$V$72,
    MATCH(1,
      ('Golf Log'!$A$2:$A$72=$A113)*
      ('Golf Log'!$B$2:$B$72=$B113)*
      ('Golf Log'!$C$2:$C$72=$C113),
    0),
    MATCH($G113,'Golf Log'!$E$1:$V$1,0)
  ),
"")</f>
        <v>4</v>
      </c>
      <c r="M113">
        <f t="shared" si="4"/>
        <v>1</v>
      </c>
      <c r="N113" t="str">
        <f t="shared" si="5"/>
        <v>Bogey</v>
      </c>
      <c r="O113" cm="1">
        <f t="array" ref="O113">IFERROR(
  INDEX('Putt Log'!$E$2:$V$72,
    MATCH(1,
      ('Putt Log'!$A$2:$A$72=$A113)*
      ('Putt Log'!$B$2:$B$72=$B113)*
      ('Putt Log'!$C$2:$C$72=$C113),
    0),
    MATCH($G113,'Putt Log'!$E$1:$V$1,0)
  ),
"")</f>
        <v>2</v>
      </c>
      <c r="P113" t="str" cm="1">
        <f t="array" ref="P113">IF(K113=3,"",
  IFERROR(
    INDEX('Fairway Log'!$E$2:$V$72,
      MATCH(1,
        ('Fairway Log'!$A$2:$A$72=$A113)*
        ('Fairway Log'!$B$2:$B$72=$B113)*
        ('Fairway Log'!$C$2:$C184=$C113),
      0),
      MATCH($G113,'Fairway Log'!$E$1:$V$1,0)
    ),
  "")
)</f>
        <v/>
      </c>
      <c r="Q113" t="str" cm="1">
        <f t="array" ref="Q113">IFERROR(
  INDEX('GIR Log'!$E$2:$V$72,
    MATCH(1,
      ('GIR Log'!$A$2:$A$72=$A113)*
      ('GIR Log'!$B$2:$B$72=$B113)*
      ('GIR Log'!$C$2:$C$72=$C113),
    0),
    MATCH($G113,'GIR Log'!$E$1:$V$1,0)
  ),
"")</f>
        <v>→</v>
      </c>
    </row>
    <row r="114" spans="1:17" x14ac:dyDescent="0.25">
      <c r="A114" s="20" t="s">
        <v>126</v>
      </c>
      <c r="B114" s="2">
        <v>45535</v>
      </c>
      <c r="C114" t="s">
        <v>9</v>
      </c>
      <c r="D114" t="s">
        <v>9</v>
      </c>
      <c r="E114" t="s">
        <v>36</v>
      </c>
      <c r="F114">
        <v>87</v>
      </c>
      <c r="G114" t="s">
        <v>51</v>
      </c>
      <c r="H114" s="9">
        <f t="shared" si="3"/>
        <v>5</v>
      </c>
      <c r="I114" cm="1">
        <f t="array" ref="I114">IFERROR(INDEX(CourseYardages[[Hole 1]:[Hole 18]],
  MATCH(1, (CourseYardages[Course]=C114)*(CourseYardages[Tees]=E114), 0),
  MATCH(G114, CourseYardages[[#Headers],[Hole 1]:[Hole 18]], 0)
),"")</f>
        <v>336</v>
      </c>
      <c r="J114" cm="1">
        <f t="array" ref="J114">IFERROR(INDEX(CourseHandicap[[Hole 1]:[Hole 18]],
  MATCH(1, (CourseHandicap[Course]=C114)*(CourseHandicap[Tees]=E114), 0),
  MATCH(G114, CourseHandicap[[#Headers],[Hole 1]:[Hole 18]], 0)
),"")</f>
        <v>10</v>
      </c>
      <c r="K114" cm="1">
        <f t="array" ref="K114">IFERROR(INDEX(CourseRatings[[Hole 1]:[Hole 18]],
  MATCH(1, (CourseRatings[Course]=C114)*(CourseRatings[Tees]=E114), 0),
  MATCH(G114, CourseRatings[[#Headers],[Hole 1]:[Hole 18]], 0)
),"")</f>
        <v>4</v>
      </c>
      <c r="L114" cm="1">
        <f t="array" ref="L114">IFERROR(
  INDEX('Golf Log'!$E$2:$V$72,
    MATCH(1,
      ('Golf Log'!$A$2:$A$72=$A114)*
      ('Golf Log'!$B$2:$B$72=$B114)*
      ('Golf Log'!$C$2:$C$72=$C114),
    0),
    MATCH($G114,'Golf Log'!$E$1:$V$1,0)
  ),
"")</f>
        <v>5</v>
      </c>
      <c r="M114">
        <f t="shared" si="4"/>
        <v>1</v>
      </c>
      <c r="N114" t="str">
        <f t="shared" si="5"/>
        <v>Bogey</v>
      </c>
      <c r="O114" cm="1">
        <f t="array" ref="O114">IFERROR(
  INDEX('Putt Log'!$E$2:$V$72,
    MATCH(1,
      ('Putt Log'!$A$2:$A$72=$A114)*
      ('Putt Log'!$B$2:$B$72=$B114)*
      ('Putt Log'!$C$2:$C$72=$C114),
    0),
    MATCH($G114,'Putt Log'!$E$1:$V$1,0)
  ),
"")</f>
        <v>1</v>
      </c>
      <c r="P114" t="str" cm="1">
        <f t="array" ref="P114">IF(K114=3,"",
  IFERROR(
    INDEX('Fairway Log'!$E$2:$V$72,
      MATCH(1,
        ('Fairway Log'!$A$2:$A$72=$A114)*
        ('Fairway Log'!$B$2:$B$72=$B114)*
        ('Fairway Log'!$C$2:$C185=$C114),
      0),
      MATCH($G114,'Fairway Log'!$E$1:$V$1,0)
    ),
  "")
)</f>
        <v>↓</v>
      </c>
      <c r="Q114" t="str" cm="1">
        <f t="array" ref="Q114">IFERROR(
  INDEX('GIR Log'!$E$2:$V$72,
    MATCH(1,
      ('GIR Log'!$A$2:$A$72=$A114)*
      ('GIR Log'!$B$2:$B$72=$B114)*
      ('GIR Log'!$C$2:$C$72=$C114),
    0),
    MATCH($G114,'GIR Log'!$E$1:$V$1,0)
  ),
"")</f>
        <v>NC</v>
      </c>
    </row>
    <row r="115" spans="1:17" x14ac:dyDescent="0.25">
      <c r="A115" s="20" t="s">
        <v>126</v>
      </c>
      <c r="B115" s="2">
        <v>45535</v>
      </c>
      <c r="C115" t="s">
        <v>9</v>
      </c>
      <c r="D115" t="s">
        <v>9</v>
      </c>
      <c r="E115" t="s">
        <v>36</v>
      </c>
      <c r="F115">
        <v>87</v>
      </c>
      <c r="G115" t="s">
        <v>52</v>
      </c>
      <c r="H115" s="9">
        <f t="shared" si="3"/>
        <v>6</v>
      </c>
      <c r="I115" cm="1">
        <f t="array" ref="I115">IFERROR(INDEX(CourseYardages[[Hole 1]:[Hole 18]],
  MATCH(1, (CourseYardages[Course]=C115)*(CourseYardages[Tees]=E115), 0),
  MATCH(G115, CourseYardages[[#Headers],[Hole 1]:[Hole 18]], 0)
),"")</f>
        <v>474</v>
      </c>
      <c r="J115" cm="1">
        <f t="array" ref="J115">IFERROR(INDEX(CourseHandicap[[Hole 1]:[Hole 18]],
  MATCH(1, (CourseHandicap[Course]=C115)*(CourseHandicap[Tees]=E115), 0),
  MATCH(G115, CourseHandicap[[#Headers],[Hole 1]:[Hole 18]], 0)
),"")</f>
        <v>8</v>
      </c>
      <c r="K115" cm="1">
        <f t="array" ref="K115">IFERROR(INDEX(CourseRatings[[Hole 1]:[Hole 18]],
  MATCH(1, (CourseRatings[Course]=C115)*(CourseRatings[Tees]=E115), 0),
  MATCH(G115, CourseRatings[[#Headers],[Hole 1]:[Hole 18]], 0)
),"")</f>
        <v>5</v>
      </c>
      <c r="L115" cm="1">
        <f t="array" ref="L115">IFERROR(
  INDEX('Golf Log'!$E$2:$V$72,
    MATCH(1,
      ('Golf Log'!$A$2:$A$72=$A115)*
      ('Golf Log'!$B$2:$B$72=$B115)*
      ('Golf Log'!$C$2:$C$72=$C115),
    0),
    MATCH($G115,'Golf Log'!$E$1:$V$1,0)
  ),
"")</f>
        <v>6</v>
      </c>
      <c r="M115">
        <f t="shared" si="4"/>
        <v>1</v>
      </c>
      <c r="N115" t="str">
        <f t="shared" si="5"/>
        <v>Bogey</v>
      </c>
      <c r="O115" cm="1">
        <f t="array" ref="O115">IFERROR(
  INDEX('Putt Log'!$E$2:$V$72,
    MATCH(1,
      ('Putt Log'!$A$2:$A$72=$A115)*
      ('Putt Log'!$B$2:$B$72=$B115)*
      ('Putt Log'!$C$2:$C$72=$C115),
    0),
    MATCH($G115,'Putt Log'!$E$1:$V$1,0)
  ),
"")</f>
        <v>2</v>
      </c>
      <c r="P115" cm="1">
        <f t="array" ref="P115">IF(K115=3,"",
  IFERROR(
    INDEX('Fairway Log'!$E$2:$V$72,
      MATCH(1,
        ('Fairway Log'!$A$2:$A$72=$A115)*
        ('Fairway Log'!$B$2:$B$72=$B115)*
        ('Fairway Log'!$C$2:$C186=$C115),
      0),
      MATCH($G115,'Fairway Log'!$E$1:$V$1,0)
    ),
  "")
)</f>
        <v>1</v>
      </c>
      <c r="Q115" t="str" cm="1">
        <f t="array" ref="Q115">IFERROR(
  INDEX('GIR Log'!$E$2:$V$72,
    MATCH(1,
      ('GIR Log'!$A$2:$A$72=$A115)*
      ('GIR Log'!$B$2:$B$72=$B115)*
      ('GIR Log'!$C$2:$C$72=$C115),
    0),
    MATCH($G115,'GIR Log'!$E$1:$V$1,0)
  ),
"")</f>
        <v>→</v>
      </c>
    </row>
    <row r="116" spans="1:17" x14ac:dyDescent="0.25">
      <c r="A116" s="20" t="s">
        <v>126</v>
      </c>
      <c r="B116" s="2">
        <v>45535</v>
      </c>
      <c r="C116" t="s">
        <v>9</v>
      </c>
      <c r="D116" t="s">
        <v>9</v>
      </c>
      <c r="E116" t="s">
        <v>36</v>
      </c>
      <c r="F116">
        <v>87</v>
      </c>
      <c r="G116" t="s">
        <v>53</v>
      </c>
      <c r="H116" s="9">
        <f t="shared" si="3"/>
        <v>7</v>
      </c>
      <c r="I116" cm="1">
        <f t="array" ref="I116">IFERROR(INDEX(CourseYardages[[Hole 1]:[Hole 18]],
  MATCH(1, (CourseYardages[Course]=C116)*(CourseYardages[Tees]=E116), 0),
  MATCH(G116, CourseYardages[[#Headers],[Hole 1]:[Hole 18]], 0)
),"")</f>
        <v>164</v>
      </c>
      <c r="J116" cm="1">
        <f t="array" ref="J116">IFERROR(INDEX(CourseHandicap[[Hole 1]:[Hole 18]],
  MATCH(1, (CourseHandicap[Course]=C116)*(CourseHandicap[Tees]=E116), 0),
  MATCH(G116, CourseHandicap[[#Headers],[Hole 1]:[Hole 18]], 0)
),"")</f>
        <v>16</v>
      </c>
      <c r="K116" cm="1">
        <f t="array" ref="K116">IFERROR(INDEX(CourseRatings[[Hole 1]:[Hole 18]],
  MATCH(1, (CourseRatings[Course]=C116)*(CourseRatings[Tees]=E116), 0),
  MATCH(G116, CourseRatings[[#Headers],[Hole 1]:[Hole 18]], 0)
),"")</f>
        <v>3</v>
      </c>
      <c r="L116" cm="1">
        <f t="array" ref="L116">IFERROR(
  INDEX('Golf Log'!$E$2:$V$72,
    MATCH(1,
      ('Golf Log'!$A$2:$A$72=$A116)*
      ('Golf Log'!$B$2:$B$72=$B116)*
      ('Golf Log'!$C$2:$C$72=$C116),
    0),
    MATCH($G116,'Golf Log'!$E$1:$V$1,0)
  ),
"")</f>
        <v>4</v>
      </c>
      <c r="M116">
        <f t="shared" si="4"/>
        <v>1</v>
      </c>
      <c r="N116" t="str">
        <f t="shared" si="5"/>
        <v>Bogey</v>
      </c>
      <c r="O116" cm="1">
        <f t="array" ref="O116">IFERROR(
  INDEX('Putt Log'!$E$2:$V$72,
    MATCH(1,
      ('Putt Log'!$A$2:$A$72=$A116)*
      ('Putt Log'!$B$2:$B$72=$B116)*
      ('Putt Log'!$C$2:$C$72=$C116),
    0),
    MATCH($G116,'Putt Log'!$E$1:$V$1,0)
  ),
"")</f>
        <v>2</v>
      </c>
      <c r="P116" t="str" cm="1">
        <f t="array" ref="P116">IF(K116=3,"",
  IFERROR(
    INDEX('Fairway Log'!$E$2:$V$72,
      MATCH(1,
        ('Fairway Log'!$A$2:$A$72=$A116)*
        ('Fairway Log'!$B$2:$B$72=$B116)*
        ('Fairway Log'!$C$2:$C187=$C116),
      0),
      MATCH($G116,'Fairway Log'!$E$1:$V$1,0)
    ),
  "")
)</f>
        <v/>
      </c>
      <c r="Q116" t="str" cm="1">
        <f t="array" ref="Q116">IFERROR(
  INDEX('GIR Log'!$E$2:$V$72,
    MATCH(1,
      ('GIR Log'!$A$2:$A$72=$A116)*
      ('GIR Log'!$B$2:$B$72=$B116)*
      ('GIR Log'!$C$2:$C$72=$C116),
    0),
    MATCH($G116,'GIR Log'!$E$1:$V$1,0)
  ),
"")</f>
        <v>↓</v>
      </c>
    </row>
    <row r="117" spans="1:17" x14ac:dyDescent="0.25">
      <c r="A117" s="20" t="s">
        <v>126</v>
      </c>
      <c r="B117" s="2">
        <v>45535</v>
      </c>
      <c r="C117" t="s">
        <v>9</v>
      </c>
      <c r="D117" t="s">
        <v>9</v>
      </c>
      <c r="E117" t="s">
        <v>36</v>
      </c>
      <c r="F117">
        <v>87</v>
      </c>
      <c r="G117" t="s">
        <v>54</v>
      </c>
      <c r="H117" s="9">
        <f t="shared" si="3"/>
        <v>8</v>
      </c>
      <c r="I117" cm="1">
        <f t="array" ref="I117">IFERROR(INDEX(CourseYardages[[Hole 1]:[Hole 18]],
  MATCH(1, (CourseYardages[Course]=C117)*(CourseYardages[Tees]=E117), 0),
  MATCH(G117, CourseYardages[[#Headers],[Hole 1]:[Hole 18]], 0)
),"")</f>
        <v>338</v>
      </c>
      <c r="J117" cm="1">
        <f t="array" ref="J117">IFERROR(INDEX(CourseHandicap[[Hole 1]:[Hole 18]],
  MATCH(1, (CourseHandicap[Course]=C117)*(CourseHandicap[Tees]=E117), 0),
  MATCH(G117, CourseHandicap[[#Headers],[Hole 1]:[Hole 18]], 0)
),"")</f>
        <v>12</v>
      </c>
      <c r="K117" cm="1">
        <f t="array" ref="K117">IFERROR(INDEX(CourseRatings[[Hole 1]:[Hole 18]],
  MATCH(1, (CourseRatings[Course]=C117)*(CourseRatings[Tees]=E117), 0),
  MATCH(G117, CourseRatings[[#Headers],[Hole 1]:[Hole 18]], 0)
),"")</f>
        <v>4</v>
      </c>
      <c r="L117" cm="1">
        <f t="array" ref="L117">IFERROR(
  INDEX('Golf Log'!$E$2:$V$72,
    MATCH(1,
      ('Golf Log'!$A$2:$A$72=$A117)*
      ('Golf Log'!$B$2:$B$72=$B117)*
      ('Golf Log'!$C$2:$C$72=$C117),
    0),
    MATCH($G117,'Golf Log'!$E$1:$V$1,0)
  ),
"")</f>
        <v>5</v>
      </c>
      <c r="M117">
        <f t="shared" si="4"/>
        <v>1</v>
      </c>
      <c r="N117" t="str">
        <f t="shared" si="5"/>
        <v>Bogey</v>
      </c>
      <c r="O117" cm="1">
        <f t="array" ref="O117">IFERROR(
  INDEX('Putt Log'!$E$2:$V$72,
    MATCH(1,
      ('Putt Log'!$A$2:$A$72=$A117)*
      ('Putt Log'!$B$2:$B$72=$B117)*
      ('Putt Log'!$C$2:$C$72=$C117),
    0),
    MATCH($G117,'Putt Log'!$E$1:$V$1,0)
  ),
"")</f>
        <v>2</v>
      </c>
      <c r="P117" t="str" cm="1">
        <f t="array" ref="P117">IF(K117=3,"",
  IFERROR(
    INDEX('Fairway Log'!$E$2:$V$72,
      MATCH(1,
        ('Fairway Log'!$A$2:$A$72=$A117)*
        ('Fairway Log'!$B$2:$B$72=$B117)*
        ('Fairway Log'!$C$2:$C188=$C117),
      0),
      MATCH($G117,'Fairway Log'!$E$1:$V$1,0)
    ),
  "")
)</f>
        <v>→</v>
      </c>
      <c r="Q117" t="str" cm="1">
        <f t="array" ref="Q117">IFERROR(
  INDEX('GIR Log'!$E$2:$V$72,
    MATCH(1,
      ('GIR Log'!$A$2:$A$72=$A117)*
      ('GIR Log'!$B$2:$B$72=$B117)*
      ('GIR Log'!$C$2:$C$72=$C117),
    0),
    MATCH($G117,'GIR Log'!$E$1:$V$1,0)
  ),
"")</f>
        <v>↑</v>
      </c>
    </row>
    <row r="118" spans="1:17" x14ac:dyDescent="0.25">
      <c r="A118" s="20" t="s">
        <v>126</v>
      </c>
      <c r="B118" s="2">
        <v>45535</v>
      </c>
      <c r="C118" t="s">
        <v>9</v>
      </c>
      <c r="D118" t="s">
        <v>9</v>
      </c>
      <c r="E118" t="s">
        <v>36</v>
      </c>
      <c r="F118">
        <v>87</v>
      </c>
      <c r="G118" t="s">
        <v>55</v>
      </c>
      <c r="H118" s="9">
        <f t="shared" si="3"/>
        <v>9</v>
      </c>
      <c r="I118" cm="1">
        <f t="array" ref="I118">IFERROR(INDEX(CourseYardages[[Hole 1]:[Hole 18]],
  MATCH(1, (CourseYardages[Course]=C118)*(CourseYardages[Tees]=E118), 0),
  MATCH(G118, CourseYardages[[#Headers],[Hole 1]:[Hole 18]], 0)
),"")</f>
        <v>375</v>
      </c>
      <c r="J118" cm="1">
        <f t="array" ref="J118">IFERROR(INDEX(CourseHandicap[[Hole 1]:[Hole 18]],
  MATCH(1, (CourseHandicap[Course]=C118)*(CourseHandicap[Tees]=E118), 0),
  MATCH(G118, CourseHandicap[[#Headers],[Hole 1]:[Hole 18]], 0)
),"")</f>
        <v>18</v>
      </c>
      <c r="K118" cm="1">
        <f t="array" ref="K118">IFERROR(INDEX(CourseRatings[[Hole 1]:[Hole 18]],
  MATCH(1, (CourseRatings[Course]=C118)*(CourseRatings[Tees]=E118), 0),
  MATCH(G118, CourseRatings[[#Headers],[Hole 1]:[Hole 18]], 0)
),"")</f>
        <v>4</v>
      </c>
      <c r="L118" cm="1">
        <f t="array" ref="L118">IFERROR(
  INDEX('Golf Log'!$E$2:$V$72,
    MATCH(1,
      ('Golf Log'!$A$2:$A$72=$A118)*
      ('Golf Log'!$B$2:$B$72=$B118)*
      ('Golf Log'!$C$2:$C$72=$C118),
    0),
    MATCH($G118,'Golf Log'!$E$1:$V$1,0)
  ),
"")</f>
        <v>5</v>
      </c>
      <c r="M118">
        <f t="shared" ref="M118:M128" si="8">IFERROR(L118-K118,"")</f>
        <v>1</v>
      </c>
      <c r="N118" t="str">
        <f t="shared" si="5"/>
        <v>Bogey</v>
      </c>
      <c r="O118" cm="1">
        <f t="array" ref="O118">IFERROR(
  INDEX('Putt Log'!$E$2:$V$72,
    MATCH(1,
      ('Putt Log'!$A$2:$A$72=$A118)*
      ('Putt Log'!$B$2:$B$72=$B118)*
      ('Putt Log'!$C$2:$C$72=$C118),
    0),
    MATCH($G118,'Putt Log'!$E$1:$V$1,0)
  ),
"")</f>
        <v>1</v>
      </c>
      <c r="P118" t="str" cm="1">
        <f t="array" ref="P118">IF(K118=3,"",
  IFERROR(
    INDEX('Fairway Log'!$E$2:$V$72,
      MATCH(1,
        ('Fairway Log'!$A$2:$A$72=$A118)*
        ('Fairway Log'!$B$2:$B$72=$B118)*
        ('Fairway Log'!$C$2:$C189=$C118),
      0),
      MATCH($G118,'Fairway Log'!$E$1:$V$1,0)
    ),
  "")
)</f>
        <v>→</v>
      </c>
      <c r="Q118" t="str" cm="1">
        <f t="array" ref="Q118">IFERROR(
  INDEX('GIR Log'!$E$2:$V$72,
    MATCH(1,
      ('GIR Log'!$A$2:$A$72=$A118)*
      ('GIR Log'!$B$2:$B$72=$B118)*
      ('GIR Log'!$C$2:$C$72=$C118),
    0),
    MATCH($G118,'GIR Log'!$E$1:$V$1,0)
  ),
"")</f>
        <v>NC</v>
      </c>
    </row>
    <row r="119" spans="1:17" x14ac:dyDescent="0.25">
      <c r="A119" s="20" t="s">
        <v>126</v>
      </c>
      <c r="B119" s="2">
        <v>45535</v>
      </c>
      <c r="C119" t="s">
        <v>9</v>
      </c>
      <c r="D119" t="s">
        <v>9</v>
      </c>
      <c r="E119" t="s">
        <v>36</v>
      </c>
      <c r="F119">
        <v>87</v>
      </c>
      <c r="G119" t="s">
        <v>56</v>
      </c>
      <c r="H119" s="9">
        <f t="shared" si="3"/>
        <v>10</v>
      </c>
      <c r="I119" cm="1">
        <f t="array" ref="I119">IFERROR(INDEX(CourseYardages[[Hole 1]:[Hole 18]],
  MATCH(1, (CourseYardages[Course]=C119)*(CourseYardages[Tees]=E119), 0),
  MATCH(G119, CourseYardages[[#Headers],[Hole 1]:[Hole 18]], 0)
),"")</f>
        <v>510</v>
      </c>
      <c r="J119" cm="1">
        <f t="array" ref="J119">IFERROR(INDEX(CourseHandicap[[Hole 1]:[Hole 18]],
  MATCH(1, (CourseHandicap[Course]=C119)*(CourseHandicap[Tees]=E119), 0),
  MATCH(G119, CourseHandicap[[#Headers],[Hole 1]:[Hole 18]], 0)
),"")</f>
        <v>3</v>
      </c>
      <c r="K119" cm="1">
        <f t="array" ref="K119">IFERROR(INDEX(CourseRatings[[Hole 1]:[Hole 18]],
  MATCH(1, (CourseRatings[Course]=C119)*(CourseRatings[Tees]=E119), 0),
  MATCH(G119, CourseRatings[[#Headers],[Hole 1]:[Hole 18]], 0)
),"")</f>
        <v>5</v>
      </c>
      <c r="L119" cm="1">
        <f t="array" ref="L119">IFERROR(
  INDEX('Golf Log'!$E$2:$V$72,
    MATCH(1,
      ('Golf Log'!$A$2:$A$72=$A119)*
      ('Golf Log'!$B$2:$B$72=$B119)*
      ('Golf Log'!$C$2:$C$72=$C119),
    0),
    MATCH($G119,'Golf Log'!$E$1:$V$1,0)
  ),
"")</f>
        <v>5</v>
      </c>
      <c r="M119">
        <f t="shared" si="8"/>
        <v>0</v>
      </c>
      <c r="N119" t="str">
        <f t="shared" si="5"/>
        <v>Par</v>
      </c>
      <c r="O119" cm="1">
        <f t="array" ref="O119">IFERROR(
  INDEX('Putt Log'!$E$2:$V$72,
    MATCH(1,
      ('Putt Log'!$A$2:$A$72=$A119)*
      ('Putt Log'!$B$2:$B$72=$B119)*
      ('Putt Log'!$C$2:$C$72=$C119),
    0),
    MATCH($G119,'Putt Log'!$E$1:$V$1,0)
  ),
"")</f>
        <v>2</v>
      </c>
      <c r="P119" cm="1">
        <f t="array" ref="P119">IF(K119=3,"",
  IFERROR(
    INDEX('Fairway Log'!$E$2:$V$72,
      MATCH(1,
        ('Fairway Log'!$A$2:$A$72=$A119)*
        ('Fairway Log'!$B$2:$B$72=$B119)*
        ('Fairway Log'!$C$2:$C190=$C119),
      0),
      MATCH($G119,'Fairway Log'!$E$1:$V$1,0)
    ),
  "")
)</f>
        <v>1</v>
      </c>
      <c r="Q119" cm="1">
        <f t="array" ref="Q119">IFERROR(
  INDEX('GIR Log'!$E$2:$V$72,
    MATCH(1,
      ('GIR Log'!$A$2:$A$72=$A119)*
      ('GIR Log'!$B$2:$B$72=$B119)*
      ('GIR Log'!$C$2:$C$72=$C119),
    0),
    MATCH($G119,'GIR Log'!$E$1:$V$1,0)
  ),
"")</f>
        <v>1</v>
      </c>
    </row>
    <row r="120" spans="1:17" x14ac:dyDescent="0.25">
      <c r="A120" s="20" t="s">
        <v>126</v>
      </c>
      <c r="B120" s="2">
        <v>45535</v>
      </c>
      <c r="C120" t="s">
        <v>9</v>
      </c>
      <c r="D120" t="s">
        <v>9</v>
      </c>
      <c r="E120" t="s">
        <v>36</v>
      </c>
      <c r="F120">
        <v>87</v>
      </c>
      <c r="G120" t="s">
        <v>57</v>
      </c>
      <c r="H120" s="9">
        <f t="shared" si="3"/>
        <v>11</v>
      </c>
      <c r="I120" cm="1">
        <f t="array" ref="I120">IFERROR(INDEX(CourseYardages[[Hole 1]:[Hole 18]],
  MATCH(1, (CourseYardages[Course]=C120)*(CourseYardages[Tees]=E120), 0),
  MATCH(G120, CourseYardages[[#Headers],[Hole 1]:[Hole 18]], 0)
),"")</f>
        <v>173</v>
      </c>
      <c r="J120" cm="1">
        <f t="array" ref="J120">IFERROR(INDEX(CourseHandicap[[Hole 1]:[Hole 18]],
  MATCH(1, (CourseHandicap[Course]=C120)*(CourseHandicap[Tees]=E120), 0),
  MATCH(G120, CourseHandicap[[#Headers],[Hole 1]:[Hole 18]], 0)
),"")</f>
        <v>11</v>
      </c>
      <c r="K120" cm="1">
        <f t="array" ref="K120">IFERROR(INDEX(CourseRatings[[Hole 1]:[Hole 18]],
  MATCH(1, (CourseRatings[Course]=C120)*(CourseRatings[Tees]=E120), 0),
  MATCH(G120, CourseRatings[[#Headers],[Hole 1]:[Hole 18]], 0)
),"")</f>
        <v>3</v>
      </c>
      <c r="L120" cm="1">
        <f t="array" ref="L120">IFERROR(
  INDEX('Golf Log'!$E$2:$V$72,
    MATCH(1,
      ('Golf Log'!$A$2:$A$72=$A120)*
      ('Golf Log'!$B$2:$B$72=$B120)*
      ('Golf Log'!$C$2:$C$72=$C120),
    0),
    MATCH($G120,'Golf Log'!$E$1:$V$1,0)
  ),
"")</f>
        <v>5</v>
      </c>
      <c r="M120">
        <f t="shared" si="8"/>
        <v>2</v>
      </c>
      <c r="N120" t="str">
        <f t="shared" si="5"/>
        <v>Double Bogey</v>
      </c>
      <c r="O120" cm="1">
        <f t="array" ref="O120">IFERROR(
  INDEX('Putt Log'!$E$2:$V$72,
    MATCH(1,
      ('Putt Log'!$A$2:$A$72=$A120)*
      ('Putt Log'!$B$2:$B$72=$B120)*
      ('Putt Log'!$C$2:$C$72=$C120),
    0),
    MATCH($G120,'Putt Log'!$E$1:$V$1,0)
  ),
"")</f>
        <v>2</v>
      </c>
      <c r="P120" t="str" cm="1">
        <f t="array" ref="P120">IF(K120=3,"",
  IFERROR(
    INDEX('Fairway Log'!$E$2:$V$72,
      MATCH(1,
        ('Fairway Log'!$A$2:$A$72=$A120)*
        ('Fairway Log'!$B$2:$B$72=$B120)*
        ('Fairway Log'!$C$2:$C191=$C120),
      0),
      MATCH($G120,'Fairway Log'!$E$1:$V$1,0)
    ),
  "")
)</f>
        <v/>
      </c>
      <c r="Q120" t="str" cm="1">
        <f t="array" ref="Q120">IFERROR(
  INDEX('GIR Log'!$E$2:$V$72,
    MATCH(1,
      ('GIR Log'!$A$2:$A$72=$A120)*
      ('GIR Log'!$B$2:$B$72=$B120)*
      ('GIR Log'!$C$2:$C$72=$C120),
    0),
    MATCH($G120,'GIR Log'!$E$1:$V$1,0)
  ),
"")</f>
        <v>↓</v>
      </c>
    </row>
    <row r="121" spans="1:17" x14ac:dyDescent="0.25">
      <c r="A121" s="20" t="s">
        <v>126</v>
      </c>
      <c r="B121" s="2">
        <v>45535</v>
      </c>
      <c r="C121" t="s">
        <v>9</v>
      </c>
      <c r="D121" t="s">
        <v>9</v>
      </c>
      <c r="E121" t="s">
        <v>36</v>
      </c>
      <c r="F121">
        <v>87</v>
      </c>
      <c r="G121" t="s">
        <v>58</v>
      </c>
      <c r="H121" s="9">
        <f t="shared" si="3"/>
        <v>12</v>
      </c>
      <c r="I121" cm="1">
        <f t="array" ref="I121">IFERROR(INDEX(CourseYardages[[Hole 1]:[Hole 18]],
  MATCH(1, (CourseYardages[Course]=C121)*(CourseYardages[Tees]=E121), 0),
  MATCH(G121, CourseYardages[[#Headers],[Hole 1]:[Hole 18]], 0)
),"")</f>
        <v>300</v>
      </c>
      <c r="J121" cm="1">
        <f t="array" ref="J121">IFERROR(INDEX(CourseHandicap[[Hole 1]:[Hole 18]],
  MATCH(1, (CourseHandicap[Course]=C121)*(CourseHandicap[Tees]=E121), 0),
  MATCH(G121, CourseHandicap[[#Headers],[Hole 1]:[Hole 18]], 0)
),"")</f>
        <v>17</v>
      </c>
      <c r="K121" cm="1">
        <f t="array" ref="K121">IFERROR(INDEX(CourseRatings[[Hole 1]:[Hole 18]],
  MATCH(1, (CourseRatings[Course]=C121)*(CourseRatings[Tees]=E121), 0),
  MATCH(G121, CourseRatings[[#Headers],[Hole 1]:[Hole 18]], 0)
),"")</f>
        <v>4</v>
      </c>
      <c r="L121" cm="1">
        <f t="array" ref="L121">IFERROR(
  INDEX('Golf Log'!$E$2:$V$72,
    MATCH(1,
      ('Golf Log'!$A$2:$A$72=$A121)*
      ('Golf Log'!$B$2:$B$72=$B121)*
      ('Golf Log'!$C$2:$C$72=$C121),
    0),
    MATCH($G121,'Golf Log'!$E$1:$V$1,0)
  ),
"")</f>
        <v>4</v>
      </c>
      <c r="M121">
        <f t="shared" si="8"/>
        <v>0</v>
      </c>
      <c r="N121" t="str">
        <f t="shared" si="5"/>
        <v>Par</v>
      </c>
      <c r="O121" cm="1">
        <f t="array" ref="O121">IFERROR(
  INDEX('Putt Log'!$E$2:$V$72,
    MATCH(1,
      ('Putt Log'!$A$2:$A$72=$A121)*
      ('Putt Log'!$B$2:$B$72=$B121)*
      ('Putt Log'!$C$2:$C$72=$C121),
    0),
    MATCH($G121,'Putt Log'!$E$1:$V$1,0)
  ),
"")</f>
        <v>2</v>
      </c>
      <c r="P121" cm="1">
        <f t="array" ref="P121">IF(K121=3,"",
  IFERROR(
    INDEX('Fairway Log'!$E$2:$V$72,
      MATCH(1,
        ('Fairway Log'!$A$2:$A$72=$A121)*
        ('Fairway Log'!$B$2:$B$72=$B121)*
        ('Fairway Log'!$C$2:$C192=$C121),
      0),
      MATCH($G121,'Fairway Log'!$E$1:$V$1,0)
    ),
  "")
)</f>
        <v>1</v>
      </c>
      <c r="Q121" cm="1">
        <f t="array" ref="Q121">IFERROR(
  INDEX('GIR Log'!$E$2:$V$72,
    MATCH(1,
      ('GIR Log'!$A$2:$A$72=$A121)*
      ('GIR Log'!$B$2:$B$72=$B121)*
      ('GIR Log'!$C$2:$C$72=$C121),
    0),
    MATCH($G121,'GIR Log'!$E$1:$V$1,0)
  ),
"")</f>
        <v>1</v>
      </c>
    </row>
    <row r="122" spans="1:17" x14ac:dyDescent="0.25">
      <c r="A122" s="20" t="s">
        <v>126</v>
      </c>
      <c r="B122" s="2">
        <v>45535</v>
      </c>
      <c r="C122" t="s">
        <v>9</v>
      </c>
      <c r="D122" t="s">
        <v>9</v>
      </c>
      <c r="E122" t="s">
        <v>36</v>
      </c>
      <c r="F122">
        <v>87</v>
      </c>
      <c r="G122" t="s">
        <v>59</v>
      </c>
      <c r="H122" s="9">
        <f t="shared" si="3"/>
        <v>13</v>
      </c>
      <c r="I122" cm="1">
        <f t="array" ref="I122">IFERROR(INDEX(CourseYardages[[Hole 1]:[Hole 18]],
  MATCH(1, (CourseYardages[Course]=C122)*(CourseYardages[Tees]=E122), 0),
  MATCH(G122, CourseYardages[[#Headers],[Hole 1]:[Hole 18]], 0)
),"")</f>
        <v>410</v>
      </c>
      <c r="J122" cm="1">
        <f t="array" ref="J122">IFERROR(INDEX(CourseHandicap[[Hole 1]:[Hole 18]],
  MATCH(1, (CourseHandicap[Course]=C122)*(CourseHandicap[Tees]=E122), 0),
  MATCH(G122, CourseHandicap[[#Headers],[Hole 1]:[Hole 18]], 0)
),"")</f>
        <v>1</v>
      </c>
      <c r="K122" cm="1">
        <f t="array" ref="K122">IFERROR(INDEX(CourseRatings[[Hole 1]:[Hole 18]],
  MATCH(1, (CourseRatings[Course]=C122)*(CourseRatings[Tees]=E122), 0),
  MATCH(G122, CourseRatings[[#Headers],[Hole 1]:[Hole 18]], 0)
),"")</f>
        <v>4</v>
      </c>
      <c r="L122" cm="1">
        <f t="array" ref="L122">IFERROR(
  INDEX('Golf Log'!$E$2:$V$72,
    MATCH(1,
      ('Golf Log'!$A$2:$A$72=$A122)*
      ('Golf Log'!$B$2:$B$72=$B122)*
      ('Golf Log'!$C$2:$C$72=$C122),
    0),
    MATCH($G122,'Golf Log'!$E$1:$V$1,0)
  ),
"")</f>
        <v>5</v>
      </c>
      <c r="M122">
        <f t="shared" si="8"/>
        <v>1</v>
      </c>
      <c r="N122" t="str">
        <f t="shared" si="5"/>
        <v>Bogey</v>
      </c>
      <c r="O122" cm="1">
        <f t="array" ref="O122">IFERROR(
  INDEX('Putt Log'!$E$2:$V$72,
    MATCH(1,
      ('Putt Log'!$A$2:$A$72=$A122)*
      ('Putt Log'!$B$2:$B$72=$B122)*
      ('Putt Log'!$C$2:$C$72=$C122),
    0),
    MATCH($G122,'Putt Log'!$E$1:$V$1,0)
  ),
"")</f>
        <v>2</v>
      </c>
      <c r="P122" t="str" cm="1">
        <f t="array" ref="P122">IF(K122=3,"",
  IFERROR(
    INDEX('Fairway Log'!$E$2:$V$72,
      MATCH(1,
        ('Fairway Log'!$A$2:$A$72=$A122)*
        ('Fairway Log'!$B$2:$B$72=$B122)*
        ('Fairway Log'!$C$2:$C193=$C122),
      0),
      MATCH($G122,'Fairway Log'!$E$1:$V$1,0)
    ),
  "")
)</f>
        <v>→</v>
      </c>
      <c r="Q122" t="str" cm="1">
        <f t="array" ref="Q122">IFERROR(
  INDEX('GIR Log'!$E$2:$V$72,
    MATCH(1,
      ('GIR Log'!$A$2:$A$72=$A122)*
      ('GIR Log'!$B$2:$B$72=$B122)*
      ('GIR Log'!$C$2:$C$72=$C122),
    0),
    MATCH($G122,'GIR Log'!$E$1:$V$1,0)
  ),
"")</f>
        <v>←</v>
      </c>
    </row>
    <row r="123" spans="1:17" x14ac:dyDescent="0.25">
      <c r="A123" s="20" t="s">
        <v>126</v>
      </c>
      <c r="B123" s="2">
        <v>45535</v>
      </c>
      <c r="C123" t="s">
        <v>9</v>
      </c>
      <c r="D123" t="s">
        <v>9</v>
      </c>
      <c r="E123" t="s">
        <v>36</v>
      </c>
      <c r="F123">
        <v>87</v>
      </c>
      <c r="G123" t="s">
        <v>60</v>
      </c>
      <c r="H123" s="9">
        <f t="shared" si="3"/>
        <v>14</v>
      </c>
      <c r="I123" cm="1">
        <f t="array" ref="I123">IFERROR(INDEX(CourseYardages[[Hole 1]:[Hole 18]],
  MATCH(1, (CourseYardages[Course]=C123)*(CourseYardages[Tees]=E123), 0),
  MATCH(G123, CourseYardages[[#Headers],[Hole 1]:[Hole 18]], 0)
),"")</f>
        <v>178</v>
      </c>
      <c r="J123" cm="1">
        <f t="array" ref="J123">IFERROR(INDEX(CourseHandicap[[Hole 1]:[Hole 18]],
  MATCH(1, (CourseHandicap[Course]=C123)*(CourseHandicap[Tees]=E123), 0),
  MATCH(G123, CourseHandicap[[#Headers],[Hole 1]:[Hole 18]], 0)
),"")</f>
        <v>9</v>
      </c>
      <c r="K123" cm="1">
        <f t="array" ref="K123">IFERROR(INDEX(CourseRatings[[Hole 1]:[Hole 18]],
  MATCH(1, (CourseRatings[Course]=C123)*(CourseRatings[Tees]=E123), 0),
  MATCH(G123, CourseRatings[[#Headers],[Hole 1]:[Hole 18]], 0)
),"")</f>
        <v>3</v>
      </c>
      <c r="L123" cm="1">
        <f t="array" ref="L123">IFERROR(
  INDEX('Golf Log'!$E$2:$V$72,
    MATCH(1,
      ('Golf Log'!$A$2:$A$72=$A123)*
      ('Golf Log'!$B$2:$B$72=$B123)*
      ('Golf Log'!$C$2:$C$72=$C123),
    0),
    MATCH($G123,'Golf Log'!$E$1:$V$1,0)
  ),
"")</f>
        <v>4</v>
      </c>
      <c r="M123">
        <f t="shared" si="8"/>
        <v>1</v>
      </c>
      <c r="N123" t="str">
        <f t="shared" si="5"/>
        <v>Bogey</v>
      </c>
      <c r="O123" cm="1">
        <f t="array" ref="O123">IFERROR(
  INDEX('Putt Log'!$E$2:$V$72,
    MATCH(1,
      ('Putt Log'!$A$2:$A$72=$A123)*
      ('Putt Log'!$B$2:$B$72=$B123)*
      ('Putt Log'!$C$2:$C$72=$C123),
    0),
    MATCH($G123,'Putt Log'!$E$1:$V$1,0)
  ),
"")</f>
        <v>1</v>
      </c>
      <c r="P123" t="str" cm="1">
        <f t="array" ref="P123">IF(K123=3,"",
  IFERROR(
    INDEX('Fairway Log'!$E$2:$V$72,
      MATCH(1,
        ('Fairway Log'!$A$2:$A$72=$A123)*
        ('Fairway Log'!$B$2:$B$72=$B123)*
        ('Fairway Log'!$C$2:$C194=$C123),
      0),
      MATCH($G123,'Fairway Log'!$E$1:$V$1,0)
    ),
  "")
)</f>
        <v/>
      </c>
      <c r="Q123" t="str" cm="1">
        <f t="array" ref="Q123">IFERROR(
  INDEX('GIR Log'!$E$2:$V$72,
    MATCH(1,
      ('GIR Log'!$A$2:$A$72=$A123)*
      ('GIR Log'!$B$2:$B$72=$B123)*
      ('GIR Log'!$C$2:$C$72=$C123),
    0),
    MATCH($G123,'GIR Log'!$E$1:$V$1,0)
  ),
"")</f>
        <v>↓</v>
      </c>
    </row>
    <row r="124" spans="1:17" x14ac:dyDescent="0.25">
      <c r="A124" s="20" t="s">
        <v>126</v>
      </c>
      <c r="B124" s="2">
        <v>45535</v>
      </c>
      <c r="C124" t="s">
        <v>9</v>
      </c>
      <c r="D124" t="s">
        <v>9</v>
      </c>
      <c r="E124" t="s">
        <v>36</v>
      </c>
      <c r="F124">
        <v>87</v>
      </c>
      <c r="G124" t="s">
        <v>61</v>
      </c>
      <c r="H124" s="9">
        <f t="shared" si="3"/>
        <v>15</v>
      </c>
      <c r="I124" cm="1">
        <f t="array" ref="I124">IFERROR(INDEX(CourseYardages[[Hole 1]:[Hole 18]],
  MATCH(1, (CourseYardages[Course]=C124)*(CourseYardages[Tees]=E124), 0),
  MATCH(G124, CourseYardages[[#Headers],[Hole 1]:[Hole 18]], 0)
),"")</f>
        <v>355</v>
      </c>
      <c r="J124" cm="1">
        <f t="array" ref="J124">IFERROR(INDEX(CourseHandicap[[Hole 1]:[Hole 18]],
  MATCH(1, (CourseHandicap[Course]=C124)*(CourseHandicap[Tees]=E124), 0),
  MATCH(G124, CourseHandicap[[#Headers],[Hole 1]:[Hole 18]], 0)
),"")</f>
        <v>7</v>
      </c>
      <c r="K124" cm="1">
        <f t="array" ref="K124">IFERROR(INDEX(CourseRatings[[Hole 1]:[Hole 18]],
  MATCH(1, (CourseRatings[Course]=C124)*(CourseRatings[Tees]=E124), 0),
  MATCH(G124, CourseRatings[[#Headers],[Hole 1]:[Hole 18]], 0)
),"")</f>
        <v>4</v>
      </c>
      <c r="L124" cm="1">
        <f t="array" ref="L124">IFERROR(
  INDEX('Golf Log'!$E$2:$V$72,
    MATCH(1,
      ('Golf Log'!$A$2:$A$72=$A124)*
      ('Golf Log'!$B$2:$B$72=$B124)*
      ('Golf Log'!$C$2:$C$72=$C124),
    0),
    MATCH($G124,'Golf Log'!$E$1:$V$1,0)
  ),
"")</f>
        <v>4</v>
      </c>
      <c r="M124">
        <f t="shared" si="8"/>
        <v>0</v>
      </c>
      <c r="N124" t="str">
        <f t="shared" si="5"/>
        <v>Par</v>
      </c>
      <c r="O124" cm="1">
        <f t="array" ref="O124">IFERROR(
  INDEX('Putt Log'!$E$2:$V$72,
    MATCH(1,
      ('Putt Log'!$A$2:$A$72=$A124)*
      ('Putt Log'!$B$2:$B$72=$B124)*
      ('Putt Log'!$C$2:$C$72=$C124),
    0),
    MATCH($G124,'Putt Log'!$E$1:$V$1,0)
  ),
"")</f>
        <v>1</v>
      </c>
      <c r="P124" t="str" cm="1">
        <f t="array" ref="P124">IF(K124=3,"",
  IFERROR(
    INDEX('Fairway Log'!$E$2:$V$72,
      MATCH(1,
        ('Fairway Log'!$A$2:$A$72=$A124)*
        ('Fairway Log'!$B$2:$B$72=$B124)*
        ('Fairway Log'!$C$2:$C195=$C124),
      0),
      MATCH($G124,'Fairway Log'!$E$1:$V$1,0)
    ),
  "")
)</f>
        <v>→</v>
      </c>
      <c r="Q124" t="str" cm="1">
        <f t="array" ref="Q124">IFERROR(
  INDEX('GIR Log'!$E$2:$V$72,
    MATCH(1,
      ('GIR Log'!$A$2:$A$72=$A124)*
      ('GIR Log'!$B$2:$B$72=$B124)*
      ('GIR Log'!$C$2:$C$72=$C124),
    0),
    MATCH($G124,'GIR Log'!$E$1:$V$1,0)
  ),
"")</f>
        <v>→</v>
      </c>
    </row>
    <row r="125" spans="1:17" x14ac:dyDescent="0.25">
      <c r="A125" s="20" t="s">
        <v>126</v>
      </c>
      <c r="B125" s="2">
        <v>45535</v>
      </c>
      <c r="C125" t="s">
        <v>9</v>
      </c>
      <c r="D125" t="s">
        <v>9</v>
      </c>
      <c r="E125" t="s">
        <v>36</v>
      </c>
      <c r="F125">
        <v>87</v>
      </c>
      <c r="G125" t="s">
        <v>62</v>
      </c>
      <c r="H125" s="9">
        <f t="shared" si="3"/>
        <v>16</v>
      </c>
      <c r="I125" cm="1">
        <f t="array" ref="I125">IFERROR(INDEX(CourseYardages[[Hole 1]:[Hole 18]],
  MATCH(1, (CourseYardages[Course]=C125)*(CourseYardages[Tees]=E125), 0),
  MATCH(G125, CourseYardages[[#Headers],[Hole 1]:[Hole 18]], 0)
),"")</f>
        <v>300</v>
      </c>
      <c r="J125" cm="1">
        <f t="array" ref="J125">IFERROR(INDEX(CourseHandicap[[Hole 1]:[Hole 18]],
  MATCH(1, (CourseHandicap[Course]=C125)*(CourseHandicap[Tees]=E125), 0),
  MATCH(G125, CourseHandicap[[#Headers],[Hole 1]:[Hole 18]], 0)
),"")</f>
        <v>13</v>
      </c>
      <c r="K125" cm="1">
        <f t="array" ref="K125">IFERROR(INDEX(CourseRatings[[Hole 1]:[Hole 18]],
  MATCH(1, (CourseRatings[Course]=C125)*(CourseRatings[Tees]=E125), 0),
  MATCH(G125, CourseRatings[[#Headers],[Hole 1]:[Hole 18]], 0)
),"")</f>
        <v>4</v>
      </c>
      <c r="L125" cm="1">
        <f t="array" ref="L125">IFERROR(
  INDEX('Golf Log'!$E$2:$V$72,
    MATCH(1,
      ('Golf Log'!$A$2:$A$72=$A125)*
      ('Golf Log'!$B$2:$B$72=$B125)*
      ('Golf Log'!$C$2:$C$72=$C125),
    0),
    MATCH($G125,'Golf Log'!$E$1:$V$1,0)
  ),
"")</f>
        <v>5</v>
      </c>
      <c r="M125">
        <f t="shared" si="8"/>
        <v>1</v>
      </c>
      <c r="N125" t="str">
        <f t="shared" si="5"/>
        <v>Bogey</v>
      </c>
      <c r="O125" cm="1">
        <f t="array" ref="O125">IFERROR(
  INDEX('Putt Log'!$E$2:$V$72,
    MATCH(1,
      ('Putt Log'!$A$2:$A$72=$A125)*
      ('Putt Log'!$B$2:$B$72=$B125)*
      ('Putt Log'!$C$2:$C$72=$C125),
    0),
    MATCH($G125,'Putt Log'!$E$1:$V$1,0)
  ),
"")</f>
        <v>2</v>
      </c>
      <c r="P125" cm="1">
        <f t="array" ref="P125">IF(K125=3,"",
  IFERROR(
    INDEX('Fairway Log'!$E$2:$V$72,
      MATCH(1,
        ('Fairway Log'!$A$2:$A$72=$A125)*
        ('Fairway Log'!$B$2:$B$72=$B125)*
        ('Fairway Log'!$C$2:$C196=$C125),
      0),
      MATCH($G125,'Fairway Log'!$E$1:$V$1,0)
    ),
  "")
)</f>
        <v>1</v>
      </c>
      <c r="Q125" t="str" cm="1">
        <f t="array" ref="Q125">IFERROR(
  INDEX('GIR Log'!$E$2:$V$72,
    MATCH(1,
      ('GIR Log'!$A$2:$A$72=$A125)*
      ('GIR Log'!$B$2:$B$72=$B125)*
      ('GIR Log'!$C$2:$C$72=$C125),
    0),
    MATCH($G125,'GIR Log'!$E$1:$V$1,0)
  ),
"")</f>
        <v>↓</v>
      </c>
    </row>
    <row r="126" spans="1:17" x14ac:dyDescent="0.25">
      <c r="A126" s="20" t="s">
        <v>126</v>
      </c>
      <c r="B126" s="2">
        <v>45535</v>
      </c>
      <c r="C126" t="s">
        <v>9</v>
      </c>
      <c r="D126" t="s">
        <v>9</v>
      </c>
      <c r="E126" t="s">
        <v>36</v>
      </c>
      <c r="F126">
        <v>87</v>
      </c>
      <c r="G126" t="s">
        <v>63</v>
      </c>
      <c r="H126" s="9">
        <f t="shared" si="3"/>
        <v>17</v>
      </c>
      <c r="I126" cm="1">
        <f t="array" ref="I126">IFERROR(INDEX(CourseYardages[[Hole 1]:[Hole 18]],
  MATCH(1, (CourseYardages[Course]=C126)*(CourseYardages[Tees]=E126), 0),
  MATCH(G126, CourseYardages[[#Headers],[Hole 1]:[Hole 18]], 0)
),"")</f>
        <v>475</v>
      </c>
      <c r="J126" cm="1">
        <f t="array" ref="J126">IFERROR(INDEX(CourseHandicap[[Hole 1]:[Hole 18]],
  MATCH(1, (CourseHandicap[Course]=C126)*(CourseHandicap[Tees]=E126), 0),
  MATCH(G126, CourseHandicap[[#Headers],[Hole 1]:[Hole 18]], 0)
),"")</f>
        <v>5</v>
      </c>
      <c r="K126" cm="1">
        <f t="array" ref="K126">IFERROR(INDEX(CourseRatings[[Hole 1]:[Hole 18]],
  MATCH(1, (CourseRatings[Course]=C126)*(CourseRatings[Tees]=E126), 0),
  MATCH(G126, CourseRatings[[#Headers],[Hole 1]:[Hole 18]], 0)
),"")</f>
        <v>5</v>
      </c>
      <c r="L126" cm="1">
        <f t="array" ref="L126">IFERROR(
  INDEX('Golf Log'!$E$2:$V$72,
    MATCH(1,
      ('Golf Log'!$A$2:$A$72=$A126)*
      ('Golf Log'!$B$2:$B$72=$B126)*
      ('Golf Log'!$C$2:$C$72=$C126),
    0),
    MATCH($G126,'Golf Log'!$E$1:$V$1,0)
  ),
"")</f>
        <v>6</v>
      </c>
      <c r="M126">
        <f t="shared" si="8"/>
        <v>1</v>
      </c>
      <c r="N126" t="str">
        <f t="shared" si="5"/>
        <v>Bogey</v>
      </c>
      <c r="O126" cm="1">
        <f t="array" ref="O126">IFERROR(
  INDEX('Putt Log'!$E$2:$V$72,
    MATCH(1,
      ('Putt Log'!$A$2:$A$72=$A126)*
      ('Putt Log'!$B$2:$B$72=$B126)*
      ('Putt Log'!$C$2:$C$72=$C126),
    0),
    MATCH($G126,'Putt Log'!$E$1:$V$1,0)
  ),
"")</f>
        <v>2</v>
      </c>
      <c r="P126" cm="1">
        <f t="array" ref="P126">IF(K126=3,"",
  IFERROR(
    INDEX('Fairway Log'!$E$2:$V$72,
      MATCH(1,
        ('Fairway Log'!$A$2:$A$72=$A126)*
        ('Fairway Log'!$B$2:$B$72=$B126)*
        ('Fairway Log'!$C$2:$C197=$C126),
      0),
      MATCH($G126,'Fairway Log'!$E$1:$V$1,0)
    ),
  "")
)</f>
        <v>1</v>
      </c>
      <c r="Q126" t="str" cm="1">
        <f t="array" ref="Q126">IFERROR(
  INDEX('GIR Log'!$E$2:$V$72,
    MATCH(1,
      ('GIR Log'!$A$2:$A$72=$A126)*
      ('GIR Log'!$B$2:$B$72=$B126)*
      ('GIR Log'!$C$2:$C$72=$C126),
    0),
    MATCH($G126,'GIR Log'!$E$1:$V$1,0)
  ),
"")</f>
        <v>←</v>
      </c>
    </row>
    <row r="127" spans="1:17" x14ac:dyDescent="0.25">
      <c r="A127" s="20" t="s">
        <v>126</v>
      </c>
      <c r="B127" s="2">
        <v>45535</v>
      </c>
      <c r="C127" t="s">
        <v>9</v>
      </c>
      <c r="D127" t="s">
        <v>9</v>
      </c>
      <c r="E127" t="s">
        <v>36</v>
      </c>
      <c r="F127">
        <v>87</v>
      </c>
      <c r="G127" t="s">
        <v>64</v>
      </c>
      <c r="H127" s="9">
        <f t="shared" si="3"/>
        <v>18</v>
      </c>
      <c r="I127" cm="1">
        <f t="array" ref="I127">IFERROR(INDEX(CourseYardages[[Hole 1]:[Hole 18]],
  MATCH(1, (CourseYardages[Course]=C127)*(CourseYardages[Tees]=E127), 0),
  MATCH(G127, CourseYardages[[#Headers],[Hole 1]:[Hole 18]], 0)
),"")</f>
        <v>347</v>
      </c>
      <c r="J127" cm="1">
        <f t="array" ref="J127">IFERROR(INDEX(CourseHandicap[[Hole 1]:[Hole 18]],
  MATCH(1, (CourseHandicap[Course]=C127)*(CourseHandicap[Tees]=E127), 0),
  MATCH(G127, CourseHandicap[[#Headers],[Hole 1]:[Hole 18]], 0)
),"")</f>
        <v>15</v>
      </c>
      <c r="K127" cm="1">
        <f t="array" ref="K127">IFERROR(INDEX(CourseRatings[[Hole 1]:[Hole 18]],
  MATCH(1, (CourseRatings[Course]=C127)*(CourseRatings[Tees]=E127), 0),
  MATCH(G127, CourseRatings[[#Headers],[Hole 1]:[Hole 18]], 0)
),"")</f>
        <v>4</v>
      </c>
      <c r="L127" cm="1">
        <f t="array" ref="L127">IFERROR(
  INDEX('Golf Log'!$E$2:$V$72,
    MATCH(1,
      ('Golf Log'!$A$2:$A$72=$A127)*
      ('Golf Log'!$B$2:$B$72=$B127)*
      ('Golf Log'!$C$2:$C$72=$C127),
    0),
    MATCH($G127,'Golf Log'!$E$1:$V$1,0)
  ),
"")</f>
        <v>4</v>
      </c>
      <c r="M127">
        <f t="shared" si="8"/>
        <v>0</v>
      </c>
      <c r="N127" t="str">
        <f t="shared" si="5"/>
        <v>Par</v>
      </c>
      <c r="O127" cm="1">
        <f t="array" ref="O127">IFERROR(
  INDEX('Putt Log'!$E$2:$V$72,
    MATCH(1,
      ('Putt Log'!$A$2:$A$72=$A127)*
      ('Putt Log'!$B$2:$B$72=$B127)*
      ('Putt Log'!$C$2:$C$72=$C127),
    0),
    MATCH($G127,'Putt Log'!$E$1:$V$1,0)
  ),
"")</f>
        <v>2</v>
      </c>
      <c r="P127" t="str" cm="1">
        <f t="array" ref="P127">IF(K127=3,"",
  IFERROR(
    INDEX('Fairway Log'!$E$2:$V$72,
      MATCH(1,
        ('Fairway Log'!$A$2:$A$72=$A127)*
        ('Fairway Log'!$B$2:$B$72=$B127)*
        ('Fairway Log'!$C$2:$C198=$C127),
      0),
      MATCH($G127,'Fairway Log'!$E$1:$V$1,0)
    ),
  "")
)</f>
        <v>→</v>
      </c>
      <c r="Q127" cm="1">
        <f t="array" ref="Q127">IFERROR(
  INDEX('GIR Log'!$E$2:$V$72,
    MATCH(1,
      ('GIR Log'!$A$2:$A$72=$A127)*
      ('GIR Log'!$B$2:$B$72=$B127)*
      ('GIR Log'!$C$2:$C$72=$C127),
    0),
    MATCH($G127,'GIR Log'!$E$1:$V$1,0)
  ),
"")</f>
        <v>1</v>
      </c>
    </row>
    <row r="128" spans="1:17" x14ac:dyDescent="0.25">
      <c r="A128" s="20" t="s">
        <v>126</v>
      </c>
      <c r="B128" s="2">
        <v>45514</v>
      </c>
      <c r="C128" t="s">
        <v>6</v>
      </c>
      <c r="D128" t="s">
        <v>75</v>
      </c>
      <c r="E128" t="s">
        <v>34</v>
      </c>
      <c r="F128">
        <v>85</v>
      </c>
      <c r="G128" t="s">
        <v>47</v>
      </c>
      <c r="H128" s="9">
        <f t="shared" si="3"/>
        <v>1</v>
      </c>
      <c r="I128" cm="1">
        <f t="array" ref="I128">IFERROR(INDEX(CourseYardages[[Hole 1]:[Hole 18]],
  MATCH(1, (CourseYardages[Course]=C128)*(CourseYardages[Tees]=E128), 0),
  MATCH(G128, CourseYardages[[#Headers],[Hole 1]:[Hole 18]], 0)
),"")</f>
        <v>489</v>
      </c>
      <c r="J128" cm="1">
        <f t="array" ref="J128">IFERROR(INDEX(CourseHandicap[[Hole 1]:[Hole 18]],
  MATCH(1, (CourseHandicap[Course]=C128)*(CourseHandicap[Tees]=E128), 0),
  MATCH(G128, CourseHandicap[[#Headers],[Hole 1]:[Hole 18]], 0)
),"")</f>
        <v>6</v>
      </c>
      <c r="K128" cm="1">
        <f t="array" ref="K128">IFERROR(INDEX(CourseRatings[[Hole 1]:[Hole 18]],
  MATCH(1, (CourseRatings[Course]=C128)*(CourseRatings[Tees]=E128), 0),
  MATCH(G128, CourseRatings[[#Headers],[Hole 1]:[Hole 18]], 0)
),"")</f>
        <v>5</v>
      </c>
      <c r="L128" cm="1">
        <f t="array" ref="L128">IFERROR(
  INDEX('Golf Log'!$E$2:$V$72,
    MATCH(1,
      ('Golf Log'!$A$2:$A$72=$A128)*
      ('Golf Log'!$B$2:$B$72=$B128)*
      ('Golf Log'!$C$2:$C$72=$C128),
    0),
    MATCH($G128,'Golf Log'!$E$1:$V$1,0)
  ),
"")</f>
        <v>7</v>
      </c>
      <c r="M128">
        <f t="shared" si="8"/>
        <v>2</v>
      </c>
      <c r="N128" t="str">
        <f t="shared" si="5"/>
        <v>Double Bogey</v>
      </c>
      <c r="O128" cm="1">
        <f t="array" ref="O128">IFERROR(
  INDEX('Putt Log'!$E$2:$V$72,
    MATCH(1,
      ('Putt Log'!$A$2:$A$72=$A128)*
      ('Putt Log'!$B$2:$B$72=$B128)*
      ('Putt Log'!$C$2:$C$72=$C128),
    0),
    MATCH($G128,'Putt Log'!$E$1:$V$1,0)
  ),
"")</f>
        <v>2</v>
      </c>
      <c r="P128" t="str" cm="1">
        <f t="array" ref="P128">IF(K128=3,"",
  IFERROR(
    INDEX('Fairway Log'!$E$2:$V$72,
      MATCH(1,
        ('Fairway Log'!$A$2:$A$72=$A128)*
        ('Fairway Log'!$B$2:$B$72=$B128)*
        ('Fairway Log'!$C$2:$C199=$C128),
      0),
      MATCH($G128,'Fairway Log'!$E$1:$V$1,0)
    ),
  "")
)</f>
        <v>→</v>
      </c>
      <c r="Q128" t="str" cm="1">
        <f t="array" ref="Q128">IFERROR(
  INDEX('GIR Log'!$E$2:$V$72,
    MATCH(1,
      ('GIR Log'!$A$2:$A$72=$A128)*
      ('GIR Log'!$B$2:$B$72=$B128)*
      ('GIR Log'!$C$2:$C$72=$C128),
    0),
    MATCH($G128,'GIR Log'!$E$1:$V$1,0)
  ),
"")</f>
        <v>NC</v>
      </c>
    </row>
    <row r="129" spans="1:17" x14ac:dyDescent="0.25">
      <c r="A129" s="20" t="s">
        <v>126</v>
      </c>
      <c r="B129" s="2">
        <v>45514</v>
      </c>
      <c r="C129" t="s">
        <v>6</v>
      </c>
      <c r="D129" t="s">
        <v>75</v>
      </c>
      <c r="E129" t="s">
        <v>34</v>
      </c>
      <c r="F129">
        <v>85</v>
      </c>
      <c r="G129" t="s">
        <v>48</v>
      </c>
      <c r="H129" s="9">
        <f t="shared" si="3"/>
        <v>2</v>
      </c>
      <c r="I129" cm="1">
        <f t="array" ref="I129">IFERROR(INDEX(CourseYardages[[Hole 1]:[Hole 18]],
  MATCH(1, (CourseYardages[Course]=C129)*(CourseYardages[Tees]=E129), 0),
  MATCH(G129, CourseYardages[[#Headers],[Hole 1]:[Hole 18]], 0)
),"")</f>
        <v>372</v>
      </c>
      <c r="J129" cm="1">
        <f t="array" ref="J129">IFERROR(INDEX(CourseHandicap[[Hole 1]:[Hole 18]],
  MATCH(1, (CourseHandicap[Course]=C129)*(CourseHandicap[Tees]=E129), 0),
  MATCH(G129, CourseHandicap[[#Headers],[Hole 1]:[Hole 18]], 0)
),"")</f>
        <v>2</v>
      </c>
      <c r="K129" cm="1">
        <f t="array" ref="K129">IFERROR(INDEX(CourseRatings[[Hole 1]:[Hole 18]],
  MATCH(1, (CourseRatings[Course]=C129)*(CourseRatings[Tees]=E129), 0),
  MATCH(G129, CourseRatings[[#Headers],[Hole 1]:[Hole 18]], 0)
),"")</f>
        <v>4</v>
      </c>
      <c r="L129" cm="1">
        <f t="array" ref="L129">IFERROR(
  INDEX('Golf Log'!$E$2:$V$72,
    MATCH(1,
      ('Golf Log'!$A$2:$A$72=$A129)*
      ('Golf Log'!$B$2:$B$72=$B129)*
      ('Golf Log'!$C$2:$C$72=$C129),
    0),
    MATCH($G129,'Golf Log'!$E$1:$V$1,0)
  ),
"")</f>
        <v>5</v>
      </c>
      <c r="M129">
        <f t="shared" ref="M129:M192" si="9">IFERROR(L129-K129,"")</f>
        <v>1</v>
      </c>
      <c r="N129" t="str">
        <f t="shared" si="5"/>
        <v>Bogey</v>
      </c>
      <c r="O129" cm="1">
        <f t="array" ref="O129">IFERROR(
  INDEX('Putt Log'!$E$2:$V$72,
    MATCH(1,
      ('Putt Log'!$A$2:$A$72=$A129)*
      ('Putt Log'!$B$2:$B$72=$B129)*
      ('Putt Log'!$C$2:$C$72=$C129),
    0),
    MATCH($G129,'Putt Log'!$E$1:$V$1,0)
  ),
"")</f>
        <v>2</v>
      </c>
      <c r="P129" cm="1">
        <f t="array" ref="P129">IF(K129=3,"",
  IFERROR(
    INDEX('Fairway Log'!$E$2:$V$72,
      MATCH(1,
        ('Fairway Log'!$A$2:$A$72=$A129)*
        ('Fairway Log'!$B$2:$B$72=$B129)*
        ('Fairway Log'!$C$2:$C200=$C129),
      0),
      MATCH($G129,'Fairway Log'!$E$1:$V$1,0)
    ),
  "")
)</f>
        <v>1</v>
      </c>
      <c r="Q129" t="str" cm="1">
        <f t="array" ref="Q129">IFERROR(
  INDEX('GIR Log'!$E$2:$V$72,
    MATCH(1,
      ('GIR Log'!$A$2:$A$72=$A129)*
      ('GIR Log'!$B$2:$B$72=$B129)*
      ('GIR Log'!$C$2:$C$72=$C129),
    0),
    MATCH($G129,'GIR Log'!$E$1:$V$1,0)
  ),
"")</f>
        <v>↓</v>
      </c>
    </row>
    <row r="130" spans="1:17" x14ac:dyDescent="0.25">
      <c r="A130" s="20" t="s">
        <v>126</v>
      </c>
      <c r="B130" s="2">
        <v>45514</v>
      </c>
      <c r="C130" t="s">
        <v>6</v>
      </c>
      <c r="D130" t="s">
        <v>75</v>
      </c>
      <c r="E130" t="s">
        <v>34</v>
      </c>
      <c r="F130">
        <v>85</v>
      </c>
      <c r="G130" t="s">
        <v>49</v>
      </c>
      <c r="H130" s="9">
        <f t="shared" si="3"/>
        <v>3</v>
      </c>
      <c r="I130" cm="1">
        <f t="array" ref="I130">IFERROR(INDEX(CourseYardages[[Hole 1]:[Hole 18]],
  MATCH(1, (CourseYardages[Course]=C130)*(CourseYardages[Tees]=E130), 0),
  MATCH(G130, CourseYardages[[#Headers],[Hole 1]:[Hole 18]], 0)
),"")</f>
        <v>180</v>
      </c>
      <c r="J130" cm="1">
        <f t="array" ref="J130">IFERROR(INDEX(CourseHandicap[[Hole 1]:[Hole 18]],
  MATCH(1, (CourseHandicap[Course]=C130)*(CourseHandicap[Tees]=E130), 0),
  MATCH(G130, CourseHandicap[[#Headers],[Hole 1]:[Hole 18]], 0)
),"")</f>
        <v>14</v>
      </c>
      <c r="K130" cm="1">
        <f t="array" ref="K130">IFERROR(INDEX(CourseRatings[[Hole 1]:[Hole 18]],
  MATCH(1, (CourseRatings[Course]=C130)*(CourseRatings[Tees]=E130), 0),
  MATCH(G130, CourseRatings[[#Headers],[Hole 1]:[Hole 18]], 0)
),"")</f>
        <v>3</v>
      </c>
      <c r="L130" cm="1">
        <f t="array" ref="L130">IFERROR(
  INDEX('Golf Log'!$E$2:$V$72,
    MATCH(1,
      ('Golf Log'!$A$2:$A$72=$A130)*
      ('Golf Log'!$B$2:$B$72=$B130)*
      ('Golf Log'!$C$2:$C$72=$C130),
    0),
    MATCH($G130,'Golf Log'!$E$1:$V$1,0)
  ),
"")</f>
        <v>5</v>
      </c>
      <c r="M130">
        <f t="shared" si="9"/>
        <v>2</v>
      </c>
      <c r="N130" t="str">
        <f t="shared" si="5"/>
        <v>Double Bogey</v>
      </c>
      <c r="O130" cm="1">
        <f t="array" ref="O130">IFERROR(
  INDEX('Putt Log'!$E$2:$V$72,
    MATCH(1,
      ('Putt Log'!$A$2:$A$72=$A130)*
      ('Putt Log'!$B$2:$B$72=$B130)*
      ('Putt Log'!$C$2:$C$72=$C130),
    0),
    MATCH($G130,'Putt Log'!$E$1:$V$1,0)
  ),
"")</f>
        <v>2</v>
      </c>
      <c r="P130" t="str" cm="1">
        <f t="array" ref="P130">IF(K130=3,"",
  IFERROR(
    INDEX('Fairway Log'!$E$2:$V$72,
      MATCH(1,
        ('Fairway Log'!$A$2:$A$72=$A130)*
        ('Fairway Log'!$B$2:$B$72=$B130)*
        ('Fairway Log'!$C$2:$C201=$C130),
      0),
      MATCH($G130,'Fairway Log'!$E$1:$V$1,0)
    ),
  "")
)</f>
        <v/>
      </c>
      <c r="Q130" t="str" cm="1">
        <f t="array" ref="Q130">IFERROR(
  INDEX('GIR Log'!$E$2:$V$72,
    MATCH(1,
      ('GIR Log'!$A$2:$A$72=$A130)*
      ('GIR Log'!$B$2:$B$72=$B130)*
      ('GIR Log'!$C$2:$C$72=$C130),
    0),
    MATCH($G130,'GIR Log'!$E$1:$V$1,0)
  ),
"")</f>
        <v>→</v>
      </c>
    </row>
    <row r="131" spans="1:17" x14ac:dyDescent="0.25">
      <c r="A131" s="20" t="s">
        <v>126</v>
      </c>
      <c r="B131" s="2">
        <v>45514</v>
      </c>
      <c r="C131" t="s">
        <v>6</v>
      </c>
      <c r="D131" t="s">
        <v>75</v>
      </c>
      <c r="E131" t="s">
        <v>34</v>
      </c>
      <c r="F131">
        <v>85</v>
      </c>
      <c r="G131" t="s">
        <v>50</v>
      </c>
      <c r="H131" s="9">
        <f t="shared" ref="H131:H194" si="10">VALUE(RIGHT(G131, LEN(G131) - 5))</f>
        <v>4</v>
      </c>
      <c r="I131" cm="1">
        <f t="array" ref="I131">IFERROR(INDEX(CourseYardages[[Hole 1]:[Hole 18]],
  MATCH(1, (CourseYardages[Course]=C131)*(CourseYardages[Tees]=E131), 0),
  MATCH(G131, CourseYardages[[#Headers],[Hole 1]:[Hole 18]], 0)
),"")</f>
        <v>497</v>
      </c>
      <c r="J131" cm="1">
        <f t="array" ref="J131">IFERROR(INDEX(CourseHandicap[[Hole 1]:[Hole 18]],
  MATCH(1, (CourseHandicap[Course]=C131)*(CourseHandicap[Tees]=E131), 0),
  MATCH(G131, CourseHandicap[[#Headers],[Hole 1]:[Hole 18]], 0)
),"")</f>
        <v>8</v>
      </c>
      <c r="K131" cm="1">
        <f t="array" ref="K131">IFERROR(INDEX(CourseRatings[[Hole 1]:[Hole 18]],
  MATCH(1, (CourseRatings[Course]=C131)*(CourseRatings[Tees]=E131), 0),
  MATCH(G131, CourseRatings[[#Headers],[Hole 1]:[Hole 18]], 0)
),"")</f>
        <v>5</v>
      </c>
      <c r="L131" cm="1">
        <f t="array" ref="L131">IFERROR(
  INDEX('Golf Log'!$E$2:$V$72,
    MATCH(1,
      ('Golf Log'!$A$2:$A$72=$A131)*
      ('Golf Log'!$B$2:$B$72=$B131)*
      ('Golf Log'!$C$2:$C$72=$C131),
    0),
    MATCH($G131,'Golf Log'!$E$1:$V$1,0)
  ),
"")</f>
        <v>6</v>
      </c>
      <c r="M131">
        <f t="shared" si="9"/>
        <v>1</v>
      </c>
      <c r="N131" t="str">
        <f t="shared" si="5"/>
        <v>Bogey</v>
      </c>
      <c r="O131" cm="1">
        <f t="array" ref="O131">IFERROR(
  INDEX('Putt Log'!$E$2:$V$72,
    MATCH(1,
      ('Putt Log'!$A$2:$A$72=$A131)*
      ('Putt Log'!$B$2:$B$72=$B131)*
      ('Putt Log'!$C$2:$C$72=$C131),
    0),
    MATCH($G131,'Putt Log'!$E$1:$V$1,0)
  ),
"")</f>
        <v>2</v>
      </c>
      <c r="P131" t="str" cm="1">
        <f t="array" ref="P131">IF(K131=3,"",
  IFERROR(
    INDEX('Fairway Log'!$E$2:$V$72,
      MATCH(1,
        ('Fairway Log'!$A$2:$A$72=$A131)*
        ('Fairway Log'!$B$2:$B$72=$B131)*
        ('Fairway Log'!$C$2:$C202=$C131),
      0),
      MATCH($G131,'Fairway Log'!$E$1:$V$1,0)
    ),
  "")
)</f>
        <v>↓</v>
      </c>
      <c r="Q131" t="str" cm="1">
        <f t="array" ref="Q131">IFERROR(
  INDEX('GIR Log'!$E$2:$V$72,
    MATCH(1,
      ('GIR Log'!$A$2:$A$72=$A131)*
      ('GIR Log'!$B$2:$B$72=$B131)*
      ('GIR Log'!$C$2:$C$72=$C131),
    0),
    MATCH($G131,'GIR Log'!$E$1:$V$1,0)
  ),
"")</f>
        <v>←</v>
      </c>
    </row>
    <row r="132" spans="1:17" x14ac:dyDescent="0.25">
      <c r="A132" s="20" t="s">
        <v>126</v>
      </c>
      <c r="B132" s="2">
        <v>45514</v>
      </c>
      <c r="C132" t="s">
        <v>6</v>
      </c>
      <c r="D132" t="s">
        <v>75</v>
      </c>
      <c r="E132" t="s">
        <v>34</v>
      </c>
      <c r="F132">
        <v>85</v>
      </c>
      <c r="G132" t="s">
        <v>51</v>
      </c>
      <c r="H132" s="9">
        <f t="shared" si="10"/>
        <v>5</v>
      </c>
      <c r="I132" cm="1">
        <f t="array" ref="I132">IFERROR(INDEX(CourseYardages[[Hole 1]:[Hole 18]],
  MATCH(1, (CourseYardages[Course]=C132)*(CourseYardages[Tees]=E132), 0),
  MATCH(G132, CourseYardages[[#Headers],[Hole 1]:[Hole 18]], 0)
),"")</f>
        <v>149</v>
      </c>
      <c r="J132" cm="1">
        <f t="array" ref="J132">IFERROR(INDEX(CourseHandicap[[Hole 1]:[Hole 18]],
  MATCH(1, (CourseHandicap[Course]=C132)*(CourseHandicap[Tees]=E132), 0),
  MATCH(G132, CourseHandicap[[#Headers],[Hole 1]:[Hole 18]], 0)
),"")</f>
        <v>16</v>
      </c>
      <c r="K132" cm="1">
        <f t="array" ref="K132">IFERROR(INDEX(CourseRatings[[Hole 1]:[Hole 18]],
  MATCH(1, (CourseRatings[Course]=C132)*(CourseRatings[Tees]=E132), 0),
  MATCH(G132, CourseRatings[[#Headers],[Hole 1]:[Hole 18]], 0)
),"")</f>
        <v>3</v>
      </c>
      <c r="L132" cm="1">
        <f t="array" ref="L132">IFERROR(
  INDEX('Golf Log'!$E$2:$V$72,
    MATCH(1,
      ('Golf Log'!$A$2:$A$72=$A132)*
      ('Golf Log'!$B$2:$B$72=$B132)*
      ('Golf Log'!$C$2:$C$72=$C132),
    0),
    MATCH($G132,'Golf Log'!$E$1:$V$1,0)
  ),
"")</f>
        <v>3</v>
      </c>
      <c r="M132">
        <f t="shared" si="9"/>
        <v>0</v>
      </c>
      <c r="N132" t="str">
        <f t="shared" si="5"/>
        <v>Par</v>
      </c>
      <c r="O132" cm="1">
        <f t="array" ref="O132">IFERROR(
  INDEX('Putt Log'!$E$2:$V$72,
    MATCH(1,
      ('Putt Log'!$A$2:$A$72=$A132)*
      ('Putt Log'!$B$2:$B$72=$B132)*
      ('Putt Log'!$C$2:$C$72=$C132),
    0),
    MATCH($G132,'Putt Log'!$E$1:$V$1,0)
  ),
"")</f>
        <v>1</v>
      </c>
      <c r="P132" t="str" cm="1">
        <f t="array" ref="P132">IF(K132=3,"",
  IFERROR(
    INDEX('Fairway Log'!$E$2:$V$72,
      MATCH(1,
        ('Fairway Log'!$A$2:$A$72=$A132)*
        ('Fairway Log'!$B$2:$B$72=$B132)*
        ('Fairway Log'!$C$2:$C203=$C132),
      0),
      MATCH($G132,'Fairway Log'!$E$1:$V$1,0)
    ),
  "")
)</f>
        <v/>
      </c>
      <c r="Q132" t="str" cm="1">
        <f t="array" ref="Q132">IFERROR(
  INDEX('GIR Log'!$E$2:$V$72,
    MATCH(1,
      ('GIR Log'!$A$2:$A$72=$A132)*
      ('GIR Log'!$B$2:$B$72=$B132)*
      ('GIR Log'!$C$2:$C$72=$C132),
    0),
    MATCH($G132,'GIR Log'!$E$1:$V$1,0)
  ),
"")</f>
        <v>↓</v>
      </c>
    </row>
    <row r="133" spans="1:17" x14ac:dyDescent="0.25">
      <c r="A133" s="20" t="s">
        <v>126</v>
      </c>
      <c r="B133" s="2">
        <v>45514</v>
      </c>
      <c r="C133" t="s">
        <v>6</v>
      </c>
      <c r="D133" t="s">
        <v>75</v>
      </c>
      <c r="E133" t="s">
        <v>34</v>
      </c>
      <c r="F133">
        <v>85</v>
      </c>
      <c r="G133" t="s">
        <v>52</v>
      </c>
      <c r="H133" s="9">
        <f t="shared" si="10"/>
        <v>6</v>
      </c>
      <c r="I133" cm="1">
        <f t="array" ref="I133">IFERROR(INDEX(CourseYardages[[Hole 1]:[Hole 18]],
  MATCH(1, (CourseYardages[Course]=C133)*(CourseYardages[Tees]=E133), 0),
  MATCH(G133, CourseYardages[[#Headers],[Hole 1]:[Hole 18]], 0)
),"")</f>
        <v>386</v>
      </c>
      <c r="J133" cm="1">
        <f t="array" ref="J133">IFERROR(INDEX(CourseHandicap[[Hole 1]:[Hole 18]],
  MATCH(1, (CourseHandicap[Course]=C133)*(CourseHandicap[Tees]=E133), 0),
  MATCH(G133, CourseHandicap[[#Headers],[Hole 1]:[Hole 18]], 0)
),"")</f>
        <v>4</v>
      </c>
      <c r="K133" cm="1">
        <f t="array" ref="K133">IFERROR(INDEX(CourseRatings[[Hole 1]:[Hole 18]],
  MATCH(1, (CourseRatings[Course]=C133)*(CourseRatings[Tees]=E133), 0),
  MATCH(G133, CourseRatings[[#Headers],[Hole 1]:[Hole 18]], 0)
),"")</f>
        <v>4</v>
      </c>
      <c r="L133" cm="1">
        <f t="array" ref="L133">IFERROR(
  INDEX('Golf Log'!$E$2:$V$72,
    MATCH(1,
      ('Golf Log'!$A$2:$A$72=$A133)*
      ('Golf Log'!$B$2:$B$72=$B133)*
      ('Golf Log'!$C$2:$C$72=$C133),
    0),
    MATCH($G133,'Golf Log'!$E$1:$V$1,0)
  ),
"")</f>
        <v>5</v>
      </c>
      <c r="M133">
        <f t="shared" si="9"/>
        <v>1</v>
      </c>
      <c r="N133" t="str">
        <f t="shared" si="5"/>
        <v>Bogey</v>
      </c>
      <c r="O133" cm="1">
        <f t="array" ref="O133">IFERROR(
  INDEX('Putt Log'!$E$2:$V$72,
    MATCH(1,
      ('Putt Log'!$A$2:$A$72=$A133)*
      ('Putt Log'!$B$2:$B$72=$B133)*
      ('Putt Log'!$C$2:$C$72=$C133),
    0),
    MATCH($G133,'Putt Log'!$E$1:$V$1,0)
  ),
"")</f>
        <v>2</v>
      </c>
      <c r="P133" t="str" cm="1">
        <f t="array" ref="P133">IF(K133=3,"",
  IFERROR(
    INDEX('Fairway Log'!$E$2:$V$72,
      MATCH(1,
        ('Fairway Log'!$A$2:$A$72=$A133)*
        ('Fairway Log'!$B$2:$B$72=$B133)*
        ('Fairway Log'!$C$2:$C204=$C133),
      0),
      MATCH($G133,'Fairway Log'!$E$1:$V$1,0)
    ),
  "")
)</f>
        <v>←</v>
      </c>
      <c r="Q133" t="str" cm="1">
        <f t="array" ref="Q133">IFERROR(
  INDEX('GIR Log'!$E$2:$V$72,
    MATCH(1,
      ('GIR Log'!$A$2:$A$72=$A133)*
      ('GIR Log'!$B$2:$B$72=$B133)*
      ('GIR Log'!$C$2:$C$72=$C133),
    0),
    MATCH($G133,'GIR Log'!$E$1:$V$1,0)
  ),
"")</f>
        <v>↓</v>
      </c>
    </row>
    <row r="134" spans="1:17" x14ac:dyDescent="0.25">
      <c r="A134" s="20" t="s">
        <v>126</v>
      </c>
      <c r="B134" s="2">
        <v>45514</v>
      </c>
      <c r="C134" t="s">
        <v>6</v>
      </c>
      <c r="D134" t="s">
        <v>75</v>
      </c>
      <c r="E134" t="s">
        <v>34</v>
      </c>
      <c r="F134">
        <v>85</v>
      </c>
      <c r="G134" t="s">
        <v>53</v>
      </c>
      <c r="H134" s="9">
        <f t="shared" si="10"/>
        <v>7</v>
      </c>
      <c r="I134" cm="1">
        <f t="array" ref="I134">IFERROR(INDEX(CourseYardages[[Hole 1]:[Hole 18]],
  MATCH(1, (CourseYardages[Course]=C134)*(CourseYardages[Tees]=E134), 0),
  MATCH(G134, CourseYardages[[#Headers],[Hole 1]:[Hole 18]], 0)
),"")</f>
        <v>369</v>
      </c>
      <c r="J134" cm="1">
        <f t="array" ref="J134">IFERROR(INDEX(CourseHandicap[[Hole 1]:[Hole 18]],
  MATCH(1, (CourseHandicap[Course]=C134)*(CourseHandicap[Tees]=E134), 0),
  MATCH(G134, CourseHandicap[[#Headers],[Hole 1]:[Hole 18]], 0)
),"")</f>
        <v>10</v>
      </c>
      <c r="K134" cm="1">
        <f t="array" ref="K134">IFERROR(INDEX(CourseRatings[[Hole 1]:[Hole 18]],
  MATCH(1, (CourseRatings[Course]=C134)*(CourseRatings[Tees]=E134), 0),
  MATCH(G134, CourseRatings[[#Headers],[Hole 1]:[Hole 18]], 0)
),"")</f>
        <v>4</v>
      </c>
      <c r="L134" cm="1">
        <f t="array" ref="L134">IFERROR(
  INDEX('Golf Log'!$E$2:$V$72,
    MATCH(1,
      ('Golf Log'!$A$2:$A$72=$A134)*
      ('Golf Log'!$B$2:$B$72=$B134)*
      ('Golf Log'!$C$2:$C$72=$C134),
    0),
    MATCH($G134,'Golf Log'!$E$1:$V$1,0)
  ),
"")</f>
        <v>5</v>
      </c>
      <c r="M134">
        <f t="shared" si="9"/>
        <v>1</v>
      </c>
      <c r="N134" t="str">
        <f t="shared" si="5"/>
        <v>Bogey</v>
      </c>
      <c r="O134" cm="1">
        <f t="array" ref="O134">IFERROR(
  INDEX('Putt Log'!$E$2:$V$72,
    MATCH(1,
      ('Putt Log'!$A$2:$A$72=$A134)*
      ('Putt Log'!$B$2:$B$72=$B134)*
      ('Putt Log'!$C$2:$C$72=$C134),
    0),
    MATCH($G134,'Putt Log'!$E$1:$V$1,0)
  ),
"")</f>
        <v>2</v>
      </c>
      <c r="P134" t="str" cm="1">
        <f t="array" ref="P134">IF(K134=3,"",
  IFERROR(
    INDEX('Fairway Log'!$E$2:$V$72,
      MATCH(1,
        ('Fairway Log'!$A$2:$A$72=$A134)*
        ('Fairway Log'!$B$2:$B$72=$B134)*
        ('Fairway Log'!$C$2:$C205=$C134),
      0),
      MATCH($G134,'Fairway Log'!$E$1:$V$1,0)
    ),
  "")
)</f>
        <v>←</v>
      </c>
      <c r="Q134" t="str" cm="1">
        <f t="array" ref="Q134">IFERROR(
  INDEX('GIR Log'!$E$2:$V$72,
    MATCH(1,
      ('GIR Log'!$A$2:$A$72=$A134)*
      ('GIR Log'!$B$2:$B$72=$B134)*
      ('GIR Log'!$C$2:$C$72=$C134),
    0),
    MATCH($G134,'GIR Log'!$E$1:$V$1,0)
  ),
"")</f>
        <v>↓</v>
      </c>
    </row>
    <row r="135" spans="1:17" x14ac:dyDescent="0.25">
      <c r="A135" s="20" t="s">
        <v>126</v>
      </c>
      <c r="B135" s="2">
        <v>45514</v>
      </c>
      <c r="C135" t="s">
        <v>6</v>
      </c>
      <c r="D135" t="s">
        <v>75</v>
      </c>
      <c r="E135" t="s">
        <v>34</v>
      </c>
      <c r="F135">
        <v>85</v>
      </c>
      <c r="G135" t="s">
        <v>54</v>
      </c>
      <c r="H135" s="9">
        <f t="shared" si="10"/>
        <v>8</v>
      </c>
      <c r="I135" cm="1">
        <f t="array" ref="I135">IFERROR(INDEX(CourseYardages[[Hole 1]:[Hole 18]],
  MATCH(1, (CourseYardages[Course]=C135)*(CourseYardages[Tees]=E135), 0),
  MATCH(G135, CourseYardages[[#Headers],[Hole 1]:[Hole 18]], 0)
),"")</f>
        <v>304</v>
      </c>
      <c r="J135" cm="1">
        <f t="array" ref="J135">IFERROR(INDEX(CourseHandicap[[Hole 1]:[Hole 18]],
  MATCH(1, (CourseHandicap[Course]=C135)*(CourseHandicap[Tees]=E135), 0),
  MATCH(G135, CourseHandicap[[#Headers],[Hole 1]:[Hole 18]], 0)
),"")</f>
        <v>18</v>
      </c>
      <c r="K135" cm="1">
        <f t="array" ref="K135">IFERROR(INDEX(CourseRatings[[Hole 1]:[Hole 18]],
  MATCH(1, (CourseRatings[Course]=C135)*(CourseRatings[Tees]=E135), 0),
  MATCH(G135, CourseRatings[[#Headers],[Hole 1]:[Hole 18]], 0)
),"")</f>
        <v>4</v>
      </c>
      <c r="L135" cm="1">
        <f t="array" ref="L135">IFERROR(
  INDEX('Golf Log'!$E$2:$V$72,
    MATCH(1,
      ('Golf Log'!$A$2:$A$72=$A135)*
      ('Golf Log'!$B$2:$B$72=$B135)*
      ('Golf Log'!$C$2:$C$72=$C135),
    0),
    MATCH($G135,'Golf Log'!$E$1:$V$1,0)
  ),
"")</f>
        <v>5</v>
      </c>
      <c r="M135">
        <f t="shared" si="9"/>
        <v>1</v>
      </c>
      <c r="N135" t="str">
        <f t="shared" si="5"/>
        <v>Bogey</v>
      </c>
      <c r="O135" cm="1">
        <f t="array" ref="O135">IFERROR(
  INDEX('Putt Log'!$E$2:$V$72,
    MATCH(1,
      ('Putt Log'!$A$2:$A$72=$A135)*
      ('Putt Log'!$B$2:$B$72=$B135)*
      ('Putt Log'!$C$2:$C$72=$C135),
    0),
    MATCH($G135,'Putt Log'!$E$1:$V$1,0)
  ),
"")</f>
        <v>2</v>
      </c>
      <c r="P135" cm="1">
        <f t="array" ref="P135">IF(K135=3,"",
  IFERROR(
    INDEX('Fairway Log'!$E$2:$V$72,
      MATCH(1,
        ('Fairway Log'!$A$2:$A$72=$A135)*
        ('Fairway Log'!$B$2:$B$72=$B135)*
        ('Fairway Log'!$C$2:$C206=$C135),
      0),
      MATCH($G135,'Fairway Log'!$E$1:$V$1,0)
    ),
  "")
)</f>
        <v>1</v>
      </c>
      <c r="Q135" t="str" cm="1">
        <f t="array" ref="Q135">IFERROR(
  INDEX('GIR Log'!$E$2:$V$72,
    MATCH(1,
      ('GIR Log'!$A$2:$A$72=$A135)*
      ('GIR Log'!$B$2:$B$72=$B135)*
      ('GIR Log'!$C$2:$C$72=$C135),
    0),
    MATCH($G135,'GIR Log'!$E$1:$V$1,0)
  ),
"")</f>
        <v>↑</v>
      </c>
    </row>
    <row r="136" spans="1:17" x14ac:dyDescent="0.25">
      <c r="A136" s="20" t="s">
        <v>126</v>
      </c>
      <c r="B136" s="2">
        <v>45514</v>
      </c>
      <c r="C136" t="s">
        <v>6</v>
      </c>
      <c r="D136" t="s">
        <v>75</v>
      </c>
      <c r="E136" t="s">
        <v>34</v>
      </c>
      <c r="F136">
        <v>85</v>
      </c>
      <c r="G136" t="s">
        <v>55</v>
      </c>
      <c r="H136" s="9">
        <f t="shared" si="10"/>
        <v>9</v>
      </c>
      <c r="I136" cm="1">
        <f t="array" ref="I136">IFERROR(INDEX(CourseYardages[[Hole 1]:[Hole 18]],
  MATCH(1, (CourseYardages[Course]=C136)*(CourseYardages[Tees]=E136), 0),
  MATCH(G136, CourseYardages[[#Headers],[Hole 1]:[Hole 18]], 0)
),"")</f>
        <v>338</v>
      </c>
      <c r="J136" cm="1">
        <f t="array" ref="J136">IFERROR(INDEX(CourseHandicap[[Hole 1]:[Hole 18]],
  MATCH(1, (CourseHandicap[Course]=C136)*(CourseHandicap[Tees]=E136), 0),
  MATCH(G136, CourseHandicap[[#Headers],[Hole 1]:[Hole 18]], 0)
),"")</f>
        <v>12</v>
      </c>
      <c r="K136" cm="1">
        <f t="array" ref="K136">IFERROR(INDEX(CourseRatings[[Hole 1]:[Hole 18]],
  MATCH(1, (CourseRatings[Course]=C136)*(CourseRatings[Tees]=E136), 0),
  MATCH(G136, CourseRatings[[#Headers],[Hole 1]:[Hole 18]], 0)
),"")</f>
        <v>4</v>
      </c>
      <c r="L136" cm="1">
        <f t="array" ref="L136">IFERROR(
  INDEX('Golf Log'!$E$2:$V$72,
    MATCH(1,
      ('Golf Log'!$A$2:$A$72=$A136)*
      ('Golf Log'!$B$2:$B$72=$B136)*
      ('Golf Log'!$C$2:$C$72=$C136),
    0),
    MATCH($G136,'Golf Log'!$E$1:$V$1,0)
  ),
"")</f>
        <v>4</v>
      </c>
      <c r="M136">
        <f t="shared" si="9"/>
        <v>0</v>
      </c>
      <c r="N136" t="str">
        <f t="shared" si="5"/>
        <v>Par</v>
      </c>
      <c r="O136" cm="1">
        <f t="array" ref="O136">IFERROR(
  INDEX('Putt Log'!$E$2:$V$72,
    MATCH(1,
      ('Putt Log'!$A$2:$A$72=$A136)*
      ('Putt Log'!$B$2:$B$72=$B136)*
      ('Putt Log'!$C$2:$C$72=$C136),
    0),
    MATCH($G136,'Putt Log'!$E$1:$V$1,0)
  ),
"")</f>
        <v>2</v>
      </c>
      <c r="P136" cm="1">
        <f t="array" ref="P136">IF(K136=3,"",
  IFERROR(
    INDEX('Fairway Log'!$E$2:$V$72,
      MATCH(1,
        ('Fairway Log'!$A$2:$A$72=$A136)*
        ('Fairway Log'!$B$2:$B$72=$B136)*
        ('Fairway Log'!$C$2:$C207=$C136),
      0),
      MATCH($G136,'Fairway Log'!$E$1:$V$1,0)
    ),
  "")
)</f>
        <v>1</v>
      </c>
      <c r="Q136" cm="1">
        <f t="array" ref="Q136">IFERROR(
  INDEX('GIR Log'!$E$2:$V$72,
    MATCH(1,
      ('GIR Log'!$A$2:$A$72=$A136)*
      ('GIR Log'!$B$2:$B$72=$B136)*
      ('GIR Log'!$C$2:$C$72=$C136),
    0),
    MATCH($G136,'GIR Log'!$E$1:$V$1,0)
  ),
"")</f>
        <v>1</v>
      </c>
    </row>
    <row r="137" spans="1:17" x14ac:dyDescent="0.25">
      <c r="A137" s="20" t="s">
        <v>126</v>
      </c>
      <c r="B137" s="2">
        <v>45514</v>
      </c>
      <c r="C137" t="s">
        <v>6</v>
      </c>
      <c r="D137" t="s">
        <v>75</v>
      </c>
      <c r="E137" t="s">
        <v>34</v>
      </c>
      <c r="F137">
        <v>85</v>
      </c>
      <c r="G137" t="s">
        <v>56</v>
      </c>
      <c r="H137" s="9">
        <f t="shared" si="10"/>
        <v>10</v>
      </c>
      <c r="I137" cm="1">
        <f t="array" ref="I137">IFERROR(INDEX(CourseYardages[[Hole 1]:[Hole 18]],
  MATCH(1, (CourseYardages[Course]=C137)*(CourseYardages[Tees]=E137), 0),
  MATCH(G137, CourseYardages[[#Headers],[Hole 1]:[Hole 18]], 0)
),"")</f>
        <v>357</v>
      </c>
      <c r="J137" cm="1">
        <f t="array" ref="J137">IFERROR(INDEX(CourseHandicap[[Hole 1]:[Hole 18]],
  MATCH(1, (CourseHandicap[Course]=C137)*(CourseHandicap[Tees]=E137), 0),
  MATCH(G137, CourseHandicap[[#Headers],[Hole 1]:[Hole 18]], 0)
),"")</f>
        <v>13</v>
      </c>
      <c r="K137" cm="1">
        <f t="array" ref="K137">IFERROR(INDEX(CourseRatings[[Hole 1]:[Hole 18]],
  MATCH(1, (CourseRatings[Course]=C137)*(CourseRatings[Tees]=E137), 0),
  MATCH(G137, CourseRatings[[#Headers],[Hole 1]:[Hole 18]], 0)
),"")</f>
        <v>4</v>
      </c>
      <c r="L137" cm="1">
        <f t="array" ref="L137">IFERROR(
  INDEX('Golf Log'!$E$2:$V$72,
    MATCH(1,
      ('Golf Log'!$A$2:$A$72=$A137)*
      ('Golf Log'!$B$2:$B$72=$B137)*
      ('Golf Log'!$C$2:$C$72=$C137),
    0),
    MATCH($G137,'Golf Log'!$E$1:$V$1,0)
  ),
"")</f>
        <v>4</v>
      </c>
      <c r="M137">
        <f t="shared" si="9"/>
        <v>0</v>
      </c>
      <c r="N137" t="str">
        <f t="shared" si="5"/>
        <v>Par</v>
      </c>
      <c r="O137" cm="1">
        <f t="array" ref="O137">IFERROR(
  INDEX('Putt Log'!$E$2:$V$72,
    MATCH(1,
      ('Putt Log'!$A$2:$A$72=$A137)*
      ('Putt Log'!$B$2:$B$72=$B137)*
      ('Putt Log'!$C$2:$C$72=$C137),
    0),
    MATCH($G137,'Putt Log'!$E$1:$V$1,0)
  ),
"")</f>
        <v>1</v>
      </c>
      <c r="P137" t="str" cm="1">
        <f t="array" ref="P137">IF(K137=3,"",
  IFERROR(
    INDEX('Fairway Log'!$E$2:$V$72,
      MATCH(1,
        ('Fairway Log'!$A$2:$A$72=$A137)*
        ('Fairway Log'!$B$2:$B$72=$B137)*
        ('Fairway Log'!$C$2:$C208=$C137),
      0),
      MATCH($G137,'Fairway Log'!$E$1:$V$1,0)
    ),
  "")
)</f>
        <v>→</v>
      </c>
      <c r="Q137" cm="1">
        <f t="array" ref="Q137">IFERROR(
  INDEX('GIR Log'!$E$2:$V$72,
    MATCH(1,
      ('GIR Log'!$A$2:$A$72=$A137)*
      ('GIR Log'!$B$2:$B$72=$B137)*
      ('GIR Log'!$C$2:$C$72=$C137),
    0),
    MATCH($G137,'GIR Log'!$E$1:$V$1,0)
  ),
"")</f>
        <v>1</v>
      </c>
    </row>
    <row r="138" spans="1:17" x14ac:dyDescent="0.25">
      <c r="A138" s="20" t="s">
        <v>126</v>
      </c>
      <c r="B138" s="2">
        <v>45514</v>
      </c>
      <c r="C138" t="s">
        <v>6</v>
      </c>
      <c r="D138" t="s">
        <v>75</v>
      </c>
      <c r="E138" t="s">
        <v>34</v>
      </c>
      <c r="F138">
        <v>85</v>
      </c>
      <c r="G138" t="s">
        <v>57</v>
      </c>
      <c r="H138" s="9">
        <f t="shared" si="10"/>
        <v>11</v>
      </c>
      <c r="I138" cm="1">
        <f t="array" ref="I138">IFERROR(INDEX(CourseYardages[[Hole 1]:[Hole 18]],
  MATCH(1, (CourseYardages[Course]=C138)*(CourseYardages[Tees]=E138), 0),
  MATCH(G138, CourseYardages[[#Headers],[Hole 1]:[Hole 18]], 0)
),"")</f>
        <v>310</v>
      </c>
      <c r="J138" cm="1">
        <f t="array" ref="J138">IFERROR(INDEX(CourseHandicap[[Hole 1]:[Hole 18]],
  MATCH(1, (CourseHandicap[Course]=C138)*(CourseHandicap[Tees]=E138), 0),
  MATCH(G138, CourseHandicap[[#Headers],[Hole 1]:[Hole 18]], 0)
),"")</f>
        <v>11</v>
      </c>
      <c r="K138" cm="1">
        <f t="array" ref="K138">IFERROR(INDEX(CourseRatings[[Hole 1]:[Hole 18]],
  MATCH(1, (CourseRatings[Course]=C138)*(CourseRatings[Tees]=E138), 0),
  MATCH(G138, CourseRatings[[#Headers],[Hole 1]:[Hole 18]], 0)
),"")</f>
        <v>4</v>
      </c>
      <c r="L138" cm="1">
        <f t="array" ref="L138">IFERROR(
  INDEX('Golf Log'!$E$2:$V$72,
    MATCH(1,
      ('Golf Log'!$A$2:$A$72=$A138)*
      ('Golf Log'!$B$2:$B$72=$B138)*
      ('Golf Log'!$C$2:$C$72=$C138),
    0),
    MATCH($G138,'Golf Log'!$E$1:$V$1,0)
  ),
"")</f>
        <v>4</v>
      </c>
      <c r="M138">
        <f t="shared" si="9"/>
        <v>0</v>
      </c>
      <c r="N138" t="str">
        <f t="shared" si="5"/>
        <v>Par</v>
      </c>
      <c r="O138" cm="1">
        <f t="array" ref="O138">IFERROR(
  INDEX('Putt Log'!$E$2:$V$72,
    MATCH(1,
      ('Putt Log'!$A$2:$A$72=$A138)*
      ('Putt Log'!$B$2:$B$72=$B138)*
      ('Putt Log'!$C$2:$C$72=$C138),
    0),
    MATCH($G138,'Putt Log'!$E$1:$V$1,0)
  ),
"")</f>
        <v>1</v>
      </c>
      <c r="P138" t="str" cm="1">
        <f t="array" ref="P138">IF(K138=3,"",
  IFERROR(
    INDEX('Fairway Log'!$E$2:$V$72,
      MATCH(1,
        ('Fairway Log'!$A$2:$A$72=$A138)*
        ('Fairway Log'!$B$2:$B$72=$B138)*
        ('Fairway Log'!$C$2:$C209=$C138),
      0),
      MATCH($G138,'Fairway Log'!$E$1:$V$1,0)
    ),
  "")
)</f>
        <v>→</v>
      </c>
      <c r="Q138" cm="1">
        <f t="array" ref="Q138">IFERROR(
  INDEX('GIR Log'!$E$2:$V$72,
    MATCH(1,
      ('GIR Log'!$A$2:$A$72=$A138)*
      ('GIR Log'!$B$2:$B$72=$B138)*
      ('GIR Log'!$C$2:$C$72=$C138),
    0),
    MATCH($G138,'GIR Log'!$E$1:$V$1,0)
  ),
"")</f>
        <v>1</v>
      </c>
    </row>
    <row r="139" spans="1:17" x14ac:dyDescent="0.25">
      <c r="A139" s="20" t="s">
        <v>126</v>
      </c>
      <c r="B139" s="2">
        <v>45514</v>
      </c>
      <c r="C139" t="s">
        <v>6</v>
      </c>
      <c r="D139" t="s">
        <v>75</v>
      </c>
      <c r="E139" t="s">
        <v>34</v>
      </c>
      <c r="F139">
        <v>85</v>
      </c>
      <c r="G139" t="s">
        <v>58</v>
      </c>
      <c r="H139" s="9">
        <f t="shared" si="10"/>
        <v>12</v>
      </c>
      <c r="I139" cm="1">
        <f t="array" ref="I139">IFERROR(INDEX(CourseYardages[[Hole 1]:[Hole 18]],
  MATCH(1, (CourseYardages[Course]=C139)*(CourseYardages[Tees]=E139), 0),
  MATCH(G139, CourseYardages[[#Headers],[Hole 1]:[Hole 18]], 0)
),"")</f>
        <v>386</v>
      </c>
      <c r="J139" cm="1">
        <f t="array" ref="J139">IFERROR(INDEX(CourseHandicap[[Hole 1]:[Hole 18]],
  MATCH(1, (CourseHandicap[Course]=C139)*(CourseHandicap[Tees]=E139), 0),
  MATCH(G139, CourseHandicap[[#Headers],[Hole 1]:[Hole 18]], 0)
),"")</f>
        <v>5</v>
      </c>
      <c r="K139" cm="1">
        <f t="array" ref="K139">IFERROR(INDEX(CourseRatings[[Hole 1]:[Hole 18]],
  MATCH(1, (CourseRatings[Course]=C139)*(CourseRatings[Tees]=E139), 0),
  MATCH(G139, CourseRatings[[#Headers],[Hole 1]:[Hole 18]], 0)
),"")</f>
        <v>4</v>
      </c>
      <c r="L139" cm="1">
        <f t="array" ref="L139">IFERROR(
  INDEX('Golf Log'!$E$2:$V$72,
    MATCH(1,
      ('Golf Log'!$A$2:$A$72=$A139)*
      ('Golf Log'!$B$2:$B$72=$B139)*
      ('Golf Log'!$C$2:$C$72=$C139),
    0),
    MATCH($G139,'Golf Log'!$E$1:$V$1,0)
  ),
"")</f>
        <v>5</v>
      </c>
      <c r="M139">
        <f t="shared" si="9"/>
        <v>1</v>
      </c>
      <c r="N139" t="str">
        <f t="shared" si="5"/>
        <v>Bogey</v>
      </c>
      <c r="O139" cm="1">
        <f t="array" ref="O139">IFERROR(
  INDEX('Putt Log'!$E$2:$V$72,
    MATCH(1,
      ('Putt Log'!$A$2:$A$72=$A139)*
      ('Putt Log'!$B$2:$B$72=$B139)*
      ('Putt Log'!$C$2:$C$72=$C139),
    0),
    MATCH($G139,'Putt Log'!$E$1:$V$1,0)
  ),
"")</f>
        <v>2</v>
      </c>
      <c r="P139" t="str" cm="1">
        <f t="array" ref="P139">IF(K139=3,"",
  IFERROR(
    INDEX('Fairway Log'!$E$2:$V$72,
      MATCH(1,
        ('Fairway Log'!$A$2:$A$72=$A139)*
        ('Fairway Log'!$B$2:$B$72=$B139)*
        ('Fairway Log'!$C$2:$C210=$C139),
      0),
      MATCH($G139,'Fairway Log'!$E$1:$V$1,0)
    ),
  "")
)</f>
        <v>←</v>
      </c>
      <c r="Q139" t="str" cm="1">
        <f t="array" ref="Q139">IFERROR(
  INDEX('GIR Log'!$E$2:$V$72,
    MATCH(1,
      ('GIR Log'!$A$2:$A$72=$A139)*
      ('GIR Log'!$B$2:$B$72=$B139)*
      ('GIR Log'!$C$2:$C$72=$C139),
    0),
    MATCH($G139,'GIR Log'!$E$1:$V$1,0)
  ),
"")</f>
        <v>←</v>
      </c>
    </row>
    <row r="140" spans="1:17" x14ac:dyDescent="0.25">
      <c r="A140" s="20" t="s">
        <v>126</v>
      </c>
      <c r="B140" s="2">
        <v>45514</v>
      </c>
      <c r="C140" t="s">
        <v>6</v>
      </c>
      <c r="D140" t="s">
        <v>75</v>
      </c>
      <c r="E140" t="s">
        <v>34</v>
      </c>
      <c r="F140">
        <v>85</v>
      </c>
      <c r="G140" t="s">
        <v>59</v>
      </c>
      <c r="H140" s="9">
        <f t="shared" si="10"/>
        <v>13</v>
      </c>
      <c r="I140" cm="1">
        <f t="array" ref="I140">IFERROR(INDEX(CourseYardages[[Hole 1]:[Hole 18]],
  MATCH(1, (CourseYardages[Course]=C140)*(CourseYardages[Tees]=E140), 0),
  MATCH(G140, CourseYardages[[#Headers],[Hole 1]:[Hole 18]], 0)
),"")</f>
        <v>326</v>
      </c>
      <c r="J140" cm="1">
        <f t="array" ref="J140">IFERROR(INDEX(CourseHandicap[[Hole 1]:[Hole 18]],
  MATCH(1, (CourseHandicap[Course]=C140)*(CourseHandicap[Tees]=E140), 0),
  MATCH(G140, CourseHandicap[[#Headers],[Hole 1]:[Hole 18]], 0)
),"")</f>
        <v>9</v>
      </c>
      <c r="K140" cm="1">
        <f t="array" ref="K140">IFERROR(INDEX(CourseRatings[[Hole 1]:[Hole 18]],
  MATCH(1, (CourseRatings[Course]=C140)*(CourseRatings[Tees]=E140), 0),
  MATCH(G140, CourseRatings[[#Headers],[Hole 1]:[Hole 18]], 0)
),"")</f>
        <v>4</v>
      </c>
      <c r="L140" cm="1">
        <f t="array" ref="L140">IFERROR(
  INDEX('Golf Log'!$E$2:$V$72,
    MATCH(1,
      ('Golf Log'!$A$2:$A$72=$A140)*
      ('Golf Log'!$B$2:$B$72=$B140)*
      ('Golf Log'!$C$2:$C$72=$C140),
    0),
    MATCH($G140,'Golf Log'!$E$1:$V$1,0)
  ),
"")</f>
        <v>5</v>
      </c>
      <c r="M140">
        <f t="shared" si="9"/>
        <v>1</v>
      </c>
      <c r="N140" t="str">
        <f t="shared" si="5"/>
        <v>Bogey</v>
      </c>
      <c r="O140" cm="1">
        <f t="array" ref="O140">IFERROR(
  INDEX('Putt Log'!$E$2:$V$72,
    MATCH(1,
      ('Putt Log'!$A$2:$A$72=$A140)*
      ('Putt Log'!$B$2:$B$72=$B140)*
      ('Putt Log'!$C$2:$C$72=$C140),
    0),
    MATCH($G140,'Putt Log'!$E$1:$V$1,0)
  ),
"")</f>
        <v>2</v>
      </c>
      <c r="P140" t="str" cm="1">
        <f t="array" ref="P140">IF(K140=3,"",
  IFERROR(
    INDEX('Fairway Log'!$E$2:$V$72,
      MATCH(1,
        ('Fairway Log'!$A$2:$A$72=$A140)*
        ('Fairway Log'!$B$2:$B$72=$B140)*
        ('Fairway Log'!$C$2:$C211=$C140),
      0),
      MATCH($G140,'Fairway Log'!$E$1:$V$1,0)
    ),
  "")
)</f>
        <v>→</v>
      </c>
      <c r="Q140" t="str" cm="1">
        <f t="array" ref="Q140">IFERROR(
  INDEX('GIR Log'!$E$2:$V$72,
    MATCH(1,
      ('GIR Log'!$A$2:$A$72=$A140)*
      ('GIR Log'!$B$2:$B$72=$B140)*
      ('GIR Log'!$C$2:$C$72=$C140),
    0),
    MATCH($G140,'GIR Log'!$E$1:$V$1,0)
  ),
"")</f>
        <v>←</v>
      </c>
    </row>
    <row r="141" spans="1:17" x14ac:dyDescent="0.25">
      <c r="A141" s="20" t="s">
        <v>126</v>
      </c>
      <c r="B141" s="2">
        <v>45514</v>
      </c>
      <c r="C141" t="s">
        <v>6</v>
      </c>
      <c r="D141" t="s">
        <v>75</v>
      </c>
      <c r="E141" t="s">
        <v>34</v>
      </c>
      <c r="F141">
        <v>85</v>
      </c>
      <c r="G141" t="s">
        <v>60</v>
      </c>
      <c r="H141" s="9">
        <f t="shared" si="10"/>
        <v>14</v>
      </c>
      <c r="I141" cm="1">
        <f t="array" ref="I141">IFERROR(INDEX(CourseYardages[[Hole 1]:[Hole 18]],
  MATCH(1, (CourseYardages[Course]=C141)*(CourseYardages[Tees]=E141), 0),
  MATCH(G141, CourseYardages[[#Headers],[Hole 1]:[Hole 18]], 0)
),"")</f>
        <v>170</v>
      </c>
      <c r="J141" cm="1">
        <f t="array" ref="J141">IFERROR(INDEX(CourseHandicap[[Hole 1]:[Hole 18]],
  MATCH(1, (CourseHandicap[Course]=C141)*(CourseHandicap[Tees]=E141), 0),
  MATCH(G141, CourseHandicap[[#Headers],[Hole 1]:[Hole 18]], 0)
),"")</f>
        <v>15</v>
      </c>
      <c r="K141" cm="1">
        <f t="array" ref="K141">IFERROR(INDEX(CourseRatings[[Hole 1]:[Hole 18]],
  MATCH(1, (CourseRatings[Course]=C141)*(CourseRatings[Tees]=E141), 0),
  MATCH(G141, CourseRatings[[#Headers],[Hole 1]:[Hole 18]], 0)
),"")</f>
        <v>3</v>
      </c>
      <c r="L141" cm="1">
        <f t="array" ref="L141">IFERROR(
  INDEX('Golf Log'!$E$2:$V$72,
    MATCH(1,
      ('Golf Log'!$A$2:$A$72=$A141)*
      ('Golf Log'!$B$2:$B$72=$B141)*
      ('Golf Log'!$C$2:$C$72=$C141),
    0),
    MATCH($G141,'Golf Log'!$E$1:$V$1,0)
  ),
"")</f>
        <v>4</v>
      </c>
      <c r="M141">
        <f t="shared" si="9"/>
        <v>1</v>
      </c>
      <c r="N141" t="str">
        <f t="shared" si="5"/>
        <v>Bogey</v>
      </c>
      <c r="O141" cm="1">
        <f t="array" ref="O141">IFERROR(
  INDEX('Putt Log'!$E$2:$V$72,
    MATCH(1,
      ('Putt Log'!$A$2:$A$72=$A141)*
      ('Putt Log'!$B$2:$B$72=$B141)*
      ('Putt Log'!$C$2:$C$72=$C141),
    0),
    MATCH($G141,'Putt Log'!$E$1:$V$1,0)
  ),
"")</f>
        <v>2</v>
      </c>
      <c r="P141" t="str" cm="1">
        <f t="array" ref="P141">IF(K141=3,"",
  IFERROR(
    INDEX('Fairway Log'!$E$2:$V$72,
      MATCH(1,
        ('Fairway Log'!$A$2:$A$72=$A141)*
        ('Fairway Log'!$B$2:$B$72=$B141)*
        ('Fairway Log'!$C$2:$C212=$C141),
      0),
      MATCH($G141,'Fairway Log'!$E$1:$V$1,0)
    ),
  "")
)</f>
        <v/>
      </c>
      <c r="Q141" t="str" cm="1">
        <f t="array" ref="Q141">IFERROR(
  INDEX('GIR Log'!$E$2:$V$72,
    MATCH(1,
      ('GIR Log'!$A$2:$A$72=$A141)*
      ('GIR Log'!$B$2:$B$72=$B141)*
      ('GIR Log'!$C$2:$C$72=$C141),
    0),
    MATCH($G141,'GIR Log'!$E$1:$V$1,0)
  ),
"")</f>
        <v>↓</v>
      </c>
    </row>
    <row r="142" spans="1:17" x14ac:dyDescent="0.25">
      <c r="A142" s="20" t="s">
        <v>126</v>
      </c>
      <c r="B142" s="2">
        <v>45514</v>
      </c>
      <c r="C142" t="s">
        <v>6</v>
      </c>
      <c r="D142" t="s">
        <v>75</v>
      </c>
      <c r="E142" t="s">
        <v>34</v>
      </c>
      <c r="F142">
        <v>85</v>
      </c>
      <c r="G142" t="s">
        <v>61</v>
      </c>
      <c r="H142" s="9">
        <f t="shared" si="10"/>
        <v>15</v>
      </c>
      <c r="I142" cm="1">
        <f t="array" ref="I142">IFERROR(INDEX(CourseYardages[[Hole 1]:[Hole 18]],
  MATCH(1, (CourseYardages[Course]=C142)*(CourseYardages[Tees]=E142), 0),
  MATCH(G142, CourseYardages[[#Headers],[Hole 1]:[Hole 18]], 0)
),"")</f>
        <v>417</v>
      </c>
      <c r="J142" cm="1">
        <f t="array" ref="J142">IFERROR(INDEX(CourseHandicap[[Hole 1]:[Hole 18]],
  MATCH(1, (CourseHandicap[Course]=C142)*(CourseHandicap[Tees]=E142), 0),
  MATCH(G142, CourseHandicap[[#Headers],[Hole 1]:[Hole 18]], 0)
),"")</f>
        <v>1</v>
      </c>
      <c r="K142" cm="1">
        <f t="array" ref="K142">IFERROR(INDEX(CourseRatings[[Hole 1]:[Hole 18]],
  MATCH(1, (CourseRatings[Course]=C142)*(CourseRatings[Tees]=E142), 0),
  MATCH(G142, CourseRatings[[#Headers],[Hole 1]:[Hole 18]], 0)
),"")</f>
        <v>4</v>
      </c>
      <c r="L142" cm="1">
        <f t="array" ref="L142">IFERROR(
  INDEX('Golf Log'!$E$2:$V$72,
    MATCH(1,
      ('Golf Log'!$A$2:$A$72=$A142)*
      ('Golf Log'!$B$2:$B$72=$B142)*
      ('Golf Log'!$C$2:$C$72=$C142),
    0),
    MATCH($G142,'Golf Log'!$E$1:$V$1,0)
  ),
"")</f>
        <v>5</v>
      </c>
      <c r="M142">
        <f t="shared" si="9"/>
        <v>1</v>
      </c>
      <c r="N142" t="str">
        <f t="shared" si="5"/>
        <v>Bogey</v>
      </c>
      <c r="O142" cm="1">
        <f t="array" ref="O142">IFERROR(
  INDEX('Putt Log'!$E$2:$V$72,
    MATCH(1,
      ('Putt Log'!$A$2:$A$72=$A142)*
      ('Putt Log'!$B$2:$B$72=$B142)*
      ('Putt Log'!$C$2:$C$72=$C142),
    0),
    MATCH($G142,'Putt Log'!$E$1:$V$1,0)
  ),
"")</f>
        <v>2</v>
      </c>
      <c r="P142" cm="1">
        <f t="array" ref="P142">IF(K142=3,"",
  IFERROR(
    INDEX('Fairway Log'!$E$2:$V$72,
      MATCH(1,
        ('Fairway Log'!$A$2:$A$72=$A142)*
        ('Fairway Log'!$B$2:$B$72=$B142)*
        ('Fairway Log'!$C$2:$C213=$C142),
      0),
      MATCH($G142,'Fairway Log'!$E$1:$V$1,0)
    ),
  "")
)</f>
        <v>1</v>
      </c>
      <c r="Q142" t="str" cm="1">
        <f t="array" ref="Q142">IFERROR(
  INDEX('GIR Log'!$E$2:$V$72,
    MATCH(1,
      ('GIR Log'!$A$2:$A$72=$A142)*
      ('GIR Log'!$B$2:$B$72=$B142)*
      ('GIR Log'!$C$2:$C$72=$C142),
    0),
    MATCH($G142,'GIR Log'!$E$1:$V$1,0)
  ),
"")</f>
        <v>↓</v>
      </c>
    </row>
    <row r="143" spans="1:17" x14ac:dyDescent="0.25">
      <c r="A143" s="20" t="s">
        <v>126</v>
      </c>
      <c r="B143" s="2">
        <v>45514</v>
      </c>
      <c r="C143" t="s">
        <v>6</v>
      </c>
      <c r="D143" t="s">
        <v>75</v>
      </c>
      <c r="E143" t="s">
        <v>34</v>
      </c>
      <c r="F143">
        <v>85</v>
      </c>
      <c r="G143" t="s">
        <v>62</v>
      </c>
      <c r="H143" s="9">
        <f t="shared" si="10"/>
        <v>16</v>
      </c>
      <c r="I143" cm="1">
        <f t="array" ref="I143">IFERROR(INDEX(CourseYardages[[Hole 1]:[Hole 18]],
  MATCH(1, (CourseYardages[Course]=C143)*(CourseYardages[Tees]=E143), 0),
  MATCH(G143, CourseYardages[[#Headers],[Hole 1]:[Hole 18]], 0)
),"")</f>
        <v>277</v>
      </c>
      <c r="J143" cm="1">
        <f t="array" ref="J143">IFERROR(INDEX(CourseHandicap[[Hole 1]:[Hole 18]],
  MATCH(1, (CourseHandicap[Course]=C143)*(CourseHandicap[Tees]=E143), 0),
  MATCH(G143, CourseHandicap[[#Headers],[Hole 1]:[Hole 18]], 0)
),"")</f>
        <v>17</v>
      </c>
      <c r="K143" cm="1">
        <f t="array" ref="K143">IFERROR(INDEX(CourseRatings[[Hole 1]:[Hole 18]],
  MATCH(1, (CourseRatings[Course]=C143)*(CourseRatings[Tees]=E143), 0),
  MATCH(G143, CourseRatings[[#Headers],[Hole 1]:[Hole 18]], 0)
),"")</f>
        <v>4</v>
      </c>
      <c r="L143" cm="1">
        <f t="array" ref="L143">IFERROR(
  INDEX('Golf Log'!$E$2:$V$72,
    MATCH(1,
      ('Golf Log'!$A$2:$A$72=$A143)*
      ('Golf Log'!$B$2:$B$72=$B143)*
      ('Golf Log'!$C$2:$C$72=$C143),
    0),
    MATCH($G143,'Golf Log'!$E$1:$V$1,0)
  ),
"")</f>
        <v>4</v>
      </c>
      <c r="M143">
        <f t="shared" si="9"/>
        <v>0</v>
      </c>
      <c r="N143" t="str">
        <f t="shared" si="5"/>
        <v>Par</v>
      </c>
      <c r="O143" cm="1">
        <f t="array" ref="O143">IFERROR(
  INDEX('Putt Log'!$E$2:$V$72,
    MATCH(1,
      ('Putt Log'!$A$2:$A$72=$A143)*
      ('Putt Log'!$B$2:$B$72=$B143)*
      ('Putt Log'!$C$2:$C$72=$C143),
    0),
    MATCH($G143,'Putt Log'!$E$1:$V$1,0)
  ),
"")</f>
        <v>2</v>
      </c>
      <c r="P143" cm="1">
        <f t="array" ref="P143">IF(K143=3,"",
  IFERROR(
    INDEX('Fairway Log'!$E$2:$V$72,
      MATCH(1,
        ('Fairway Log'!$A$2:$A$72=$A143)*
        ('Fairway Log'!$B$2:$B$72=$B143)*
        ('Fairway Log'!$C$2:$C214=$C143),
      0),
      MATCH($G143,'Fairway Log'!$E$1:$V$1,0)
    ),
  "")
)</f>
        <v>1</v>
      </c>
      <c r="Q143" cm="1">
        <f t="array" ref="Q143">IFERROR(
  INDEX('GIR Log'!$E$2:$V$72,
    MATCH(1,
      ('GIR Log'!$A$2:$A$72=$A143)*
      ('GIR Log'!$B$2:$B$72=$B143)*
      ('GIR Log'!$C$2:$C$72=$C143),
    0),
    MATCH($G143,'GIR Log'!$E$1:$V$1,0)
  ),
"")</f>
        <v>1</v>
      </c>
    </row>
    <row r="144" spans="1:17" x14ac:dyDescent="0.25">
      <c r="A144" s="20" t="s">
        <v>126</v>
      </c>
      <c r="B144" s="2">
        <v>45514</v>
      </c>
      <c r="C144" t="s">
        <v>6</v>
      </c>
      <c r="D144" t="s">
        <v>75</v>
      </c>
      <c r="E144" t="s">
        <v>34</v>
      </c>
      <c r="F144">
        <v>85</v>
      </c>
      <c r="G144" t="s">
        <v>63</v>
      </c>
      <c r="H144" s="9">
        <f t="shared" si="10"/>
        <v>17</v>
      </c>
      <c r="I144" cm="1">
        <f t="array" ref="I144">IFERROR(INDEX(CourseYardages[[Hole 1]:[Hole 18]],
  MATCH(1, (CourseYardages[Course]=C144)*(CourseYardages[Tees]=E144), 0),
  MATCH(G144, CourseYardages[[#Headers],[Hole 1]:[Hole 18]], 0)
),"")</f>
        <v>479</v>
      </c>
      <c r="J144" cm="1">
        <f t="array" ref="J144">IFERROR(INDEX(CourseHandicap[[Hole 1]:[Hole 18]],
  MATCH(1, (CourseHandicap[Course]=C144)*(CourseHandicap[Tees]=E144), 0),
  MATCH(G144, CourseHandicap[[#Headers],[Hole 1]:[Hole 18]], 0)
),"")</f>
        <v>3</v>
      </c>
      <c r="K144" cm="1">
        <f t="array" ref="K144">IFERROR(INDEX(CourseRatings[[Hole 1]:[Hole 18]],
  MATCH(1, (CourseRatings[Course]=C144)*(CourseRatings[Tees]=E144), 0),
  MATCH(G144, CourseRatings[[#Headers],[Hole 1]:[Hole 18]], 0)
),"")</f>
        <v>5</v>
      </c>
      <c r="L144" cm="1">
        <f t="array" ref="L144">IFERROR(
  INDEX('Golf Log'!$E$2:$V$72,
    MATCH(1,
      ('Golf Log'!$A$2:$A$72=$A144)*
      ('Golf Log'!$B$2:$B$72=$B144)*
      ('Golf Log'!$C$2:$C$72=$C144),
    0),
    MATCH($G144,'Golf Log'!$E$1:$V$1,0)
  ),
"")</f>
        <v>5</v>
      </c>
      <c r="M144">
        <f t="shared" si="9"/>
        <v>0</v>
      </c>
      <c r="N144" t="str">
        <f t="shared" si="5"/>
        <v>Par</v>
      </c>
      <c r="O144" cm="1">
        <f t="array" ref="O144">IFERROR(
  INDEX('Putt Log'!$E$2:$V$72,
    MATCH(1,
      ('Putt Log'!$A$2:$A$72=$A144)*
      ('Putt Log'!$B$2:$B$72=$B144)*
      ('Putt Log'!$C$2:$C$72=$C144),
    0),
    MATCH($G144,'Putt Log'!$E$1:$V$1,0)
  ),
"")</f>
        <v>1</v>
      </c>
      <c r="P144" t="str" cm="1">
        <f t="array" ref="P144">IF(K144=3,"",
  IFERROR(
    INDEX('Fairway Log'!$E$2:$V$72,
      MATCH(1,
        ('Fairway Log'!$A$2:$A$72=$A144)*
        ('Fairway Log'!$B$2:$B$72=$B144)*
        ('Fairway Log'!$C$2:$C215=$C144),
      0),
      MATCH($G144,'Fairway Log'!$E$1:$V$1,0)
    ),
  "")
)</f>
        <v>→</v>
      </c>
      <c r="Q144" t="str" cm="1">
        <f t="array" ref="Q144">IFERROR(
  INDEX('GIR Log'!$E$2:$V$72,
    MATCH(1,
      ('GIR Log'!$A$2:$A$72=$A144)*
      ('GIR Log'!$B$2:$B$72=$B144)*
      ('GIR Log'!$C$2:$C$72=$C144),
    0),
    MATCH($G144,'GIR Log'!$E$1:$V$1,0)
  ),
"")</f>
        <v>→</v>
      </c>
    </row>
    <row r="145" spans="1:17" x14ac:dyDescent="0.25">
      <c r="A145" s="20" t="s">
        <v>126</v>
      </c>
      <c r="B145" s="2">
        <v>45514</v>
      </c>
      <c r="C145" t="s">
        <v>6</v>
      </c>
      <c r="D145" t="s">
        <v>75</v>
      </c>
      <c r="E145" t="s">
        <v>34</v>
      </c>
      <c r="F145">
        <v>85</v>
      </c>
      <c r="G145" t="s">
        <v>64</v>
      </c>
      <c r="H145" s="9">
        <f t="shared" si="10"/>
        <v>18</v>
      </c>
      <c r="I145" cm="1">
        <f t="array" ref="I145">IFERROR(INDEX(CourseYardages[[Hole 1]:[Hole 18]],
  MATCH(1, (CourseYardages[Course]=C145)*(CourseYardages[Tees]=E145), 0),
  MATCH(G145, CourseYardages[[#Headers],[Hole 1]:[Hole 18]], 0)
),"")</f>
        <v>367</v>
      </c>
      <c r="J145" cm="1">
        <f t="array" ref="J145">IFERROR(INDEX(CourseHandicap[[Hole 1]:[Hole 18]],
  MATCH(1, (CourseHandicap[Course]=C145)*(CourseHandicap[Tees]=E145), 0),
  MATCH(G145, CourseHandicap[[#Headers],[Hole 1]:[Hole 18]], 0)
),"")</f>
        <v>7</v>
      </c>
      <c r="K145" cm="1">
        <f t="array" ref="K145">IFERROR(INDEX(CourseRatings[[Hole 1]:[Hole 18]],
  MATCH(1, (CourseRatings[Course]=C145)*(CourseRatings[Tees]=E145), 0),
  MATCH(G145, CourseRatings[[#Headers],[Hole 1]:[Hole 18]], 0)
),"")</f>
        <v>4</v>
      </c>
      <c r="L145" cm="1">
        <f t="array" ref="L145">IFERROR(
  INDEX('Golf Log'!$E$2:$V$72,
    MATCH(1,
      ('Golf Log'!$A$2:$A$72=$A145)*
      ('Golf Log'!$B$2:$B$72=$B145)*
      ('Golf Log'!$C$2:$C$72=$C145),
    0),
    MATCH($G145,'Golf Log'!$E$1:$V$1,0)
  ),
"")</f>
        <v>4</v>
      </c>
      <c r="M145">
        <f t="shared" si="9"/>
        <v>0</v>
      </c>
      <c r="N145" t="str">
        <f t="shared" si="5"/>
        <v>Par</v>
      </c>
      <c r="O145" cm="1">
        <f t="array" ref="O145">IFERROR(
  INDEX('Putt Log'!$E$2:$V$72,
    MATCH(1,
      ('Putt Log'!$A$2:$A$72=$A145)*
      ('Putt Log'!$B$2:$B$72=$B145)*
      ('Putt Log'!$C$2:$C$72=$C145),
    0),
    MATCH($G145,'Putt Log'!$E$1:$V$1,0)
  ),
"")</f>
        <v>1</v>
      </c>
      <c r="P145" cm="1">
        <f t="array" ref="P145">IF(K145=3,"",
  IFERROR(
    INDEX('Fairway Log'!$E$2:$V$72,
      MATCH(1,
        ('Fairway Log'!$A$2:$A$72=$A145)*
        ('Fairway Log'!$B$2:$B$72=$B145)*
        ('Fairway Log'!$C$2:$C216=$C145),
      0),
      MATCH($G145,'Fairway Log'!$E$1:$V$1,0)
    ),
  "")
)</f>
        <v>1</v>
      </c>
      <c r="Q145" t="str" cm="1">
        <f t="array" ref="Q145">IFERROR(
  INDEX('GIR Log'!$E$2:$V$72,
    MATCH(1,
      ('GIR Log'!$A$2:$A$72=$A145)*
      ('GIR Log'!$B$2:$B$72=$B145)*
      ('GIR Log'!$C$2:$C$72=$C145),
    0),
    MATCH($G145,'GIR Log'!$E$1:$V$1,0)
  ),
"")</f>
        <v>←</v>
      </c>
    </row>
    <row r="146" spans="1:17" x14ac:dyDescent="0.25">
      <c r="A146" s="20" t="s">
        <v>126</v>
      </c>
      <c r="B146" s="2">
        <v>45502</v>
      </c>
      <c r="C146" t="s">
        <v>3</v>
      </c>
      <c r="D146" t="s">
        <v>3</v>
      </c>
      <c r="E146" t="s">
        <v>34</v>
      </c>
      <c r="F146">
        <v>83</v>
      </c>
      <c r="G146" t="s">
        <v>47</v>
      </c>
      <c r="H146" s="9">
        <f t="shared" si="10"/>
        <v>1</v>
      </c>
      <c r="I146" cm="1">
        <f t="array" ref="I146">IFERROR(INDEX(CourseYardages[[Hole 1]:[Hole 18]],
  MATCH(1, (CourseYardages[Course]=C146)*(CourseYardages[Tees]=E146), 0),
  MATCH(G146, CourseYardages[[#Headers],[Hole 1]:[Hole 18]], 0)
),"")</f>
        <v>354</v>
      </c>
      <c r="J146" cm="1">
        <f t="array" ref="J146">IFERROR(INDEX(CourseHandicap[[Hole 1]:[Hole 18]],
  MATCH(1, (CourseHandicap[Course]=C146)*(CourseHandicap[Tees]=E146), 0),
  MATCH(G146, CourseHandicap[[#Headers],[Hole 1]:[Hole 18]], 0)
),"")</f>
        <v>15</v>
      </c>
      <c r="K146" cm="1">
        <f t="array" ref="K146">IFERROR(INDEX(CourseRatings[[Hole 1]:[Hole 18]],
  MATCH(1, (CourseRatings[Course]=C146)*(CourseRatings[Tees]=E146), 0),
  MATCH(G146, CourseRatings[[#Headers],[Hole 1]:[Hole 18]], 0)
),"")</f>
        <v>4</v>
      </c>
      <c r="L146" cm="1">
        <f t="array" ref="L146">IFERROR(
  INDEX('Golf Log'!$E$2:$V$72,
    MATCH(1,
      ('Golf Log'!$A$2:$A$72=$A146)*
      ('Golf Log'!$B$2:$B$72=$B146)*
      ('Golf Log'!$C$2:$C$72=$C146),
    0),
    MATCH($G146,'Golf Log'!$E$1:$V$1,0)
  ),
"")</f>
        <v>4</v>
      </c>
      <c r="M146">
        <f t="shared" si="9"/>
        <v>0</v>
      </c>
      <c r="N146" t="str">
        <f t="shared" si="5"/>
        <v>Par</v>
      </c>
      <c r="O146" cm="1">
        <f t="array" ref="O146">IFERROR(
  INDEX('Putt Log'!$E$2:$V$72,
    MATCH(1,
      ('Putt Log'!$A$2:$A$72=$A146)*
      ('Putt Log'!$B$2:$B$72=$B146)*
      ('Putt Log'!$C$2:$C$72=$C146),
    0),
    MATCH($G146,'Putt Log'!$E$1:$V$1,0)
  ),
"")</f>
        <v>2</v>
      </c>
      <c r="P146" t="str" cm="1">
        <f t="array" ref="P146">IF(K146=3,"",
  IFERROR(
    INDEX('Fairway Log'!$E$2:$V$72,
      MATCH(1,
        ('Fairway Log'!$A$2:$A$72=$A146)*
        ('Fairway Log'!$B$2:$B$72=$B146)*
        ('Fairway Log'!$C$2:$C217=$C146),
      0),
      MATCH($G146,'Fairway Log'!$E$1:$V$1,0)
    ),
  "")
)</f>
        <v>←</v>
      </c>
      <c r="Q146" cm="1">
        <f t="array" ref="Q146">IFERROR(
  INDEX('GIR Log'!$E$2:$V$72,
    MATCH(1,
      ('GIR Log'!$A$2:$A$72=$A146)*
      ('GIR Log'!$B$2:$B$72=$B146)*
      ('GIR Log'!$C$2:$C$72=$C146),
    0),
    MATCH($G146,'GIR Log'!$E$1:$V$1,0)
  ),
"")</f>
        <v>1</v>
      </c>
    </row>
    <row r="147" spans="1:17" x14ac:dyDescent="0.25">
      <c r="A147" s="20" t="s">
        <v>126</v>
      </c>
      <c r="B147" s="2">
        <v>45502</v>
      </c>
      <c r="C147" t="s">
        <v>3</v>
      </c>
      <c r="D147" t="s">
        <v>3</v>
      </c>
      <c r="E147" t="s">
        <v>34</v>
      </c>
      <c r="F147">
        <v>83</v>
      </c>
      <c r="G147" t="s">
        <v>48</v>
      </c>
      <c r="H147" s="9">
        <f t="shared" si="10"/>
        <v>2</v>
      </c>
      <c r="I147" cm="1">
        <f t="array" ref="I147">IFERROR(INDEX(CourseYardages[[Hole 1]:[Hole 18]],
  MATCH(1, (CourseYardages[Course]=C147)*(CourseYardages[Tees]=E147), 0),
  MATCH(G147, CourseYardages[[#Headers],[Hole 1]:[Hole 18]], 0)
),"")</f>
        <v>380</v>
      </c>
      <c r="J147" cm="1">
        <f t="array" ref="J147">IFERROR(INDEX(CourseHandicap[[Hole 1]:[Hole 18]],
  MATCH(1, (CourseHandicap[Course]=C147)*(CourseHandicap[Tees]=E147), 0),
  MATCH(G147, CourseHandicap[[#Headers],[Hole 1]:[Hole 18]], 0)
),"")</f>
        <v>3</v>
      </c>
      <c r="K147" cm="1">
        <f t="array" ref="K147">IFERROR(INDEX(CourseRatings[[Hole 1]:[Hole 18]],
  MATCH(1, (CourseRatings[Course]=C147)*(CourseRatings[Tees]=E147), 0),
  MATCH(G147, CourseRatings[[#Headers],[Hole 1]:[Hole 18]], 0)
),"")</f>
        <v>4</v>
      </c>
      <c r="L147" cm="1">
        <f t="array" ref="L147">IFERROR(
  INDEX('Golf Log'!$E$2:$V$72,
    MATCH(1,
      ('Golf Log'!$A$2:$A$72=$A147)*
      ('Golf Log'!$B$2:$B$72=$B147)*
      ('Golf Log'!$C$2:$C$72=$C147),
    0),
    MATCH($G147,'Golf Log'!$E$1:$V$1,0)
  ),
"")</f>
        <v>4</v>
      </c>
      <c r="M147">
        <f t="shared" si="9"/>
        <v>0</v>
      </c>
      <c r="N147" t="str">
        <f t="shared" si="5"/>
        <v>Par</v>
      </c>
      <c r="O147" cm="1">
        <f t="array" ref="O147">IFERROR(
  INDEX('Putt Log'!$E$2:$V$72,
    MATCH(1,
      ('Putt Log'!$A$2:$A$72=$A147)*
      ('Putt Log'!$B$2:$B$72=$B147)*
      ('Putt Log'!$C$2:$C$72=$C147),
    0),
    MATCH($G147,'Putt Log'!$E$1:$V$1,0)
  ),
"")</f>
        <v>2</v>
      </c>
      <c r="P147" t="str" cm="1">
        <f t="array" ref="P147">IF(K147=3,"",
  IFERROR(
    INDEX('Fairway Log'!$E$2:$V$72,
      MATCH(1,
        ('Fairway Log'!$A$2:$A$72=$A147)*
        ('Fairway Log'!$B$2:$B$72=$B147)*
        ('Fairway Log'!$C$2:$C218=$C147),
      0),
      MATCH($G147,'Fairway Log'!$E$1:$V$1,0)
    ),
  "")
)</f>
        <v>→</v>
      </c>
      <c r="Q147" cm="1">
        <f t="array" ref="Q147">IFERROR(
  INDEX('GIR Log'!$E$2:$V$72,
    MATCH(1,
      ('GIR Log'!$A$2:$A$72=$A147)*
      ('GIR Log'!$B$2:$B$72=$B147)*
      ('GIR Log'!$C$2:$C$72=$C147),
    0),
    MATCH($G147,'GIR Log'!$E$1:$V$1,0)
  ),
"")</f>
        <v>1</v>
      </c>
    </row>
    <row r="148" spans="1:17" x14ac:dyDescent="0.25">
      <c r="A148" s="20" t="s">
        <v>126</v>
      </c>
      <c r="B148" s="2">
        <v>45502</v>
      </c>
      <c r="C148" t="s">
        <v>3</v>
      </c>
      <c r="D148" t="s">
        <v>3</v>
      </c>
      <c r="E148" t="s">
        <v>34</v>
      </c>
      <c r="F148">
        <v>83</v>
      </c>
      <c r="G148" t="s">
        <v>49</v>
      </c>
      <c r="H148" s="9">
        <f t="shared" si="10"/>
        <v>3</v>
      </c>
      <c r="I148" cm="1">
        <f t="array" ref="I148">IFERROR(INDEX(CourseYardages[[Hole 1]:[Hole 18]],
  MATCH(1, (CourseYardages[Course]=C148)*(CourseYardages[Tees]=E148), 0),
  MATCH(G148, CourseYardages[[#Headers],[Hole 1]:[Hole 18]], 0)
),"")</f>
        <v>153</v>
      </c>
      <c r="J148" cm="1">
        <f t="array" ref="J148">IFERROR(INDEX(CourseHandicap[[Hole 1]:[Hole 18]],
  MATCH(1, (CourseHandicap[Course]=C148)*(CourseHandicap[Tees]=E148), 0),
  MATCH(G148, CourseHandicap[[#Headers],[Hole 1]:[Hole 18]], 0)
),"")</f>
        <v>17</v>
      </c>
      <c r="K148" cm="1">
        <f t="array" ref="K148">IFERROR(INDEX(CourseRatings[[Hole 1]:[Hole 18]],
  MATCH(1, (CourseRatings[Course]=C148)*(CourseRatings[Tees]=E148), 0),
  MATCH(G148, CourseRatings[[#Headers],[Hole 1]:[Hole 18]], 0)
),"")</f>
        <v>3</v>
      </c>
      <c r="L148" cm="1">
        <f t="array" ref="L148">IFERROR(
  INDEX('Golf Log'!$E$2:$V$72,
    MATCH(1,
      ('Golf Log'!$A$2:$A$72=$A148)*
      ('Golf Log'!$B$2:$B$72=$B148)*
      ('Golf Log'!$C$2:$C$72=$C148),
    0),
    MATCH($G148,'Golf Log'!$E$1:$V$1,0)
  ),
"")</f>
        <v>4</v>
      </c>
      <c r="M148">
        <f t="shared" si="9"/>
        <v>1</v>
      </c>
      <c r="N148" t="str">
        <f t="shared" si="5"/>
        <v>Bogey</v>
      </c>
      <c r="O148" cm="1">
        <f t="array" ref="O148">IFERROR(
  INDEX('Putt Log'!$E$2:$V$72,
    MATCH(1,
      ('Putt Log'!$A$2:$A$72=$A148)*
      ('Putt Log'!$B$2:$B$72=$B148)*
      ('Putt Log'!$C$2:$C$72=$C148),
    0),
    MATCH($G148,'Putt Log'!$E$1:$V$1,0)
  ),
"")</f>
        <v>2</v>
      </c>
      <c r="P148" t="str" cm="1">
        <f t="array" ref="P148">IF(K148=3,"",
  IFERROR(
    INDEX('Fairway Log'!$E$2:$V$72,
      MATCH(1,
        ('Fairway Log'!$A$2:$A$72=$A148)*
        ('Fairway Log'!$B$2:$B$72=$B148)*
        ('Fairway Log'!$C$2:$C219=$C148),
      0),
      MATCH($G148,'Fairway Log'!$E$1:$V$1,0)
    ),
  "")
)</f>
        <v/>
      </c>
      <c r="Q148" t="str" cm="1">
        <f t="array" ref="Q148">IFERROR(
  INDEX('GIR Log'!$E$2:$V$72,
    MATCH(1,
      ('GIR Log'!$A$2:$A$72=$A148)*
      ('GIR Log'!$B$2:$B$72=$B148)*
      ('GIR Log'!$C$2:$C$72=$C148),
    0),
    MATCH($G148,'GIR Log'!$E$1:$V$1,0)
  ),
"")</f>
        <v>↓</v>
      </c>
    </row>
    <row r="149" spans="1:17" x14ac:dyDescent="0.25">
      <c r="A149" s="20" t="s">
        <v>126</v>
      </c>
      <c r="B149" s="2">
        <v>45502</v>
      </c>
      <c r="C149" t="s">
        <v>3</v>
      </c>
      <c r="D149" t="s">
        <v>3</v>
      </c>
      <c r="E149" t="s">
        <v>34</v>
      </c>
      <c r="F149">
        <v>83</v>
      </c>
      <c r="G149" t="s">
        <v>50</v>
      </c>
      <c r="H149" s="9">
        <f t="shared" si="10"/>
        <v>4</v>
      </c>
      <c r="I149" cm="1">
        <f t="array" ref="I149">IFERROR(INDEX(CourseYardages[[Hole 1]:[Hole 18]],
  MATCH(1, (CourseYardages[Course]=C149)*(CourseYardages[Tees]=E149), 0),
  MATCH(G149, CourseYardages[[#Headers],[Hole 1]:[Hole 18]], 0)
),"")</f>
        <v>363</v>
      </c>
      <c r="J149" cm="1">
        <f t="array" ref="J149">IFERROR(INDEX(CourseHandicap[[Hole 1]:[Hole 18]],
  MATCH(1, (CourseHandicap[Course]=C149)*(CourseHandicap[Tees]=E149), 0),
  MATCH(G149, CourseHandicap[[#Headers],[Hole 1]:[Hole 18]], 0)
),"")</f>
        <v>11</v>
      </c>
      <c r="K149" cm="1">
        <f t="array" ref="K149">IFERROR(INDEX(CourseRatings[[Hole 1]:[Hole 18]],
  MATCH(1, (CourseRatings[Course]=C149)*(CourseRatings[Tees]=E149), 0),
  MATCH(G149, CourseRatings[[#Headers],[Hole 1]:[Hole 18]], 0)
),"")</f>
        <v>4</v>
      </c>
      <c r="L149" cm="1">
        <f t="array" ref="L149">IFERROR(
  INDEX('Golf Log'!$E$2:$V$72,
    MATCH(1,
      ('Golf Log'!$A$2:$A$72=$A149)*
      ('Golf Log'!$B$2:$B$72=$B149)*
      ('Golf Log'!$C$2:$C$72=$C149),
    0),
    MATCH($G149,'Golf Log'!$E$1:$V$1,0)
  ),
"")</f>
        <v>4</v>
      </c>
      <c r="M149">
        <f t="shared" si="9"/>
        <v>0</v>
      </c>
      <c r="N149" t="str">
        <f t="shared" si="5"/>
        <v>Par</v>
      </c>
      <c r="O149" cm="1">
        <f t="array" ref="O149">IFERROR(
  INDEX('Putt Log'!$E$2:$V$72,
    MATCH(1,
      ('Putt Log'!$A$2:$A$72=$A149)*
      ('Putt Log'!$B$2:$B$72=$B149)*
      ('Putt Log'!$C$2:$C$72=$C149),
    0),
    MATCH($G149,'Putt Log'!$E$1:$V$1,0)
  ),
"")</f>
        <v>1</v>
      </c>
      <c r="P149" t="str" cm="1">
        <f t="array" ref="P149">IF(K149=3,"",
  IFERROR(
    INDEX('Fairway Log'!$E$2:$V$72,
      MATCH(1,
        ('Fairway Log'!$A$2:$A$72=$A149)*
        ('Fairway Log'!$B$2:$B$72=$B149)*
        ('Fairway Log'!$C$2:$C220=$C149),
      0),
      MATCH($G149,'Fairway Log'!$E$1:$V$1,0)
    ),
  "")
)</f>
        <v>→</v>
      </c>
      <c r="Q149" t="str" cm="1">
        <f t="array" ref="Q149">IFERROR(
  INDEX('GIR Log'!$E$2:$V$72,
    MATCH(1,
      ('GIR Log'!$A$2:$A$72=$A149)*
      ('GIR Log'!$B$2:$B$72=$B149)*
      ('GIR Log'!$C$2:$C$72=$C149),
    0),
    MATCH($G149,'GIR Log'!$E$1:$V$1,0)
  ),
"")</f>
        <v>→</v>
      </c>
    </row>
    <row r="150" spans="1:17" x14ac:dyDescent="0.25">
      <c r="A150" s="20" t="s">
        <v>126</v>
      </c>
      <c r="B150" s="2">
        <v>45502</v>
      </c>
      <c r="C150" t="s">
        <v>3</v>
      </c>
      <c r="D150" t="s">
        <v>3</v>
      </c>
      <c r="E150" t="s">
        <v>34</v>
      </c>
      <c r="F150">
        <v>83</v>
      </c>
      <c r="G150" t="s">
        <v>51</v>
      </c>
      <c r="H150" s="9">
        <f t="shared" si="10"/>
        <v>5</v>
      </c>
      <c r="I150" cm="1">
        <f t="array" ref="I150">IFERROR(INDEX(CourseYardages[[Hole 1]:[Hole 18]],
  MATCH(1, (CourseYardages[Course]=C150)*(CourseYardages[Tees]=E150), 0),
  MATCH(G150, CourseYardages[[#Headers],[Hole 1]:[Hole 18]], 0)
),"")</f>
        <v>400</v>
      </c>
      <c r="J150" cm="1">
        <f t="array" ref="J150">IFERROR(INDEX(CourseHandicap[[Hole 1]:[Hole 18]],
  MATCH(1, (CourseHandicap[Course]=C150)*(CourseHandicap[Tees]=E150), 0),
  MATCH(G150, CourseHandicap[[#Headers],[Hole 1]:[Hole 18]], 0)
),"")</f>
        <v>7</v>
      </c>
      <c r="K150" cm="1">
        <f t="array" ref="K150">IFERROR(INDEX(CourseRatings[[Hole 1]:[Hole 18]],
  MATCH(1, (CourseRatings[Course]=C150)*(CourseRatings[Tees]=E150), 0),
  MATCH(G150, CourseRatings[[#Headers],[Hole 1]:[Hole 18]], 0)
),"")</f>
        <v>4</v>
      </c>
      <c r="L150" cm="1">
        <f t="array" ref="L150">IFERROR(
  INDEX('Golf Log'!$E$2:$V$72,
    MATCH(1,
      ('Golf Log'!$A$2:$A$72=$A150)*
      ('Golf Log'!$B$2:$B$72=$B150)*
      ('Golf Log'!$C$2:$C$72=$C150),
    0),
    MATCH($G150,'Golf Log'!$E$1:$V$1,0)
  ),
"")</f>
        <v>5</v>
      </c>
      <c r="M150">
        <f t="shared" si="9"/>
        <v>1</v>
      </c>
      <c r="N150" t="str">
        <f t="shared" si="5"/>
        <v>Bogey</v>
      </c>
      <c r="O150" cm="1">
        <f t="array" ref="O150">IFERROR(
  INDEX('Putt Log'!$E$2:$V$72,
    MATCH(1,
      ('Putt Log'!$A$2:$A$72=$A150)*
      ('Putt Log'!$B$2:$B$72=$B150)*
      ('Putt Log'!$C$2:$C$72=$C150),
    0),
    MATCH($G150,'Putt Log'!$E$1:$V$1,0)
  ),
"")</f>
        <v>1</v>
      </c>
      <c r="P150" t="str" cm="1">
        <f t="array" ref="P150">IF(K150=3,"",
  IFERROR(
    INDEX('Fairway Log'!$E$2:$V$72,
      MATCH(1,
        ('Fairway Log'!$A$2:$A$72=$A150)*
        ('Fairway Log'!$B$2:$B$72=$B150)*
        ('Fairway Log'!$C$2:$C221=$C150),
      0),
      MATCH($G150,'Fairway Log'!$E$1:$V$1,0)
    ),
  "")
)</f>
        <v>→</v>
      </c>
      <c r="Q150" t="str" cm="1">
        <f t="array" ref="Q150">IFERROR(
  INDEX('GIR Log'!$E$2:$V$72,
    MATCH(1,
      ('GIR Log'!$A$2:$A$72=$A150)*
      ('GIR Log'!$B$2:$B$72=$B150)*
      ('GIR Log'!$C$2:$C$72=$C150),
    0),
    MATCH($G150,'GIR Log'!$E$1:$V$1,0)
  ),
"")</f>
        <v>→</v>
      </c>
    </row>
    <row r="151" spans="1:17" x14ac:dyDescent="0.25">
      <c r="A151" s="20" t="s">
        <v>126</v>
      </c>
      <c r="B151" s="2">
        <v>45502</v>
      </c>
      <c r="C151" t="s">
        <v>3</v>
      </c>
      <c r="D151" t="s">
        <v>3</v>
      </c>
      <c r="E151" t="s">
        <v>34</v>
      </c>
      <c r="F151">
        <v>83</v>
      </c>
      <c r="G151" t="s">
        <v>52</v>
      </c>
      <c r="H151" s="9">
        <f t="shared" si="10"/>
        <v>6</v>
      </c>
      <c r="I151" cm="1">
        <f t="array" ref="I151">IFERROR(INDEX(CourseYardages[[Hole 1]:[Hole 18]],
  MATCH(1, (CourseYardages[Course]=C151)*(CourseYardages[Tees]=E151), 0),
  MATCH(G151, CourseYardages[[#Headers],[Hole 1]:[Hole 18]], 0)
),"")</f>
        <v>190</v>
      </c>
      <c r="J151" cm="1">
        <f t="array" ref="J151">IFERROR(INDEX(CourseHandicap[[Hole 1]:[Hole 18]],
  MATCH(1, (CourseHandicap[Course]=C151)*(CourseHandicap[Tees]=E151), 0),
  MATCH(G151, CourseHandicap[[#Headers],[Hole 1]:[Hole 18]], 0)
),"")</f>
        <v>5</v>
      </c>
      <c r="K151" cm="1">
        <f t="array" ref="K151">IFERROR(INDEX(CourseRatings[[Hole 1]:[Hole 18]],
  MATCH(1, (CourseRatings[Course]=C151)*(CourseRatings[Tees]=E151), 0),
  MATCH(G151, CourseRatings[[#Headers],[Hole 1]:[Hole 18]], 0)
),"")</f>
        <v>3</v>
      </c>
      <c r="L151" cm="1">
        <f t="array" ref="L151">IFERROR(
  INDEX('Golf Log'!$E$2:$V$72,
    MATCH(1,
      ('Golf Log'!$A$2:$A$72=$A151)*
      ('Golf Log'!$B$2:$B$72=$B151)*
      ('Golf Log'!$C$2:$C$72=$C151),
    0),
    MATCH($G151,'Golf Log'!$E$1:$V$1,0)
  ),
"")</f>
        <v>4</v>
      </c>
      <c r="M151">
        <f t="shared" si="9"/>
        <v>1</v>
      </c>
      <c r="N151" t="str">
        <f t="shared" si="5"/>
        <v>Bogey</v>
      </c>
      <c r="O151" cm="1">
        <f t="array" ref="O151">IFERROR(
  INDEX('Putt Log'!$E$2:$V$72,
    MATCH(1,
      ('Putt Log'!$A$2:$A$72=$A151)*
      ('Putt Log'!$B$2:$B$72=$B151)*
      ('Putt Log'!$C$2:$C$72=$C151),
    0),
    MATCH($G151,'Putt Log'!$E$1:$V$1,0)
  ),
"")</f>
        <v>2</v>
      </c>
      <c r="P151" t="str" cm="1">
        <f t="array" ref="P151">IF(K151=3,"",
  IFERROR(
    INDEX('Fairway Log'!$E$2:$V$72,
      MATCH(1,
        ('Fairway Log'!$A$2:$A$72=$A151)*
        ('Fairway Log'!$B$2:$B$72=$B151)*
        ('Fairway Log'!$C$2:$C222=$C151),
      0),
      MATCH($G151,'Fairway Log'!$E$1:$V$1,0)
    ),
  "")
)</f>
        <v/>
      </c>
      <c r="Q151" t="str" cm="1">
        <f t="array" ref="Q151">IFERROR(
  INDEX('GIR Log'!$E$2:$V$72,
    MATCH(1,
      ('GIR Log'!$A$2:$A$72=$A151)*
      ('GIR Log'!$B$2:$B$72=$B151)*
      ('GIR Log'!$C$2:$C$72=$C151),
    0),
    MATCH($G151,'GIR Log'!$E$1:$V$1,0)
  ),
"")</f>
        <v>→</v>
      </c>
    </row>
    <row r="152" spans="1:17" x14ac:dyDescent="0.25">
      <c r="A152" s="20" t="s">
        <v>126</v>
      </c>
      <c r="B152" s="2">
        <v>45502</v>
      </c>
      <c r="C152" t="s">
        <v>3</v>
      </c>
      <c r="D152" t="s">
        <v>3</v>
      </c>
      <c r="E152" t="s">
        <v>34</v>
      </c>
      <c r="F152">
        <v>83</v>
      </c>
      <c r="G152" t="s">
        <v>53</v>
      </c>
      <c r="H152" s="9">
        <f t="shared" si="10"/>
        <v>7</v>
      </c>
      <c r="I152" cm="1">
        <f t="array" ref="I152">IFERROR(INDEX(CourseYardages[[Hole 1]:[Hole 18]],
  MATCH(1, (CourseYardages[Course]=C152)*(CourseYardages[Tees]=E152), 0),
  MATCH(G152, CourseYardages[[#Headers],[Hole 1]:[Hole 18]], 0)
),"")</f>
        <v>507</v>
      </c>
      <c r="J152" cm="1">
        <f t="array" ref="J152">IFERROR(INDEX(CourseHandicap[[Hole 1]:[Hole 18]],
  MATCH(1, (CourseHandicap[Course]=C152)*(CourseHandicap[Tees]=E152), 0),
  MATCH(G152, CourseHandicap[[#Headers],[Hole 1]:[Hole 18]], 0)
),"")</f>
        <v>9</v>
      </c>
      <c r="K152" cm="1">
        <f t="array" ref="K152">IFERROR(INDEX(CourseRatings[[Hole 1]:[Hole 18]],
  MATCH(1, (CourseRatings[Course]=C152)*(CourseRatings[Tees]=E152), 0),
  MATCH(G152, CourseRatings[[#Headers],[Hole 1]:[Hole 18]], 0)
),"")</f>
        <v>5</v>
      </c>
      <c r="L152" cm="1">
        <f t="array" ref="L152">IFERROR(
  INDEX('Golf Log'!$E$2:$V$72,
    MATCH(1,
      ('Golf Log'!$A$2:$A$72=$A152)*
      ('Golf Log'!$B$2:$B$72=$B152)*
      ('Golf Log'!$C$2:$C$72=$C152),
    0),
    MATCH($G152,'Golf Log'!$E$1:$V$1,0)
  ),
"")</f>
        <v>5</v>
      </c>
      <c r="M152">
        <f t="shared" si="9"/>
        <v>0</v>
      </c>
      <c r="N152" t="str">
        <f t="shared" si="5"/>
        <v>Par</v>
      </c>
      <c r="O152" cm="1">
        <f t="array" ref="O152">IFERROR(
  INDEX('Putt Log'!$E$2:$V$72,
    MATCH(1,
      ('Putt Log'!$A$2:$A$72=$A152)*
      ('Putt Log'!$B$2:$B$72=$B152)*
      ('Putt Log'!$C$2:$C$72=$C152),
    0),
    MATCH($G152,'Putt Log'!$E$1:$V$1,0)
  ),
"")</f>
        <v>1</v>
      </c>
      <c r="P152" cm="1">
        <f t="array" ref="P152">IF(K152=3,"",
  IFERROR(
    INDEX('Fairway Log'!$E$2:$V$72,
      MATCH(1,
        ('Fairway Log'!$A$2:$A$72=$A152)*
        ('Fairway Log'!$B$2:$B$72=$B152)*
        ('Fairway Log'!$C$2:$C223=$C152),
      0),
      MATCH($G152,'Fairway Log'!$E$1:$V$1,0)
    ),
  "")
)</f>
        <v>1</v>
      </c>
      <c r="Q152" t="str" cm="1">
        <f t="array" ref="Q152">IFERROR(
  INDEX('GIR Log'!$E$2:$V$72,
    MATCH(1,
      ('GIR Log'!$A$2:$A$72=$A152)*
      ('GIR Log'!$B$2:$B$72=$B152)*
      ('GIR Log'!$C$2:$C$72=$C152),
    0),
    MATCH($G152,'GIR Log'!$E$1:$V$1,0)
  ),
"")</f>
        <v>→</v>
      </c>
    </row>
    <row r="153" spans="1:17" x14ac:dyDescent="0.25">
      <c r="A153" s="20" t="s">
        <v>126</v>
      </c>
      <c r="B153" s="2">
        <v>45502</v>
      </c>
      <c r="C153" t="s">
        <v>3</v>
      </c>
      <c r="D153" t="s">
        <v>3</v>
      </c>
      <c r="E153" t="s">
        <v>34</v>
      </c>
      <c r="F153">
        <v>83</v>
      </c>
      <c r="G153" t="s">
        <v>54</v>
      </c>
      <c r="H153" s="9">
        <f t="shared" si="10"/>
        <v>8</v>
      </c>
      <c r="I153" cm="1">
        <f t="array" ref="I153">IFERROR(INDEX(CourseYardages[[Hole 1]:[Hole 18]],
  MATCH(1, (CourseYardages[Course]=C153)*(CourseYardages[Tees]=E153), 0),
  MATCH(G153, CourseYardages[[#Headers],[Hole 1]:[Hole 18]], 0)
),"")</f>
        <v>347</v>
      </c>
      <c r="J153" cm="1">
        <f t="array" ref="J153">IFERROR(INDEX(CourseHandicap[[Hole 1]:[Hole 18]],
  MATCH(1, (CourseHandicap[Course]=C153)*(CourseHandicap[Tees]=E153), 0),
  MATCH(G153, CourseHandicap[[#Headers],[Hole 1]:[Hole 18]], 0)
),"")</f>
        <v>13</v>
      </c>
      <c r="K153" cm="1">
        <f t="array" ref="K153">IFERROR(INDEX(CourseRatings[[Hole 1]:[Hole 18]],
  MATCH(1, (CourseRatings[Course]=C153)*(CourseRatings[Tees]=E153), 0),
  MATCH(G153, CourseRatings[[#Headers],[Hole 1]:[Hole 18]], 0)
),"")</f>
        <v>4</v>
      </c>
      <c r="L153" cm="1">
        <f t="array" ref="L153">IFERROR(
  INDEX('Golf Log'!$E$2:$V$72,
    MATCH(1,
      ('Golf Log'!$A$2:$A$72=$A153)*
      ('Golf Log'!$B$2:$B$72=$B153)*
      ('Golf Log'!$C$2:$C$72=$C153),
    0),
    MATCH($G153,'Golf Log'!$E$1:$V$1,0)
  ),
"")</f>
        <v>5</v>
      </c>
      <c r="M153">
        <f t="shared" si="9"/>
        <v>1</v>
      </c>
      <c r="N153" t="str">
        <f t="shared" si="5"/>
        <v>Bogey</v>
      </c>
      <c r="O153" cm="1">
        <f t="array" ref="O153">IFERROR(
  INDEX('Putt Log'!$E$2:$V$72,
    MATCH(1,
      ('Putt Log'!$A$2:$A$72=$A153)*
      ('Putt Log'!$B$2:$B$72=$B153)*
      ('Putt Log'!$C$2:$C$72=$C153),
    0),
    MATCH($G153,'Putt Log'!$E$1:$V$1,0)
  ),
"")</f>
        <v>2</v>
      </c>
      <c r="P153" cm="1">
        <f t="array" ref="P153">IF(K153=3,"",
  IFERROR(
    INDEX('Fairway Log'!$E$2:$V$72,
      MATCH(1,
        ('Fairway Log'!$A$2:$A$72=$A153)*
        ('Fairway Log'!$B$2:$B$72=$B153)*
        ('Fairway Log'!$C$2:$C224=$C153),
      0),
      MATCH($G153,'Fairway Log'!$E$1:$V$1,0)
    ),
  "")
)</f>
        <v>1</v>
      </c>
      <c r="Q153" t="str" cm="1">
        <f t="array" ref="Q153">IFERROR(
  INDEX('GIR Log'!$E$2:$V$72,
    MATCH(1,
      ('GIR Log'!$A$2:$A$72=$A153)*
      ('GIR Log'!$B$2:$B$72=$B153)*
      ('GIR Log'!$C$2:$C$72=$C153),
    0),
    MATCH($G153,'GIR Log'!$E$1:$V$1,0)
  ),
"")</f>
        <v>→</v>
      </c>
    </row>
    <row r="154" spans="1:17" x14ac:dyDescent="0.25">
      <c r="A154" s="20" t="s">
        <v>126</v>
      </c>
      <c r="B154" s="2">
        <v>45502</v>
      </c>
      <c r="C154" t="s">
        <v>3</v>
      </c>
      <c r="D154" t="s">
        <v>3</v>
      </c>
      <c r="E154" t="s">
        <v>34</v>
      </c>
      <c r="F154">
        <v>83</v>
      </c>
      <c r="G154" t="s">
        <v>55</v>
      </c>
      <c r="H154" s="9">
        <f t="shared" si="10"/>
        <v>9</v>
      </c>
      <c r="I154" cm="1">
        <f t="array" ref="I154">IFERROR(INDEX(CourseYardages[[Hole 1]:[Hole 18]],
  MATCH(1, (CourseYardages[Course]=C154)*(CourseYardages[Tees]=E154), 0),
  MATCH(G154, CourseYardages[[#Headers],[Hole 1]:[Hole 18]], 0)
),"")</f>
        <v>560</v>
      </c>
      <c r="J154" cm="1">
        <f t="array" ref="J154">IFERROR(INDEX(CourseHandicap[[Hole 1]:[Hole 18]],
  MATCH(1, (CourseHandicap[Course]=C154)*(CourseHandicap[Tees]=E154), 0),
  MATCH(G154, CourseHandicap[[#Headers],[Hole 1]:[Hole 18]], 0)
),"")</f>
        <v>1</v>
      </c>
      <c r="K154" cm="1">
        <f t="array" ref="K154">IFERROR(INDEX(CourseRatings[[Hole 1]:[Hole 18]],
  MATCH(1, (CourseRatings[Course]=C154)*(CourseRatings[Tees]=E154), 0),
  MATCH(G154, CourseRatings[[#Headers],[Hole 1]:[Hole 18]], 0)
),"")</f>
        <v>5</v>
      </c>
      <c r="L154" cm="1">
        <f t="array" ref="L154">IFERROR(
  INDEX('Golf Log'!$E$2:$V$72,
    MATCH(1,
      ('Golf Log'!$A$2:$A$72=$A154)*
      ('Golf Log'!$B$2:$B$72=$B154)*
      ('Golf Log'!$C$2:$C$72=$C154),
    0),
    MATCH($G154,'Golf Log'!$E$1:$V$1,0)
  ),
"")</f>
        <v>6</v>
      </c>
      <c r="M154">
        <f t="shared" si="9"/>
        <v>1</v>
      </c>
      <c r="N154" t="str">
        <f t="shared" si="5"/>
        <v>Bogey</v>
      </c>
      <c r="O154" cm="1">
        <f t="array" ref="O154">IFERROR(
  INDEX('Putt Log'!$E$2:$V$72,
    MATCH(1,
      ('Putt Log'!$A$2:$A$72=$A154)*
      ('Putt Log'!$B$2:$B$72=$B154)*
      ('Putt Log'!$C$2:$C$72=$C154),
    0),
    MATCH($G154,'Putt Log'!$E$1:$V$1,0)
  ),
"")</f>
        <v>1</v>
      </c>
      <c r="P154" t="str" cm="1">
        <f t="array" ref="P154">IF(K154=3,"",
  IFERROR(
    INDEX('Fairway Log'!$E$2:$V$72,
      MATCH(1,
        ('Fairway Log'!$A$2:$A$72=$A154)*
        ('Fairway Log'!$B$2:$B$72=$B154)*
        ('Fairway Log'!$C$2:$C225=$C154),
      0),
      MATCH($G154,'Fairway Log'!$E$1:$V$1,0)
    ),
  "")
)</f>
        <v>→</v>
      </c>
      <c r="Q154" t="str" cm="1">
        <f t="array" ref="Q154">IFERROR(
  INDEX('GIR Log'!$E$2:$V$72,
    MATCH(1,
      ('GIR Log'!$A$2:$A$72=$A154)*
      ('GIR Log'!$B$2:$B$72=$B154)*
      ('GIR Log'!$C$2:$C$72=$C154),
    0),
    MATCH($G154,'GIR Log'!$E$1:$V$1,0)
  ),
"")</f>
        <v>→</v>
      </c>
    </row>
    <row r="155" spans="1:17" x14ac:dyDescent="0.25">
      <c r="A155" s="20" t="s">
        <v>126</v>
      </c>
      <c r="B155" s="2">
        <v>45502</v>
      </c>
      <c r="C155" t="s">
        <v>3</v>
      </c>
      <c r="D155" t="s">
        <v>3</v>
      </c>
      <c r="E155" t="s">
        <v>34</v>
      </c>
      <c r="F155">
        <v>83</v>
      </c>
      <c r="G155" t="s">
        <v>56</v>
      </c>
      <c r="H155" s="9">
        <f t="shared" si="10"/>
        <v>10</v>
      </c>
      <c r="I155" cm="1">
        <f t="array" ref="I155">IFERROR(INDEX(CourseYardages[[Hole 1]:[Hole 18]],
  MATCH(1, (CourseYardages[Course]=C155)*(CourseYardages[Tees]=E155), 0),
  MATCH(G155, CourseYardages[[#Headers],[Hole 1]:[Hole 18]], 0)
),"")</f>
        <v>343</v>
      </c>
      <c r="J155" cm="1">
        <f t="array" ref="J155">IFERROR(INDEX(CourseHandicap[[Hole 1]:[Hole 18]],
  MATCH(1, (CourseHandicap[Course]=C155)*(CourseHandicap[Tees]=E155), 0),
  MATCH(G155, CourseHandicap[[#Headers],[Hole 1]:[Hole 18]], 0)
),"")</f>
        <v>12</v>
      </c>
      <c r="K155" cm="1">
        <f t="array" ref="K155">IFERROR(INDEX(CourseRatings[[Hole 1]:[Hole 18]],
  MATCH(1, (CourseRatings[Course]=C155)*(CourseRatings[Tees]=E155), 0),
  MATCH(G155, CourseRatings[[#Headers],[Hole 1]:[Hole 18]], 0)
),"")</f>
        <v>4</v>
      </c>
      <c r="L155" cm="1">
        <f t="array" ref="L155">IFERROR(
  INDEX('Golf Log'!$E$2:$V$72,
    MATCH(1,
      ('Golf Log'!$A$2:$A$72=$A155)*
      ('Golf Log'!$B$2:$B$72=$B155)*
      ('Golf Log'!$C$2:$C$72=$C155),
    0),
    MATCH($G155,'Golf Log'!$E$1:$V$1,0)
  ),
"")</f>
        <v>4</v>
      </c>
      <c r="M155">
        <f t="shared" si="9"/>
        <v>0</v>
      </c>
      <c r="N155" t="str">
        <f t="shared" si="5"/>
        <v>Par</v>
      </c>
      <c r="O155" cm="1">
        <f t="array" ref="O155">IFERROR(
  INDEX('Putt Log'!$E$2:$V$72,
    MATCH(1,
      ('Putt Log'!$A$2:$A$72=$A155)*
      ('Putt Log'!$B$2:$B$72=$B155)*
      ('Putt Log'!$C$2:$C$72=$C155),
    0),
    MATCH($G155,'Putt Log'!$E$1:$V$1,0)
  ),
"")</f>
        <v>1</v>
      </c>
      <c r="P155" cm="1">
        <f t="array" ref="P155">IF(K155=3,"",
  IFERROR(
    INDEX('Fairway Log'!$E$2:$V$72,
      MATCH(1,
        ('Fairway Log'!$A$2:$A$72=$A155)*
        ('Fairway Log'!$B$2:$B$72=$B155)*
        ('Fairway Log'!$C$2:$C226=$C155),
      0),
      MATCH($G155,'Fairway Log'!$E$1:$V$1,0)
    ),
  "")
)</f>
        <v>1</v>
      </c>
      <c r="Q155" t="str" cm="1">
        <f t="array" ref="Q155">IFERROR(
  INDEX('GIR Log'!$E$2:$V$72,
    MATCH(1,
      ('GIR Log'!$A$2:$A$72=$A155)*
      ('GIR Log'!$B$2:$B$72=$B155)*
      ('GIR Log'!$C$2:$C$72=$C155),
    0),
    MATCH($G155,'GIR Log'!$E$1:$V$1,0)
  ),
"")</f>
        <v>→</v>
      </c>
    </row>
    <row r="156" spans="1:17" x14ac:dyDescent="0.25">
      <c r="A156" s="20" t="s">
        <v>126</v>
      </c>
      <c r="B156" s="2">
        <v>45502</v>
      </c>
      <c r="C156" t="s">
        <v>3</v>
      </c>
      <c r="D156" t="s">
        <v>3</v>
      </c>
      <c r="E156" t="s">
        <v>34</v>
      </c>
      <c r="F156">
        <v>83</v>
      </c>
      <c r="G156" t="s">
        <v>57</v>
      </c>
      <c r="H156" s="9">
        <f t="shared" si="10"/>
        <v>11</v>
      </c>
      <c r="I156" cm="1">
        <f t="array" ref="I156">IFERROR(INDEX(CourseYardages[[Hole 1]:[Hole 18]],
  MATCH(1, (CourseYardages[Course]=C156)*(CourseYardages[Tees]=E156), 0),
  MATCH(G156, CourseYardages[[#Headers],[Hole 1]:[Hole 18]], 0)
),"")</f>
        <v>171</v>
      </c>
      <c r="J156" cm="1">
        <f t="array" ref="J156">IFERROR(INDEX(CourseHandicap[[Hole 1]:[Hole 18]],
  MATCH(1, (CourseHandicap[Course]=C156)*(CourseHandicap[Tees]=E156), 0),
  MATCH(G156, CourseHandicap[[#Headers],[Hole 1]:[Hole 18]], 0)
),"")</f>
        <v>16</v>
      </c>
      <c r="K156" cm="1">
        <f t="array" ref="K156">IFERROR(INDEX(CourseRatings[[Hole 1]:[Hole 18]],
  MATCH(1, (CourseRatings[Course]=C156)*(CourseRatings[Tees]=E156), 0),
  MATCH(G156, CourseRatings[[#Headers],[Hole 1]:[Hole 18]], 0)
),"")</f>
        <v>3</v>
      </c>
      <c r="L156" cm="1">
        <f t="array" ref="L156">IFERROR(
  INDEX('Golf Log'!$E$2:$V$72,
    MATCH(1,
      ('Golf Log'!$A$2:$A$72=$A156)*
      ('Golf Log'!$B$2:$B$72=$B156)*
      ('Golf Log'!$C$2:$C$72=$C156),
    0),
    MATCH($G156,'Golf Log'!$E$1:$V$1,0)
  ),
"")</f>
        <v>4</v>
      </c>
      <c r="M156">
        <f t="shared" si="9"/>
        <v>1</v>
      </c>
      <c r="N156" t="str">
        <f t="shared" si="5"/>
        <v>Bogey</v>
      </c>
      <c r="O156" cm="1">
        <f t="array" ref="O156">IFERROR(
  INDEX('Putt Log'!$E$2:$V$72,
    MATCH(1,
      ('Putt Log'!$A$2:$A$72=$A156)*
      ('Putt Log'!$B$2:$B$72=$B156)*
      ('Putt Log'!$C$2:$C$72=$C156),
    0),
    MATCH($G156,'Putt Log'!$E$1:$V$1,0)
  ),
"")</f>
        <v>1</v>
      </c>
      <c r="P156" t="str" cm="1">
        <f t="array" ref="P156">IF(K156=3,"",
  IFERROR(
    INDEX('Fairway Log'!$E$2:$V$72,
      MATCH(1,
        ('Fairway Log'!$A$2:$A$72=$A156)*
        ('Fairway Log'!$B$2:$B$72=$B156)*
        ('Fairway Log'!$C$2:$C227=$C156),
      0),
      MATCH($G156,'Fairway Log'!$E$1:$V$1,0)
    ),
  "")
)</f>
        <v/>
      </c>
      <c r="Q156" cm="1">
        <f t="array" ref="Q156">IFERROR(
  INDEX('GIR Log'!$E$2:$V$72,
    MATCH(1,
      ('GIR Log'!$A$2:$A$72=$A156)*
      ('GIR Log'!$B$2:$B$72=$B156)*
      ('GIR Log'!$C$2:$C$72=$C156),
    0),
    MATCH($G156,'GIR Log'!$E$1:$V$1,0)
  ),
"")</f>
        <v>0</v>
      </c>
    </row>
    <row r="157" spans="1:17" x14ac:dyDescent="0.25">
      <c r="A157" s="20" t="s">
        <v>126</v>
      </c>
      <c r="B157" s="2">
        <v>45502</v>
      </c>
      <c r="C157" t="s">
        <v>3</v>
      </c>
      <c r="D157" t="s">
        <v>3</v>
      </c>
      <c r="E157" t="s">
        <v>34</v>
      </c>
      <c r="F157">
        <v>83</v>
      </c>
      <c r="G157" t="s">
        <v>58</v>
      </c>
      <c r="H157" s="9">
        <f t="shared" si="10"/>
        <v>12</v>
      </c>
      <c r="I157" cm="1">
        <f t="array" ref="I157">IFERROR(INDEX(CourseYardages[[Hole 1]:[Hole 18]],
  MATCH(1, (CourseYardages[Course]=C157)*(CourseYardages[Tees]=E157), 0),
  MATCH(G157, CourseYardages[[#Headers],[Hole 1]:[Hole 18]], 0)
),"")</f>
        <v>291</v>
      </c>
      <c r="J157" cm="1">
        <f t="array" ref="J157">IFERROR(INDEX(CourseHandicap[[Hole 1]:[Hole 18]],
  MATCH(1, (CourseHandicap[Course]=C157)*(CourseHandicap[Tees]=E157), 0),
  MATCH(G157, CourseHandicap[[#Headers],[Hole 1]:[Hole 18]], 0)
),"")</f>
        <v>18</v>
      </c>
      <c r="K157" cm="1">
        <f t="array" ref="K157">IFERROR(INDEX(CourseRatings[[Hole 1]:[Hole 18]],
  MATCH(1, (CourseRatings[Course]=C157)*(CourseRatings[Tees]=E157), 0),
  MATCH(G157, CourseRatings[[#Headers],[Hole 1]:[Hole 18]], 0)
),"")</f>
        <v>4</v>
      </c>
      <c r="L157" cm="1">
        <f t="array" ref="L157">IFERROR(
  INDEX('Golf Log'!$E$2:$V$72,
    MATCH(1,
      ('Golf Log'!$A$2:$A$72=$A157)*
      ('Golf Log'!$B$2:$B$72=$B157)*
      ('Golf Log'!$C$2:$C$72=$C157),
    0),
    MATCH($G157,'Golf Log'!$E$1:$V$1,0)
  ),
"")</f>
        <v>4</v>
      </c>
      <c r="M157">
        <f t="shared" si="9"/>
        <v>0</v>
      </c>
      <c r="N157" t="str">
        <f t="shared" si="5"/>
        <v>Par</v>
      </c>
      <c r="O157" cm="1">
        <f t="array" ref="O157">IFERROR(
  INDEX('Putt Log'!$E$2:$V$72,
    MATCH(1,
      ('Putt Log'!$A$2:$A$72=$A157)*
      ('Putt Log'!$B$2:$B$72=$B157)*
      ('Putt Log'!$C$2:$C$72=$C157),
    0),
    MATCH($G157,'Putt Log'!$E$1:$V$1,0)
  ),
"")</f>
        <v>2</v>
      </c>
      <c r="P157" cm="1">
        <f t="array" ref="P157">IF(K157=3,"",
  IFERROR(
    INDEX('Fairway Log'!$E$2:$V$72,
      MATCH(1,
        ('Fairway Log'!$A$2:$A$72=$A157)*
        ('Fairway Log'!$B$2:$B$72=$B157)*
        ('Fairway Log'!$C$2:$C228=$C157),
      0),
      MATCH($G157,'Fairway Log'!$E$1:$V$1,0)
    ),
  "")
)</f>
        <v>1</v>
      </c>
      <c r="Q157" cm="1">
        <f t="array" ref="Q157">IFERROR(
  INDEX('GIR Log'!$E$2:$V$72,
    MATCH(1,
      ('GIR Log'!$A$2:$A$72=$A157)*
      ('GIR Log'!$B$2:$B$72=$B157)*
      ('GIR Log'!$C$2:$C$72=$C157),
    0),
    MATCH($G157,'GIR Log'!$E$1:$V$1,0)
  ),
"")</f>
        <v>1</v>
      </c>
    </row>
    <row r="158" spans="1:17" x14ac:dyDescent="0.25">
      <c r="A158" s="20" t="s">
        <v>126</v>
      </c>
      <c r="B158" s="2">
        <v>45502</v>
      </c>
      <c r="C158" t="s">
        <v>3</v>
      </c>
      <c r="D158" t="s">
        <v>3</v>
      </c>
      <c r="E158" t="s">
        <v>34</v>
      </c>
      <c r="F158">
        <v>83</v>
      </c>
      <c r="G158" t="s">
        <v>59</v>
      </c>
      <c r="H158" s="9">
        <f t="shared" si="10"/>
        <v>13</v>
      </c>
      <c r="I158" cm="1">
        <f t="array" ref="I158">IFERROR(INDEX(CourseYardages[[Hole 1]:[Hole 18]],
  MATCH(1, (CourseYardages[Course]=C158)*(CourseYardages[Tees]=E158), 0),
  MATCH(G158, CourseYardages[[#Headers],[Hole 1]:[Hole 18]], 0)
),"")</f>
        <v>572</v>
      </c>
      <c r="J158" cm="1">
        <f t="array" ref="J158">IFERROR(INDEX(CourseHandicap[[Hole 1]:[Hole 18]],
  MATCH(1, (CourseHandicap[Course]=C158)*(CourseHandicap[Tees]=E158), 0),
  MATCH(G158, CourseHandicap[[#Headers],[Hole 1]:[Hole 18]], 0)
),"")</f>
        <v>2</v>
      </c>
      <c r="K158" cm="1">
        <f t="array" ref="K158">IFERROR(INDEX(CourseRatings[[Hole 1]:[Hole 18]],
  MATCH(1, (CourseRatings[Course]=C158)*(CourseRatings[Tees]=E158), 0),
  MATCH(G158, CourseRatings[[#Headers],[Hole 1]:[Hole 18]], 0)
),"")</f>
        <v>5</v>
      </c>
      <c r="L158" cm="1">
        <f t="array" ref="L158">IFERROR(
  INDEX('Golf Log'!$E$2:$V$72,
    MATCH(1,
      ('Golf Log'!$A$2:$A$72=$A158)*
      ('Golf Log'!$B$2:$B$72=$B158)*
      ('Golf Log'!$C$2:$C$72=$C158),
    0),
    MATCH($G158,'Golf Log'!$E$1:$V$1,0)
  ),
"")</f>
        <v>6</v>
      </c>
      <c r="M158">
        <f t="shared" si="9"/>
        <v>1</v>
      </c>
      <c r="N158" t="str">
        <f t="shared" si="5"/>
        <v>Bogey</v>
      </c>
      <c r="O158" cm="1">
        <f t="array" ref="O158">IFERROR(
  INDEX('Putt Log'!$E$2:$V$72,
    MATCH(1,
      ('Putt Log'!$A$2:$A$72=$A158)*
      ('Putt Log'!$B$2:$B$72=$B158)*
      ('Putt Log'!$C$2:$C$72=$C158),
    0),
    MATCH($G158,'Putt Log'!$E$1:$V$1,0)
  ),
"")</f>
        <v>2</v>
      </c>
      <c r="P158" t="str" cm="1">
        <f t="array" ref="P158">IF(K158=3,"",
  IFERROR(
    INDEX('Fairway Log'!$E$2:$V$72,
      MATCH(1,
        ('Fairway Log'!$A$2:$A$72=$A158)*
        ('Fairway Log'!$B$2:$B$72=$B158)*
        ('Fairway Log'!$C$2:$C229=$C158),
      0),
      MATCH($G158,'Fairway Log'!$E$1:$V$1,0)
    ),
  "")
)</f>
        <v>→</v>
      </c>
      <c r="Q158" cm="1">
        <f t="array" ref="Q158">IFERROR(
  INDEX('GIR Log'!$E$2:$V$72,
    MATCH(1,
      ('GIR Log'!$A$2:$A$72=$A158)*
      ('GIR Log'!$B$2:$B$72=$B158)*
      ('GIR Log'!$C$2:$C$72=$C158),
    0),
    MATCH($G158,'GIR Log'!$E$1:$V$1,0)
  ),
"")</f>
        <v>0</v>
      </c>
    </row>
    <row r="159" spans="1:17" x14ac:dyDescent="0.25">
      <c r="A159" s="20" t="s">
        <v>126</v>
      </c>
      <c r="B159" s="2">
        <v>45502</v>
      </c>
      <c r="C159" t="s">
        <v>3</v>
      </c>
      <c r="D159" t="s">
        <v>3</v>
      </c>
      <c r="E159" t="s">
        <v>34</v>
      </c>
      <c r="F159">
        <v>83</v>
      </c>
      <c r="G159" t="s">
        <v>60</v>
      </c>
      <c r="H159" s="9">
        <f t="shared" si="10"/>
        <v>14</v>
      </c>
      <c r="I159" cm="1">
        <f t="array" ref="I159">IFERROR(INDEX(CourseYardages[[Hole 1]:[Hole 18]],
  MATCH(1, (CourseYardages[Course]=C159)*(CourseYardages[Tees]=E159), 0),
  MATCH(G159, CourseYardages[[#Headers],[Hole 1]:[Hole 18]], 0)
),"")</f>
        <v>366</v>
      </c>
      <c r="J159" cm="1">
        <f t="array" ref="J159">IFERROR(INDEX(CourseHandicap[[Hole 1]:[Hole 18]],
  MATCH(1, (CourseHandicap[Course]=C159)*(CourseHandicap[Tees]=E159), 0),
  MATCH(G159, CourseHandicap[[#Headers],[Hole 1]:[Hole 18]], 0)
),"")</f>
        <v>14</v>
      </c>
      <c r="K159" cm="1">
        <f t="array" ref="K159">IFERROR(INDEX(CourseRatings[[Hole 1]:[Hole 18]],
  MATCH(1, (CourseRatings[Course]=C159)*(CourseRatings[Tees]=E159), 0),
  MATCH(G159, CourseRatings[[#Headers],[Hole 1]:[Hole 18]], 0)
),"")</f>
        <v>4</v>
      </c>
      <c r="L159" cm="1">
        <f t="array" ref="L159">IFERROR(
  INDEX('Golf Log'!$E$2:$V$72,
    MATCH(1,
      ('Golf Log'!$A$2:$A$72=$A159)*
      ('Golf Log'!$B$2:$B$72=$B159)*
      ('Golf Log'!$C$2:$C$72=$C159),
    0),
    MATCH($G159,'Golf Log'!$E$1:$V$1,0)
  ),
"")</f>
        <v>4</v>
      </c>
      <c r="M159">
        <f t="shared" si="9"/>
        <v>0</v>
      </c>
      <c r="N159" t="str">
        <f t="shared" si="5"/>
        <v>Par</v>
      </c>
      <c r="O159" cm="1">
        <f t="array" ref="O159">IFERROR(
  INDEX('Putt Log'!$E$2:$V$72,
    MATCH(1,
      ('Putt Log'!$A$2:$A$72=$A159)*
      ('Putt Log'!$B$2:$B$72=$B159)*
      ('Putt Log'!$C$2:$C$72=$C159),
    0),
    MATCH($G159,'Putt Log'!$E$1:$V$1,0)
  ),
"")</f>
        <v>2</v>
      </c>
      <c r="P159" t="str" cm="1">
        <f t="array" ref="P159">IF(K159=3,"",
  IFERROR(
    INDEX('Fairway Log'!$E$2:$V$72,
      MATCH(1,
        ('Fairway Log'!$A$2:$A$72=$A159)*
        ('Fairway Log'!$B$2:$B$72=$B159)*
        ('Fairway Log'!$C$2:$C230=$C159),
      0),
      MATCH($G159,'Fairway Log'!$E$1:$V$1,0)
    ),
  "")
)</f>
        <v>→</v>
      </c>
      <c r="Q159" cm="1">
        <f t="array" ref="Q159">IFERROR(
  INDEX('GIR Log'!$E$2:$V$72,
    MATCH(1,
      ('GIR Log'!$A$2:$A$72=$A159)*
      ('GIR Log'!$B$2:$B$72=$B159)*
      ('GIR Log'!$C$2:$C$72=$C159),
    0),
    MATCH($G159,'GIR Log'!$E$1:$V$1,0)
  ),
"")</f>
        <v>1</v>
      </c>
    </row>
    <row r="160" spans="1:17" x14ac:dyDescent="0.25">
      <c r="A160" s="20" t="s">
        <v>126</v>
      </c>
      <c r="B160" s="2">
        <v>45502</v>
      </c>
      <c r="C160" t="s">
        <v>3</v>
      </c>
      <c r="D160" t="s">
        <v>3</v>
      </c>
      <c r="E160" t="s">
        <v>34</v>
      </c>
      <c r="F160">
        <v>83</v>
      </c>
      <c r="G160" t="s">
        <v>61</v>
      </c>
      <c r="H160" s="9">
        <f t="shared" si="10"/>
        <v>15</v>
      </c>
      <c r="I160" cm="1">
        <f t="array" ref="I160">IFERROR(INDEX(CourseYardages[[Hole 1]:[Hole 18]],
  MATCH(1, (CourseYardages[Course]=C160)*(CourseYardages[Tees]=E160), 0),
  MATCH(G160, CourseYardages[[#Headers],[Hole 1]:[Hole 18]], 0)
),"")</f>
        <v>207</v>
      </c>
      <c r="J160" cm="1">
        <f t="array" ref="J160">IFERROR(INDEX(CourseHandicap[[Hole 1]:[Hole 18]],
  MATCH(1, (CourseHandicap[Course]=C160)*(CourseHandicap[Tees]=E160), 0),
  MATCH(G160, CourseHandicap[[#Headers],[Hole 1]:[Hole 18]], 0)
),"")</f>
        <v>8</v>
      </c>
      <c r="K160" cm="1">
        <f t="array" ref="K160">IFERROR(INDEX(CourseRatings[[Hole 1]:[Hole 18]],
  MATCH(1, (CourseRatings[Course]=C160)*(CourseRatings[Tees]=E160), 0),
  MATCH(G160, CourseRatings[[#Headers],[Hole 1]:[Hole 18]], 0)
),"")</f>
        <v>3</v>
      </c>
      <c r="L160" cm="1">
        <f t="array" ref="L160">IFERROR(
  INDEX('Golf Log'!$E$2:$V$72,
    MATCH(1,
      ('Golf Log'!$A$2:$A$72=$A160)*
      ('Golf Log'!$B$2:$B$72=$B160)*
      ('Golf Log'!$C$2:$C$72=$C160),
    0),
    MATCH($G160,'Golf Log'!$E$1:$V$1,0)
  ),
"")</f>
        <v>4</v>
      </c>
      <c r="M160">
        <f t="shared" si="9"/>
        <v>1</v>
      </c>
      <c r="N160" t="str">
        <f t="shared" si="5"/>
        <v>Bogey</v>
      </c>
      <c r="O160" cm="1">
        <f t="array" ref="O160">IFERROR(
  INDEX('Putt Log'!$E$2:$V$72,
    MATCH(1,
      ('Putt Log'!$A$2:$A$72=$A160)*
      ('Putt Log'!$B$2:$B$72=$B160)*
      ('Putt Log'!$C$2:$C$72=$C160),
    0),
    MATCH($G160,'Putt Log'!$E$1:$V$1,0)
  ),
"")</f>
        <v>2</v>
      </c>
      <c r="P160" t="str" cm="1">
        <f t="array" ref="P160">IF(K160=3,"",
  IFERROR(
    INDEX('Fairway Log'!$E$2:$V$72,
      MATCH(1,
        ('Fairway Log'!$A$2:$A$72=$A160)*
        ('Fairway Log'!$B$2:$B$72=$B160)*
        ('Fairway Log'!$C$2:$C231=$C160),
      0),
      MATCH($G160,'Fairway Log'!$E$1:$V$1,0)
    ),
  "")
)</f>
        <v/>
      </c>
      <c r="Q160" cm="1">
        <f t="array" ref="Q160">IFERROR(
  INDEX('GIR Log'!$E$2:$V$72,
    MATCH(1,
      ('GIR Log'!$A$2:$A$72=$A160)*
      ('GIR Log'!$B$2:$B$72=$B160)*
      ('GIR Log'!$C$2:$C$72=$C160),
    0),
    MATCH($G160,'GIR Log'!$E$1:$V$1,0)
  ),
"")</f>
        <v>0</v>
      </c>
    </row>
    <row r="161" spans="1:17" x14ac:dyDescent="0.25">
      <c r="A161" s="20" t="s">
        <v>126</v>
      </c>
      <c r="B161" s="2">
        <v>45502</v>
      </c>
      <c r="C161" t="s">
        <v>3</v>
      </c>
      <c r="D161" t="s">
        <v>3</v>
      </c>
      <c r="E161" t="s">
        <v>34</v>
      </c>
      <c r="F161">
        <v>83</v>
      </c>
      <c r="G161" t="s">
        <v>62</v>
      </c>
      <c r="H161" s="9">
        <f t="shared" si="10"/>
        <v>16</v>
      </c>
      <c r="I161" cm="1">
        <f t="array" ref="I161">IFERROR(INDEX(CourseYardages[[Hole 1]:[Hole 18]],
  MATCH(1, (CourseYardages[Course]=C161)*(CourseYardages[Tees]=E161), 0),
  MATCH(G161, CourseYardages[[#Headers],[Hole 1]:[Hole 18]], 0)
),"")</f>
        <v>358</v>
      </c>
      <c r="J161" cm="1">
        <f t="array" ref="J161">IFERROR(INDEX(CourseHandicap[[Hole 1]:[Hole 18]],
  MATCH(1, (CourseHandicap[Course]=C161)*(CourseHandicap[Tees]=E161), 0),
  MATCH(G161, CourseHandicap[[#Headers],[Hole 1]:[Hole 18]], 0)
),"")</f>
        <v>10</v>
      </c>
      <c r="K161" cm="1">
        <f t="array" ref="K161">IFERROR(INDEX(CourseRatings[[Hole 1]:[Hole 18]],
  MATCH(1, (CourseRatings[Course]=C161)*(CourseRatings[Tees]=E161), 0),
  MATCH(G161, CourseRatings[[#Headers],[Hole 1]:[Hole 18]], 0)
),"")</f>
        <v>4</v>
      </c>
      <c r="L161" cm="1">
        <f t="array" ref="L161">IFERROR(
  INDEX('Golf Log'!$E$2:$V$72,
    MATCH(1,
      ('Golf Log'!$A$2:$A$72=$A161)*
      ('Golf Log'!$B$2:$B$72=$B161)*
      ('Golf Log'!$C$2:$C$72=$C161),
    0),
    MATCH($G161,'Golf Log'!$E$1:$V$1,0)
  ),
"")</f>
        <v>4</v>
      </c>
      <c r="M161">
        <f t="shared" si="9"/>
        <v>0</v>
      </c>
      <c r="N161" t="str">
        <f t="shared" si="5"/>
        <v>Par</v>
      </c>
      <c r="O161" cm="1">
        <f t="array" ref="O161">IFERROR(
  INDEX('Putt Log'!$E$2:$V$72,
    MATCH(1,
      ('Putt Log'!$A$2:$A$72=$A161)*
      ('Putt Log'!$B$2:$B$72=$B161)*
      ('Putt Log'!$C$2:$C$72=$C161),
    0),
    MATCH($G161,'Putt Log'!$E$1:$V$1,0)
  ),
"")</f>
        <v>1</v>
      </c>
      <c r="P161" cm="1">
        <f t="array" ref="P161">IF(K161=3,"",
  IFERROR(
    INDEX('Fairway Log'!$E$2:$V$72,
      MATCH(1,
        ('Fairway Log'!$A$2:$A$72=$A161)*
        ('Fairway Log'!$B$2:$B$72=$B161)*
        ('Fairway Log'!$C$2:$C232=$C161),
      0),
      MATCH($G161,'Fairway Log'!$E$1:$V$1,0)
    ),
  "")
)</f>
        <v>1</v>
      </c>
      <c r="Q161" cm="1">
        <f t="array" ref="Q161">IFERROR(
  INDEX('GIR Log'!$E$2:$V$72,
    MATCH(1,
      ('GIR Log'!$A$2:$A$72=$A161)*
      ('GIR Log'!$B$2:$B$72=$B161)*
      ('GIR Log'!$C$2:$C$72=$C161),
    0),
    MATCH($G161,'GIR Log'!$E$1:$V$1,0)
  ),
"")</f>
        <v>0</v>
      </c>
    </row>
    <row r="162" spans="1:17" x14ac:dyDescent="0.25">
      <c r="A162" s="20" t="s">
        <v>126</v>
      </c>
      <c r="B162" s="2">
        <v>45502</v>
      </c>
      <c r="C162" t="s">
        <v>3</v>
      </c>
      <c r="D162" t="s">
        <v>3</v>
      </c>
      <c r="E162" t="s">
        <v>34</v>
      </c>
      <c r="F162">
        <v>83</v>
      </c>
      <c r="G162" t="s">
        <v>63</v>
      </c>
      <c r="H162" s="9">
        <f t="shared" si="10"/>
        <v>17</v>
      </c>
      <c r="I162" cm="1">
        <f t="array" ref="I162">IFERROR(INDEX(CourseYardages[[Hole 1]:[Hole 18]],
  MATCH(1, (CourseYardages[Course]=C162)*(CourseYardages[Tees]=E162), 0),
  MATCH(G162, CourseYardages[[#Headers],[Hole 1]:[Hole 18]], 0)
),"")</f>
        <v>418</v>
      </c>
      <c r="J162" cm="1">
        <f t="array" ref="J162">IFERROR(INDEX(CourseHandicap[[Hole 1]:[Hole 18]],
  MATCH(1, (CourseHandicap[Course]=C162)*(CourseHandicap[Tees]=E162), 0),
  MATCH(G162, CourseHandicap[[#Headers],[Hole 1]:[Hole 18]], 0)
),"")</f>
        <v>4</v>
      </c>
      <c r="K162" cm="1">
        <f t="array" ref="K162">IFERROR(INDEX(CourseRatings[[Hole 1]:[Hole 18]],
  MATCH(1, (CourseRatings[Course]=C162)*(CourseRatings[Tees]=E162), 0),
  MATCH(G162, CourseRatings[[#Headers],[Hole 1]:[Hole 18]], 0)
),"")</f>
        <v>4</v>
      </c>
      <c r="L162" cm="1">
        <f t="array" ref="L162">IFERROR(
  INDEX('Golf Log'!$E$2:$V$72,
    MATCH(1,
      ('Golf Log'!$A$2:$A$72=$A162)*
      ('Golf Log'!$B$2:$B$72=$B162)*
      ('Golf Log'!$C$2:$C$72=$C162),
    0),
    MATCH($G162,'Golf Log'!$E$1:$V$1,0)
  ),
"")</f>
        <v>6</v>
      </c>
      <c r="M162">
        <f t="shared" si="9"/>
        <v>2</v>
      </c>
      <c r="N162" t="str">
        <f t="shared" si="5"/>
        <v>Double Bogey</v>
      </c>
      <c r="O162" cm="1">
        <f t="array" ref="O162">IFERROR(
  INDEX('Putt Log'!$E$2:$V$72,
    MATCH(1,
      ('Putt Log'!$A$2:$A$72=$A162)*
      ('Putt Log'!$B$2:$B$72=$B162)*
      ('Putt Log'!$C$2:$C$72=$C162),
    0),
    MATCH($G162,'Putt Log'!$E$1:$V$1,0)
  ),
"")</f>
        <v>2</v>
      </c>
      <c r="P162" cm="1">
        <f t="array" ref="P162">IF(K162=3,"",
  IFERROR(
    INDEX('Fairway Log'!$E$2:$V$72,
      MATCH(1,
        ('Fairway Log'!$A$2:$A$72=$A162)*
        ('Fairway Log'!$B$2:$B$72=$B162)*
        ('Fairway Log'!$C$2:$C233=$C162),
      0),
      MATCH($G162,'Fairway Log'!$E$1:$V$1,0)
    ),
  "")
)</f>
        <v>1</v>
      </c>
      <c r="Q162" cm="1">
        <f t="array" ref="Q162">IFERROR(
  INDEX('GIR Log'!$E$2:$V$72,
    MATCH(1,
      ('GIR Log'!$A$2:$A$72=$A162)*
      ('GIR Log'!$B$2:$B$72=$B162)*
      ('GIR Log'!$C$2:$C$72=$C162),
    0),
    MATCH($G162,'GIR Log'!$E$1:$V$1,0)
  ),
"")</f>
        <v>0</v>
      </c>
    </row>
    <row r="163" spans="1:17" x14ac:dyDescent="0.25">
      <c r="A163" s="20" t="s">
        <v>126</v>
      </c>
      <c r="B163" s="2">
        <v>45502</v>
      </c>
      <c r="C163" t="s">
        <v>3</v>
      </c>
      <c r="D163" t="s">
        <v>3</v>
      </c>
      <c r="E163" t="s">
        <v>34</v>
      </c>
      <c r="F163">
        <v>83</v>
      </c>
      <c r="G163" t="s">
        <v>64</v>
      </c>
      <c r="H163" s="9">
        <f t="shared" si="10"/>
        <v>18</v>
      </c>
      <c r="I163" cm="1">
        <f t="array" ref="I163">IFERROR(INDEX(CourseYardages[[Hole 1]:[Hole 18]],
  MATCH(1, (CourseYardages[Course]=C163)*(CourseYardages[Tees]=E163), 0),
  MATCH(G163, CourseYardages[[#Headers],[Hole 1]:[Hole 18]], 0)
),"")</f>
        <v>398</v>
      </c>
      <c r="J163" cm="1">
        <f t="array" ref="J163">IFERROR(INDEX(CourseHandicap[[Hole 1]:[Hole 18]],
  MATCH(1, (CourseHandicap[Course]=C163)*(CourseHandicap[Tees]=E163), 0),
  MATCH(G163, CourseHandicap[[#Headers],[Hole 1]:[Hole 18]], 0)
),"")</f>
        <v>6</v>
      </c>
      <c r="K163" cm="1">
        <f t="array" ref="K163">IFERROR(INDEX(CourseRatings[[Hole 1]:[Hole 18]],
  MATCH(1, (CourseRatings[Course]=C163)*(CourseRatings[Tees]=E163), 0),
  MATCH(G163, CourseRatings[[#Headers],[Hole 1]:[Hole 18]], 0)
),"")</f>
        <v>4</v>
      </c>
      <c r="L163" cm="1">
        <f t="array" ref="L163">IFERROR(
  INDEX('Golf Log'!$E$2:$V$72,
    MATCH(1,
      ('Golf Log'!$A$2:$A$72=$A163)*
      ('Golf Log'!$B$2:$B$72=$B163)*
      ('Golf Log'!$C$2:$C$72=$C163),
    0),
    MATCH($G163,'Golf Log'!$E$1:$V$1,0)
  ),
"")</f>
        <v>6</v>
      </c>
      <c r="M163">
        <f t="shared" si="9"/>
        <v>2</v>
      </c>
      <c r="N163" t="str">
        <f t="shared" si="5"/>
        <v>Double Bogey</v>
      </c>
      <c r="O163" cm="1">
        <f t="array" ref="O163">IFERROR(
  INDEX('Putt Log'!$E$2:$V$72,
    MATCH(1,
      ('Putt Log'!$A$2:$A$72=$A163)*
      ('Putt Log'!$B$2:$B$72=$B163)*
      ('Putt Log'!$C$2:$C$72=$C163),
    0),
    MATCH($G163,'Putt Log'!$E$1:$V$1,0)
  ),
"")</f>
        <v>2</v>
      </c>
      <c r="P163" t="str" cm="1">
        <f t="array" ref="P163">IF(K163=3,"",
  IFERROR(
    INDEX('Fairway Log'!$E$2:$V$72,
      MATCH(1,
        ('Fairway Log'!$A$2:$A$72=$A163)*
        ('Fairway Log'!$B$2:$B$72=$B163)*
        ('Fairway Log'!$C$2:$C234=$C163),
      0),
      MATCH($G163,'Fairway Log'!$E$1:$V$1,0)
    ),
  "")
)</f>
        <v>→</v>
      </c>
      <c r="Q163" cm="1">
        <f t="array" ref="Q163">IFERROR(
  INDEX('GIR Log'!$E$2:$V$72,
    MATCH(1,
      ('GIR Log'!$A$2:$A$72=$A163)*
      ('GIR Log'!$B$2:$B$72=$B163)*
      ('GIR Log'!$C$2:$C$72=$C163),
    0),
    MATCH($G163,'GIR Log'!$E$1:$V$1,0)
  ),
"")</f>
        <v>0</v>
      </c>
    </row>
    <row r="164" spans="1:17" x14ac:dyDescent="0.25">
      <c r="A164" s="20" t="s">
        <v>126</v>
      </c>
      <c r="B164" s="2">
        <v>45496</v>
      </c>
      <c r="C164" t="s">
        <v>6</v>
      </c>
      <c r="D164" t="s">
        <v>75</v>
      </c>
      <c r="E164" t="s">
        <v>34</v>
      </c>
      <c r="F164">
        <v>79</v>
      </c>
      <c r="G164" t="s">
        <v>47</v>
      </c>
      <c r="H164" s="9">
        <f t="shared" si="10"/>
        <v>1</v>
      </c>
      <c r="I164" cm="1">
        <f t="array" ref="I164">IFERROR(INDEX(CourseYardages[[Hole 1]:[Hole 18]],
  MATCH(1, (CourseYardages[Course]=C164)*(CourseYardages[Tees]=E164), 0),
  MATCH(G164, CourseYardages[[#Headers],[Hole 1]:[Hole 18]], 0)
),"")</f>
        <v>489</v>
      </c>
      <c r="J164" cm="1">
        <f t="array" ref="J164">IFERROR(INDEX(CourseHandicap[[Hole 1]:[Hole 18]],
  MATCH(1, (CourseHandicap[Course]=C164)*(CourseHandicap[Tees]=E164), 0),
  MATCH(G164, CourseHandicap[[#Headers],[Hole 1]:[Hole 18]], 0)
),"")</f>
        <v>6</v>
      </c>
      <c r="K164" cm="1">
        <f t="array" ref="K164">IFERROR(INDEX(CourseRatings[[Hole 1]:[Hole 18]],
  MATCH(1, (CourseRatings[Course]=C164)*(CourseRatings[Tees]=E164), 0),
  MATCH(G164, CourseRatings[[#Headers],[Hole 1]:[Hole 18]], 0)
),"")</f>
        <v>5</v>
      </c>
      <c r="L164" cm="1">
        <f t="array" ref="L164">IFERROR(
  INDEX('Golf Log'!$E$2:$V$72,
    MATCH(1,
      ('Golf Log'!$A$2:$A$72=$A164)*
      ('Golf Log'!$B$2:$B$72=$B164)*
      ('Golf Log'!$C$2:$C$72=$C164),
    0),
    MATCH($G164,'Golf Log'!$E$1:$V$1,0)
  ),
"")</f>
        <v>6</v>
      </c>
      <c r="M164">
        <f t="shared" si="9"/>
        <v>1</v>
      </c>
      <c r="N164" t="str">
        <f t="shared" si="5"/>
        <v>Bogey</v>
      </c>
      <c r="O164" cm="1">
        <f t="array" ref="O164">IFERROR(
  INDEX('Putt Log'!$E$2:$V$72,
    MATCH(1,
      ('Putt Log'!$A$2:$A$72=$A164)*
      ('Putt Log'!$B$2:$B$72=$B164)*
      ('Putt Log'!$C$2:$C$72=$C164),
    0),
    MATCH($G164,'Putt Log'!$E$1:$V$1,0)
  ),
"")</f>
        <v>1</v>
      </c>
      <c r="P164" cm="1">
        <f t="array" ref="P164">IF(K164=3,"",
  IFERROR(
    INDEX('Fairway Log'!$E$2:$V$72,
      MATCH(1,
        ('Fairway Log'!$A$2:$A$72=$A164)*
        ('Fairway Log'!$B$2:$B$72=$B164)*
        ('Fairway Log'!$C$2:$C235=$C164),
      0),
      MATCH($G164,'Fairway Log'!$E$1:$V$1,0)
    ),
  "")
)</f>
        <v>1</v>
      </c>
      <c r="Q164" cm="1">
        <f t="array" ref="Q164">IFERROR(
  INDEX('GIR Log'!$E$2:$V$72,
    MATCH(1,
      ('GIR Log'!$A$2:$A$72=$A164)*
      ('GIR Log'!$B$2:$B$72=$B164)*
      ('GIR Log'!$C$2:$C$72=$C164),
    0),
    MATCH($G164,'GIR Log'!$E$1:$V$1,0)
  ),
"")</f>
        <v>0</v>
      </c>
    </row>
    <row r="165" spans="1:17" x14ac:dyDescent="0.25">
      <c r="A165" s="20" t="s">
        <v>126</v>
      </c>
      <c r="B165" s="2">
        <v>45496</v>
      </c>
      <c r="C165" t="s">
        <v>6</v>
      </c>
      <c r="D165" t="s">
        <v>75</v>
      </c>
      <c r="E165" t="s">
        <v>34</v>
      </c>
      <c r="F165">
        <v>79</v>
      </c>
      <c r="G165" t="s">
        <v>48</v>
      </c>
      <c r="H165" s="9">
        <f t="shared" si="10"/>
        <v>2</v>
      </c>
      <c r="I165" cm="1">
        <f t="array" ref="I165">IFERROR(INDEX(CourseYardages[[Hole 1]:[Hole 18]],
  MATCH(1, (CourseYardages[Course]=C165)*(CourseYardages[Tees]=E165), 0),
  MATCH(G165, CourseYardages[[#Headers],[Hole 1]:[Hole 18]], 0)
),"")</f>
        <v>372</v>
      </c>
      <c r="J165" cm="1">
        <f t="array" ref="J165">IFERROR(INDEX(CourseHandicap[[Hole 1]:[Hole 18]],
  MATCH(1, (CourseHandicap[Course]=C165)*(CourseHandicap[Tees]=E165), 0),
  MATCH(G165, CourseHandicap[[#Headers],[Hole 1]:[Hole 18]], 0)
),"")</f>
        <v>2</v>
      </c>
      <c r="K165" cm="1">
        <f t="array" ref="K165">IFERROR(INDEX(CourseRatings[[Hole 1]:[Hole 18]],
  MATCH(1, (CourseRatings[Course]=C165)*(CourseRatings[Tees]=E165), 0),
  MATCH(G165, CourseRatings[[#Headers],[Hole 1]:[Hole 18]], 0)
),"")</f>
        <v>4</v>
      </c>
      <c r="L165" cm="1">
        <f t="array" ref="L165">IFERROR(
  INDEX('Golf Log'!$E$2:$V$72,
    MATCH(1,
      ('Golf Log'!$A$2:$A$72=$A165)*
      ('Golf Log'!$B$2:$B$72=$B165)*
      ('Golf Log'!$C$2:$C$72=$C165),
    0),
    MATCH($G165,'Golf Log'!$E$1:$V$1,0)
  ),
"")</f>
        <v>4</v>
      </c>
      <c r="M165">
        <f t="shared" si="9"/>
        <v>0</v>
      </c>
      <c r="N165" t="str">
        <f t="shared" si="5"/>
        <v>Par</v>
      </c>
      <c r="O165" cm="1">
        <f t="array" ref="O165">IFERROR(
  INDEX('Putt Log'!$E$2:$V$72,
    MATCH(1,
      ('Putt Log'!$A$2:$A$72=$A165)*
      ('Putt Log'!$B$2:$B$72=$B165)*
      ('Putt Log'!$C$2:$C$72=$C165),
    0),
    MATCH($G165,'Putt Log'!$E$1:$V$1,0)
  ),
"")</f>
        <v>1</v>
      </c>
      <c r="P165" cm="1">
        <f t="array" ref="P165">IF(K165=3,"",
  IFERROR(
    INDEX('Fairway Log'!$E$2:$V$72,
      MATCH(1,
        ('Fairway Log'!$A$2:$A$72=$A165)*
        ('Fairway Log'!$B$2:$B$72=$B165)*
        ('Fairway Log'!$C$2:$C236=$C165),
      0),
      MATCH($G165,'Fairway Log'!$E$1:$V$1,0)
    ),
  "")
)</f>
        <v>1</v>
      </c>
      <c r="Q165" cm="1">
        <f t="array" ref="Q165">IFERROR(
  INDEX('GIR Log'!$E$2:$V$72,
    MATCH(1,
      ('GIR Log'!$A$2:$A$72=$A165)*
      ('GIR Log'!$B$2:$B$72=$B165)*
      ('GIR Log'!$C$2:$C$72=$C165),
    0),
    MATCH($G165,'GIR Log'!$E$1:$V$1,0)
  ),
"")</f>
        <v>0</v>
      </c>
    </row>
    <row r="166" spans="1:17" x14ac:dyDescent="0.25">
      <c r="A166" s="20" t="s">
        <v>126</v>
      </c>
      <c r="B166" s="2">
        <v>45496</v>
      </c>
      <c r="C166" t="s">
        <v>6</v>
      </c>
      <c r="D166" t="s">
        <v>75</v>
      </c>
      <c r="E166" t="s">
        <v>34</v>
      </c>
      <c r="F166">
        <v>79</v>
      </c>
      <c r="G166" t="s">
        <v>49</v>
      </c>
      <c r="H166" s="9">
        <f t="shared" si="10"/>
        <v>3</v>
      </c>
      <c r="I166" cm="1">
        <f t="array" ref="I166">IFERROR(INDEX(CourseYardages[[Hole 1]:[Hole 18]],
  MATCH(1, (CourseYardages[Course]=C166)*(CourseYardages[Tees]=E166), 0),
  MATCH(G166, CourseYardages[[#Headers],[Hole 1]:[Hole 18]], 0)
),"")</f>
        <v>180</v>
      </c>
      <c r="J166" cm="1">
        <f t="array" ref="J166">IFERROR(INDEX(CourseHandicap[[Hole 1]:[Hole 18]],
  MATCH(1, (CourseHandicap[Course]=C166)*(CourseHandicap[Tees]=E166), 0),
  MATCH(G166, CourseHandicap[[#Headers],[Hole 1]:[Hole 18]], 0)
),"")</f>
        <v>14</v>
      </c>
      <c r="K166" cm="1">
        <f t="array" ref="K166">IFERROR(INDEX(CourseRatings[[Hole 1]:[Hole 18]],
  MATCH(1, (CourseRatings[Course]=C166)*(CourseRatings[Tees]=E166), 0),
  MATCH(G166, CourseRatings[[#Headers],[Hole 1]:[Hole 18]], 0)
),"")</f>
        <v>3</v>
      </c>
      <c r="L166" cm="1">
        <f t="array" ref="L166">IFERROR(
  INDEX('Golf Log'!$E$2:$V$72,
    MATCH(1,
      ('Golf Log'!$A$2:$A$72=$A166)*
      ('Golf Log'!$B$2:$B$72=$B166)*
      ('Golf Log'!$C$2:$C$72=$C166),
    0),
    MATCH($G166,'Golf Log'!$E$1:$V$1,0)
  ),
"")</f>
        <v>4</v>
      </c>
      <c r="M166">
        <f t="shared" si="9"/>
        <v>1</v>
      </c>
      <c r="N166" t="str">
        <f t="shared" si="5"/>
        <v>Bogey</v>
      </c>
      <c r="O166" cm="1">
        <f t="array" ref="O166">IFERROR(
  INDEX('Putt Log'!$E$2:$V$72,
    MATCH(1,
      ('Putt Log'!$A$2:$A$72=$A166)*
      ('Putt Log'!$B$2:$B$72=$B166)*
      ('Putt Log'!$C$2:$C$72=$C166),
    0),
    MATCH($G166,'Putt Log'!$E$1:$V$1,0)
  ),
"")</f>
        <v>2</v>
      </c>
      <c r="P166" t="str" cm="1">
        <f t="array" ref="P166">IF(K166=3,"",
  IFERROR(
    INDEX('Fairway Log'!$E$2:$V$72,
      MATCH(1,
        ('Fairway Log'!$A$2:$A$72=$A166)*
        ('Fairway Log'!$B$2:$B$72=$B166)*
        ('Fairway Log'!$C$2:$C237=$C166),
      0),
      MATCH($G166,'Fairway Log'!$E$1:$V$1,0)
    ),
  "")
)</f>
        <v/>
      </c>
      <c r="Q166" cm="1">
        <f t="array" ref="Q166">IFERROR(
  INDEX('GIR Log'!$E$2:$V$72,
    MATCH(1,
      ('GIR Log'!$A$2:$A$72=$A166)*
      ('GIR Log'!$B$2:$B$72=$B166)*
      ('GIR Log'!$C$2:$C$72=$C166),
    0),
    MATCH($G166,'GIR Log'!$E$1:$V$1,0)
  ),
"")</f>
        <v>0</v>
      </c>
    </row>
    <row r="167" spans="1:17" x14ac:dyDescent="0.25">
      <c r="A167" s="20" t="s">
        <v>126</v>
      </c>
      <c r="B167" s="2">
        <v>45496</v>
      </c>
      <c r="C167" t="s">
        <v>6</v>
      </c>
      <c r="D167" t="s">
        <v>75</v>
      </c>
      <c r="E167" t="s">
        <v>34</v>
      </c>
      <c r="F167">
        <v>79</v>
      </c>
      <c r="G167" t="s">
        <v>50</v>
      </c>
      <c r="H167" s="9">
        <f t="shared" si="10"/>
        <v>4</v>
      </c>
      <c r="I167" cm="1">
        <f t="array" ref="I167">IFERROR(INDEX(CourseYardages[[Hole 1]:[Hole 18]],
  MATCH(1, (CourseYardages[Course]=C167)*(CourseYardages[Tees]=E167), 0),
  MATCH(G167, CourseYardages[[#Headers],[Hole 1]:[Hole 18]], 0)
),"")</f>
        <v>497</v>
      </c>
      <c r="J167" cm="1">
        <f t="array" ref="J167">IFERROR(INDEX(CourseHandicap[[Hole 1]:[Hole 18]],
  MATCH(1, (CourseHandicap[Course]=C167)*(CourseHandicap[Tees]=E167), 0),
  MATCH(G167, CourseHandicap[[#Headers],[Hole 1]:[Hole 18]], 0)
),"")</f>
        <v>8</v>
      </c>
      <c r="K167" cm="1">
        <f t="array" ref="K167">IFERROR(INDEX(CourseRatings[[Hole 1]:[Hole 18]],
  MATCH(1, (CourseRatings[Course]=C167)*(CourseRatings[Tees]=E167), 0),
  MATCH(G167, CourseRatings[[#Headers],[Hole 1]:[Hole 18]], 0)
),"")</f>
        <v>5</v>
      </c>
      <c r="L167" cm="1">
        <f t="array" ref="L167">IFERROR(
  INDEX('Golf Log'!$E$2:$V$72,
    MATCH(1,
      ('Golf Log'!$A$2:$A$72=$A167)*
      ('Golf Log'!$B$2:$B$72=$B167)*
      ('Golf Log'!$C$2:$C$72=$C167),
    0),
    MATCH($G167,'Golf Log'!$E$1:$V$1,0)
  ),
"")</f>
        <v>3</v>
      </c>
      <c r="M167">
        <f t="shared" si="9"/>
        <v>-2</v>
      </c>
      <c r="N167" t="str">
        <f t="shared" si="5"/>
        <v>Eagle</v>
      </c>
      <c r="O167" cm="1">
        <f t="array" ref="O167">IFERROR(
  INDEX('Putt Log'!$E$2:$V$72,
    MATCH(1,
      ('Putt Log'!$A$2:$A$72=$A167)*
      ('Putt Log'!$B$2:$B$72=$B167)*
      ('Putt Log'!$C$2:$C$72=$C167),
    0),
    MATCH($G167,'Putt Log'!$E$1:$V$1,0)
  ),
"")</f>
        <v>1</v>
      </c>
      <c r="P167" cm="1">
        <f t="array" ref="P167">IF(K167=3,"",
  IFERROR(
    INDEX('Fairway Log'!$E$2:$V$72,
      MATCH(1,
        ('Fairway Log'!$A$2:$A$72=$A167)*
        ('Fairway Log'!$B$2:$B$72=$B167)*
        ('Fairway Log'!$C$2:$C238=$C167),
      0),
      MATCH($G167,'Fairway Log'!$E$1:$V$1,0)
    ),
  "")
)</f>
        <v>1</v>
      </c>
      <c r="Q167" cm="1">
        <f t="array" ref="Q167">IFERROR(
  INDEX('GIR Log'!$E$2:$V$72,
    MATCH(1,
      ('GIR Log'!$A$2:$A$72=$A167)*
      ('GIR Log'!$B$2:$B$72=$B167)*
      ('GIR Log'!$C$2:$C$72=$C167),
    0),
    MATCH($G167,'GIR Log'!$E$1:$V$1,0)
  ),
"")</f>
        <v>1</v>
      </c>
    </row>
    <row r="168" spans="1:17" x14ac:dyDescent="0.25">
      <c r="A168" s="20" t="s">
        <v>126</v>
      </c>
      <c r="B168" s="2">
        <v>45496</v>
      </c>
      <c r="C168" t="s">
        <v>6</v>
      </c>
      <c r="D168" t="s">
        <v>75</v>
      </c>
      <c r="E168" t="s">
        <v>34</v>
      </c>
      <c r="F168">
        <v>79</v>
      </c>
      <c r="G168" t="s">
        <v>51</v>
      </c>
      <c r="H168" s="9">
        <f t="shared" si="10"/>
        <v>5</v>
      </c>
      <c r="I168" cm="1">
        <f t="array" ref="I168">IFERROR(INDEX(CourseYardages[[Hole 1]:[Hole 18]],
  MATCH(1, (CourseYardages[Course]=C168)*(CourseYardages[Tees]=E168), 0),
  MATCH(G168, CourseYardages[[#Headers],[Hole 1]:[Hole 18]], 0)
),"")</f>
        <v>149</v>
      </c>
      <c r="J168" cm="1">
        <f t="array" ref="J168">IFERROR(INDEX(CourseHandicap[[Hole 1]:[Hole 18]],
  MATCH(1, (CourseHandicap[Course]=C168)*(CourseHandicap[Tees]=E168), 0),
  MATCH(G168, CourseHandicap[[#Headers],[Hole 1]:[Hole 18]], 0)
),"")</f>
        <v>16</v>
      </c>
      <c r="K168" cm="1">
        <f t="array" ref="K168">IFERROR(INDEX(CourseRatings[[Hole 1]:[Hole 18]],
  MATCH(1, (CourseRatings[Course]=C168)*(CourseRatings[Tees]=E168), 0),
  MATCH(G168, CourseRatings[[#Headers],[Hole 1]:[Hole 18]], 0)
),"")</f>
        <v>3</v>
      </c>
      <c r="L168" cm="1">
        <f t="array" ref="L168">IFERROR(
  INDEX('Golf Log'!$E$2:$V$72,
    MATCH(1,
      ('Golf Log'!$A$2:$A$72=$A168)*
      ('Golf Log'!$B$2:$B$72=$B168)*
      ('Golf Log'!$C$2:$C$72=$C168),
    0),
    MATCH($G168,'Golf Log'!$E$1:$V$1,0)
  ),
"")</f>
        <v>4</v>
      </c>
      <c r="M168">
        <f t="shared" si="9"/>
        <v>1</v>
      </c>
      <c r="N168" t="str">
        <f t="shared" si="5"/>
        <v>Bogey</v>
      </c>
      <c r="O168" cm="1">
        <f t="array" ref="O168">IFERROR(
  INDEX('Putt Log'!$E$2:$V$72,
    MATCH(1,
      ('Putt Log'!$A$2:$A$72=$A168)*
      ('Putt Log'!$B$2:$B$72=$B168)*
      ('Putt Log'!$C$2:$C$72=$C168),
    0),
    MATCH($G168,'Putt Log'!$E$1:$V$1,0)
  ),
"")</f>
        <v>2</v>
      </c>
      <c r="P168" t="str" cm="1">
        <f t="array" ref="P168">IF(K168=3,"",
  IFERROR(
    INDEX('Fairway Log'!$E$2:$V$72,
      MATCH(1,
        ('Fairway Log'!$A$2:$A$72=$A168)*
        ('Fairway Log'!$B$2:$B$72=$B168)*
        ('Fairway Log'!$C$2:$C239=$C168),
      0),
      MATCH($G168,'Fairway Log'!$E$1:$V$1,0)
    ),
  "")
)</f>
        <v/>
      </c>
      <c r="Q168" cm="1">
        <f t="array" ref="Q168">IFERROR(
  INDEX('GIR Log'!$E$2:$V$72,
    MATCH(1,
      ('GIR Log'!$A$2:$A$72=$A168)*
      ('GIR Log'!$B$2:$B$72=$B168)*
      ('GIR Log'!$C$2:$C$72=$C168),
    0),
    MATCH($G168,'GIR Log'!$E$1:$V$1,0)
  ),
"")</f>
        <v>0</v>
      </c>
    </row>
    <row r="169" spans="1:17" x14ac:dyDescent="0.25">
      <c r="A169" s="20" t="s">
        <v>126</v>
      </c>
      <c r="B169" s="2">
        <v>45496</v>
      </c>
      <c r="C169" t="s">
        <v>6</v>
      </c>
      <c r="D169" t="s">
        <v>75</v>
      </c>
      <c r="E169" t="s">
        <v>34</v>
      </c>
      <c r="F169">
        <v>79</v>
      </c>
      <c r="G169" t="s">
        <v>52</v>
      </c>
      <c r="H169" s="9">
        <f t="shared" si="10"/>
        <v>6</v>
      </c>
      <c r="I169" cm="1">
        <f t="array" ref="I169">IFERROR(INDEX(CourseYardages[[Hole 1]:[Hole 18]],
  MATCH(1, (CourseYardages[Course]=C169)*(CourseYardages[Tees]=E169), 0),
  MATCH(G169, CourseYardages[[#Headers],[Hole 1]:[Hole 18]], 0)
),"")</f>
        <v>386</v>
      </c>
      <c r="J169" cm="1">
        <f t="array" ref="J169">IFERROR(INDEX(CourseHandicap[[Hole 1]:[Hole 18]],
  MATCH(1, (CourseHandicap[Course]=C169)*(CourseHandicap[Tees]=E169), 0),
  MATCH(G169, CourseHandicap[[#Headers],[Hole 1]:[Hole 18]], 0)
),"")</f>
        <v>4</v>
      </c>
      <c r="K169" cm="1">
        <f t="array" ref="K169">IFERROR(INDEX(CourseRatings[[Hole 1]:[Hole 18]],
  MATCH(1, (CourseRatings[Course]=C169)*(CourseRatings[Tees]=E169), 0),
  MATCH(G169, CourseRatings[[#Headers],[Hole 1]:[Hole 18]], 0)
),"")</f>
        <v>4</v>
      </c>
      <c r="L169" cm="1">
        <f t="array" ref="L169">IFERROR(
  INDEX('Golf Log'!$E$2:$V$72,
    MATCH(1,
      ('Golf Log'!$A$2:$A$72=$A169)*
      ('Golf Log'!$B$2:$B$72=$B169)*
      ('Golf Log'!$C$2:$C$72=$C169),
    0),
    MATCH($G169,'Golf Log'!$E$1:$V$1,0)
  ),
"")</f>
        <v>5</v>
      </c>
      <c r="M169">
        <f t="shared" si="9"/>
        <v>1</v>
      </c>
      <c r="N169" t="str">
        <f t="shared" si="5"/>
        <v>Bogey</v>
      </c>
      <c r="O169" cm="1">
        <f t="array" ref="O169">IFERROR(
  INDEX('Putt Log'!$E$2:$V$72,
    MATCH(1,
      ('Putt Log'!$A$2:$A$72=$A169)*
      ('Putt Log'!$B$2:$B$72=$B169)*
      ('Putt Log'!$C$2:$C$72=$C169),
    0),
    MATCH($G169,'Putt Log'!$E$1:$V$1,0)
  ),
"")</f>
        <v>2</v>
      </c>
      <c r="P169" t="str" cm="1">
        <f t="array" ref="P169">IF(K169=3,"",
  IFERROR(
    INDEX('Fairway Log'!$E$2:$V$72,
      MATCH(1,
        ('Fairway Log'!$A$2:$A$72=$A169)*
        ('Fairway Log'!$B$2:$B$72=$B169)*
        ('Fairway Log'!$C$2:$C240=$C169),
      0),
      MATCH($G169,'Fairway Log'!$E$1:$V$1,0)
    ),
  "")
)</f>
        <v>→</v>
      </c>
      <c r="Q169" cm="1">
        <f t="array" ref="Q169">IFERROR(
  INDEX('GIR Log'!$E$2:$V$72,
    MATCH(1,
      ('GIR Log'!$A$2:$A$72=$A169)*
      ('GIR Log'!$B$2:$B$72=$B169)*
      ('GIR Log'!$C$2:$C$72=$C169),
    0),
    MATCH($G169,'GIR Log'!$E$1:$V$1,0)
  ),
"")</f>
        <v>0</v>
      </c>
    </row>
    <row r="170" spans="1:17" x14ac:dyDescent="0.25">
      <c r="A170" s="20" t="s">
        <v>126</v>
      </c>
      <c r="B170" s="2">
        <v>45496</v>
      </c>
      <c r="C170" t="s">
        <v>6</v>
      </c>
      <c r="D170" t="s">
        <v>75</v>
      </c>
      <c r="E170" t="s">
        <v>34</v>
      </c>
      <c r="F170">
        <v>79</v>
      </c>
      <c r="G170" t="s">
        <v>53</v>
      </c>
      <c r="H170" s="9">
        <f t="shared" si="10"/>
        <v>7</v>
      </c>
      <c r="I170" cm="1">
        <f t="array" ref="I170">IFERROR(INDEX(CourseYardages[[Hole 1]:[Hole 18]],
  MATCH(1, (CourseYardages[Course]=C170)*(CourseYardages[Tees]=E170), 0),
  MATCH(G170, CourseYardages[[#Headers],[Hole 1]:[Hole 18]], 0)
),"")</f>
        <v>369</v>
      </c>
      <c r="J170" cm="1">
        <f t="array" ref="J170">IFERROR(INDEX(CourseHandicap[[Hole 1]:[Hole 18]],
  MATCH(1, (CourseHandicap[Course]=C170)*(CourseHandicap[Tees]=E170), 0),
  MATCH(G170, CourseHandicap[[#Headers],[Hole 1]:[Hole 18]], 0)
),"")</f>
        <v>10</v>
      </c>
      <c r="K170" cm="1">
        <f t="array" ref="K170">IFERROR(INDEX(CourseRatings[[Hole 1]:[Hole 18]],
  MATCH(1, (CourseRatings[Course]=C170)*(CourseRatings[Tees]=E170), 0),
  MATCH(G170, CourseRatings[[#Headers],[Hole 1]:[Hole 18]], 0)
),"")</f>
        <v>4</v>
      </c>
      <c r="L170" cm="1">
        <f t="array" ref="L170">IFERROR(
  INDEX('Golf Log'!$E$2:$V$72,
    MATCH(1,
      ('Golf Log'!$A$2:$A$72=$A170)*
      ('Golf Log'!$B$2:$B$72=$B170)*
      ('Golf Log'!$C$2:$C$72=$C170),
    0),
    MATCH($G170,'Golf Log'!$E$1:$V$1,0)
  ),
"")</f>
        <v>5</v>
      </c>
      <c r="M170">
        <f t="shared" si="9"/>
        <v>1</v>
      </c>
      <c r="N170" t="str">
        <f t="shared" si="5"/>
        <v>Bogey</v>
      </c>
      <c r="O170" cm="1">
        <f t="array" ref="O170">IFERROR(
  INDEX('Putt Log'!$E$2:$V$72,
    MATCH(1,
      ('Putt Log'!$A$2:$A$72=$A170)*
      ('Putt Log'!$B$2:$B$72=$B170)*
      ('Putt Log'!$C$2:$C$72=$C170),
    0),
    MATCH($G170,'Putt Log'!$E$1:$V$1,0)
  ),
"")</f>
        <v>2</v>
      </c>
      <c r="P170" t="str" cm="1">
        <f t="array" ref="P170">IF(K170=3,"",
  IFERROR(
    INDEX('Fairway Log'!$E$2:$V$72,
      MATCH(1,
        ('Fairway Log'!$A$2:$A$72=$A170)*
        ('Fairway Log'!$B$2:$B$72=$B170)*
        ('Fairway Log'!$C$2:$C241=$C170),
      0),
      MATCH($G170,'Fairway Log'!$E$1:$V$1,0)
    ),
  "")
)</f>
        <v>→</v>
      </c>
      <c r="Q170" cm="1">
        <f t="array" ref="Q170">IFERROR(
  INDEX('GIR Log'!$E$2:$V$72,
    MATCH(1,
      ('GIR Log'!$A$2:$A$72=$A170)*
      ('GIR Log'!$B$2:$B$72=$B170)*
      ('GIR Log'!$C$2:$C$72=$C170),
    0),
    MATCH($G170,'GIR Log'!$E$1:$V$1,0)
  ),
"")</f>
        <v>0</v>
      </c>
    </row>
    <row r="171" spans="1:17" x14ac:dyDescent="0.25">
      <c r="A171" s="20" t="s">
        <v>126</v>
      </c>
      <c r="B171" s="2">
        <v>45496</v>
      </c>
      <c r="C171" t="s">
        <v>6</v>
      </c>
      <c r="D171" t="s">
        <v>75</v>
      </c>
      <c r="E171" t="s">
        <v>34</v>
      </c>
      <c r="F171">
        <v>79</v>
      </c>
      <c r="G171" t="s">
        <v>54</v>
      </c>
      <c r="H171" s="9">
        <f t="shared" si="10"/>
        <v>8</v>
      </c>
      <c r="I171" cm="1">
        <f t="array" ref="I171">IFERROR(INDEX(CourseYardages[[Hole 1]:[Hole 18]],
  MATCH(1, (CourseYardages[Course]=C171)*(CourseYardages[Tees]=E171), 0),
  MATCH(G171, CourseYardages[[#Headers],[Hole 1]:[Hole 18]], 0)
),"")</f>
        <v>304</v>
      </c>
      <c r="J171" cm="1">
        <f t="array" ref="J171">IFERROR(INDEX(CourseHandicap[[Hole 1]:[Hole 18]],
  MATCH(1, (CourseHandicap[Course]=C171)*(CourseHandicap[Tees]=E171), 0),
  MATCH(G171, CourseHandicap[[#Headers],[Hole 1]:[Hole 18]], 0)
),"")</f>
        <v>18</v>
      </c>
      <c r="K171" cm="1">
        <f t="array" ref="K171">IFERROR(INDEX(CourseRatings[[Hole 1]:[Hole 18]],
  MATCH(1, (CourseRatings[Course]=C171)*(CourseRatings[Tees]=E171), 0),
  MATCH(G171, CourseRatings[[#Headers],[Hole 1]:[Hole 18]], 0)
),"")</f>
        <v>4</v>
      </c>
      <c r="L171" cm="1">
        <f t="array" ref="L171">IFERROR(
  INDEX('Golf Log'!$E$2:$V$72,
    MATCH(1,
      ('Golf Log'!$A$2:$A$72=$A171)*
      ('Golf Log'!$B$2:$B$72=$B171)*
      ('Golf Log'!$C$2:$C$72=$C171),
    0),
    MATCH($G171,'Golf Log'!$E$1:$V$1,0)
  ),
"")</f>
        <v>5</v>
      </c>
      <c r="M171">
        <f t="shared" si="9"/>
        <v>1</v>
      </c>
      <c r="N171" t="str">
        <f t="shared" si="5"/>
        <v>Bogey</v>
      </c>
      <c r="O171" cm="1">
        <f t="array" ref="O171">IFERROR(
  INDEX('Putt Log'!$E$2:$V$72,
    MATCH(1,
      ('Putt Log'!$A$2:$A$72=$A171)*
      ('Putt Log'!$B$2:$B$72=$B171)*
      ('Putt Log'!$C$2:$C$72=$C171),
    0),
    MATCH($G171,'Putt Log'!$E$1:$V$1,0)
  ),
"")</f>
        <v>2</v>
      </c>
      <c r="P171" t="str" cm="1">
        <f t="array" ref="P171">IF(K171=3,"",
  IFERROR(
    INDEX('Fairway Log'!$E$2:$V$72,
      MATCH(1,
        ('Fairway Log'!$A$2:$A$72=$A171)*
        ('Fairway Log'!$B$2:$B$72=$B171)*
        ('Fairway Log'!$C$2:$C242=$C171),
      0),
      MATCH($G171,'Fairway Log'!$E$1:$V$1,0)
    ),
  "")
)</f>
        <v>→</v>
      </c>
      <c r="Q171" cm="1">
        <f t="array" ref="Q171">IFERROR(
  INDEX('GIR Log'!$E$2:$V$72,
    MATCH(1,
      ('GIR Log'!$A$2:$A$72=$A171)*
      ('GIR Log'!$B$2:$B$72=$B171)*
      ('GIR Log'!$C$2:$C$72=$C171),
    0),
    MATCH($G171,'GIR Log'!$E$1:$V$1,0)
  ),
"")</f>
        <v>0</v>
      </c>
    </row>
    <row r="172" spans="1:17" x14ac:dyDescent="0.25">
      <c r="A172" s="20" t="s">
        <v>126</v>
      </c>
      <c r="B172" s="2">
        <v>45496</v>
      </c>
      <c r="C172" t="s">
        <v>6</v>
      </c>
      <c r="D172" t="s">
        <v>75</v>
      </c>
      <c r="E172" t="s">
        <v>34</v>
      </c>
      <c r="F172">
        <v>79</v>
      </c>
      <c r="G172" t="s">
        <v>55</v>
      </c>
      <c r="H172" s="9">
        <f t="shared" si="10"/>
        <v>9</v>
      </c>
      <c r="I172" cm="1">
        <f t="array" ref="I172">IFERROR(INDEX(CourseYardages[[Hole 1]:[Hole 18]],
  MATCH(1, (CourseYardages[Course]=C172)*(CourseYardages[Tees]=E172), 0),
  MATCH(G172, CourseYardages[[#Headers],[Hole 1]:[Hole 18]], 0)
),"")</f>
        <v>338</v>
      </c>
      <c r="J172" cm="1">
        <f t="array" ref="J172">IFERROR(INDEX(CourseHandicap[[Hole 1]:[Hole 18]],
  MATCH(1, (CourseHandicap[Course]=C172)*(CourseHandicap[Tees]=E172), 0),
  MATCH(G172, CourseHandicap[[#Headers],[Hole 1]:[Hole 18]], 0)
),"")</f>
        <v>12</v>
      </c>
      <c r="K172" cm="1">
        <f t="array" ref="K172">IFERROR(INDEX(CourseRatings[[Hole 1]:[Hole 18]],
  MATCH(1, (CourseRatings[Course]=C172)*(CourseRatings[Tees]=E172), 0),
  MATCH(G172, CourseRatings[[#Headers],[Hole 1]:[Hole 18]], 0)
),"")</f>
        <v>4</v>
      </c>
      <c r="L172" cm="1">
        <f t="array" ref="L172">IFERROR(
  INDEX('Golf Log'!$E$2:$V$72,
    MATCH(1,
      ('Golf Log'!$A$2:$A$72=$A172)*
      ('Golf Log'!$B$2:$B$72=$B172)*
      ('Golf Log'!$C$2:$C$72=$C172),
    0),
    MATCH($G172,'Golf Log'!$E$1:$V$1,0)
  ),
"")</f>
        <v>4</v>
      </c>
      <c r="M172">
        <f t="shared" si="9"/>
        <v>0</v>
      </c>
      <c r="N172" t="str">
        <f t="shared" si="5"/>
        <v>Par</v>
      </c>
      <c r="O172" cm="1">
        <f t="array" ref="O172">IFERROR(
  INDEX('Putt Log'!$E$2:$V$72,
    MATCH(1,
      ('Putt Log'!$A$2:$A$72=$A172)*
      ('Putt Log'!$B$2:$B$72=$B172)*
      ('Putt Log'!$C$2:$C$72=$C172),
    0),
    MATCH($G172,'Putt Log'!$E$1:$V$1,0)
  ),
"")</f>
        <v>2</v>
      </c>
      <c r="P172" cm="1">
        <f t="array" ref="P172">IF(K172=3,"",
  IFERROR(
    INDEX('Fairway Log'!$E$2:$V$72,
      MATCH(1,
        ('Fairway Log'!$A$2:$A$72=$A172)*
        ('Fairway Log'!$B$2:$B$72=$B172)*
        ('Fairway Log'!$C$2:$C243=$C172),
      0),
      MATCH($G172,'Fairway Log'!$E$1:$V$1,0)
    ),
  "")
)</f>
        <v>1</v>
      </c>
      <c r="Q172" cm="1">
        <f t="array" ref="Q172">IFERROR(
  INDEX('GIR Log'!$E$2:$V$72,
    MATCH(1,
      ('GIR Log'!$A$2:$A$72=$A172)*
      ('GIR Log'!$B$2:$B$72=$B172)*
      ('GIR Log'!$C$2:$C$72=$C172),
    0),
    MATCH($G172,'GIR Log'!$E$1:$V$1,0)
  ),
"")</f>
        <v>1</v>
      </c>
    </row>
    <row r="173" spans="1:17" x14ac:dyDescent="0.25">
      <c r="A173" s="20" t="s">
        <v>126</v>
      </c>
      <c r="B173" s="2">
        <v>45496</v>
      </c>
      <c r="C173" t="s">
        <v>6</v>
      </c>
      <c r="D173" t="s">
        <v>75</v>
      </c>
      <c r="E173" t="s">
        <v>34</v>
      </c>
      <c r="F173">
        <v>79</v>
      </c>
      <c r="G173" t="s">
        <v>56</v>
      </c>
      <c r="H173" s="9">
        <f t="shared" si="10"/>
        <v>10</v>
      </c>
      <c r="I173" cm="1">
        <f t="array" ref="I173">IFERROR(INDEX(CourseYardages[[Hole 1]:[Hole 18]],
  MATCH(1, (CourseYardages[Course]=C173)*(CourseYardages[Tees]=E173), 0),
  MATCH(G173, CourseYardages[[#Headers],[Hole 1]:[Hole 18]], 0)
),"")</f>
        <v>357</v>
      </c>
      <c r="J173" cm="1">
        <f t="array" ref="J173">IFERROR(INDEX(CourseHandicap[[Hole 1]:[Hole 18]],
  MATCH(1, (CourseHandicap[Course]=C173)*(CourseHandicap[Tees]=E173), 0),
  MATCH(G173, CourseHandicap[[#Headers],[Hole 1]:[Hole 18]], 0)
),"")</f>
        <v>13</v>
      </c>
      <c r="K173" cm="1">
        <f t="array" ref="K173">IFERROR(INDEX(CourseRatings[[Hole 1]:[Hole 18]],
  MATCH(1, (CourseRatings[Course]=C173)*(CourseRatings[Tees]=E173), 0),
  MATCH(G173, CourseRatings[[#Headers],[Hole 1]:[Hole 18]], 0)
),"")</f>
        <v>4</v>
      </c>
      <c r="L173" cm="1">
        <f t="array" ref="L173">IFERROR(
  INDEX('Golf Log'!$E$2:$V$72,
    MATCH(1,
      ('Golf Log'!$A$2:$A$72=$A173)*
      ('Golf Log'!$B$2:$B$72=$B173)*
      ('Golf Log'!$C$2:$C$72=$C173),
    0),
    MATCH($G173,'Golf Log'!$E$1:$V$1,0)
  ),
"")</f>
        <v>5</v>
      </c>
      <c r="M173">
        <f t="shared" si="9"/>
        <v>1</v>
      </c>
      <c r="N173" t="str">
        <f t="shared" si="5"/>
        <v>Bogey</v>
      </c>
      <c r="O173" cm="1">
        <f t="array" ref="O173">IFERROR(
  INDEX('Putt Log'!$E$2:$V$72,
    MATCH(1,
      ('Putt Log'!$A$2:$A$72=$A173)*
      ('Putt Log'!$B$2:$B$72=$B173)*
      ('Putt Log'!$C$2:$C$72=$C173),
    0),
    MATCH($G173,'Putt Log'!$E$1:$V$1,0)
  ),
"")</f>
        <v>2</v>
      </c>
      <c r="P173" t="str" cm="1">
        <f t="array" ref="P173">IF(K173=3,"",
  IFERROR(
    INDEX('Fairway Log'!$E$2:$V$72,
      MATCH(1,
        ('Fairway Log'!$A$2:$A$72=$A173)*
        ('Fairway Log'!$B$2:$B$72=$B173)*
        ('Fairway Log'!$C$2:$C244=$C173),
      0),
      MATCH($G173,'Fairway Log'!$E$1:$V$1,0)
    ),
  "")
)</f>
        <v>←</v>
      </c>
      <c r="Q173" cm="1">
        <f t="array" ref="Q173">IFERROR(
  INDEX('GIR Log'!$E$2:$V$72,
    MATCH(1,
      ('GIR Log'!$A$2:$A$72=$A173)*
      ('GIR Log'!$B$2:$B$72=$B173)*
      ('GIR Log'!$C$2:$C$72=$C173),
    0),
    MATCH($G173,'GIR Log'!$E$1:$V$1,0)
  ),
"")</f>
        <v>0</v>
      </c>
    </row>
    <row r="174" spans="1:17" x14ac:dyDescent="0.25">
      <c r="A174" s="20" t="s">
        <v>126</v>
      </c>
      <c r="B174" s="2">
        <v>45496</v>
      </c>
      <c r="C174" t="s">
        <v>6</v>
      </c>
      <c r="D174" t="s">
        <v>75</v>
      </c>
      <c r="E174" t="s">
        <v>34</v>
      </c>
      <c r="F174">
        <v>79</v>
      </c>
      <c r="G174" t="s">
        <v>57</v>
      </c>
      <c r="H174" s="9">
        <f t="shared" si="10"/>
        <v>11</v>
      </c>
      <c r="I174" cm="1">
        <f t="array" ref="I174">IFERROR(INDEX(CourseYardages[[Hole 1]:[Hole 18]],
  MATCH(1, (CourseYardages[Course]=C174)*(CourseYardages[Tees]=E174), 0),
  MATCH(G174, CourseYardages[[#Headers],[Hole 1]:[Hole 18]], 0)
),"")</f>
        <v>310</v>
      </c>
      <c r="J174" cm="1">
        <f t="array" ref="J174">IFERROR(INDEX(CourseHandicap[[Hole 1]:[Hole 18]],
  MATCH(1, (CourseHandicap[Course]=C174)*(CourseHandicap[Tees]=E174), 0),
  MATCH(G174, CourseHandicap[[#Headers],[Hole 1]:[Hole 18]], 0)
),"")</f>
        <v>11</v>
      </c>
      <c r="K174" cm="1">
        <f t="array" ref="K174">IFERROR(INDEX(CourseRatings[[Hole 1]:[Hole 18]],
  MATCH(1, (CourseRatings[Course]=C174)*(CourseRatings[Tees]=E174), 0),
  MATCH(G174, CourseRatings[[#Headers],[Hole 1]:[Hole 18]], 0)
),"")</f>
        <v>4</v>
      </c>
      <c r="L174" cm="1">
        <f t="array" ref="L174">IFERROR(
  INDEX('Golf Log'!$E$2:$V$72,
    MATCH(1,
      ('Golf Log'!$A$2:$A$72=$A174)*
      ('Golf Log'!$B$2:$B$72=$B174)*
      ('Golf Log'!$C$2:$C$72=$C174),
    0),
    MATCH($G174,'Golf Log'!$E$1:$V$1,0)
  ),
"")</f>
        <v>4</v>
      </c>
      <c r="M174">
        <f t="shared" si="9"/>
        <v>0</v>
      </c>
      <c r="N174" t="str">
        <f t="shared" si="5"/>
        <v>Par</v>
      </c>
      <c r="O174" cm="1">
        <f t="array" ref="O174">IFERROR(
  INDEX('Putt Log'!$E$2:$V$72,
    MATCH(1,
      ('Putt Log'!$A$2:$A$72=$A174)*
      ('Putt Log'!$B$2:$B$72=$B174)*
      ('Putt Log'!$C$2:$C$72=$C174),
    0),
    MATCH($G174,'Putt Log'!$E$1:$V$1,0)
  ),
"")</f>
        <v>1</v>
      </c>
      <c r="P174" t="str" cm="1">
        <f t="array" ref="P174">IF(K174=3,"",
  IFERROR(
    INDEX('Fairway Log'!$E$2:$V$72,
      MATCH(1,
        ('Fairway Log'!$A$2:$A$72=$A174)*
        ('Fairway Log'!$B$2:$B$72=$B174)*
        ('Fairway Log'!$C$2:$C245=$C174),
      0),
      MATCH($G174,'Fairway Log'!$E$1:$V$1,0)
    ),
  "")
)</f>
        <v>←</v>
      </c>
      <c r="Q174" cm="1">
        <f t="array" ref="Q174">IFERROR(
  INDEX('GIR Log'!$E$2:$V$72,
    MATCH(1,
      ('GIR Log'!$A$2:$A$72=$A174)*
      ('GIR Log'!$B$2:$B$72=$B174)*
      ('GIR Log'!$C$2:$C$72=$C174),
    0),
    MATCH($G174,'GIR Log'!$E$1:$V$1,0)
  ),
"")</f>
        <v>0</v>
      </c>
    </row>
    <row r="175" spans="1:17" x14ac:dyDescent="0.25">
      <c r="A175" s="20" t="s">
        <v>126</v>
      </c>
      <c r="B175" s="2">
        <v>45496</v>
      </c>
      <c r="C175" t="s">
        <v>6</v>
      </c>
      <c r="D175" t="s">
        <v>75</v>
      </c>
      <c r="E175" t="s">
        <v>34</v>
      </c>
      <c r="F175">
        <v>79</v>
      </c>
      <c r="G175" t="s">
        <v>58</v>
      </c>
      <c r="H175" s="9">
        <f t="shared" si="10"/>
        <v>12</v>
      </c>
      <c r="I175" cm="1">
        <f t="array" ref="I175">IFERROR(INDEX(CourseYardages[[Hole 1]:[Hole 18]],
  MATCH(1, (CourseYardages[Course]=C175)*(CourseYardages[Tees]=E175), 0),
  MATCH(G175, CourseYardages[[#Headers],[Hole 1]:[Hole 18]], 0)
),"")</f>
        <v>386</v>
      </c>
      <c r="J175" cm="1">
        <f t="array" ref="J175">IFERROR(INDEX(CourseHandicap[[Hole 1]:[Hole 18]],
  MATCH(1, (CourseHandicap[Course]=C175)*(CourseHandicap[Tees]=E175), 0),
  MATCH(G175, CourseHandicap[[#Headers],[Hole 1]:[Hole 18]], 0)
),"")</f>
        <v>5</v>
      </c>
      <c r="K175" cm="1">
        <f t="array" ref="K175">IFERROR(INDEX(CourseRatings[[Hole 1]:[Hole 18]],
  MATCH(1, (CourseRatings[Course]=C175)*(CourseRatings[Tees]=E175), 0),
  MATCH(G175, CourseRatings[[#Headers],[Hole 1]:[Hole 18]], 0)
),"")</f>
        <v>4</v>
      </c>
      <c r="L175" cm="1">
        <f t="array" ref="L175">IFERROR(
  INDEX('Golf Log'!$E$2:$V$72,
    MATCH(1,
      ('Golf Log'!$A$2:$A$72=$A175)*
      ('Golf Log'!$B$2:$B$72=$B175)*
      ('Golf Log'!$C$2:$C$72=$C175),
    0),
    MATCH($G175,'Golf Log'!$E$1:$V$1,0)
  ),
"")</f>
        <v>5</v>
      </c>
      <c r="M175">
        <f t="shared" si="9"/>
        <v>1</v>
      </c>
      <c r="N175" t="str">
        <f t="shared" si="5"/>
        <v>Bogey</v>
      </c>
      <c r="O175" cm="1">
        <f t="array" ref="O175">IFERROR(
  INDEX('Putt Log'!$E$2:$V$72,
    MATCH(1,
      ('Putt Log'!$A$2:$A$72=$A175)*
      ('Putt Log'!$B$2:$B$72=$B175)*
      ('Putt Log'!$C$2:$C$72=$C175),
    0),
    MATCH($G175,'Putt Log'!$E$1:$V$1,0)
  ),
"")</f>
        <v>2</v>
      </c>
      <c r="P175" cm="1">
        <f t="array" ref="P175">IF(K175=3,"",
  IFERROR(
    INDEX('Fairway Log'!$E$2:$V$72,
      MATCH(1,
        ('Fairway Log'!$A$2:$A$72=$A175)*
        ('Fairway Log'!$B$2:$B$72=$B175)*
        ('Fairway Log'!$C$2:$C246=$C175),
      0),
      MATCH($G175,'Fairway Log'!$E$1:$V$1,0)
    ),
  "")
)</f>
        <v>1</v>
      </c>
      <c r="Q175" cm="1">
        <f t="array" ref="Q175">IFERROR(
  INDEX('GIR Log'!$E$2:$V$72,
    MATCH(1,
      ('GIR Log'!$A$2:$A$72=$A175)*
      ('GIR Log'!$B$2:$B$72=$B175)*
      ('GIR Log'!$C$2:$C$72=$C175),
    0),
    MATCH($G175,'GIR Log'!$E$1:$V$1,0)
  ),
"")</f>
        <v>0</v>
      </c>
    </row>
    <row r="176" spans="1:17" x14ac:dyDescent="0.25">
      <c r="A176" s="20" t="s">
        <v>126</v>
      </c>
      <c r="B176" s="2">
        <v>45496</v>
      </c>
      <c r="C176" t="s">
        <v>6</v>
      </c>
      <c r="D176" t="s">
        <v>75</v>
      </c>
      <c r="E176" t="s">
        <v>34</v>
      </c>
      <c r="F176">
        <v>79</v>
      </c>
      <c r="G176" t="s">
        <v>59</v>
      </c>
      <c r="H176" s="9">
        <f t="shared" si="10"/>
        <v>13</v>
      </c>
      <c r="I176" cm="1">
        <f t="array" ref="I176">IFERROR(INDEX(CourseYardages[[Hole 1]:[Hole 18]],
  MATCH(1, (CourseYardages[Course]=C176)*(CourseYardages[Tees]=E176), 0),
  MATCH(G176, CourseYardages[[#Headers],[Hole 1]:[Hole 18]], 0)
),"")</f>
        <v>326</v>
      </c>
      <c r="J176" cm="1">
        <f t="array" ref="J176">IFERROR(INDEX(CourseHandicap[[Hole 1]:[Hole 18]],
  MATCH(1, (CourseHandicap[Course]=C176)*(CourseHandicap[Tees]=E176), 0),
  MATCH(G176, CourseHandicap[[#Headers],[Hole 1]:[Hole 18]], 0)
),"")</f>
        <v>9</v>
      </c>
      <c r="K176" cm="1">
        <f t="array" ref="K176">IFERROR(INDEX(CourseRatings[[Hole 1]:[Hole 18]],
  MATCH(1, (CourseRatings[Course]=C176)*(CourseRatings[Tees]=E176), 0),
  MATCH(G176, CourseRatings[[#Headers],[Hole 1]:[Hole 18]], 0)
),"")</f>
        <v>4</v>
      </c>
      <c r="L176" cm="1">
        <f t="array" ref="L176">IFERROR(
  INDEX('Golf Log'!$E$2:$V$72,
    MATCH(1,
      ('Golf Log'!$A$2:$A$72=$A176)*
      ('Golf Log'!$B$2:$B$72=$B176)*
      ('Golf Log'!$C$2:$C$72=$C176),
    0),
    MATCH($G176,'Golf Log'!$E$1:$V$1,0)
  ),
"")</f>
        <v>3</v>
      </c>
      <c r="M176">
        <f t="shared" si="9"/>
        <v>-1</v>
      </c>
      <c r="N176" t="str">
        <f t="shared" si="5"/>
        <v>Birdie</v>
      </c>
      <c r="O176" cm="1">
        <f t="array" ref="O176">IFERROR(
  INDEX('Putt Log'!$E$2:$V$72,
    MATCH(1,
      ('Putt Log'!$A$2:$A$72=$A176)*
      ('Putt Log'!$B$2:$B$72=$B176)*
      ('Putt Log'!$C$2:$C$72=$C176),
    0),
    MATCH($G176,'Putt Log'!$E$1:$V$1,0)
  ),
"")</f>
        <v>1</v>
      </c>
      <c r="P176" cm="1">
        <f t="array" ref="P176">IF(K176=3,"",
  IFERROR(
    INDEX('Fairway Log'!$E$2:$V$72,
      MATCH(1,
        ('Fairway Log'!$A$2:$A$72=$A176)*
        ('Fairway Log'!$B$2:$B$72=$B176)*
        ('Fairway Log'!$C$2:$C247=$C176),
      0),
      MATCH($G176,'Fairway Log'!$E$1:$V$1,0)
    ),
  "")
)</f>
        <v>1</v>
      </c>
      <c r="Q176" cm="1">
        <f t="array" ref="Q176">IFERROR(
  INDEX('GIR Log'!$E$2:$V$72,
    MATCH(1,
      ('GIR Log'!$A$2:$A$72=$A176)*
      ('GIR Log'!$B$2:$B$72=$B176)*
      ('GIR Log'!$C$2:$C$72=$C176),
    0),
    MATCH($G176,'GIR Log'!$E$1:$V$1,0)
  ),
"")</f>
        <v>1</v>
      </c>
    </row>
    <row r="177" spans="1:17" x14ac:dyDescent="0.25">
      <c r="A177" s="20" t="s">
        <v>126</v>
      </c>
      <c r="B177" s="2">
        <v>45496</v>
      </c>
      <c r="C177" t="s">
        <v>6</v>
      </c>
      <c r="D177" t="s">
        <v>75</v>
      </c>
      <c r="E177" t="s">
        <v>34</v>
      </c>
      <c r="F177">
        <v>79</v>
      </c>
      <c r="G177" t="s">
        <v>60</v>
      </c>
      <c r="H177" s="9">
        <f t="shared" si="10"/>
        <v>14</v>
      </c>
      <c r="I177" cm="1">
        <f t="array" ref="I177">IFERROR(INDEX(CourseYardages[[Hole 1]:[Hole 18]],
  MATCH(1, (CourseYardages[Course]=C177)*(CourseYardages[Tees]=E177), 0),
  MATCH(G177, CourseYardages[[#Headers],[Hole 1]:[Hole 18]], 0)
),"")</f>
        <v>170</v>
      </c>
      <c r="J177" cm="1">
        <f t="array" ref="J177">IFERROR(INDEX(CourseHandicap[[Hole 1]:[Hole 18]],
  MATCH(1, (CourseHandicap[Course]=C177)*(CourseHandicap[Tees]=E177), 0),
  MATCH(G177, CourseHandicap[[#Headers],[Hole 1]:[Hole 18]], 0)
),"")</f>
        <v>15</v>
      </c>
      <c r="K177" cm="1">
        <f t="array" ref="K177">IFERROR(INDEX(CourseRatings[[Hole 1]:[Hole 18]],
  MATCH(1, (CourseRatings[Course]=C177)*(CourseRatings[Tees]=E177), 0),
  MATCH(G177, CourseRatings[[#Headers],[Hole 1]:[Hole 18]], 0)
),"")</f>
        <v>3</v>
      </c>
      <c r="L177" cm="1">
        <f t="array" ref="L177">IFERROR(
  INDEX('Golf Log'!$E$2:$V$72,
    MATCH(1,
      ('Golf Log'!$A$2:$A$72=$A177)*
      ('Golf Log'!$B$2:$B$72=$B177)*
      ('Golf Log'!$C$2:$C$72=$C177),
    0),
    MATCH($G177,'Golf Log'!$E$1:$V$1,0)
  ),
"")</f>
        <v>4</v>
      </c>
      <c r="M177">
        <f t="shared" si="9"/>
        <v>1</v>
      </c>
      <c r="N177" t="str">
        <f t="shared" si="5"/>
        <v>Bogey</v>
      </c>
      <c r="O177" cm="1">
        <f t="array" ref="O177">IFERROR(
  INDEX('Putt Log'!$E$2:$V$72,
    MATCH(1,
      ('Putt Log'!$A$2:$A$72=$A177)*
      ('Putt Log'!$B$2:$B$72=$B177)*
      ('Putt Log'!$C$2:$C$72=$C177),
    0),
    MATCH($G177,'Putt Log'!$E$1:$V$1,0)
  ),
"")</f>
        <v>1</v>
      </c>
      <c r="P177" t="str" cm="1">
        <f t="array" ref="P177">IF(K177=3,"",
  IFERROR(
    INDEX('Fairway Log'!$E$2:$V$72,
      MATCH(1,
        ('Fairway Log'!$A$2:$A$72=$A177)*
        ('Fairway Log'!$B$2:$B$72=$B177)*
        ('Fairway Log'!$C$2:$C248=$C177),
      0),
      MATCH($G177,'Fairway Log'!$E$1:$V$1,0)
    ),
  "")
)</f>
        <v/>
      </c>
      <c r="Q177" cm="1">
        <f t="array" ref="Q177">IFERROR(
  INDEX('GIR Log'!$E$2:$V$72,
    MATCH(1,
      ('GIR Log'!$A$2:$A$72=$A177)*
      ('GIR Log'!$B$2:$B$72=$B177)*
      ('GIR Log'!$C$2:$C$72=$C177),
    0),
    MATCH($G177,'GIR Log'!$E$1:$V$1,0)
  ),
"")</f>
        <v>0</v>
      </c>
    </row>
    <row r="178" spans="1:17" x14ac:dyDescent="0.25">
      <c r="A178" s="20" t="s">
        <v>126</v>
      </c>
      <c r="B178" s="2">
        <v>45496</v>
      </c>
      <c r="C178" t="s">
        <v>6</v>
      </c>
      <c r="D178" t="s">
        <v>75</v>
      </c>
      <c r="E178" t="s">
        <v>34</v>
      </c>
      <c r="F178">
        <v>79</v>
      </c>
      <c r="G178" t="s">
        <v>61</v>
      </c>
      <c r="H178" s="9">
        <f t="shared" si="10"/>
        <v>15</v>
      </c>
      <c r="I178" cm="1">
        <f t="array" ref="I178">IFERROR(INDEX(CourseYardages[[Hole 1]:[Hole 18]],
  MATCH(1, (CourseYardages[Course]=C178)*(CourseYardages[Tees]=E178), 0),
  MATCH(G178, CourseYardages[[#Headers],[Hole 1]:[Hole 18]], 0)
),"")</f>
        <v>417</v>
      </c>
      <c r="J178" cm="1">
        <f t="array" ref="J178">IFERROR(INDEX(CourseHandicap[[Hole 1]:[Hole 18]],
  MATCH(1, (CourseHandicap[Course]=C178)*(CourseHandicap[Tees]=E178), 0),
  MATCH(G178, CourseHandicap[[#Headers],[Hole 1]:[Hole 18]], 0)
),"")</f>
        <v>1</v>
      </c>
      <c r="K178" cm="1">
        <f t="array" ref="K178">IFERROR(INDEX(CourseRatings[[Hole 1]:[Hole 18]],
  MATCH(1, (CourseRatings[Course]=C178)*(CourseRatings[Tees]=E178), 0),
  MATCH(G178, CourseRatings[[#Headers],[Hole 1]:[Hole 18]], 0)
),"")</f>
        <v>4</v>
      </c>
      <c r="L178" cm="1">
        <f t="array" ref="L178">IFERROR(
  INDEX('Golf Log'!$E$2:$V$72,
    MATCH(1,
      ('Golf Log'!$A$2:$A$72=$A178)*
      ('Golf Log'!$B$2:$B$72=$B178)*
      ('Golf Log'!$C$2:$C$72=$C178),
    0),
    MATCH($G178,'Golf Log'!$E$1:$V$1,0)
  ),
"")</f>
        <v>5</v>
      </c>
      <c r="M178">
        <f t="shared" si="9"/>
        <v>1</v>
      </c>
      <c r="N178" t="str">
        <f t="shared" si="5"/>
        <v>Bogey</v>
      </c>
      <c r="O178" cm="1">
        <f t="array" ref="O178">IFERROR(
  INDEX('Putt Log'!$E$2:$V$72,
    MATCH(1,
      ('Putt Log'!$A$2:$A$72=$A178)*
      ('Putt Log'!$B$2:$B$72=$B178)*
      ('Putt Log'!$C$2:$C$72=$C178),
    0),
    MATCH($G178,'Putt Log'!$E$1:$V$1,0)
  ),
"")</f>
        <v>1</v>
      </c>
      <c r="P178" t="str" cm="1">
        <f t="array" ref="P178">IF(K178=3,"",
  IFERROR(
    INDEX('Fairway Log'!$E$2:$V$72,
      MATCH(1,
        ('Fairway Log'!$A$2:$A$72=$A178)*
        ('Fairway Log'!$B$2:$B$72=$B178)*
        ('Fairway Log'!$C$2:$C249=$C178),
      0),
      MATCH($G178,'Fairway Log'!$E$1:$V$1,0)
    ),
  "")
)</f>
        <v>→</v>
      </c>
      <c r="Q178" cm="1">
        <f t="array" ref="Q178">IFERROR(
  INDEX('GIR Log'!$E$2:$V$72,
    MATCH(1,
      ('GIR Log'!$A$2:$A$72=$A178)*
      ('GIR Log'!$B$2:$B$72=$B178)*
      ('GIR Log'!$C$2:$C$72=$C178),
    0),
    MATCH($G178,'GIR Log'!$E$1:$V$1,0)
  ),
"")</f>
        <v>0</v>
      </c>
    </row>
    <row r="179" spans="1:17" x14ac:dyDescent="0.25">
      <c r="A179" s="20" t="s">
        <v>126</v>
      </c>
      <c r="B179" s="2">
        <v>45496</v>
      </c>
      <c r="C179" t="s">
        <v>6</v>
      </c>
      <c r="D179" t="s">
        <v>75</v>
      </c>
      <c r="E179" t="s">
        <v>34</v>
      </c>
      <c r="F179">
        <v>79</v>
      </c>
      <c r="G179" t="s">
        <v>62</v>
      </c>
      <c r="H179" s="9">
        <f t="shared" si="10"/>
        <v>16</v>
      </c>
      <c r="I179" cm="1">
        <f t="array" ref="I179">IFERROR(INDEX(CourseYardages[[Hole 1]:[Hole 18]],
  MATCH(1, (CourseYardages[Course]=C179)*(CourseYardages[Tees]=E179), 0),
  MATCH(G179, CourseYardages[[#Headers],[Hole 1]:[Hole 18]], 0)
),"")</f>
        <v>277</v>
      </c>
      <c r="J179" cm="1">
        <f t="array" ref="J179">IFERROR(INDEX(CourseHandicap[[Hole 1]:[Hole 18]],
  MATCH(1, (CourseHandicap[Course]=C179)*(CourseHandicap[Tees]=E179), 0),
  MATCH(G179, CourseHandicap[[#Headers],[Hole 1]:[Hole 18]], 0)
),"")</f>
        <v>17</v>
      </c>
      <c r="K179" cm="1">
        <f t="array" ref="K179">IFERROR(INDEX(CourseRatings[[Hole 1]:[Hole 18]],
  MATCH(1, (CourseRatings[Course]=C179)*(CourseRatings[Tees]=E179), 0),
  MATCH(G179, CourseRatings[[#Headers],[Hole 1]:[Hole 18]], 0)
),"")</f>
        <v>4</v>
      </c>
      <c r="L179" cm="1">
        <f t="array" ref="L179">IFERROR(
  INDEX('Golf Log'!$E$2:$V$72,
    MATCH(1,
      ('Golf Log'!$A$2:$A$72=$A179)*
      ('Golf Log'!$B$2:$B$72=$B179)*
      ('Golf Log'!$C$2:$C$72=$C179),
    0),
    MATCH($G179,'Golf Log'!$E$1:$V$1,0)
  ),
"")</f>
        <v>4</v>
      </c>
      <c r="M179">
        <f t="shared" si="9"/>
        <v>0</v>
      </c>
      <c r="N179" t="str">
        <f t="shared" si="5"/>
        <v>Par</v>
      </c>
      <c r="O179" cm="1">
        <f t="array" ref="O179">IFERROR(
  INDEX('Putt Log'!$E$2:$V$72,
    MATCH(1,
      ('Putt Log'!$A$2:$A$72=$A179)*
      ('Putt Log'!$B$2:$B$72=$B179)*
      ('Putt Log'!$C$2:$C$72=$C179),
    0),
    MATCH($G179,'Putt Log'!$E$1:$V$1,0)
  ),
"")</f>
        <v>1</v>
      </c>
      <c r="P179" cm="1">
        <f t="array" ref="P179">IF(K179=3,"",
  IFERROR(
    INDEX('Fairway Log'!$E$2:$V$72,
      MATCH(1,
        ('Fairway Log'!$A$2:$A$72=$A179)*
        ('Fairway Log'!$B$2:$B$72=$B179)*
        ('Fairway Log'!$C$2:$C250=$C179),
      0),
      MATCH($G179,'Fairway Log'!$E$1:$V$1,0)
    ),
  "")
)</f>
        <v>1</v>
      </c>
      <c r="Q179" cm="1">
        <f t="array" ref="Q179">IFERROR(
  INDEX('GIR Log'!$E$2:$V$72,
    MATCH(1,
      ('GIR Log'!$A$2:$A$72=$A179)*
      ('GIR Log'!$B$2:$B$72=$B179)*
      ('GIR Log'!$C$2:$C$72=$C179),
    0),
    MATCH($G179,'GIR Log'!$E$1:$V$1,0)
  ),
"")</f>
        <v>0</v>
      </c>
    </row>
    <row r="180" spans="1:17" x14ac:dyDescent="0.25">
      <c r="A180" s="20" t="s">
        <v>126</v>
      </c>
      <c r="B180" s="2">
        <v>45496</v>
      </c>
      <c r="C180" t="s">
        <v>6</v>
      </c>
      <c r="D180" t="s">
        <v>75</v>
      </c>
      <c r="E180" t="s">
        <v>34</v>
      </c>
      <c r="F180">
        <v>79</v>
      </c>
      <c r="G180" t="s">
        <v>63</v>
      </c>
      <c r="H180" s="9">
        <f t="shared" si="10"/>
        <v>17</v>
      </c>
      <c r="I180" cm="1">
        <f t="array" ref="I180">IFERROR(INDEX(CourseYardages[[Hole 1]:[Hole 18]],
  MATCH(1, (CourseYardages[Course]=C180)*(CourseYardages[Tees]=E180), 0),
  MATCH(G180, CourseYardages[[#Headers],[Hole 1]:[Hole 18]], 0)
),"")</f>
        <v>479</v>
      </c>
      <c r="J180" cm="1">
        <f t="array" ref="J180">IFERROR(INDEX(CourseHandicap[[Hole 1]:[Hole 18]],
  MATCH(1, (CourseHandicap[Course]=C180)*(CourseHandicap[Tees]=E180), 0),
  MATCH(G180, CourseHandicap[[#Headers],[Hole 1]:[Hole 18]], 0)
),"")</f>
        <v>3</v>
      </c>
      <c r="K180" cm="1">
        <f t="array" ref="K180">IFERROR(INDEX(CourseRatings[[Hole 1]:[Hole 18]],
  MATCH(1, (CourseRatings[Course]=C180)*(CourseRatings[Tees]=E180), 0),
  MATCH(G180, CourseRatings[[#Headers],[Hole 1]:[Hole 18]], 0)
),"")</f>
        <v>5</v>
      </c>
      <c r="L180" cm="1">
        <f t="array" ref="L180">IFERROR(
  INDEX('Golf Log'!$E$2:$V$72,
    MATCH(1,
      ('Golf Log'!$A$2:$A$72=$A180)*
      ('Golf Log'!$B$2:$B$72=$B180)*
      ('Golf Log'!$C$2:$C$72=$C180),
    0),
    MATCH($G180,'Golf Log'!$E$1:$V$1,0)
  ),
"")</f>
        <v>4</v>
      </c>
      <c r="M180">
        <f t="shared" si="9"/>
        <v>-1</v>
      </c>
      <c r="N180" t="str">
        <f t="shared" si="5"/>
        <v>Birdie</v>
      </c>
      <c r="O180" cm="1">
        <f t="array" ref="O180">IFERROR(
  INDEX('Putt Log'!$E$2:$V$72,
    MATCH(1,
      ('Putt Log'!$A$2:$A$72=$A180)*
      ('Putt Log'!$B$2:$B$72=$B180)*
      ('Putt Log'!$C$2:$C$72=$C180),
    0),
    MATCH($G180,'Putt Log'!$E$1:$V$1,0)
  ),
"")</f>
        <v>1</v>
      </c>
      <c r="P180" cm="1">
        <f t="array" ref="P180">IF(K180=3,"",
  IFERROR(
    INDEX('Fairway Log'!$E$2:$V$72,
      MATCH(1,
        ('Fairway Log'!$A$2:$A$72=$A180)*
        ('Fairway Log'!$B$2:$B$72=$B180)*
        ('Fairway Log'!$C$2:$C251=$C180),
      0),
      MATCH($G180,'Fairway Log'!$E$1:$V$1,0)
    ),
  "")
)</f>
        <v>1</v>
      </c>
      <c r="Q180" cm="1">
        <f t="array" ref="Q180">IFERROR(
  INDEX('GIR Log'!$E$2:$V$72,
    MATCH(1,
      ('GIR Log'!$A$2:$A$72=$A180)*
      ('GIR Log'!$B$2:$B$72=$B180)*
      ('GIR Log'!$C$2:$C$72=$C180),
    0),
    MATCH($G180,'GIR Log'!$E$1:$V$1,0)
  ),
"")</f>
        <v>0</v>
      </c>
    </row>
    <row r="181" spans="1:17" x14ac:dyDescent="0.25">
      <c r="A181" s="20" t="s">
        <v>126</v>
      </c>
      <c r="B181" s="2">
        <v>45496</v>
      </c>
      <c r="C181" t="s">
        <v>6</v>
      </c>
      <c r="D181" t="s">
        <v>75</v>
      </c>
      <c r="E181" t="s">
        <v>34</v>
      </c>
      <c r="F181">
        <v>79</v>
      </c>
      <c r="G181" t="s">
        <v>64</v>
      </c>
      <c r="H181" s="9">
        <f t="shared" si="10"/>
        <v>18</v>
      </c>
      <c r="I181" cm="1">
        <f t="array" ref="I181">IFERROR(INDEX(CourseYardages[[Hole 1]:[Hole 18]],
  MATCH(1, (CourseYardages[Course]=C181)*(CourseYardages[Tees]=E181), 0),
  MATCH(G181, CourseYardages[[#Headers],[Hole 1]:[Hole 18]], 0)
),"")</f>
        <v>367</v>
      </c>
      <c r="J181" cm="1">
        <f t="array" ref="J181">IFERROR(INDEX(CourseHandicap[[Hole 1]:[Hole 18]],
  MATCH(1, (CourseHandicap[Course]=C181)*(CourseHandicap[Tees]=E181), 0),
  MATCH(G181, CourseHandicap[[#Headers],[Hole 1]:[Hole 18]], 0)
),"")</f>
        <v>7</v>
      </c>
      <c r="K181" cm="1">
        <f t="array" ref="K181">IFERROR(INDEX(CourseRatings[[Hole 1]:[Hole 18]],
  MATCH(1, (CourseRatings[Course]=C181)*(CourseRatings[Tees]=E181), 0),
  MATCH(G181, CourseRatings[[#Headers],[Hole 1]:[Hole 18]], 0)
),"")</f>
        <v>4</v>
      </c>
      <c r="L181" cm="1">
        <f t="array" ref="L181">IFERROR(
  INDEX('Golf Log'!$E$2:$V$72,
    MATCH(1,
      ('Golf Log'!$A$2:$A$72=$A181)*
      ('Golf Log'!$B$2:$B$72=$B181)*
      ('Golf Log'!$C$2:$C$72=$C181),
    0),
    MATCH($G181,'Golf Log'!$E$1:$V$1,0)
  ),
"")</f>
        <v>5</v>
      </c>
      <c r="M181">
        <f t="shared" si="9"/>
        <v>1</v>
      </c>
      <c r="N181" t="str">
        <f t="shared" si="5"/>
        <v>Bogey</v>
      </c>
      <c r="O181" cm="1">
        <f t="array" ref="O181">IFERROR(
  INDEX('Putt Log'!$E$2:$V$72,
    MATCH(1,
      ('Putt Log'!$A$2:$A$72=$A181)*
      ('Putt Log'!$B$2:$B$72=$B181)*
      ('Putt Log'!$C$2:$C$72=$C181),
    0),
    MATCH($G181,'Putt Log'!$E$1:$V$1,0)
  ),
"")</f>
        <v>2</v>
      </c>
      <c r="P181" cm="1">
        <f t="array" ref="P181">IF(K181=3,"",
  IFERROR(
    INDEX('Fairway Log'!$E$2:$V$72,
      MATCH(1,
        ('Fairway Log'!$A$2:$A$72=$A181)*
        ('Fairway Log'!$B$2:$B$72=$B181)*
        ('Fairway Log'!$C$2:$C252=$C181),
      0),
      MATCH($G181,'Fairway Log'!$E$1:$V$1,0)
    ),
  "")
)</f>
        <v>1</v>
      </c>
      <c r="Q181" cm="1">
        <f t="array" ref="Q181">IFERROR(
  INDEX('GIR Log'!$E$2:$V$72,
    MATCH(1,
      ('GIR Log'!$A$2:$A$72=$A181)*
      ('GIR Log'!$B$2:$B$72=$B181)*
      ('GIR Log'!$C$2:$C$72=$C181),
    0),
    MATCH($G181,'GIR Log'!$E$1:$V$1,0)
  ),
"")</f>
        <v>0</v>
      </c>
    </row>
    <row r="182" spans="1:17" x14ac:dyDescent="0.25">
      <c r="A182" s="20" t="s">
        <v>126</v>
      </c>
      <c r="B182" s="2">
        <v>45492</v>
      </c>
      <c r="C182" t="s">
        <v>6</v>
      </c>
      <c r="D182" t="s">
        <v>75</v>
      </c>
      <c r="E182" t="s">
        <v>34</v>
      </c>
      <c r="F182">
        <v>83</v>
      </c>
      <c r="G182" t="s">
        <v>47</v>
      </c>
      <c r="H182" s="9">
        <f t="shared" si="10"/>
        <v>1</v>
      </c>
      <c r="I182" cm="1">
        <f t="array" ref="I182">IFERROR(INDEX(CourseYardages[[Hole 1]:[Hole 18]],
  MATCH(1, (CourseYardages[Course]=C182)*(CourseYardages[Tees]=E182), 0),
  MATCH(G182, CourseYardages[[#Headers],[Hole 1]:[Hole 18]], 0)
),"")</f>
        <v>489</v>
      </c>
      <c r="J182" cm="1">
        <f t="array" ref="J182">IFERROR(INDEX(CourseHandicap[[Hole 1]:[Hole 18]],
  MATCH(1, (CourseHandicap[Course]=C182)*(CourseHandicap[Tees]=E182), 0),
  MATCH(G182, CourseHandicap[[#Headers],[Hole 1]:[Hole 18]], 0)
),"")</f>
        <v>6</v>
      </c>
      <c r="K182" cm="1">
        <f t="array" ref="K182">IFERROR(INDEX(CourseRatings[[Hole 1]:[Hole 18]],
  MATCH(1, (CourseRatings[Course]=C182)*(CourseRatings[Tees]=E182), 0),
  MATCH(G182, CourseRatings[[#Headers],[Hole 1]:[Hole 18]], 0)
),"")</f>
        <v>5</v>
      </c>
      <c r="L182" cm="1">
        <f t="array" ref="L182">IFERROR(
  INDEX('Golf Log'!$E$2:$V$72,
    MATCH(1,
      ('Golf Log'!$A$2:$A$72=$A182)*
      ('Golf Log'!$B$2:$B$72=$B182)*
      ('Golf Log'!$C$2:$C$72=$C182),
    0),
    MATCH($G182,'Golf Log'!$E$1:$V$1,0)
  ),
"")</f>
        <v>6</v>
      </c>
      <c r="M182">
        <f t="shared" si="9"/>
        <v>1</v>
      </c>
      <c r="N182" t="str">
        <f t="shared" si="5"/>
        <v>Bogey</v>
      </c>
      <c r="O182" cm="1">
        <f t="array" ref="O182">IFERROR(
  INDEX('Putt Log'!$E$2:$V$72,
    MATCH(1,
      ('Putt Log'!$A$2:$A$72=$A182)*
      ('Putt Log'!$B$2:$B$72=$B182)*
      ('Putt Log'!$C$2:$C$72=$C182),
    0),
    MATCH($G182,'Putt Log'!$E$1:$V$1,0)
  ),
"")</f>
        <v>2</v>
      </c>
      <c r="P182" cm="1">
        <f t="array" ref="P182">IF(K182=3,"",
  IFERROR(
    INDEX('Fairway Log'!$E$2:$V$72,
      MATCH(1,
        ('Fairway Log'!$A$2:$A$72=$A182)*
        ('Fairway Log'!$B$2:$B$72=$B182)*
        ('Fairway Log'!$C$2:$C253=$C182),
      0),
      MATCH($G182,'Fairway Log'!$E$1:$V$1,0)
    ),
  "")
)</f>
        <v>1</v>
      </c>
      <c r="Q182" t="str" cm="1">
        <f t="array" ref="Q182">IFERROR(
  INDEX('GIR Log'!$E$2:$V$72,
    MATCH(1,
      ('GIR Log'!$A$2:$A$72=$A182)*
      ('GIR Log'!$B$2:$B$72=$B182)*
      ('GIR Log'!$C$2:$C$72=$C182),
    0),
    MATCH($G182,'GIR Log'!$E$1:$V$1,0)
  ),
"")</f>
        <v>↓</v>
      </c>
    </row>
    <row r="183" spans="1:17" x14ac:dyDescent="0.25">
      <c r="A183" s="20" t="s">
        <v>126</v>
      </c>
      <c r="B183" s="2">
        <v>45492</v>
      </c>
      <c r="C183" t="s">
        <v>6</v>
      </c>
      <c r="D183" t="s">
        <v>75</v>
      </c>
      <c r="E183" t="s">
        <v>34</v>
      </c>
      <c r="F183">
        <v>83</v>
      </c>
      <c r="G183" t="s">
        <v>48</v>
      </c>
      <c r="H183" s="9">
        <f t="shared" si="10"/>
        <v>2</v>
      </c>
      <c r="I183" cm="1">
        <f t="array" ref="I183">IFERROR(INDEX(CourseYardages[[Hole 1]:[Hole 18]],
  MATCH(1, (CourseYardages[Course]=C183)*(CourseYardages[Tees]=E183), 0),
  MATCH(G183, CourseYardages[[#Headers],[Hole 1]:[Hole 18]], 0)
),"")</f>
        <v>372</v>
      </c>
      <c r="J183" cm="1">
        <f t="array" ref="J183">IFERROR(INDEX(CourseHandicap[[Hole 1]:[Hole 18]],
  MATCH(1, (CourseHandicap[Course]=C183)*(CourseHandicap[Tees]=E183), 0),
  MATCH(G183, CourseHandicap[[#Headers],[Hole 1]:[Hole 18]], 0)
),"")</f>
        <v>2</v>
      </c>
      <c r="K183" cm="1">
        <f t="array" ref="K183">IFERROR(INDEX(CourseRatings[[Hole 1]:[Hole 18]],
  MATCH(1, (CourseRatings[Course]=C183)*(CourseRatings[Tees]=E183), 0),
  MATCH(G183, CourseRatings[[#Headers],[Hole 1]:[Hole 18]], 0)
),"")</f>
        <v>4</v>
      </c>
      <c r="L183" cm="1">
        <f t="array" ref="L183">IFERROR(
  INDEX('Golf Log'!$E$2:$V$72,
    MATCH(1,
      ('Golf Log'!$A$2:$A$72=$A183)*
      ('Golf Log'!$B$2:$B$72=$B183)*
      ('Golf Log'!$C$2:$C$72=$C183),
    0),
    MATCH($G183,'Golf Log'!$E$1:$V$1,0)
  ),
"")</f>
        <v>4</v>
      </c>
      <c r="M183">
        <f t="shared" si="9"/>
        <v>0</v>
      </c>
      <c r="N183" t="str">
        <f t="shared" si="5"/>
        <v>Par</v>
      </c>
      <c r="O183" cm="1">
        <f t="array" ref="O183">IFERROR(
  INDEX('Putt Log'!$E$2:$V$72,
    MATCH(1,
      ('Putt Log'!$A$2:$A$72=$A183)*
      ('Putt Log'!$B$2:$B$72=$B183)*
      ('Putt Log'!$C$2:$C$72=$C183),
    0),
    MATCH($G183,'Putt Log'!$E$1:$V$1,0)
  ),
"")</f>
        <v>2</v>
      </c>
      <c r="P183" t="str" cm="1">
        <f t="array" ref="P183">IF(K183=3,"",
  IFERROR(
    INDEX('Fairway Log'!$E$2:$V$72,
      MATCH(1,
        ('Fairway Log'!$A$2:$A$72=$A183)*
        ('Fairway Log'!$B$2:$B$72=$B183)*
        ('Fairway Log'!$C$2:$C254=$C183),
      0),
      MATCH($G183,'Fairway Log'!$E$1:$V$1,0)
    ),
  "")
)</f>
        <v>→</v>
      </c>
      <c r="Q183" cm="1">
        <f t="array" ref="Q183">IFERROR(
  INDEX('GIR Log'!$E$2:$V$72,
    MATCH(1,
      ('GIR Log'!$A$2:$A$72=$A183)*
      ('GIR Log'!$B$2:$B$72=$B183)*
      ('GIR Log'!$C$2:$C$72=$C183),
    0),
    MATCH($G183,'GIR Log'!$E$1:$V$1,0)
  ),
"")</f>
        <v>1</v>
      </c>
    </row>
    <row r="184" spans="1:17" x14ac:dyDescent="0.25">
      <c r="A184" s="20" t="s">
        <v>126</v>
      </c>
      <c r="B184" s="2">
        <v>45492</v>
      </c>
      <c r="C184" t="s">
        <v>6</v>
      </c>
      <c r="D184" t="s">
        <v>75</v>
      </c>
      <c r="E184" t="s">
        <v>34</v>
      </c>
      <c r="F184">
        <v>83</v>
      </c>
      <c r="G184" t="s">
        <v>49</v>
      </c>
      <c r="H184" s="9">
        <f t="shared" si="10"/>
        <v>3</v>
      </c>
      <c r="I184" cm="1">
        <f t="array" ref="I184">IFERROR(INDEX(CourseYardages[[Hole 1]:[Hole 18]],
  MATCH(1, (CourseYardages[Course]=C184)*(CourseYardages[Tees]=E184), 0),
  MATCH(G184, CourseYardages[[#Headers],[Hole 1]:[Hole 18]], 0)
),"")</f>
        <v>180</v>
      </c>
      <c r="J184" cm="1">
        <f t="array" ref="J184">IFERROR(INDEX(CourseHandicap[[Hole 1]:[Hole 18]],
  MATCH(1, (CourseHandicap[Course]=C184)*(CourseHandicap[Tees]=E184), 0),
  MATCH(G184, CourseHandicap[[#Headers],[Hole 1]:[Hole 18]], 0)
),"")</f>
        <v>14</v>
      </c>
      <c r="K184" cm="1">
        <f t="array" ref="K184">IFERROR(INDEX(CourseRatings[[Hole 1]:[Hole 18]],
  MATCH(1, (CourseRatings[Course]=C184)*(CourseRatings[Tees]=E184), 0),
  MATCH(G184, CourseRatings[[#Headers],[Hole 1]:[Hole 18]], 0)
),"")</f>
        <v>3</v>
      </c>
      <c r="L184" cm="1">
        <f t="array" ref="L184">IFERROR(
  INDEX('Golf Log'!$E$2:$V$72,
    MATCH(1,
      ('Golf Log'!$A$2:$A$72=$A184)*
      ('Golf Log'!$B$2:$B$72=$B184)*
      ('Golf Log'!$C$2:$C$72=$C184),
    0),
    MATCH($G184,'Golf Log'!$E$1:$V$1,0)
  ),
"")</f>
        <v>5</v>
      </c>
      <c r="M184">
        <f t="shared" si="9"/>
        <v>2</v>
      </c>
      <c r="N184" t="str">
        <f t="shared" si="5"/>
        <v>Double Bogey</v>
      </c>
      <c r="O184" cm="1">
        <f t="array" ref="O184">IFERROR(
  INDEX('Putt Log'!$E$2:$V$72,
    MATCH(1,
      ('Putt Log'!$A$2:$A$72=$A184)*
      ('Putt Log'!$B$2:$B$72=$B184)*
      ('Putt Log'!$C$2:$C$72=$C184),
    0),
    MATCH($G184,'Putt Log'!$E$1:$V$1,0)
  ),
"")</f>
        <v>2</v>
      </c>
      <c r="P184" t="str" cm="1">
        <f t="array" ref="P184">IF(K184=3,"",
  IFERROR(
    INDEX('Fairway Log'!$E$2:$V$72,
      MATCH(1,
        ('Fairway Log'!$A$2:$A$72=$A184)*
        ('Fairway Log'!$B$2:$B$72=$B184)*
        ('Fairway Log'!$C$2:$C255=$C184),
      0),
      MATCH($G184,'Fairway Log'!$E$1:$V$1,0)
    ),
  "")
)</f>
        <v/>
      </c>
      <c r="Q184" t="str" cm="1">
        <f t="array" ref="Q184">IFERROR(
  INDEX('GIR Log'!$E$2:$V$72,
    MATCH(1,
      ('GIR Log'!$A$2:$A$72=$A184)*
      ('GIR Log'!$B$2:$B$72=$B184)*
      ('GIR Log'!$C$2:$C$72=$C184),
    0),
    MATCH($G184,'GIR Log'!$E$1:$V$1,0)
  ),
"")</f>
        <v>→</v>
      </c>
    </row>
    <row r="185" spans="1:17" x14ac:dyDescent="0.25">
      <c r="A185" s="20" t="s">
        <v>126</v>
      </c>
      <c r="B185" s="2">
        <v>45492</v>
      </c>
      <c r="C185" t="s">
        <v>6</v>
      </c>
      <c r="D185" t="s">
        <v>75</v>
      </c>
      <c r="E185" t="s">
        <v>34</v>
      </c>
      <c r="F185">
        <v>83</v>
      </c>
      <c r="G185" t="s">
        <v>50</v>
      </c>
      <c r="H185" s="9">
        <f t="shared" si="10"/>
        <v>4</v>
      </c>
      <c r="I185" cm="1">
        <f t="array" ref="I185">IFERROR(INDEX(CourseYardages[[Hole 1]:[Hole 18]],
  MATCH(1, (CourseYardages[Course]=C185)*(CourseYardages[Tees]=E185), 0),
  MATCH(G185, CourseYardages[[#Headers],[Hole 1]:[Hole 18]], 0)
),"")</f>
        <v>497</v>
      </c>
      <c r="J185" cm="1">
        <f t="array" ref="J185">IFERROR(INDEX(CourseHandicap[[Hole 1]:[Hole 18]],
  MATCH(1, (CourseHandicap[Course]=C185)*(CourseHandicap[Tees]=E185), 0),
  MATCH(G185, CourseHandicap[[#Headers],[Hole 1]:[Hole 18]], 0)
),"")</f>
        <v>8</v>
      </c>
      <c r="K185" cm="1">
        <f t="array" ref="K185">IFERROR(INDEX(CourseRatings[[Hole 1]:[Hole 18]],
  MATCH(1, (CourseRatings[Course]=C185)*(CourseRatings[Tees]=E185), 0),
  MATCH(G185, CourseRatings[[#Headers],[Hole 1]:[Hole 18]], 0)
),"")</f>
        <v>5</v>
      </c>
      <c r="L185" cm="1">
        <f t="array" ref="L185">IFERROR(
  INDEX('Golf Log'!$E$2:$V$72,
    MATCH(1,
      ('Golf Log'!$A$2:$A$72=$A185)*
      ('Golf Log'!$B$2:$B$72=$B185)*
      ('Golf Log'!$C$2:$C$72=$C185),
    0),
    MATCH($G185,'Golf Log'!$E$1:$V$1,0)
  ),
"")</f>
        <v>5</v>
      </c>
      <c r="M185">
        <f t="shared" si="9"/>
        <v>0</v>
      </c>
      <c r="N185" t="str">
        <f t="shared" si="5"/>
        <v>Par</v>
      </c>
      <c r="O185" cm="1">
        <f t="array" ref="O185">IFERROR(
  INDEX('Putt Log'!$E$2:$V$72,
    MATCH(1,
      ('Putt Log'!$A$2:$A$72=$A185)*
      ('Putt Log'!$B$2:$B$72=$B185)*
      ('Putt Log'!$C$2:$C$72=$C185),
    0),
    MATCH($G185,'Putt Log'!$E$1:$V$1,0)
  ),
"")</f>
        <v>2</v>
      </c>
      <c r="P185" cm="1">
        <f t="array" ref="P185">IF(K185=3,"",
  IFERROR(
    INDEX('Fairway Log'!$E$2:$V$72,
      MATCH(1,
        ('Fairway Log'!$A$2:$A$72=$A185)*
        ('Fairway Log'!$B$2:$B$72=$B185)*
        ('Fairway Log'!$C$2:$C256=$C185),
      0),
      MATCH($G185,'Fairway Log'!$E$1:$V$1,0)
    ),
  "")
)</f>
        <v>1</v>
      </c>
      <c r="Q185" cm="1">
        <f t="array" ref="Q185">IFERROR(
  INDEX('GIR Log'!$E$2:$V$72,
    MATCH(1,
      ('GIR Log'!$A$2:$A$72=$A185)*
      ('GIR Log'!$B$2:$B$72=$B185)*
      ('GIR Log'!$C$2:$C$72=$C185),
    0),
    MATCH($G185,'GIR Log'!$E$1:$V$1,0)
  ),
"")</f>
        <v>1</v>
      </c>
    </row>
    <row r="186" spans="1:17" x14ac:dyDescent="0.25">
      <c r="A186" s="20" t="s">
        <v>126</v>
      </c>
      <c r="B186" s="2">
        <v>45492</v>
      </c>
      <c r="C186" t="s">
        <v>6</v>
      </c>
      <c r="D186" t="s">
        <v>75</v>
      </c>
      <c r="E186" t="s">
        <v>34</v>
      </c>
      <c r="F186">
        <v>83</v>
      </c>
      <c r="G186" t="s">
        <v>51</v>
      </c>
      <c r="H186" s="9">
        <f t="shared" si="10"/>
        <v>5</v>
      </c>
      <c r="I186" cm="1">
        <f t="array" ref="I186">IFERROR(INDEX(CourseYardages[[Hole 1]:[Hole 18]],
  MATCH(1, (CourseYardages[Course]=C186)*(CourseYardages[Tees]=E186), 0),
  MATCH(G186, CourseYardages[[#Headers],[Hole 1]:[Hole 18]], 0)
),"")</f>
        <v>149</v>
      </c>
      <c r="J186" cm="1">
        <f t="array" ref="J186">IFERROR(INDEX(CourseHandicap[[Hole 1]:[Hole 18]],
  MATCH(1, (CourseHandicap[Course]=C186)*(CourseHandicap[Tees]=E186), 0),
  MATCH(G186, CourseHandicap[[#Headers],[Hole 1]:[Hole 18]], 0)
),"")</f>
        <v>16</v>
      </c>
      <c r="K186" cm="1">
        <f t="array" ref="K186">IFERROR(INDEX(CourseRatings[[Hole 1]:[Hole 18]],
  MATCH(1, (CourseRatings[Course]=C186)*(CourseRatings[Tees]=E186), 0),
  MATCH(G186, CourseRatings[[#Headers],[Hole 1]:[Hole 18]], 0)
),"")</f>
        <v>3</v>
      </c>
      <c r="L186" cm="1">
        <f t="array" ref="L186">IFERROR(
  INDEX('Golf Log'!$E$2:$V$72,
    MATCH(1,
      ('Golf Log'!$A$2:$A$72=$A186)*
      ('Golf Log'!$B$2:$B$72=$B186)*
      ('Golf Log'!$C$2:$C$72=$C186),
    0),
    MATCH($G186,'Golf Log'!$E$1:$V$1,0)
  ),
"")</f>
        <v>3</v>
      </c>
      <c r="M186">
        <f t="shared" si="9"/>
        <v>0</v>
      </c>
      <c r="N186" t="str">
        <f t="shared" si="5"/>
        <v>Par</v>
      </c>
      <c r="O186" cm="1">
        <f t="array" ref="O186">IFERROR(
  INDEX('Putt Log'!$E$2:$V$72,
    MATCH(1,
      ('Putt Log'!$A$2:$A$72=$A186)*
      ('Putt Log'!$B$2:$B$72=$B186)*
      ('Putt Log'!$C$2:$C$72=$C186),
    0),
    MATCH($G186,'Putt Log'!$E$1:$V$1,0)
  ),
"")</f>
        <v>1</v>
      </c>
      <c r="P186" t="str" cm="1">
        <f t="array" ref="P186">IF(K186=3,"",
  IFERROR(
    INDEX('Fairway Log'!$E$2:$V$72,
      MATCH(1,
        ('Fairway Log'!$A$2:$A$72=$A186)*
        ('Fairway Log'!$B$2:$B$72=$B186)*
        ('Fairway Log'!$C$2:$C257=$C186),
      0),
      MATCH($G186,'Fairway Log'!$E$1:$V$1,0)
    ),
  "")
)</f>
        <v/>
      </c>
      <c r="Q186" t="str" cm="1">
        <f t="array" ref="Q186">IFERROR(
  INDEX('GIR Log'!$E$2:$V$72,
    MATCH(1,
      ('GIR Log'!$A$2:$A$72=$A186)*
      ('GIR Log'!$B$2:$B$72=$B186)*
      ('GIR Log'!$C$2:$C$72=$C186),
    0),
    MATCH($G186,'GIR Log'!$E$1:$V$1,0)
  ),
"")</f>
        <v>→</v>
      </c>
    </row>
    <row r="187" spans="1:17" x14ac:dyDescent="0.25">
      <c r="A187" s="20" t="s">
        <v>126</v>
      </c>
      <c r="B187" s="2">
        <v>45492</v>
      </c>
      <c r="C187" t="s">
        <v>6</v>
      </c>
      <c r="D187" t="s">
        <v>75</v>
      </c>
      <c r="E187" t="s">
        <v>34</v>
      </c>
      <c r="F187">
        <v>83</v>
      </c>
      <c r="G187" t="s">
        <v>52</v>
      </c>
      <c r="H187" s="9">
        <f t="shared" si="10"/>
        <v>6</v>
      </c>
      <c r="I187" cm="1">
        <f t="array" ref="I187">IFERROR(INDEX(CourseYardages[[Hole 1]:[Hole 18]],
  MATCH(1, (CourseYardages[Course]=C187)*(CourseYardages[Tees]=E187), 0),
  MATCH(G187, CourseYardages[[#Headers],[Hole 1]:[Hole 18]], 0)
),"")</f>
        <v>386</v>
      </c>
      <c r="J187" cm="1">
        <f t="array" ref="J187">IFERROR(INDEX(CourseHandicap[[Hole 1]:[Hole 18]],
  MATCH(1, (CourseHandicap[Course]=C187)*(CourseHandicap[Tees]=E187), 0),
  MATCH(G187, CourseHandicap[[#Headers],[Hole 1]:[Hole 18]], 0)
),"")</f>
        <v>4</v>
      </c>
      <c r="K187" cm="1">
        <f t="array" ref="K187">IFERROR(INDEX(CourseRatings[[Hole 1]:[Hole 18]],
  MATCH(1, (CourseRatings[Course]=C187)*(CourseRatings[Tees]=E187), 0),
  MATCH(G187, CourseRatings[[#Headers],[Hole 1]:[Hole 18]], 0)
),"")</f>
        <v>4</v>
      </c>
      <c r="L187" cm="1">
        <f t="array" ref="L187">IFERROR(
  INDEX('Golf Log'!$E$2:$V$72,
    MATCH(1,
      ('Golf Log'!$A$2:$A$72=$A187)*
      ('Golf Log'!$B$2:$B$72=$B187)*
      ('Golf Log'!$C$2:$C$72=$C187),
    0),
    MATCH($G187,'Golf Log'!$E$1:$V$1,0)
  ),
"")</f>
        <v>6</v>
      </c>
      <c r="M187">
        <f t="shared" si="9"/>
        <v>2</v>
      </c>
      <c r="N187" t="str">
        <f t="shared" si="5"/>
        <v>Double Bogey</v>
      </c>
      <c r="O187" cm="1">
        <f t="array" ref="O187">IFERROR(
  INDEX('Putt Log'!$E$2:$V$72,
    MATCH(1,
      ('Putt Log'!$A$2:$A$72=$A187)*
      ('Putt Log'!$B$2:$B$72=$B187)*
      ('Putt Log'!$C$2:$C$72=$C187),
    0),
    MATCH($G187,'Putt Log'!$E$1:$V$1,0)
  ),
"")</f>
        <v>1</v>
      </c>
      <c r="P187" t="str" cm="1">
        <f t="array" ref="P187">IF(K187=3,"",
  IFERROR(
    INDEX('Fairway Log'!$E$2:$V$72,
      MATCH(1,
        ('Fairway Log'!$A$2:$A$72=$A187)*
        ('Fairway Log'!$B$2:$B$72=$B187)*
        ('Fairway Log'!$C$2:$C258=$C187),
      0),
      MATCH($G187,'Fairway Log'!$E$1:$V$1,0)
    ),
  "")
)</f>
        <v>←</v>
      </c>
      <c r="Q187" t="str" cm="1">
        <f t="array" ref="Q187">IFERROR(
  INDEX('GIR Log'!$E$2:$V$72,
    MATCH(1,
      ('GIR Log'!$A$2:$A$72=$A187)*
      ('GIR Log'!$B$2:$B$72=$B187)*
      ('GIR Log'!$C$2:$C$72=$C187),
    0),
    MATCH($G187,'GIR Log'!$E$1:$V$1,0)
  ),
"")</f>
        <v>↓</v>
      </c>
    </row>
    <row r="188" spans="1:17" x14ac:dyDescent="0.25">
      <c r="A188" s="20" t="s">
        <v>126</v>
      </c>
      <c r="B188" s="2">
        <v>45492</v>
      </c>
      <c r="C188" t="s">
        <v>6</v>
      </c>
      <c r="D188" t="s">
        <v>75</v>
      </c>
      <c r="E188" t="s">
        <v>34</v>
      </c>
      <c r="F188">
        <v>83</v>
      </c>
      <c r="G188" t="s">
        <v>53</v>
      </c>
      <c r="H188" s="9">
        <f t="shared" si="10"/>
        <v>7</v>
      </c>
      <c r="I188" cm="1">
        <f t="array" ref="I188">IFERROR(INDEX(CourseYardages[[Hole 1]:[Hole 18]],
  MATCH(1, (CourseYardages[Course]=C188)*(CourseYardages[Tees]=E188), 0),
  MATCH(G188, CourseYardages[[#Headers],[Hole 1]:[Hole 18]], 0)
),"")</f>
        <v>369</v>
      </c>
      <c r="J188" cm="1">
        <f t="array" ref="J188">IFERROR(INDEX(CourseHandicap[[Hole 1]:[Hole 18]],
  MATCH(1, (CourseHandicap[Course]=C188)*(CourseHandicap[Tees]=E188), 0),
  MATCH(G188, CourseHandicap[[#Headers],[Hole 1]:[Hole 18]], 0)
),"")</f>
        <v>10</v>
      </c>
      <c r="K188" cm="1">
        <f t="array" ref="K188">IFERROR(INDEX(CourseRatings[[Hole 1]:[Hole 18]],
  MATCH(1, (CourseRatings[Course]=C188)*(CourseRatings[Tees]=E188), 0),
  MATCH(G188, CourseRatings[[#Headers],[Hole 1]:[Hole 18]], 0)
),"")</f>
        <v>4</v>
      </c>
      <c r="L188" cm="1">
        <f t="array" ref="L188">IFERROR(
  INDEX('Golf Log'!$E$2:$V$72,
    MATCH(1,
      ('Golf Log'!$A$2:$A$72=$A188)*
      ('Golf Log'!$B$2:$B$72=$B188)*
      ('Golf Log'!$C$2:$C$72=$C188),
    0),
    MATCH($G188,'Golf Log'!$E$1:$V$1,0)
  ),
"")</f>
        <v>4</v>
      </c>
      <c r="M188">
        <f t="shared" si="9"/>
        <v>0</v>
      </c>
      <c r="N188" t="str">
        <f t="shared" si="5"/>
        <v>Par</v>
      </c>
      <c r="O188" cm="1">
        <f t="array" ref="O188">IFERROR(
  INDEX('Putt Log'!$E$2:$V$72,
    MATCH(1,
      ('Putt Log'!$A$2:$A$72=$A188)*
      ('Putt Log'!$B$2:$B$72=$B188)*
      ('Putt Log'!$C$2:$C$72=$C188),
    0),
    MATCH($G188,'Putt Log'!$E$1:$V$1,0)
  ),
"")</f>
        <v>1</v>
      </c>
      <c r="P188" t="str" cm="1">
        <f t="array" ref="P188">IF(K188=3,"",
  IFERROR(
    INDEX('Fairway Log'!$E$2:$V$72,
      MATCH(1,
        ('Fairway Log'!$A$2:$A$72=$A188)*
        ('Fairway Log'!$B$2:$B$72=$B188)*
        ('Fairway Log'!$C$2:$C259=$C188),
      0),
      MATCH($G188,'Fairway Log'!$E$1:$V$1,0)
    ),
  "")
)</f>
        <v>→</v>
      </c>
      <c r="Q188" t="str" cm="1">
        <f t="array" ref="Q188">IFERROR(
  INDEX('GIR Log'!$E$2:$V$72,
    MATCH(1,
      ('GIR Log'!$A$2:$A$72=$A188)*
      ('GIR Log'!$B$2:$B$72=$B188)*
      ('GIR Log'!$C$2:$C$72=$C188),
    0),
    MATCH($G188,'GIR Log'!$E$1:$V$1,0)
  ),
"")</f>
        <v>↓</v>
      </c>
    </row>
    <row r="189" spans="1:17" x14ac:dyDescent="0.25">
      <c r="A189" s="20" t="s">
        <v>126</v>
      </c>
      <c r="B189" s="2">
        <v>45492</v>
      </c>
      <c r="C189" t="s">
        <v>6</v>
      </c>
      <c r="D189" t="s">
        <v>75</v>
      </c>
      <c r="E189" t="s">
        <v>34</v>
      </c>
      <c r="F189">
        <v>83</v>
      </c>
      <c r="G189" t="s">
        <v>54</v>
      </c>
      <c r="H189" s="9">
        <f t="shared" si="10"/>
        <v>8</v>
      </c>
      <c r="I189" cm="1">
        <f t="array" ref="I189">IFERROR(INDEX(CourseYardages[[Hole 1]:[Hole 18]],
  MATCH(1, (CourseYardages[Course]=C189)*(CourseYardages[Tees]=E189), 0),
  MATCH(G189, CourseYardages[[#Headers],[Hole 1]:[Hole 18]], 0)
),"")</f>
        <v>304</v>
      </c>
      <c r="J189" cm="1">
        <f t="array" ref="J189">IFERROR(INDEX(CourseHandicap[[Hole 1]:[Hole 18]],
  MATCH(1, (CourseHandicap[Course]=C189)*(CourseHandicap[Tees]=E189), 0),
  MATCH(G189, CourseHandicap[[#Headers],[Hole 1]:[Hole 18]], 0)
),"")</f>
        <v>18</v>
      </c>
      <c r="K189" cm="1">
        <f t="array" ref="K189">IFERROR(INDEX(CourseRatings[[Hole 1]:[Hole 18]],
  MATCH(1, (CourseRatings[Course]=C189)*(CourseRatings[Tees]=E189), 0),
  MATCH(G189, CourseRatings[[#Headers],[Hole 1]:[Hole 18]], 0)
),"")</f>
        <v>4</v>
      </c>
      <c r="L189" cm="1">
        <f t="array" ref="L189">IFERROR(
  INDEX('Golf Log'!$E$2:$V$72,
    MATCH(1,
      ('Golf Log'!$A$2:$A$72=$A189)*
      ('Golf Log'!$B$2:$B$72=$B189)*
      ('Golf Log'!$C$2:$C$72=$C189),
    0),
    MATCH($G189,'Golf Log'!$E$1:$V$1,0)
  ),
"")</f>
        <v>4</v>
      </c>
      <c r="M189">
        <f t="shared" si="9"/>
        <v>0</v>
      </c>
      <c r="N189" t="str">
        <f t="shared" si="5"/>
        <v>Par</v>
      </c>
      <c r="O189" cm="1">
        <f t="array" ref="O189">IFERROR(
  INDEX('Putt Log'!$E$2:$V$72,
    MATCH(1,
      ('Putt Log'!$A$2:$A$72=$A189)*
      ('Putt Log'!$B$2:$B$72=$B189)*
      ('Putt Log'!$C$2:$C$72=$C189),
    0),
    MATCH($G189,'Putt Log'!$E$1:$V$1,0)
  ),
"")</f>
        <v>1</v>
      </c>
      <c r="P189" t="str" cm="1">
        <f t="array" ref="P189">IF(K189=3,"",
  IFERROR(
    INDEX('Fairway Log'!$E$2:$V$72,
      MATCH(1,
        ('Fairway Log'!$A$2:$A$72=$A189)*
        ('Fairway Log'!$B$2:$B$72=$B189)*
        ('Fairway Log'!$C$2:$C260=$C189),
      0),
      MATCH($G189,'Fairway Log'!$E$1:$V$1,0)
    ),
  "")
)</f>
        <v>→</v>
      </c>
      <c r="Q189" t="str" cm="1">
        <f t="array" ref="Q189">IFERROR(
  INDEX('GIR Log'!$E$2:$V$72,
    MATCH(1,
      ('GIR Log'!$A$2:$A$72=$A189)*
      ('GIR Log'!$B$2:$B$72=$B189)*
      ('GIR Log'!$C$2:$C$72=$C189),
    0),
    MATCH($G189,'GIR Log'!$E$1:$V$1,0)
  ),
"")</f>
        <v>↑</v>
      </c>
    </row>
    <row r="190" spans="1:17" x14ac:dyDescent="0.25">
      <c r="A190" s="20" t="s">
        <v>126</v>
      </c>
      <c r="B190" s="2">
        <v>45492</v>
      </c>
      <c r="C190" t="s">
        <v>6</v>
      </c>
      <c r="D190" t="s">
        <v>75</v>
      </c>
      <c r="E190" t="s">
        <v>34</v>
      </c>
      <c r="F190">
        <v>83</v>
      </c>
      <c r="G190" t="s">
        <v>55</v>
      </c>
      <c r="H190" s="9">
        <f t="shared" si="10"/>
        <v>9</v>
      </c>
      <c r="I190" cm="1">
        <f t="array" ref="I190">IFERROR(INDEX(CourseYardages[[Hole 1]:[Hole 18]],
  MATCH(1, (CourseYardages[Course]=C190)*(CourseYardages[Tees]=E190), 0),
  MATCH(G190, CourseYardages[[#Headers],[Hole 1]:[Hole 18]], 0)
),"")</f>
        <v>338</v>
      </c>
      <c r="J190" cm="1">
        <f t="array" ref="J190">IFERROR(INDEX(CourseHandicap[[Hole 1]:[Hole 18]],
  MATCH(1, (CourseHandicap[Course]=C190)*(CourseHandicap[Tees]=E190), 0),
  MATCH(G190, CourseHandicap[[#Headers],[Hole 1]:[Hole 18]], 0)
),"")</f>
        <v>12</v>
      </c>
      <c r="K190" cm="1">
        <f t="array" ref="K190">IFERROR(INDEX(CourseRatings[[Hole 1]:[Hole 18]],
  MATCH(1, (CourseRatings[Course]=C190)*(CourseRatings[Tees]=E190), 0),
  MATCH(G190, CourseRatings[[#Headers],[Hole 1]:[Hole 18]], 0)
),"")</f>
        <v>4</v>
      </c>
      <c r="L190" cm="1">
        <f t="array" ref="L190">IFERROR(
  INDEX('Golf Log'!$E$2:$V$72,
    MATCH(1,
      ('Golf Log'!$A$2:$A$72=$A190)*
      ('Golf Log'!$B$2:$B$72=$B190)*
      ('Golf Log'!$C$2:$C$72=$C190),
    0),
    MATCH($G190,'Golf Log'!$E$1:$V$1,0)
  ),
"")</f>
        <v>5</v>
      </c>
      <c r="M190">
        <f t="shared" si="9"/>
        <v>1</v>
      </c>
      <c r="N190" t="str">
        <f t="shared" si="5"/>
        <v>Bogey</v>
      </c>
      <c r="O190" cm="1">
        <f t="array" ref="O190">IFERROR(
  INDEX('Putt Log'!$E$2:$V$72,
    MATCH(1,
      ('Putt Log'!$A$2:$A$72=$A190)*
      ('Putt Log'!$B$2:$B$72=$B190)*
      ('Putt Log'!$C$2:$C$72=$C190),
    0),
    MATCH($G190,'Putt Log'!$E$1:$V$1,0)
  ),
"")</f>
        <v>2</v>
      </c>
      <c r="P190" cm="1">
        <f t="array" ref="P190">IF(K190=3,"",
  IFERROR(
    INDEX('Fairway Log'!$E$2:$V$72,
      MATCH(1,
        ('Fairway Log'!$A$2:$A$72=$A190)*
        ('Fairway Log'!$B$2:$B$72=$B190)*
        ('Fairway Log'!$C$2:$C261=$C190),
      0),
      MATCH($G190,'Fairway Log'!$E$1:$V$1,0)
    ),
  "")
)</f>
        <v>1</v>
      </c>
      <c r="Q190" t="str" cm="1">
        <f t="array" ref="Q190">IFERROR(
  INDEX('GIR Log'!$E$2:$V$72,
    MATCH(1,
      ('GIR Log'!$A$2:$A$72=$A190)*
      ('GIR Log'!$B$2:$B$72=$B190)*
      ('GIR Log'!$C$2:$C$72=$C190),
    0),
    MATCH($G190,'GIR Log'!$E$1:$V$1,0)
  ),
"")</f>
        <v>←</v>
      </c>
    </row>
    <row r="191" spans="1:17" x14ac:dyDescent="0.25">
      <c r="A191" s="20" t="s">
        <v>126</v>
      </c>
      <c r="B191" s="2">
        <v>45492</v>
      </c>
      <c r="C191" t="s">
        <v>6</v>
      </c>
      <c r="D191" t="s">
        <v>75</v>
      </c>
      <c r="E191" t="s">
        <v>34</v>
      </c>
      <c r="F191">
        <v>83</v>
      </c>
      <c r="G191" t="s">
        <v>56</v>
      </c>
      <c r="H191" s="9">
        <f t="shared" si="10"/>
        <v>10</v>
      </c>
      <c r="I191" cm="1">
        <f t="array" ref="I191">IFERROR(INDEX(CourseYardages[[Hole 1]:[Hole 18]],
  MATCH(1, (CourseYardages[Course]=C191)*(CourseYardages[Tees]=E191), 0),
  MATCH(G191, CourseYardages[[#Headers],[Hole 1]:[Hole 18]], 0)
),"")</f>
        <v>357</v>
      </c>
      <c r="J191" cm="1">
        <f t="array" ref="J191">IFERROR(INDEX(CourseHandicap[[Hole 1]:[Hole 18]],
  MATCH(1, (CourseHandicap[Course]=C191)*(CourseHandicap[Tees]=E191), 0),
  MATCH(G191, CourseHandicap[[#Headers],[Hole 1]:[Hole 18]], 0)
),"")</f>
        <v>13</v>
      </c>
      <c r="K191" cm="1">
        <f t="array" ref="K191">IFERROR(INDEX(CourseRatings[[Hole 1]:[Hole 18]],
  MATCH(1, (CourseRatings[Course]=C191)*(CourseRatings[Tees]=E191), 0),
  MATCH(G191, CourseRatings[[#Headers],[Hole 1]:[Hole 18]], 0)
),"")</f>
        <v>4</v>
      </c>
      <c r="L191" cm="1">
        <f t="array" ref="L191">IFERROR(
  INDEX('Golf Log'!$E$2:$V$72,
    MATCH(1,
      ('Golf Log'!$A$2:$A$72=$A191)*
      ('Golf Log'!$B$2:$B$72=$B191)*
      ('Golf Log'!$C$2:$C$72=$C191),
    0),
    MATCH($G191,'Golf Log'!$E$1:$V$1,0)
  ),
"")</f>
        <v>4</v>
      </c>
      <c r="M191">
        <f t="shared" si="9"/>
        <v>0</v>
      </c>
      <c r="N191" t="str">
        <f t="shared" si="5"/>
        <v>Par</v>
      </c>
      <c r="O191" cm="1">
        <f t="array" ref="O191">IFERROR(
  INDEX('Putt Log'!$E$2:$V$72,
    MATCH(1,
      ('Putt Log'!$A$2:$A$72=$A191)*
      ('Putt Log'!$B$2:$B$72=$B191)*
      ('Putt Log'!$C$2:$C$72=$C191),
    0),
    MATCH($G191,'Putt Log'!$E$1:$V$1,0)
  ),
"")</f>
        <v>2</v>
      </c>
      <c r="P191" cm="1">
        <f t="array" ref="P191">IF(K191=3,"",
  IFERROR(
    INDEX('Fairway Log'!$E$2:$V$72,
      MATCH(1,
        ('Fairway Log'!$A$2:$A$72=$A191)*
        ('Fairway Log'!$B$2:$B$72=$B191)*
        ('Fairway Log'!$C$2:$C262=$C191),
      0),
      MATCH($G191,'Fairway Log'!$E$1:$V$1,0)
    ),
  "")
)</f>
        <v>1</v>
      </c>
      <c r="Q191" cm="1">
        <f t="array" ref="Q191">IFERROR(
  INDEX('GIR Log'!$E$2:$V$72,
    MATCH(1,
      ('GIR Log'!$A$2:$A$72=$A191)*
      ('GIR Log'!$B$2:$B$72=$B191)*
      ('GIR Log'!$C$2:$C$72=$C191),
    0),
    MATCH($G191,'GIR Log'!$E$1:$V$1,0)
  ),
"")</f>
        <v>1</v>
      </c>
    </row>
    <row r="192" spans="1:17" x14ac:dyDescent="0.25">
      <c r="A192" s="20" t="s">
        <v>126</v>
      </c>
      <c r="B192" s="2">
        <v>45492</v>
      </c>
      <c r="C192" t="s">
        <v>6</v>
      </c>
      <c r="D192" t="s">
        <v>75</v>
      </c>
      <c r="E192" t="s">
        <v>34</v>
      </c>
      <c r="F192">
        <v>83</v>
      </c>
      <c r="G192" t="s">
        <v>57</v>
      </c>
      <c r="H192" s="9">
        <f t="shared" si="10"/>
        <v>11</v>
      </c>
      <c r="I192" cm="1">
        <f t="array" ref="I192">IFERROR(INDEX(CourseYardages[[Hole 1]:[Hole 18]],
  MATCH(1, (CourseYardages[Course]=C192)*(CourseYardages[Tees]=E192), 0),
  MATCH(G192, CourseYardages[[#Headers],[Hole 1]:[Hole 18]], 0)
),"")</f>
        <v>310</v>
      </c>
      <c r="J192" cm="1">
        <f t="array" ref="J192">IFERROR(INDEX(CourseHandicap[[Hole 1]:[Hole 18]],
  MATCH(1, (CourseHandicap[Course]=C192)*(CourseHandicap[Tees]=E192), 0),
  MATCH(G192, CourseHandicap[[#Headers],[Hole 1]:[Hole 18]], 0)
),"")</f>
        <v>11</v>
      </c>
      <c r="K192" cm="1">
        <f t="array" ref="K192">IFERROR(INDEX(CourseRatings[[Hole 1]:[Hole 18]],
  MATCH(1, (CourseRatings[Course]=C192)*(CourseRatings[Tees]=E192), 0),
  MATCH(G192, CourseRatings[[#Headers],[Hole 1]:[Hole 18]], 0)
),"")</f>
        <v>4</v>
      </c>
      <c r="L192" cm="1">
        <f t="array" ref="L192">IFERROR(
  INDEX('Golf Log'!$E$2:$V$72,
    MATCH(1,
      ('Golf Log'!$A$2:$A$72=$A192)*
      ('Golf Log'!$B$2:$B$72=$B192)*
      ('Golf Log'!$C$2:$C$72=$C192),
    0),
    MATCH($G192,'Golf Log'!$E$1:$V$1,0)
  ),
"")</f>
        <v>6</v>
      </c>
      <c r="M192">
        <f t="shared" si="9"/>
        <v>2</v>
      </c>
      <c r="N192" t="str">
        <f t="shared" si="5"/>
        <v>Double Bogey</v>
      </c>
      <c r="O192" cm="1">
        <f t="array" ref="O192">IFERROR(
  INDEX('Putt Log'!$E$2:$V$72,
    MATCH(1,
      ('Putt Log'!$A$2:$A$72=$A192)*
      ('Putt Log'!$B$2:$B$72=$B192)*
      ('Putt Log'!$C$2:$C$72=$C192),
    0),
    MATCH($G192,'Putt Log'!$E$1:$V$1,0)
  ),
"")</f>
        <v>2</v>
      </c>
      <c r="P192" cm="1">
        <f t="array" ref="P192">IF(K192=3,"",
  IFERROR(
    INDEX('Fairway Log'!$E$2:$V$72,
      MATCH(1,
        ('Fairway Log'!$A$2:$A$72=$A192)*
        ('Fairway Log'!$B$2:$B$72=$B192)*
        ('Fairway Log'!$C$2:$C263=$C192),
      0),
      MATCH($G192,'Fairway Log'!$E$1:$V$1,0)
    ),
  "")
)</f>
        <v>1</v>
      </c>
      <c r="Q192" t="str" cm="1">
        <f t="array" ref="Q192">IFERROR(
  INDEX('GIR Log'!$E$2:$V$72,
    MATCH(1,
      ('GIR Log'!$A$2:$A$72=$A192)*
      ('GIR Log'!$B$2:$B$72=$B192)*
      ('GIR Log'!$C$2:$C$72=$C192),
    0),
    MATCH($G192,'GIR Log'!$E$1:$V$1,0)
  ),
"")</f>
        <v>↓</v>
      </c>
    </row>
    <row r="193" spans="1:17" x14ac:dyDescent="0.25">
      <c r="A193" s="20" t="s">
        <v>126</v>
      </c>
      <c r="B193" s="2">
        <v>45492</v>
      </c>
      <c r="C193" t="s">
        <v>6</v>
      </c>
      <c r="D193" t="s">
        <v>75</v>
      </c>
      <c r="E193" t="s">
        <v>34</v>
      </c>
      <c r="F193">
        <v>83</v>
      </c>
      <c r="G193" t="s">
        <v>58</v>
      </c>
      <c r="H193" s="9">
        <f t="shared" si="10"/>
        <v>12</v>
      </c>
      <c r="I193" cm="1">
        <f t="array" ref="I193">IFERROR(INDEX(CourseYardages[[Hole 1]:[Hole 18]],
  MATCH(1, (CourseYardages[Course]=C193)*(CourseYardages[Tees]=E193), 0),
  MATCH(G193, CourseYardages[[#Headers],[Hole 1]:[Hole 18]], 0)
),"")</f>
        <v>386</v>
      </c>
      <c r="J193" cm="1">
        <f t="array" ref="J193">IFERROR(INDEX(CourseHandicap[[Hole 1]:[Hole 18]],
  MATCH(1, (CourseHandicap[Course]=C193)*(CourseHandicap[Tees]=E193), 0),
  MATCH(G193, CourseHandicap[[#Headers],[Hole 1]:[Hole 18]], 0)
),"")</f>
        <v>5</v>
      </c>
      <c r="K193" cm="1">
        <f t="array" ref="K193">IFERROR(INDEX(CourseRatings[[Hole 1]:[Hole 18]],
  MATCH(1, (CourseRatings[Course]=C193)*(CourseRatings[Tees]=E193), 0),
  MATCH(G193, CourseRatings[[#Headers],[Hole 1]:[Hole 18]], 0)
),"")</f>
        <v>4</v>
      </c>
      <c r="L193" cm="1">
        <f t="array" ref="L193">IFERROR(
  INDEX('Golf Log'!$E$2:$V$72,
    MATCH(1,
      ('Golf Log'!$A$2:$A$72=$A193)*
      ('Golf Log'!$B$2:$B$72=$B193)*
      ('Golf Log'!$C$2:$C$72=$C193),
    0),
    MATCH($G193,'Golf Log'!$E$1:$V$1,0)
  ),
"")</f>
        <v>5</v>
      </c>
      <c r="M193">
        <f t="shared" ref="M193:M256" si="11">IFERROR(L193-K193,"")</f>
        <v>1</v>
      </c>
      <c r="N193" t="str">
        <f t="shared" si="5"/>
        <v>Bogey</v>
      </c>
      <c r="O193" cm="1">
        <f t="array" ref="O193">IFERROR(
  INDEX('Putt Log'!$E$2:$V$72,
    MATCH(1,
      ('Putt Log'!$A$2:$A$72=$A193)*
      ('Putt Log'!$B$2:$B$72=$B193)*
      ('Putt Log'!$C$2:$C$72=$C193),
    0),
    MATCH($G193,'Putt Log'!$E$1:$V$1,0)
  ),
"")</f>
        <v>2</v>
      </c>
      <c r="P193" cm="1">
        <f t="array" ref="P193">IF(K193=3,"",
  IFERROR(
    INDEX('Fairway Log'!$E$2:$V$72,
      MATCH(1,
        ('Fairway Log'!$A$2:$A$72=$A193)*
        ('Fairway Log'!$B$2:$B$72=$B193)*
        ('Fairway Log'!$C$2:$C264=$C193),
      0),
      MATCH($G193,'Fairway Log'!$E$1:$V$1,0)
    ),
  "")
)</f>
        <v>1</v>
      </c>
      <c r="Q193" t="str" cm="1">
        <f t="array" ref="Q193">IFERROR(
  INDEX('GIR Log'!$E$2:$V$72,
    MATCH(1,
      ('GIR Log'!$A$2:$A$72=$A193)*
      ('GIR Log'!$B$2:$B$72=$B193)*
      ('GIR Log'!$C$2:$C$72=$C193),
    0),
    MATCH($G193,'GIR Log'!$E$1:$V$1,0)
  ),
"")</f>
        <v>↓</v>
      </c>
    </row>
    <row r="194" spans="1:17" x14ac:dyDescent="0.25">
      <c r="A194" s="20" t="s">
        <v>126</v>
      </c>
      <c r="B194" s="2">
        <v>45492</v>
      </c>
      <c r="C194" t="s">
        <v>6</v>
      </c>
      <c r="D194" t="s">
        <v>75</v>
      </c>
      <c r="E194" t="s">
        <v>34</v>
      </c>
      <c r="F194">
        <v>83</v>
      </c>
      <c r="G194" t="s">
        <v>59</v>
      </c>
      <c r="H194" s="9">
        <f t="shared" si="10"/>
        <v>13</v>
      </c>
      <c r="I194" cm="1">
        <f t="array" ref="I194">IFERROR(INDEX(CourseYardages[[Hole 1]:[Hole 18]],
  MATCH(1, (CourseYardages[Course]=C194)*(CourseYardages[Tees]=E194), 0),
  MATCH(G194, CourseYardages[[#Headers],[Hole 1]:[Hole 18]], 0)
),"")</f>
        <v>326</v>
      </c>
      <c r="J194" cm="1">
        <f t="array" ref="J194">IFERROR(INDEX(CourseHandicap[[Hole 1]:[Hole 18]],
  MATCH(1, (CourseHandicap[Course]=C194)*(CourseHandicap[Tees]=E194), 0),
  MATCH(G194, CourseHandicap[[#Headers],[Hole 1]:[Hole 18]], 0)
),"")</f>
        <v>9</v>
      </c>
      <c r="K194" cm="1">
        <f t="array" ref="K194">IFERROR(INDEX(CourseRatings[[Hole 1]:[Hole 18]],
  MATCH(1, (CourseRatings[Course]=C194)*(CourseRatings[Tees]=E194), 0),
  MATCH(G194, CourseRatings[[#Headers],[Hole 1]:[Hole 18]], 0)
),"")</f>
        <v>4</v>
      </c>
      <c r="L194" cm="1">
        <f t="array" ref="L194">IFERROR(
  INDEX('Golf Log'!$E$2:$V$72,
    MATCH(1,
      ('Golf Log'!$A$2:$A$72=$A194)*
      ('Golf Log'!$B$2:$B$72=$B194)*
      ('Golf Log'!$C$2:$C$72=$C194),
    0),
    MATCH($G194,'Golf Log'!$E$1:$V$1,0)
  ),
"")</f>
        <v>4</v>
      </c>
      <c r="M194">
        <f t="shared" si="11"/>
        <v>0</v>
      </c>
      <c r="N194" t="str">
        <f t="shared" si="5"/>
        <v>Par</v>
      </c>
      <c r="O194" cm="1">
        <f t="array" ref="O194">IFERROR(
  INDEX('Putt Log'!$E$2:$V$72,
    MATCH(1,
      ('Putt Log'!$A$2:$A$72=$A194)*
      ('Putt Log'!$B$2:$B$72=$B194)*
      ('Putt Log'!$C$2:$C$72=$C194),
    0),
    MATCH($G194,'Putt Log'!$E$1:$V$1,0)
  ),
"")</f>
        <v>2</v>
      </c>
      <c r="P194" cm="1">
        <f t="array" ref="P194">IF(K194=3,"",
  IFERROR(
    INDEX('Fairway Log'!$E$2:$V$72,
      MATCH(1,
        ('Fairway Log'!$A$2:$A$72=$A194)*
        ('Fairway Log'!$B$2:$B$72=$B194)*
        ('Fairway Log'!$C$2:$C265=$C194),
      0),
      MATCH($G194,'Fairway Log'!$E$1:$V$1,0)
    ),
  "")
)</f>
        <v>1</v>
      </c>
      <c r="Q194" cm="1">
        <f t="array" ref="Q194">IFERROR(
  INDEX('GIR Log'!$E$2:$V$72,
    MATCH(1,
      ('GIR Log'!$A$2:$A$72=$A194)*
      ('GIR Log'!$B$2:$B$72=$B194)*
      ('GIR Log'!$C$2:$C$72=$C194),
    0),
    MATCH($G194,'GIR Log'!$E$1:$V$1,0)
  ),
"")</f>
        <v>1</v>
      </c>
    </row>
    <row r="195" spans="1:17" x14ac:dyDescent="0.25">
      <c r="A195" s="20" t="s">
        <v>126</v>
      </c>
      <c r="B195" s="2">
        <v>45492</v>
      </c>
      <c r="C195" t="s">
        <v>6</v>
      </c>
      <c r="D195" t="s">
        <v>75</v>
      </c>
      <c r="E195" t="s">
        <v>34</v>
      </c>
      <c r="F195">
        <v>83</v>
      </c>
      <c r="G195" t="s">
        <v>60</v>
      </c>
      <c r="H195" s="9">
        <f t="shared" ref="H195:H258" si="12">VALUE(RIGHT(G195, LEN(G195) - 5))</f>
        <v>14</v>
      </c>
      <c r="I195" cm="1">
        <f t="array" ref="I195">IFERROR(INDEX(CourseYardages[[Hole 1]:[Hole 18]],
  MATCH(1, (CourseYardages[Course]=C195)*(CourseYardages[Tees]=E195), 0),
  MATCH(G195, CourseYardages[[#Headers],[Hole 1]:[Hole 18]], 0)
),"")</f>
        <v>170</v>
      </c>
      <c r="J195" cm="1">
        <f t="array" ref="J195">IFERROR(INDEX(CourseHandicap[[Hole 1]:[Hole 18]],
  MATCH(1, (CourseHandicap[Course]=C195)*(CourseHandicap[Tees]=E195), 0),
  MATCH(G195, CourseHandicap[[#Headers],[Hole 1]:[Hole 18]], 0)
),"")</f>
        <v>15</v>
      </c>
      <c r="K195" cm="1">
        <f t="array" ref="K195">IFERROR(INDEX(CourseRatings[[Hole 1]:[Hole 18]],
  MATCH(1, (CourseRatings[Course]=C195)*(CourseRatings[Tees]=E195), 0),
  MATCH(G195, CourseRatings[[#Headers],[Hole 1]:[Hole 18]], 0)
),"")</f>
        <v>3</v>
      </c>
      <c r="L195" cm="1">
        <f t="array" ref="L195">IFERROR(
  INDEX('Golf Log'!$E$2:$V$72,
    MATCH(1,
      ('Golf Log'!$A$2:$A$72=$A195)*
      ('Golf Log'!$B$2:$B$72=$B195)*
      ('Golf Log'!$C$2:$C$72=$C195),
    0),
    MATCH($G195,'Golf Log'!$E$1:$V$1,0)
  ),
"")</f>
        <v>3</v>
      </c>
      <c r="M195">
        <f t="shared" si="11"/>
        <v>0</v>
      </c>
      <c r="N195" t="str">
        <f t="shared" si="5"/>
        <v>Par</v>
      </c>
      <c r="O195" cm="1">
        <f t="array" ref="O195">IFERROR(
  INDEX('Putt Log'!$E$2:$V$72,
    MATCH(1,
      ('Putt Log'!$A$2:$A$72=$A195)*
      ('Putt Log'!$B$2:$B$72=$B195)*
      ('Putt Log'!$C$2:$C$72=$C195),
    0),
    MATCH($G195,'Putt Log'!$E$1:$V$1,0)
  ),
"")</f>
        <v>1</v>
      </c>
      <c r="P195" t="str" cm="1">
        <f t="array" ref="P195">IF(K195=3,"",
  IFERROR(
    INDEX('Fairway Log'!$E$2:$V$72,
      MATCH(1,
        ('Fairway Log'!$A$2:$A$72=$A195)*
        ('Fairway Log'!$B$2:$B$72=$B195)*
        ('Fairway Log'!$C$2:$C266=$C195),
      0),
      MATCH($G195,'Fairway Log'!$E$1:$V$1,0)
    ),
  "")
)</f>
        <v/>
      </c>
      <c r="Q195" t="str" cm="1">
        <f t="array" ref="Q195">IFERROR(
  INDEX('GIR Log'!$E$2:$V$72,
    MATCH(1,
      ('GIR Log'!$A$2:$A$72=$A195)*
      ('GIR Log'!$B$2:$B$72=$B195)*
      ('GIR Log'!$C$2:$C$72=$C195),
    0),
    MATCH($G195,'GIR Log'!$E$1:$V$1,0)
  ),
"")</f>
        <v>→</v>
      </c>
    </row>
    <row r="196" spans="1:17" x14ac:dyDescent="0.25">
      <c r="A196" s="20" t="s">
        <v>126</v>
      </c>
      <c r="B196" s="2">
        <v>45492</v>
      </c>
      <c r="C196" t="s">
        <v>6</v>
      </c>
      <c r="D196" t="s">
        <v>75</v>
      </c>
      <c r="E196" t="s">
        <v>34</v>
      </c>
      <c r="F196">
        <v>83</v>
      </c>
      <c r="G196" t="s">
        <v>61</v>
      </c>
      <c r="H196" s="9">
        <f t="shared" si="12"/>
        <v>15</v>
      </c>
      <c r="I196" cm="1">
        <f t="array" ref="I196">IFERROR(INDEX(CourseYardages[[Hole 1]:[Hole 18]],
  MATCH(1, (CourseYardages[Course]=C196)*(CourseYardages[Tees]=E196), 0),
  MATCH(G196, CourseYardages[[#Headers],[Hole 1]:[Hole 18]], 0)
),"")</f>
        <v>417</v>
      </c>
      <c r="J196" cm="1">
        <f t="array" ref="J196">IFERROR(INDEX(CourseHandicap[[Hole 1]:[Hole 18]],
  MATCH(1, (CourseHandicap[Course]=C196)*(CourseHandicap[Tees]=E196), 0),
  MATCH(G196, CourseHandicap[[#Headers],[Hole 1]:[Hole 18]], 0)
),"")</f>
        <v>1</v>
      </c>
      <c r="K196" cm="1">
        <f t="array" ref="K196">IFERROR(INDEX(CourseRatings[[Hole 1]:[Hole 18]],
  MATCH(1, (CourseRatings[Course]=C196)*(CourseRatings[Tees]=E196), 0),
  MATCH(G196, CourseRatings[[#Headers],[Hole 1]:[Hole 18]], 0)
),"")</f>
        <v>4</v>
      </c>
      <c r="L196" cm="1">
        <f t="array" ref="L196">IFERROR(
  INDEX('Golf Log'!$E$2:$V$72,
    MATCH(1,
      ('Golf Log'!$A$2:$A$72=$A196)*
      ('Golf Log'!$B$2:$B$72=$B196)*
      ('Golf Log'!$C$2:$C$72=$C196),
    0),
    MATCH($G196,'Golf Log'!$E$1:$V$1,0)
  ),
"")</f>
        <v>5</v>
      </c>
      <c r="M196">
        <f t="shared" si="11"/>
        <v>1</v>
      </c>
      <c r="N196" t="str">
        <f t="shared" si="5"/>
        <v>Bogey</v>
      </c>
      <c r="O196" cm="1">
        <f t="array" ref="O196">IFERROR(
  INDEX('Putt Log'!$E$2:$V$72,
    MATCH(1,
      ('Putt Log'!$A$2:$A$72=$A196)*
      ('Putt Log'!$B$2:$B$72=$B196)*
      ('Putt Log'!$C$2:$C$72=$C196),
    0),
    MATCH($G196,'Putt Log'!$E$1:$V$1,0)
  ),
"")</f>
        <v>2</v>
      </c>
      <c r="P196" t="str" cm="1">
        <f t="array" ref="P196">IF(K196=3,"",
  IFERROR(
    INDEX('Fairway Log'!$E$2:$V$72,
      MATCH(1,
        ('Fairway Log'!$A$2:$A$72=$A196)*
        ('Fairway Log'!$B$2:$B$72=$B196)*
        ('Fairway Log'!$C$2:$C267=$C196),
      0),
      MATCH($G196,'Fairway Log'!$E$1:$V$1,0)
    ),
  "")
)</f>
        <v>→</v>
      </c>
      <c r="Q196" t="str" cm="1">
        <f t="array" ref="Q196">IFERROR(
  INDEX('GIR Log'!$E$2:$V$72,
    MATCH(1,
      ('GIR Log'!$A$2:$A$72=$A196)*
      ('GIR Log'!$B$2:$B$72=$B196)*
      ('GIR Log'!$C$2:$C$72=$C196),
    0),
    MATCH($G196,'GIR Log'!$E$1:$V$1,0)
  ),
"")</f>
        <v>↓</v>
      </c>
    </row>
    <row r="197" spans="1:17" x14ac:dyDescent="0.25">
      <c r="A197" s="20" t="s">
        <v>126</v>
      </c>
      <c r="B197" s="2">
        <v>45492</v>
      </c>
      <c r="C197" t="s">
        <v>6</v>
      </c>
      <c r="D197" t="s">
        <v>75</v>
      </c>
      <c r="E197" t="s">
        <v>34</v>
      </c>
      <c r="F197">
        <v>83</v>
      </c>
      <c r="G197" t="s">
        <v>62</v>
      </c>
      <c r="H197" s="9">
        <f t="shared" si="12"/>
        <v>16</v>
      </c>
      <c r="I197" cm="1">
        <f t="array" ref="I197">IFERROR(INDEX(CourseYardages[[Hole 1]:[Hole 18]],
  MATCH(1, (CourseYardages[Course]=C197)*(CourseYardages[Tees]=E197), 0),
  MATCH(G197, CourseYardages[[#Headers],[Hole 1]:[Hole 18]], 0)
),"")</f>
        <v>277</v>
      </c>
      <c r="J197" cm="1">
        <f t="array" ref="J197">IFERROR(INDEX(CourseHandicap[[Hole 1]:[Hole 18]],
  MATCH(1, (CourseHandicap[Course]=C197)*(CourseHandicap[Tees]=E197), 0),
  MATCH(G197, CourseHandicap[[#Headers],[Hole 1]:[Hole 18]], 0)
),"")</f>
        <v>17</v>
      </c>
      <c r="K197" cm="1">
        <f t="array" ref="K197">IFERROR(INDEX(CourseRatings[[Hole 1]:[Hole 18]],
  MATCH(1, (CourseRatings[Course]=C197)*(CourseRatings[Tees]=E197), 0),
  MATCH(G197, CourseRatings[[#Headers],[Hole 1]:[Hole 18]], 0)
),"")</f>
        <v>4</v>
      </c>
      <c r="L197" cm="1">
        <f t="array" ref="L197">IFERROR(
  INDEX('Golf Log'!$E$2:$V$72,
    MATCH(1,
      ('Golf Log'!$A$2:$A$72=$A197)*
      ('Golf Log'!$B$2:$B$72=$B197)*
      ('Golf Log'!$C$2:$C$72=$C197),
    0),
    MATCH($G197,'Golf Log'!$E$1:$V$1,0)
  ),
"")</f>
        <v>4</v>
      </c>
      <c r="M197">
        <f t="shared" si="11"/>
        <v>0</v>
      </c>
      <c r="N197" t="str">
        <f t="shared" si="5"/>
        <v>Par</v>
      </c>
      <c r="O197" cm="1">
        <f t="array" ref="O197">IFERROR(
  INDEX('Putt Log'!$E$2:$V$72,
    MATCH(1,
      ('Putt Log'!$A$2:$A$72=$A197)*
      ('Putt Log'!$B$2:$B$72=$B197)*
      ('Putt Log'!$C$2:$C$72=$C197),
    0),
    MATCH($G197,'Putt Log'!$E$1:$V$1,0)
  ),
"")</f>
        <v>1</v>
      </c>
      <c r="P197" cm="1">
        <f t="array" ref="P197">IF(K197=3,"",
  IFERROR(
    INDEX('Fairway Log'!$E$2:$V$72,
      MATCH(1,
        ('Fairway Log'!$A$2:$A$72=$A197)*
        ('Fairway Log'!$B$2:$B$72=$B197)*
        ('Fairway Log'!$C$2:$C268=$C197),
      0),
      MATCH($G197,'Fairway Log'!$E$1:$V$1,0)
    ),
  "")
)</f>
        <v>1</v>
      </c>
      <c r="Q197" t="str" cm="1">
        <f t="array" ref="Q197">IFERROR(
  INDEX('GIR Log'!$E$2:$V$72,
    MATCH(1,
      ('GIR Log'!$A$2:$A$72=$A197)*
      ('GIR Log'!$B$2:$B$72=$B197)*
      ('GIR Log'!$C$2:$C$72=$C197),
    0),
    MATCH($G197,'GIR Log'!$E$1:$V$1,0)
  ),
"")</f>
        <v>↑</v>
      </c>
    </row>
    <row r="198" spans="1:17" x14ac:dyDescent="0.25">
      <c r="A198" s="20" t="s">
        <v>126</v>
      </c>
      <c r="B198" s="2">
        <v>45492</v>
      </c>
      <c r="C198" t="s">
        <v>6</v>
      </c>
      <c r="D198" t="s">
        <v>75</v>
      </c>
      <c r="E198" t="s">
        <v>34</v>
      </c>
      <c r="F198">
        <v>83</v>
      </c>
      <c r="G198" t="s">
        <v>63</v>
      </c>
      <c r="H198" s="9">
        <f t="shared" si="12"/>
        <v>17</v>
      </c>
      <c r="I198" cm="1">
        <f t="array" ref="I198">IFERROR(INDEX(CourseYardages[[Hole 1]:[Hole 18]],
  MATCH(1, (CourseYardages[Course]=C198)*(CourseYardages[Tees]=E198), 0),
  MATCH(G198, CourseYardages[[#Headers],[Hole 1]:[Hole 18]], 0)
),"")</f>
        <v>479</v>
      </c>
      <c r="J198" cm="1">
        <f t="array" ref="J198">IFERROR(INDEX(CourseHandicap[[Hole 1]:[Hole 18]],
  MATCH(1, (CourseHandicap[Course]=C198)*(CourseHandicap[Tees]=E198), 0),
  MATCH(G198, CourseHandicap[[#Headers],[Hole 1]:[Hole 18]], 0)
),"")</f>
        <v>3</v>
      </c>
      <c r="K198" cm="1">
        <f t="array" ref="K198">IFERROR(INDEX(CourseRatings[[Hole 1]:[Hole 18]],
  MATCH(1, (CourseRatings[Course]=C198)*(CourseRatings[Tees]=E198), 0),
  MATCH(G198, CourseRatings[[#Headers],[Hole 1]:[Hole 18]], 0)
),"")</f>
        <v>5</v>
      </c>
      <c r="L198" cm="1">
        <f t="array" ref="L198">IFERROR(
  INDEX('Golf Log'!$E$2:$V$72,
    MATCH(1,
      ('Golf Log'!$A$2:$A$72=$A198)*
      ('Golf Log'!$B$2:$B$72=$B198)*
      ('Golf Log'!$C$2:$C$72=$C198),
    0),
    MATCH($G198,'Golf Log'!$E$1:$V$1,0)
  ),
"")</f>
        <v>4</v>
      </c>
      <c r="M198">
        <f t="shared" si="11"/>
        <v>-1</v>
      </c>
      <c r="N198" t="str">
        <f t="shared" si="5"/>
        <v>Birdie</v>
      </c>
      <c r="O198" cm="1">
        <f t="array" ref="O198">IFERROR(
  INDEX('Putt Log'!$E$2:$V$72,
    MATCH(1,
      ('Putt Log'!$A$2:$A$72=$A198)*
      ('Putt Log'!$B$2:$B$72=$B198)*
      ('Putt Log'!$C$2:$C$72=$C198),
    0),
    MATCH($G198,'Putt Log'!$E$1:$V$1,0)
  ),
"")</f>
        <v>1</v>
      </c>
      <c r="P198" t="str" cm="1">
        <f t="array" ref="P198">IF(K198=3,"",
  IFERROR(
    INDEX('Fairway Log'!$E$2:$V$72,
      MATCH(1,
        ('Fairway Log'!$A$2:$A$72=$A198)*
        ('Fairway Log'!$B$2:$B$72=$B198)*
        ('Fairway Log'!$C$2:$C269=$C198),
      0),
      MATCH($G198,'Fairway Log'!$E$1:$V$1,0)
    ),
  "")
)</f>
        <v>→</v>
      </c>
      <c r="Q198" cm="1">
        <f t="array" ref="Q198">IFERROR(
  INDEX('GIR Log'!$E$2:$V$72,
    MATCH(1,
      ('GIR Log'!$A$2:$A$72=$A198)*
      ('GIR Log'!$B$2:$B$72=$B198)*
      ('GIR Log'!$C$2:$C$72=$C198),
    0),
    MATCH($G198,'GIR Log'!$E$1:$V$1,0)
  ),
"")</f>
        <v>1</v>
      </c>
    </row>
    <row r="199" spans="1:17" x14ac:dyDescent="0.25">
      <c r="A199" s="20" t="s">
        <v>126</v>
      </c>
      <c r="B199" s="2">
        <v>45492</v>
      </c>
      <c r="C199" t="s">
        <v>6</v>
      </c>
      <c r="D199" t="s">
        <v>75</v>
      </c>
      <c r="E199" t="s">
        <v>34</v>
      </c>
      <c r="F199">
        <v>83</v>
      </c>
      <c r="G199" t="s">
        <v>64</v>
      </c>
      <c r="H199" s="9">
        <f t="shared" si="12"/>
        <v>18</v>
      </c>
      <c r="I199" cm="1">
        <f t="array" ref="I199">IFERROR(INDEX(CourseYardages[[Hole 1]:[Hole 18]],
  MATCH(1, (CourseYardages[Course]=C199)*(CourseYardages[Tees]=E199), 0),
  MATCH(G199, CourseYardages[[#Headers],[Hole 1]:[Hole 18]], 0)
),"")</f>
        <v>367</v>
      </c>
      <c r="J199" cm="1">
        <f t="array" ref="J199">IFERROR(INDEX(CourseHandicap[[Hole 1]:[Hole 18]],
  MATCH(1, (CourseHandicap[Course]=C199)*(CourseHandicap[Tees]=E199), 0),
  MATCH(G199, CourseHandicap[[#Headers],[Hole 1]:[Hole 18]], 0)
),"")</f>
        <v>7</v>
      </c>
      <c r="K199" cm="1">
        <f t="array" ref="K199">IFERROR(INDEX(CourseRatings[[Hole 1]:[Hole 18]],
  MATCH(1, (CourseRatings[Course]=C199)*(CourseRatings[Tees]=E199), 0),
  MATCH(G199, CourseRatings[[#Headers],[Hole 1]:[Hole 18]], 0)
),"")</f>
        <v>4</v>
      </c>
      <c r="L199" cm="1">
        <f t="array" ref="L199">IFERROR(
  INDEX('Golf Log'!$E$2:$V$72,
    MATCH(1,
      ('Golf Log'!$A$2:$A$72=$A199)*
      ('Golf Log'!$B$2:$B$72=$B199)*
      ('Golf Log'!$C$2:$C$72=$C199),
    0),
    MATCH($G199,'Golf Log'!$E$1:$V$1,0)
  ),
"")</f>
        <v>6</v>
      </c>
      <c r="M199">
        <f t="shared" si="11"/>
        <v>2</v>
      </c>
      <c r="N199" t="str">
        <f t="shared" si="5"/>
        <v>Double Bogey</v>
      </c>
      <c r="O199" cm="1">
        <f t="array" ref="O199">IFERROR(
  INDEX('Putt Log'!$E$2:$V$72,
    MATCH(1,
      ('Putt Log'!$A$2:$A$72=$A199)*
      ('Putt Log'!$B$2:$B$72=$B199)*
      ('Putt Log'!$C$2:$C$72=$C199),
    0),
    MATCH($G199,'Putt Log'!$E$1:$V$1,0)
  ),
"")</f>
        <v>2</v>
      </c>
      <c r="P199" t="str" cm="1">
        <f t="array" ref="P199">IF(K199=3,"",
  IFERROR(
    INDEX('Fairway Log'!$E$2:$V$72,
      MATCH(1,
        ('Fairway Log'!$A$2:$A$72=$A199)*
        ('Fairway Log'!$B$2:$B$72=$B199)*
        ('Fairway Log'!$C$2:$C270=$C199),
      0),
      MATCH($G199,'Fairway Log'!$E$1:$V$1,0)
    ),
  "")
)</f>
        <v>→</v>
      </c>
      <c r="Q199" t="str" cm="1">
        <f t="array" ref="Q199">IFERROR(
  INDEX('GIR Log'!$E$2:$V$72,
    MATCH(1,
      ('GIR Log'!$A$2:$A$72=$A199)*
      ('GIR Log'!$B$2:$B$72=$B199)*
      ('GIR Log'!$C$2:$C$72=$C199),
    0),
    MATCH($G199,'GIR Log'!$E$1:$V$1,0)
  ),
"")</f>
        <v>↓</v>
      </c>
    </row>
    <row r="200" spans="1:17" x14ac:dyDescent="0.25">
      <c r="A200" s="20" t="s">
        <v>126</v>
      </c>
      <c r="B200" s="2">
        <v>45487</v>
      </c>
      <c r="C200" t="s">
        <v>3</v>
      </c>
      <c r="D200" t="s">
        <v>3</v>
      </c>
      <c r="E200" t="s">
        <v>34</v>
      </c>
      <c r="F200">
        <v>78</v>
      </c>
      <c r="G200" t="s">
        <v>47</v>
      </c>
      <c r="H200" s="9">
        <f t="shared" si="12"/>
        <v>1</v>
      </c>
      <c r="I200" cm="1">
        <f t="array" ref="I200">IFERROR(INDEX(CourseYardages[[Hole 1]:[Hole 18]],
  MATCH(1, (CourseYardages[Course]=C200)*(CourseYardages[Tees]=E200), 0),
  MATCH(G200, CourseYardages[[#Headers],[Hole 1]:[Hole 18]], 0)
),"")</f>
        <v>354</v>
      </c>
      <c r="J200" cm="1">
        <f t="array" ref="J200">IFERROR(INDEX(CourseHandicap[[Hole 1]:[Hole 18]],
  MATCH(1, (CourseHandicap[Course]=C200)*(CourseHandicap[Tees]=E200), 0),
  MATCH(G200, CourseHandicap[[#Headers],[Hole 1]:[Hole 18]], 0)
),"")</f>
        <v>15</v>
      </c>
      <c r="K200" cm="1">
        <f t="array" ref="K200">IFERROR(INDEX(CourseRatings[[Hole 1]:[Hole 18]],
  MATCH(1, (CourseRatings[Course]=C200)*(CourseRatings[Tees]=E200), 0),
  MATCH(G200, CourseRatings[[#Headers],[Hole 1]:[Hole 18]], 0)
),"")</f>
        <v>4</v>
      </c>
      <c r="L200" cm="1">
        <f t="array" ref="L200">IFERROR(
  INDEX('Golf Log'!$E$2:$V$72,
    MATCH(1,
      ('Golf Log'!$A$2:$A$72=$A200)*
      ('Golf Log'!$B$2:$B$72=$B200)*
      ('Golf Log'!$C$2:$C$72=$C200),
    0),
    MATCH($G200,'Golf Log'!$E$1:$V$1,0)
  ),
"")</f>
        <v>4</v>
      </c>
      <c r="M200">
        <f t="shared" si="11"/>
        <v>0</v>
      </c>
      <c r="N200" t="str">
        <f t="shared" si="5"/>
        <v>Par</v>
      </c>
      <c r="O200" cm="1">
        <f t="array" ref="O200">IFERROR(
  INDEX('Putt Log'!$E$2:$V$72,
    MATCH(1,
      ('Putt Log'!$A$2:$A$72=$A200)*
      ('Putt Log'!$B$2:$B$72=$B200)*
      ('Putt Log'!$C$2:$C$72=$C200),
    0),
    MATCH($G200,'Putt Log'!$E$1:$V$1,0)
  ),
"")</f>
        <v>1</v>
      </c>
      <c r="P200" cm="1">
        <f t="array" ref="P200">IF(K200=3,"",
  IFERROR(
    INDEX('Fairway Log'!$E$2:$V$72,
      MATCH(1,
        ('Fairway Log'!$A$2:$A$72=$A200)*
        ('Fairway Log'!$B$2:$B$72=$B200)*
        ('Fairway Log'!$C$2:$C271=$C200),
      0),
      MATCH($G200,'Fairway Log'!$E$1:$V$1,0)
    ),
  "")
)</f>
        <v>1</v>
      </c>
      <c r="Q200" t="str" cm="1">
        <f t="array" ref="Q200">IFERROR(
  INDEX('GIR Log'!$E$2:$V$72,
    MATCH(1,
      ('GIR Log'!$A$2:$A$72=$A200)*
      ('GIR Log'!$B$2:$B$72=$B200)*
      ('GIR Log'!$C$2:$C$72=$C200),
    0),
    MATCH($G200,'GIR Log'!$E$1:$V$1,0)
  ),
"")</f>
        <v>↓</v>
      </c>
    </row>
    <row r="201" spans="1:17" x14ac:dyDescent="0.25">
      <c r="A201" s="20" t="s">
        <v>126</v>
      </c>
      <c r="B201" s="2">
        <v>45487</v>
      </c>
      <c r="C201" t="s">
        <v>3</v>
      </c>
      <c r="D201" t="s">
        <v>3</v>
      </c>
      <c r="E201" t="s">
        <v>34</v>
      </c>
      <c r="F201">
        <v>78</v>
      </c>
      <c r="G201" t="s">
        <v>48</v>
      </c>
      <c r="H201" s="9">
        <f t="shared" si="12"/>
        <v>2</v>
      </c>
      <c r="I201" cm="1">
        <f t="array" ref="I201">IFERROR(INDEX(CourseYardages[[Hole 1]:[Hole 18]],
  MATCH(1, (CourseYardages[Course]=C201)*(CourseYardages[Tees]=E201), 0),
  MATCH(G201, CourseYardages[[#Headers],[Hole 1]:[Hole 18]], 0)
),"")</f>
        <v>380</v>
      </c>
      <c r="J201" cm="1">
        <f t="array" ref="J201">IFERROR(INDEX(CourseHandicap[[Hole 1]:[Hole 18]],
  MATCH(1, (CourseHandicap[Course]=C201)*(CourseHandicap[Tees]=E201), 0),
  MATCH(G201, CourseHandicap[[#Headers],[Hole 1]:[Hole 18]], 0)
),"")</f>
        <v>3</v>
      </c>
      <c r="K201" cm="1">
        <f t="array" ref="K201">IFERROR(INDEX(CourseRatings[[Hole 1]:[Hole 18]],
  MATCH(1, (CourseRatings[Course]=C201)*(CourseRatings[Tees]=E201), 0),
  MATCH(G201, CourseRatings[[#Headers],[Hole 1]:[Hole 18]], 0)
),"")</f>
        <v>4</v>
      </c>
      <c r="L201" cm="1">
        <f t="array" ref="L201">IFERROR(
  INDEX('Golf Log'!$E$2:$V$72,
    MATCH(1,
      ('Golf Log'!$A$2:$A$72=$A201)*
      ('Golf Log'!$B$2:$B$72=$B201)*
      ('Golf Log'!$C$2:$C$72=$C201),
    0),
    MATCH($G201,'Golf Log'!$E$1:$V$1,0)
  ),
"")</f>
        <v>5</v>
      </c>
      <c r="M201">
        <f t="shared" si="11"/>
        <v>1</v>
      </c>
      <c r="N201" t="str">
        <f t="shared" si="5"/>
        <v>Bogey</v>
      </c>
      <c r="O201" cm="1">
        <f t="array" ref="O201">IFERROR(
  INDEX('Putt Log'!$E$2:$V$72,
    MATCH(1,
      ('Putt Log'!$A$2:$A$72=$A201)*
      ('Putt Log'!$B$2:$B$72=$B201)*
      ('Putt Log'!$C$2:$C$72=$C201),
    0),
    MATCH($G201,'Putt Log'!$E$1:$V$1,0)
  ),
"")</f>
        <v>2</v>
      </c>
      <c r="P201" t="str" cm="1">
        <f t="array" ref="P201">IF(K201=3,"",
  IFERROR(
    INDEX('Fairway Log'!$E$2:$V$72,
      MATCH(1,
        ('Fairway Log'!$A$2:$A$72=$A201)*
        ('Fairway Log'!$B$2:$B$72=$B201)*
        ('Fairway Log'!$C$2:$C272=$C201),
      0),
      MATCH($G201,'Fairway Log'!$E$1:$V$1,0)
    ),
  "")
)</f>
        <v>→</v>
      </c>
      <c r="Q201" t="str" cm="1">
        <f t="array" ref="Q201">IFERROR(
  INDEX('GIR Log'!$E$2:$V$72,
    MATCH(1,
      ('GIR Log'!$A$2:$A$72=$A201)*
      ('GIR Log'!$B$2:$B$72=$B201)*
      ('GIR Log'!$C$2:$C$72=$C201),
    0),
    MATCH($G201,'GIR Log'!$E$1:$V$1,0)
  ),
"")</f>
        <v>↓</v>
      </c>
    </row>
    <row r="202" spans="1:17" x14ac:dyDescent="0.25">
      <c r="A202" s="20" t="s">
        <v>126</v>
      </c>
      <c r="B202" s="2">
        <v>45487</v>
      </c>
      <c r="C202" t="s">
        <v>3</v>
      </c>
      <c r="D202" t="s">
        <v>3</v>
      </c>
      <c r="E202" t="s">
        <v>34</v>
      </c>
      <c r="F202">
        <v>78</v>
      </c>
      <c r="G202" t="s">
        <v>49</v>
      </c>
      <c r="H202" s="9">
        <f t="shared" si="12"/>
        <v>3</v>
      </c>
      <c r="I202" cm="1">
        <f t="array" ref="I202">IFERROR(INDEX(CourseYardages[[Hole 1]:[Hole 18]],
  MATCH(1, (CourseYardages[Course]=C202)*(CourseYardages[Tees]=E202), 0),
  MATCH(G202, CourseYardages[[#Headers],[Hole 1]:[Hole 18]], 0)
),"")</f>
        <v>153</v>
      </c>
      <c r="J202" cm="1">
        <f t="array" ref="J202">IFERROR(INDEX(CourseHandicap[[Hole 1]:[Hole 18]],
  MATCH(1, (CourseHandicap[Course]=C202)*(CourseHandicap[Tees]=E202), 0),
  MATCH(G202, CourseHandicap[[#Headers],[Hole 1]:[Hole 18]], 0)
),"")</f>
        <v>17</v>
      </c>
      <c r="K202" cm="1">
        <f t="array" ref="K202">IFERROR(INDEX(CourseRatings[[Hole 1]:[Hole 18]],
  MATCH(1, (CourseRatings[Course]=C202)*(CourseRatings[Tees]=E202), 0),
  MATCH(G202, CourseRatings[[#Headers],[Hole 1]:[Hole 18]], 0)
),"")</f>
        <v>3</v>
      </c>
      <c r="L202" cm="1">
        <f t="array" ref="L202">IFERROR(
  INDEX('Golf Log'!$E$2:$V$72,
    MATCH(1,
      ('Golf Log'!$A$2:$A$72=$A202)*
      ('Golf Log'!$B$2:$B$72=$B202)*
      ('Golf Log'!$C$2:$C$72=$C202),
    0),
    MATCH($G202,'Golf Log'!$E$1:$V$1,0)
  ),
"")</f>
        <v>3</v>
      </c>
      <c r="M202">
        <f t="shared" si="11"/>
        <v>0</v>
      </c>
      <c r="N202" t="str">
        <f t="shared" si="5"/>
        <v>Par</v>
      </c>
      <c r="O202" cm="1">
        <f t="array" ref="O202">IFERROR(
  INDEX('Putt Log'!$E$2:$V$72,
    MATCH(1,
      ('Putt Log'!$A$2:$A$72=$A202)*
      ('Putt Log'!$B$2:$B$72=$B202)*
      ('Putt Log'!$C$2:$C$72=$C202),
    0),
    MATCH($G202,'Putt Log'!$E$1:$V$1,0)
  ),
"")</f>
        <v>1</v>
      </c>
      <c r="P202" t="str" cm="1">
        <f t="array" ref="P202">IF(K202=3,"",
  IFERROR(
    INDEX('Fairway Log'!$E$2:$V$72,
      MATCH(1,
        ('Fairway Log'!$A$2:$A$72=$A202)*
        ('Fairway Log'!$B$2:$B$72=$B202)*
        ('Fairway Log'!$C$2:$C273=$C202),
      0),
      MATCH($G202,'Fairway Log'!$E$1:$V$1,0)
    ),
  "")
)</f>
        <v/>
      </c>
      <c r="Q202" t="str" cm="1">
        <f t="array" ref="Q202">IFERROR(
  INDEX('GIR Log'!$E$2:$V$72,
    MATCH(1,
      ('GIR Log'!$A$2:$A$72=$A202)*
      ('GIR Log'!$B$2:$B$72=$B202)*
      ('GIR Log'!$C$2:$C$72=$C202),
    0),
    MATCH($G202,'GIR Log'!$E$1:$V$1,0)
  ),
"")</f>
        <v>↓</v>
      </c>
    </row>
    <row r="203" spans="1:17" x14ac:dyDescent="0.25">
      <c r="A203" s="20" t="s">
        <v>126</v>
      </c>
      <c r="B203" s="2">
        <v>45487</v>
      </c>
      <c r="C203" t="s">
        <v>3</v>
      </c>
      <c r="D203" t="s">
        <v>3</v>
      </c>
      <c r="E203" t="s">
        <v>34</v>
      </c>
      <c r="F203">
        <v>78</v>
      </c>
      <c r="G203" t="s">
        <v>50</v>
      </c>
      <c r="H203" s="9">
        <f t="shared" si="12"/>
        <v>4</v>
      </c>
      <c r="I203" cm="1">
        <f t="array" ref="I203">IFERROR(INDEX(CourseYardages[[Hole 1]:[Hole 18]],
  MATCH(1, (CourseYardages[Course]=C203)*(CourseYardages[Tees]=E203), 0),
  MATCH(G203, CourseYardages[[#Headers],[Hole 1]:[Hole 18]], 0)
),"")</f>
        <v>363</v>
      </c>
      <c r="J203" cm="1">
        <f t="array" ref="J203">IFERROR(INDEX(CourseHandicap[[Hole 1]:[Hole 18]],
  MATCH(1, (CourseHandicap[Course]=C203)*(CourseHandicap[Tees]=E203), 0),
  MATCH(G203, CourseHandicap[[#Headers],[Hole 1]:[Hole 18]], 0)
),"")</f>
        <v>11</v>
      </c>
      <c r="K203" cm="1">
        <f t="array" ref="K203">IFERROR(INDEX(CourseRatings[[Hole 1]:[Hole 18]],
  MATCH(1, (CourseRatings[Course]=C203)*(CourseRatings[Tees]=E203), 0),
  MATCH(G203, CourseRatings[[#Headers],[Hole 1]:[Hole 18]], 0)
),"")</f>
        <v>4</v>
      </c>
      <c r="L203" cm="1">
        <f t="array" ref="L203">IFERROR(
  INDEX('Golf Log'!$E$2:$V$72,
    MATCH(1,
      ('Golf Log'!$A$2:$A$72=$A203)*
      ('Golf Log'!$B$2:$B$72=$B203)*
      ('Golf Log'!$C$2:$C$72=$C203),
    0),
    MATCH($G203,'Golf Log'!$E$1:$V$1,0)
  ),
"")</f>
        <v>4</v>
      </c>
      <c r="M203">
        <f t="shared" si="11"/>
        <v>0</v>
      </c>
      <c r="N203" t="str">
        <f t="shared" si="5"/>
        <v>Par</v>
      </c>
      <c r="O203" cm="1">
        <f t="array" ref="O203">IFERROR(
  INDEX('Putt Log'!$E$2:$V$72,
    MATCH(1,
      ('Putt Log'!$A$2:$A$72=$A203)*
      ('Putt Log'!$B$2:$B$72=$B203)*
      ('Putt Log'!$C$2:$C$72=$C203),
    0),
    MATCH($G203,'Putt Log'!$E$1:$V$1,0)
  ),
"")</f>
        <v>2</v>
      </c>
      <c r="P203" t="str" cm="1">
        <f t="array" ref="P203">IF(K203=3,"",
  IFERROR(
    INDEX('Fairway Log'!$E$2:$V$72,
      MATCH(1,
        ('Fairway Log'!$A$2:$A$72=$A203)*
        ('Fairway Log'!$B$2:$B$72=$B203)*
        ('Fairway Log'!$C$2:$C274=$C203),
      0),
      MATCH($G203,'Fairway Log'!$E$1:$V$1,0)
    ),
  "")
)</f>
        <v>←</v>
      </c>
      <c r="Q203" cm="1">
        <f t="array" ref="Q203">IFERROR(
  INDEX('GIR Log'!$E$2:$V$72,
    MATCH(1,
      ('GIR Log'!$A$2:$A$72=$A203)*
      ('GIR Log'!$B$2:$B$72=$B203)*
      ('GIR Log'!$C$2:$C$72=$C203),
    0),
    MATCH($G203,'GIR Log'!$E$1:$V$1,0)
  ),
"")</f>
        <v>1</v>
      </c>
    </row>
    <row r="204" spans="1:17" x14ac:dyDescent="0.25">
      <c r="A204" s="20" t="s">
        <v>126</v>
      </c>
      <c r="B204" s="2">
        <v>45487</v>
      </c>
      <c r="C204" t="s">
        <v>3</v>
      </c>
      <c r="D204" t="s">
        <v>3</v>
      </c>
      <c r="E204" t="s">
        <v>34</v>
      </c>
      <c r="F204">
        <v>78</v>
      </c>
      <c r="G204" t="s">
        <v>51</v>
      </c>
      <c r="H204" s="9">
        <f t="shared" si="12"/>
        <v>5</v>
      </c>
      <c r="I204" cm="1">
        <f t="array" ref="I204">IFERROR(INDEX(CourseYardages[[Hole 1]:[Hole 18]],
  MATCH(1, (CourseYardages[Course]=C204)*(CourseYardages[Tees]=E204), 0),
  MATCH(G204, CourseYardages[[#Headers],[Hole 1]:[Hole 18]], 0)
),"")</f>
        <v>400</v>
      </c>
      <c r="J204" cm="1">
        <f t="array" ref="J204">IFERROR(INDEX(CourseHandicap[[Hole 1]:[Hole 18]],
  MATCH(1, (CourseHandicap[Course]=C204)*(CourseHandicap[Tees]=E204), 0),
  MATCH(G204, CourseHandicap[[#Headers],[Hole 1]:[Hole 18]], 0)
),"")</f>
        <v>7</v>
      </c>
      <c r="K204" cm="1">
        <f t="array" ref="K204">IFERROR(INDEX(CourseRatings[[Hole 1]:[Hole 18]],
  MATCH(1, (CourseRatings[Course]=C204)*(CourseRatings[Tees]=E204), 0),
  MATCH(G204, CourseRatings[[#Headers],[Hole 1]:[Hole 18]], 0)
),"")</f>
        <v>4</v>
      </c>
      <c r="L204" cm="1">
        <f t="array" ref="L204">IFERROR(
  INDEX('Golf Log'!$E$2:$V$72,
    MATCH(1,
      ('Golf Log'!$A$2:$A$72=$A204)*
      ('Golf Log'!$B$2:$B$72=$B204)*
      ('Golf Log'!$C$2:$C$72=$C204),
    0),
    MATCH($G204,'Golf Log'!$E$1:$V$1,0)
  ),
"")</f>
        <v>4</v>
      </c>
      <c r="M204">
        <f t="shared" si="11"/>
        <v>0</v>
      </c>
      <c r="N204" t="str">
        <f t="shared" si="5"/>
        <v>Par</v>
      </c>
      <c r="O204" cm="1">
        <f t="array" ref="O204">IFERROR(
  INDEX('Putt Log'!$E$2:$V$72,
    MATCH(1,
      ('Putt Log'!$A$2:$A$72=$A204)*
      ('Putt Log'!$B$2:$B$72=$B204)*
      ('Putt Log'!$C$2:$C$72=$C204),
    0),
    MATCH($G204,'Putt Log'!$E$1:$V$1,0)
  ),
"")</f>
        <v>1</v>
      </c>
      <c r="P204" cm="1">
        <f t="array" ref="P204">IF(K204=3,"",
  IFERROR(
    INDEX('Fairway Log'!$E$2:$V$72,
      MATCH(1,
        ('Fairway Log'!$A$2:$A$72=$A204)*
        ('Fairway Log'!$B$2:$B$72=$B204)*
        ('Fairway Log'!$C$2:$C275=$C204),
      0),
      MATCH($G204,'Fairway Log'!$E$1:$V$1,0)
    ),
  "")
)</f>
        <v>1</v>
      </c>
      <c r="Q204" t="str" cm="1">
        <f t="array" ref="Q204">IFERROR(
  INDEX('GIR Log'!$E$2:$V$72,
    MATCH(1,
      ('GIR Log'!$A$2:$A$72=$A204)*
      ('GIR Log'!$B$2:$B$72=$B204)*
      ('GIR Log'!$C$2:$C$72=$C204),
    0),
    MATCH($G204,'GIR Log'!$E$1:$V$1,0)
  ),
"")</f>
        <v>←</v>
      </c>
    </row>
    <row r="205" spans="1:17" x14ac:dyDescent="0.25">
      <c r="A205" s="20" t="s">
        <v>126</v>
      </c>
      <c r="B205" s="2">
        <v>45487</v>
      </c>
      <c r="C205" t="s">
        <v>3</v>
      </c>
      <c r="D205" t="s">
        <v>3</v>
      </c>
      <c r="E205" t="s">
        <v>34</v>
      </c>
      <c r="F205">
        <v>78</v>
      </c>
      <c r="G205" t="s">
        <v>52</v>
      </c>
      <c r="H205" s="9">
        <f t="shared" si="12"/>
        <v>6</v>
      </c>
      <c r="I205" cm="1">
        <f t="array" ref="I205">IFERROR(INDEX(CourseYardages[[Hole 1]:[Hole 18]],
  MATCH(1, (CourseYardages[Course]=C205)*(CourseYardages[Tees]=E205), 0),
  MATCH(G205, CourseYardages[[#Headers],[Hole 1]:[Hole 18]], 0)
),"")</f>
        <v>190</v>
      </c>
      <c r="J205" cm="1">
        <f t="array" ref="J205">IFERROR(INDEX(CourseHandicap[[Hole 1]:[Hole 18]],
  MATCH(1, (CourseHandicap[Course]=C205)*(CourseHandicap[Tees]=E205), 0),
  MATCH(G205, CourseHandicap[[#Headers],[Hole 1]:[Hole 18]], 0)
),"")</f>
        <v>5</v>
      </c>
      <c r="K205" cm="1">
        <f t="array" ref="K205">IFERROR(INDEX(CourseRatings[[Hole 1]:[Hole 18]],
  MATCH(1, (CourseRatings[Course]=C205)*(CourseRatings[Tees]=E205), 0),
  MATCH(G205, CourseRatings[[#Headers],[Hole 1]:[Hole 18]], 0)
),"")</f>
        <v>3</v>
      </c>
      <c r="L205" cm="1">
        <f t="array" ref="L205">IFERROR(
  INDEX('Golf Log'!$E$2:$V$72,
    MATCH(1,
      ('Golf Log'!$A$2:$A$72=$A205)*
      ('Golf Log'!$B$2:$B$72=$B205)*
      ('Golf Log'!$C$2:$C$72=$C205),
    0),
    MATCH($G205,'Golf Log'!$E$1:$V$1,0)
  ),
"")</f>
        <v>4</v>
      </c>
      <c r="M205">
        <f t="shared" si="11"/>
        <v>1</v>
      </c>
      <c r="N205" t="str">
        <f t="shared" si="5"/>
        <v>Bogey</v>
      </c>
      <c r="O205" cm="1">
        <f t="array" ref="O205">IFERROR(
  INDEX('Putt Log'!$E$2:$V$72,
    MATCH(1,
      ('Putt Log'!$A$2:$A$72=$A205)*
      ('Putt Log'!$B$2:$B$72=$B205)*
      ('Putt Log'!$C$2:$C$72=$C205),
    0),
    MATCH($G205,'Putt Log'!$E$1:$V$1,0)
  ),
"")</f>
        <v>2</v>
      </c>
      <c r="P205" t="str" cm="1">
        <f t="array" ref="P205">IF(K205=3,"",
  IFERROR(
    INDEX('Fairway Log'!$E$2:$V$72,
      MATCH(1,
        ('Fairway Log'!$A$2:$A$72=$A205)*
        ('Fairway Log'!$B$2:$B$72=$B205)*
        ('Fairway Log'!$C$2:$C276=$C205),
      0),
      MATCH($G205,'Fairway Log'!$E$1:$V$1,0)
    ),
  "")
)</f>
        <v/>
      </c>
      <c r="Q205" t="str" cm="1">
        <f t="array" ref="Q205">IFERROR(
  INDEX('GIR Log'!$E$2:$V$72,
    MATCH(1,
      ('GIR Log'!$A$2:$A$72=$A205)*
      ('GIR Log'!$B$2:$B$72=$B205)*
      ('GIR Log'!$C$2:$C$72=$C205),
    0),
    MATCH($G205,'GIR Log'!$E$1:$V$1,0)
  ),
"")</f>
        <v>→</v>
      </c>
    </row>
    <row r="206" spans="1:17" x14ac:dyDescent="0.25">
      <c r="A206" s="20" t="s">
        <v>126</v>
      </c>
      <c r="B206" s="2">
        <v>45487</v>
      </c>
      <c r="C206" t="s">
        <v>3</v>
      </c>
      <c r="D206" t="s">
        <v>3</v>
      </c>
      <c r="E206" t="s">
        <v>34</v>
      </c>
      <c r="F206">
        <v>78</v>
      </c>
      <c r="G206" t="s">
        <v>53</v>
      </c>
      <c r="H206" s="9">
        <f t="shared" si="12"/>
        <v>7</v>
      </c>
      <c r="I206" cm="1">
        <f t="array" ref="I206">IFERROR(INDEX(CourseYardages[[Hole 1]:[Hole 18]],
  MATCH(1, (CourseYardages[Course]=C206)*(CourseYardages[Tees]=E206), 0),
  MATCH(G206, CourseYardages[[#Headers],[Hole 1]:[Hole 18]], 0)
),"")</f>
        <v>507</v>
      </c>
      <c r="J206" cm="1">
        <f t="array" ref="J206">IFERROR(INDEX(CourseHandicap[[Hole 1]:[Hole 18]],
  MATCH(1, (CourseHandicap[Course]=C206)*(CourseHandicap[Tees]=E206), 0),
  MATCH(G206, CourseHandicap[[#Headers],[Hole 1]:[Hole 18]], 0)
),"")</f>
        <v>9</v>
      </c>
      <c r="K206" cm="1">
        <f t="array" ref="K206">IFERROR(INDEX(CourseRatings[[Hole 1]:[Hole 18]],
  MATCH(1, (CourseRatings[Course]=C206)*(CourseRatings[Tees]=E206), 0),
  MATCH(G206, CourseRatings[[#Headers],[Hole 1]:[Hole 18]], 0)
),"")</f>
        <v>5</v>
      </c>
      <c r="L206" cm="1">
        <f t="array" ref="L206">IFERROR(
  INDEX('Golf Log'!$E$2:$V$72,
    MATCH(1,
      ('Golf Log'!$A$2:$A$72=$A206)*
      ('Golf Log'!$B$2:$B$72=$B206)*
      ('Golf Log'!$C$2:$C$72=$C206),
    0),
    MATCH($G206,'Golf Log'!$E$1:$V$1,0)
  ),
"")</f>
        <v>5</v>
      </c>
      <c r="M206">
        <f t="shared" si="11"/>
        <v>0</v>
      </c>
      <c r="N206" t="str">
        <f t="shared" si="5"/>
        <v>Par</v>
      </c>
      <c r="O206" cm="1">
        <f t="array" ref="O206">IFERROR(
  INDEX('Putt Log'!$E$2:$V$72,
    MATCH(1,
      ('Putt Log'!$A$2:$A$72=$A206)*
      ('Putt Log'!$B$2:$B$72=$B206)*
      ('Putt Log'!$C$2:$C$72=$C206),
    0),
    MATCH($G206,'Putt Log'!$E$1:$V$1,0)
  ),
"")</f>
        <v>2</v>
      </c>
      <c r="P206" cm="1">
        <f t="array" ref="P206">IF(K206=3,"",
  IFERROR(
    INDEX('Fairway Log'!$E$2:$V$72,
      MATCH(1,
        ('Fairway Log'!$A$2:$A$72=$A206)*
        ('Fairway Log'!$B$2:$B$72=$B206)*
        ('Fairway Log'!$C$2:$C277=$C206),
      0),
      MATCH($G206,'Fairway Log'!$E$1:$V$1,0)
    ),
  "")
)</f>
        <v>1</v>
      </c>
      <c r="Q206" cm="1">
        <f t="array" ref="Q206">IFERROR(
  INDEX('GIR Log'!$E$2:$V$72,
    MATCH(1,
      ('GIR Log'!$A$2:$A$72=$A206)*
      ('GIR Log'!$B$2:$B$72=$B206)*
      ('GIR Log'!$C$2:$C$72=$C206),
    0),
    MATCH($G206,'GIR Log'!$E$1:$V$1,0)
  ),
"")</f>
        <v>1</v>
      </c>
    </row>
    <row r="207" spans="1:17" x14ac:dyDescent="0.25">
      <c r="A207" s="20" t="s">
        <v>126</v>
      </c>
      <c r="B207" s="2">
        <v>45487</v>
      </c>
      <c r="C207" t="s">
        <v>3</v>
      </c>
      <c r="D207" t="s">
        <v>3</v>
      </c>
      <c r="E207" t="s">
        <v>34</v>
      </c>
      <c r="F207">
        <v>78</v>
      </c>
      <c r="G207" t="s">
        <v>54</v>
      </c>
      <c r="H207" s="9">
        <f t="shared" si="12"/>
        <v>8</v>
      </c>
      <c r="I207" cm="1">
        <f t="array" ref="I207">IFERROR(INDEX(CourseYardages[[Hole 1]:[Hole 18]],
  MATCH(1, (CourseYardages[Course]=C207)*(CourseYardages[Tees]=E207), 0),
  MATCH(G207, CourseYardages[[#Headers],[Hole 1]:[Hole 18]], 0)
),"")</f>
        <v>347</v>
      </c>
      <c r="J207" cm="1">
        <f t="array" ref="J207">IFERROR(INDEX(CourseHandicap[[Hole 1]:[Hole 18]],
  MATCH(1, (CourseHandicap[Course]=C207)*(CourseHandicap[Tees]=E207), 0),
  MATCH(G207, CourseHandicap[[#Headers],[Hole 1]:[Hole 18]], 0)
),"")</f>
        <v>13</v>
      </c>
      <c r="K207" cm="1">
        <f t="array" ref="K207">IFERROR(INDEX(CourseRatings[[Hole 1]:[Hole 18]],
  MATCH(1, (CourseRatings[Course]=C207)*(CourseRatings[Tees]=E207), 0),
  MATCH(G207, CourseRatings[[#Headers],[Hole 1]:[Hole 18]], 0)
),"")</f>
        <v>4</v>
      </c>
      <c r="L207" cm="1">
        <f t="array" ref="L207">IFERROR(
  INDEX('Golf Log'!$E$2:$V$72,
    MATCH(1,
      ('Golf Log'!$A$2:$A$72=$A207)*
      ('Golf Log'!$B$2:$B$72=$B207)*
      ('Golf Log'!$C$2:$C$72=$C207),
    0),
    MATCH($G207,'Golf Log'!$E$1:$V$1,0)
  ),
"")</f>
        <v>5</v>
      </c>
      <c r="M207">
        <f t="shared" si="11"/>
        <v>1</v>
      </c>
      <c r="N207" t="str">
        <f t="shared" si="5"/>
        <v>Bogey</v>
      </c>
      <c r="O207" cm="1">
        <f t="array" ref="O207">IFERROR(
  INDEX('Putt Log'!$E$2:$V$72,
    MATCH(1,
      ('Putt Log'!$A$2:$A$72=$A207)*
      ('Putt Log'!$B$2:$B$72=$B207)*
      ('Putt Log'!$C$2:$C$72=$C207),
    0),
    MATCH($G207,'Putt Log'!$E$1:$V$1,0)
  ),
"")</f>
        <v>2</v>
      </c>
      <c r="P207" t="str" cm="1">
        <f t="array" ref="P207">IF(K207=3,"",
  IFERROR(
    INDEX('Fairway Log'!$E$2:$V$72,
      MATCH(1,
        ('Fairway Log'!$A$2:$A$72=$A207)*
        ('Fairway Log'!$B$2:$B$72=$B207)*
        ('Fairway Log'!$C$2:$C278=$C207),
      0),
      MATCH($G207,'Fairway Log'!$E$1:$V$1,0)
    ),
  "")
)</f>
        <v>←</v>
      </c>
      <c r="Q207" t="str" cm="1">
        <f t="array" ref="Q207">IFERROR(
  INDEX('GIR Log'!$E$2:$V$72,
    MATCH(1,
      ('GIR Log'!$A$2:$A$72=$A207)*
      ('GIR Log'!$B$2:$B$72=$B207)*
      ('GIR Log'!$C$2:$C$72=$C207),
    0),
    MATCH($G207,'GIR Log'!$E$1:$V$1,0)
  ),
"")</f>
        <v>→</v>
      </c>
    </row>
    <row r="208" spans="1:17" x14ac:dyDescent="0.25">
      <c r="A208" s="20" t="s">
        <v>126</v>
      </c>
      <c r="B208" s="2">
        <v>45487</v>
      </c>
      <c r="C208" t="s">
        <v>3</v>
      </c>
      <c r="D208" t="s">
        <v>3</v>
      </c>
      <c r="E208" t="s">
        <v>34</v>
      </c>
      <c r="F208">
        <v>78</v>
      </c>
      <c r="G208" t="s">
        <v>55</v>
      </c>
      <c r="H208" s="9">
        <f t="shared" si="12"/>
        <v>9</v>
      </c>
      <c r="I208" cm="1">
        <f t="array" ref="I208">IFERROR(INDEX(CourseYardages[[Hole 1]:[Hole 18]],
  MATCH(1, (CourseYardages[Course]=C208)*(CourseYardages[Tees]=E208), 0),
  MATCH(G208, CourseYardages[[#Headers],[Hole 1]:[Hole 18]], 0)
),"")</f>
        <v>560</v>
      </c>
      <c r="J208" cm="1">
        <f t="array" ref="J208">IFERROR(INDEX(CourseHandicap[[Hole 1]:[Hole 18]],
  MATCH(1, (CourseHandicap[Course]=C208)*(CourseHandicap[Tees]=E208), 0),
  MATCH(G208, CourseHandicap[[#Headers],[Hole 1]:[Hole 18]], 0)
),"")</f>
        <v>1</v>
      </c>
      <c r="K208" cm="1">
        <f t="array" ref="K208">IFERROR(INDEX(CourseRatings[[Hole 1]:[Hole 18]],
  MATCH(1, (CourseRatings[Course]=C208)*(CourseRatings[Tees]=E208), 0),
  MATCH(G208, CourseRatings[[#Headers],[Hole 1]:[Hole 18]], 0)
),"")</f>
        <v>5</v>
      </c>
      <c r="L208" cm="1">
        <f t="array" ref="L208">IFERROR(
  INDEX('Golf Log'!$E$2:$V$72,
    MATCH(1,
      ('Golf Log'!$A$2:$A$72=$A208)*
      ('Golf Log'!$B$2:$B$72=$B208)*
      ('Golf Log'!$C$2:$C$72=$C208),
    0),
    MATCH($G208,'Golf Log'!$E$1:$V$1,0)
  ),
"")</f>
        <v>5</v>
      </c>
      <c r="M208">
        <f t="shared" si="11"/>
        <v>0</v>
      </c>
      <c r="N208" t="str">
        <f t="shared" si="5"/>
        <v>Par</v>
      </c>
      <c r="O208" cm="1">
        <f t="array" ref="O208">IFERROR(
  INDEX('Putt Log'!$E$2:$V$72,
    MATCH(1,
      ('Putt Log'!$A$2:$A$72=$A208)*
      ('Putt Log'!$B$2:$B$72=$B208)*
      ('Putt Log'!$C$2:$C$72=$C208),
    0),
    MATCH($G208,'Putt Log'!$E$1:$V$1,0)
  ),
"")</f>
        <v>2</v>
      </c>
      <c r="P208" t="str" cm="1">
        <f t="array" ref="P208">IF(K208=3,"",
  IFERROR(
    INDEX('Fairway Log'!$E$2:$V$72,
      MATCH(1,
        ('Fairway Log'!$A$2:$A$72=$A208)*
        ('Fairway Log'!$B$2:$B$72=$B208)*
        ('Fairway Log'!$C$2:$C279=$C208),
      0),
      MATCH($G208,'Fairway Log'!$E$1:$V$1,0)
    ),
  "")
)</f>
        <v>←</v>
      </c>
      <c r="Q208" cm="1">
        <f t="array" ref="Q208">IFERROR(
  INDEX('GIR Log'!$E$2:$V$72,
    MATCH(1,
      ('GIR Log'!$A$2:$A$72=$A208)*
      ('GIR Log'!$B$2:$B$72=$B208)*
      ('GIR Log'!$C$2:$C$72=$C208),
    0),
    MATCH($G208,'GIR Log'!$E$1:$V$1,0)
  ),
"")</f>
        <v>1</v>
      </c>
    </row>
    <row r="209" spans="1:17" x14ac:dyDescent="0.25">
      <c r="A209" s="20" t="s">
        <v>126</v>
      </c>
      <c r="B209" s="2">
        <v>45487</v>
      </c>
      <c r="C209" t="s">
        <v>3</v>
      </c>
      <c r="D209" t="s">
        <v>3</v>
      </c>
      <c r="E209" t="s">
        <v>34</v>
      </c>
      <c r="F209">
        <v>78</v>
      </c>
      <c r="G209" t="s">
        <v>56</v>
      </c>
      <c r="H209" s="9">
        <f t="shared" si="12"/>
        <v>10</v>
      </c>
      <c r="I209" cm="1">
        <f t="array" ref="I209">IFERROR(INDEX(CourseYardages[[Hole 1]:[Hole 18]],
  MATCH(1, (CourseYardages[Course]=C209)*(CourseYardages[Tees]=E209), 0),
  MATCH(G209, CourseYardages[[#Headers],[Hole 1]:[Hole 18]], 0)
),"")</f>
        <v>343</v>
      </c>
      <c r="J209" cm="1">
        <f t="array" ref="J209">IFERROR(INDEX(CourseHandicap[[Hole 1]:[Hole 18]],
  MATCH(1, (CourseHandicap[Course]=C209)*(CourseHandicap[Tees]=E209), 0),
  MATCH(G209, CourseHandicap[[#Headers],[Hole 1]:[Hole 18]], 0)
),"")</f>
        <v>12</v>
      </c>
      <c r="K209" cm="1">
        <f t="array" ref="K209">IFERROR(INDEX(CourseRatings[[Hole 1]:[Hole 18]],
  MATCH(1, (CourseRatings[Course]=C209)*(CourseRatings[Tees]=E209), 0),
  MATCH(G209, CourseRatings[[#Headers],[Hole 1]:[Hole 18]], 0)
),"")</f>
        <v>4</v>
      </c>
      <c r="L209" cm="1">
        <f t="array" ref="L209">IFERROR(
  INDEX('Golf Log'!$E$2:$V$72,
    MATCH(1,
      ('Golf Log'!$A$2:$A$72=$A209)*
      ('Golf Log'!$B$2:$B$72=$B209)*
      ('Golf Log'!$C$2:$C$72=$C209),
    0),
    MATCH($G209,'Golf Log'!$E$1:$V$1,0)
  ),
"")</f>
        <v>5</v>
      </c>
      <c r="M209">
        <f t="shared" si="11"/>
        <v>1</v>
      </c>
      <c r="N209" t="str">
        <f t="shared" si="5"/>
        <v>Bogey</v>
      </c>
      <c r="O209" cm="1">
        <f t="array" ref="O209">IFERROR(
  INDEX('Putt Log'!$E$2:$V$72,
    MATCH(1,
      ('Putt Log'!$A$2:$A$72=$A209)*
      ('Putt Log'!$B$2:$B$72=$B209)*
      ('Putt Log'!$C$2:$C$72=$C209),
    0),
    MATCH($G209,'Putt Log'!$E$1:$V$1,0)
  ),
"")</f>
        <v>1</v>
      </c>
      <c r="P209" t="str" cm="1">
        <f t="array" ref="P209">IF(K209=3,"",
  IFERROR(
    INDEX('Fairway Log'!$E$2:$V$72,
      MATCH(1,
        ('Fairway Log'!$A$2:$A$72=$A209)*
        ('Fairway Log'!$B$2:$B$72=$B209)*
        ('Fairway Log'!$C$2:$C280=$C209),
      0),
      MATCH($G209,'Fairway Log'!$E$1:$V$1,0)
    ),
  "")
)</f>
        <v>←</v>
      </c>
      <c r="Q209" t="str" cm="1">
        <f t="array" ref="Q209">IFERROR(
  INDEX('GIR Log'!$E$2:$V$72,
    MATCH(1,
      ('GIR Log'!$A$2:$A$72=$A209)*
      ('GIR Log'!$B$2:$B$72=$B209)*
      ('GIR Log'!$C$2:$C$72=$C209),
    0),
    MATCH($G209,'GIR Log'!$E$1:$V$1,0)
  ),
"")</f>
        <v>NC</v>
      </c>
    </row>
    <row r="210" spans="1:17" x14ac:dyDescent="0.25">
      <c r="A210" s="20" t="s">
        <v>126</v>
      </c>
      <c r="B210" s="2">
        <v>45487</v>
      </c>
      <c r="C210" t="s">
        <v>3</v>
      </c>
      <c r="D210" t="s">
        <v>3</v>
      </c>
      <c r="E210" t="s">
        <v>34</v>
      </c>
      <c r="F210">
        <v>78</v>
      </c>
      <c r="G210" t="s">
        <v>57</v>
      </c>
      <c r="H210" s="9">
        <f t="shared" si="12"/>
        <v>11</v>
      </c>
      <c r="I210" cm="1">
        <f t="array" ref="I210">IFERROR(INDEX(CourseYardages[[Hole 1]:[Hole 18]],
  MATCH(1, (CourseYardages[Course]=C210)*(CourseYardages[Tees]=E210), 0),
  MATCH(G210, CourseYardages[[#Headers],[Hole 1]:[Hole 18]], 0)
),"")</f>
        <v>171</v>
      </c>
      <c r="J210" cm="1">
        <f t="array" ref="J210">IFERROR(INDEX(CourseHandicap[[Hole 1]:[Hole 18]],
  MATCH(1, (CourseHandicap[Course]=C210)*(CourseHandicap[Tees]=E210), 0),
  MATCH(G210, CourseHandicap[[#Headers],[Hole 1]:[Hole 18]], 0)
),"")</f>
        <v>16</v>
      </c>
      <c r="K210" cm="1">
        <f t="array" ref="K210">IFERROR(INDEX(CourseRatings[[Hole 1]:[Hole 18]],
  MATCH(1, (CourseRatings[Course]=C210)*(CourseRatings[Tees]=E210), 0),
  MATCH(G210, CourseRatings[[#Headers],[Hole 1]:[Hole 18]], 0)
),"")</f>
        <v>3</v>
      </c>
      <c r="L210" cm="1">
        <f t="array" ref="L210">IFERROR(
  INDEX('Golf Log'!$E$2:$V$72,
    MATCH(1,
      ('Golf Log'!$A$2:$A$72=$A210)*
      ('Golf Log'!$B$2:$B$72=$B210)*
      ('Golf Log'!$C$2:$C$72=$C210),
    0),
    MATCH($G210,'Golf Log'!$E$1:$V$1,0)
  ),
"")</f>
        <v>4</v>
      </c>
      <c r="M210">
        <f t="shared" si="11"/>
        <v>1</v>
      </c>
      <c r="N210" t="str">
        <f t="shared" si="5"/>
        <v>Bogey</v>
      </c>
      <c r="O210" cm="1">
        <f t="array" ref="O210">IFERROR(
  INDEX('Putt Log'!$E$2:$V$72,
    MATCH(1,
      ('Putt Log'!$A$2:$A$72=$A210)*
      ('Putt Log'!$B$2:$B$72=$B210)*
      ('Putt Log'!$C$2:$C$72=$C210),
    0),
    MATCH($G210,'Putt Log'!$E$1:$V$1,0)
  ),
"")</f>
        <v>2</v>
      </c>
      <c r="P210" t="str" cm="1">
        <f t="array" ref="P210">IF(K210=3,"",
  IFERROR(
    INDEX('Fairway Log'!$E$2:$V$72,
      MATCH(1,
        ('Fairway Log'!$A$2:$A$72=$A210)*
        ('Fairway Log'!$B$2:$B$72=$B210)*
        ('Fairway Log'!$C$2:$C281=$C210),
      0),
      MATCH($G210,'Fairway Log'!$E$1:$V$1,0)
    ),
  "")
)</f>
        <v/>
      </c>
      <c r="Q210" t="str" cm="1">
        <f t="array" ref="Q210">IFERROR(
  INDEX('GIR Log'!$E$2:$V$72,
    MATCH(1,
      ('GIR Log'!$A$2:$A$72=$A210)*
      ('GIR Log'!$B$2:$B$72=$B210)*
      ('GIR Log'!$C$2:$C$72=$C210),
    0),
    MATCH($G210,'GIR Log'!$E$1:$V$1,0)
  ),
"")</f>
        <v>↓</v>
      </c>
    </row>
    <row r="211" spans="1:17" x14ac:dyDescent="0.25">
      <c r="A211" s="20" t="s">
        <v>126</v>
      </c>
      <c r="B211" s="2">
        <v>45487</v>
      </c>
      <c r="C211" t="s">
        <v>3</v>
      </c>
      <c r="D211" t="s">
        <v>3</v>
      </c>
      <c r="E211" t="s">
        <v>34</v>
      </c>
      <c r="F211">
        <v>78</v>
      </c>
      <c r="G211" t="s">
        <v>58</v>
      </c>
      <c r="H211" s="9">
        <f t="shared" si="12"/>
        <v>12</v>
      </c>
      <c r="I211" cm="1">
        <f t="array" ref="I211">IFERROR(INDEX(CourseYardages[[Hole 1]:[Hole 18]],
  MATCH(1, (CourseYardages[Course]=C211)*(CourseYardages[Tees]=E211), 0),
  MATCH(G211, CourseYardages[[#Headers],[Hole 1]:[Hole 18]], 0)
),"")</f>
        <v>291</v>
      </c>
      <c r="J211" cm="1">
        <f t="array" ref="J211">IFERROR(INDEX(CourseHandicap[[Hole 1]:[Hole 18]],
  MATCH(1, (CourseHandicap[Course]=C211)*(CourseHandicap[Tees]=E211), 0),
  MATCH(G211, CourseHandicap[[#Headers],[Hole 1]:[Hole 18]], 0)
),"")</f>
        <v>18</v>
      </c>
      <c r="K211" cm="1">
        <f t="array" ref="K211">IFERROR(INDEX(CourseRatings[[Hole 1]:[Hole 18]],
  MATCH(1, (CourseRatings[Course]=C211)*(CourseRatings[Tees]=E211), 0),
  MATCH(G211, CourseRatings[[#Headers],[Hole 1]:[Hole 18]], 0)
),"")</f>
        <v>4</v>
      </c>
      <c r="L211" cm="1">
        <f t="array" ref="L211">IFERROR(
  INDEX('Golf Log'!$E$2:$V$72,
    MATCH(1,
      ('Golf Log'!$A$2:$A$72=$A211)*
      ('Golf Log'!$B$2:$B$72=$B211)*
      ('Golf Log'!$C$2:$C$72=$C211),
    0),
    MATCH($G211,'Golf Log'!$E$1:$V$1,0)
  ),
"")</f>
        <v>4</v>
      </c>
      <c r="M211">
        <f t="shared" si="11"/>
        <v>0</v>
      </c>
      <c r="N211" t="str">
        <f t="shared" si="5"/>
        <v>Par</v>
      </c>
      <c r="O211" cm="1">
        <f t="array" ref="O211">IFERROR(
  INDEX('Putt Log'!$E$2:$V$72,
    MATCH(1,
      ('Putt Log'!$A$2:$A$72=$A211)*
      ('Putt Log'!$B$2:$B$72=$B211)*
      ('Putt Log'!$C$2:$C$72=$C211),
    0),
    MATCH($G211,'Putt Log'!$E$1:$V$1,0)
  ),
"")</f>
        <v>1</v>
      </c>
      <c r="P211" t="str" cm="1">
        <f t="array" ref="P211">IF(K211=3,"",
  IFERROR(
    INDEX('Fairway Log'!$E$2:$V$72,
      MATCH(1,
        ('Fairway Log'!$A$2:$A$72=$A211)*
        ('Fairway Log'!$B$2:$B$72=$B211)*
        ('Fairway Log'!$C$2:$C282=$C211),
      0),
      MATCH($G211,'Fairway Log'!$E$1:$V$1,0)
    ),
  "")
)</f>
        <v>↑</v>
      </c>
      <c r="Q211" t="str" cm="1">
        <f t="array" ref="Q211">IFERROR(
  INDEX('GIR Log'!$E$2:$V$72,
    MATCH(1,
      ('GIR Log'!$A$2:$A$72=$A211)*
      ('GIR Log'!$B$2:$B$72=$B211)*
      ('GIR Log'!$C$2:$C$72=$C211),
    0),
    MATCH($G211,'GIR Log'!$E$1:$V$1,0)
  ),
"")</f>
        <v>↓</v>
      </c>
    </row>
    <row r="212" spans="1:17" x14ac:dyDescent="0.25">
      <c r="A212" s="20" t="s">
        <v>126</v>
      </c>
      <c r="B212" s="2">
        <v>45487</v>
      </c>
      <c r="C212" t="s">
        <v>3</v>
      </c>
      <c r="D212" t="s">
        <v>3</v>
      </c>
      <c r="E212" t="s">
        <v>34</v>
      </c>
      <c r="F212">
        <v>78</v>
      </c>
      <c r="G212" t="s">
        <v>59</v>
      </c>
      <c r="H212" s="9">
        <f t="shared" si="12"/>
        <v>13</v>
      </c>
      <c r="I212" cm="1">
        <f t="array" ref="I212">IFERROR(INDEX(CourseYardages[[Hole 1]:[Hole 18]],
  MATCH(1, (CourseYardages[Course]=C212)*(CourseYardages[Tees]=E212), 0),
  MATCH(G212, CourseYardages[[#Headers],[Hole 1]:[Hole 18]], 0)
),"")</f>
        <v>572</v>
      </c>
      <c r="J212" cm="1">
        <f t="array" ref="J212">IFERROR(INDEX(CourseHandicap[[Hole 1]:[Hole 18]],
  MATCH(1, (CourseHandicap[Course]=C212)*(CourseHandicap[Tees]=E212), 0),
  MATCH(G212, CourseHandicap[[#Headers],[Hole 1]:[Hole 18]], 0)
),"")</f>
        <v>2</v>
      </c>
      <c r="K212" cm="1">
        <f t="array" ref="K212">IFERROR(INDEX(CourseRatings[[Hole 1]:[Hole 18]],
  MATCH(1, (CourseRatings[Course]=C212)*(CourseRatings[Tees]=E212), 0),
  MATCH(G212, CourseRatings[[#Headers],[Hole 1]:[Hole 18]], 0)
),"")</f>
        <v>5</v>
      </c>
      <c r="L212" cm="1">
        <f t="array" ref="L212">IFERROR(
  INDEX('Golf Log'!$E$2:$V$72,
    MATCH(1,
      ('Golf Log'!$A$2:$A$72=$A212)*
      ('Golf Log'!$B$2:$B$72=$B212)*
      ('Golf Log'!$C$2:$C$72=$C212),
    0),
    MATCH($G212,'Golf Log'!$E$1:$V$1,0)
  ),
"")</f>
        <v>5</v>
      </c>
      <c r="M212">
        <f t="shared" si="11"/>
        <v>0</v>
      </c>
      <c r="N212" t="str">
        <f t="shared" si="5"/>
        <v>Par</v>
      </c>
      <c r="O212" cm="1">
        <f t="array" ref="O212">IFERROR(
  INDEX('Putt Log'!$E$2:$V$72,
    MATCH(1,
      ('Putt Log'!$A$2:$A$72=$A212)*
      ('Putt Log'!$B$2:$B$72=$B212)*
      ('Putt Log'!$C$2:$C$72=$C212),
    0),
    MATCH($G212,'Putt Log'!$E$1:$V$1,0)
  ),
"")</f>
        <v>2</v>
      </c>
      <c r="P212" t="str" cm="1">
        <f t="array" ref="P212">IF(K212=3,"",
  IFERROR(
    INDEX('Fairway Log'!$E$2:$V$72,
      MATCH(1,
        ('Fairway Log'!$A$2:$A$72=$A212)*
        ('Fairway Log'!$B$2:$B$72=$B212)*
        ('Fairway Log'!$C$2:$C283=$C212),
      0),
      MATCH($G212,'Fairway Log'!$E$1:$V$1,0)
    ),
  "")
)</f>
        <v>→</v>
      </c>
      <c r="Q212" cm="1">
        <f t="array" ref="Q212">IFERROR(
  INDEX('GIR Log'!$E$2:$V$72,
    MATCH(1,
      ('GIR Log'!$A$2:$A$72=$A212)*
      ('GIR Log'!$B$2:$B$72=$B212)*
      ('GIR Log'!$C$2:$C$72=$C212),
    0),
    MATCH($G212,'GIR Log'!$E$1:$V$1,0)
  ),
"")</f>
        <v>1</v>
      </c>
    </row>
    <row r="213" spans="1:17" x14ac:dyDescent="0.25">
      <c r="A213" s="20" t="s">
        <v>126</v>
      </c>
      <c r="B213" s="2">
        <v>45487</v>
      </c>
      <c r="C213" t="s">
        <v>3</v>
      </c>
      <c r="D213" t="s">
        <v>3</v>
      </c>
      <c r="E213" t="s">
        <v>34</v>
      </c>
      <c r="F213">
        <v>78</v>
      </c>
      <c r="G213" t="s">
        <v>60</v>
      </c>
      <c r="H213" s="9">
        <f t="shared" si="12"/>
        <v>14</v>
      </c>
      <c r="I213" cm="1">
        <f t="array" ref="I213">IFERROR(INDEX(CourseYardages[[Hole 1]:[Hole 18]],
  MATCH(1, (CourseYardages[Course]=C213)*(CourseYardages[Tees]=E213), 0),
  MATCH(G213, CourseYardages[[#Headers],[Hole 1]:[Hole 18]], 0)
),"")</f>
        <v>366</v>
      </c>
      <c r="J213" cm="1">
        <f t="array" ref="J213">IFERROR(INDEX(CourseHandicap[[Hole 1]:[Hole 18]],
  MATCH(1, (CourseHandicap[Course]=C213)*(CourseHandicap[Tees]=E213), 0),
  MATCH(G213, CourseHandicap[[#Headers],[Hole 1]:[Hole 18]], 0)
),"")</f>
        <v>14</v>
      </c>
      <c r="K213" cm="1">
        <f t="array" ref="K213">IFERROR(INDEX(CourseRatings[[Hole 1]:[Hole 18]],
  MATCH(1, (CourseRatings[Course]=C213)*(CourseRatings[Tees]=E213), 0),
  MATCH(G213, CourseRatings[[#Headers],[Hole 1]:[Hole 18]], 0)
),"")</f>
        <v>4</v>
      </c>
      <c r="L213" cm="1">
        <f t="array" ref="L213">IFERROR(
  INDEX('Golf Log'!$E$2:$V$72,
    MATCH(1,
      ('Golf Log'!$A$2:$A$72=$A213)*
      ('Golf Log'!$B$2:$B$72=$B213)*
      ('Golf Log'!$C$2:$C$72=$C213),
    0),
    MATCH($G213,'Golf Log'!$E$1:$V$1,0)
  ),
"")</f>
        <v>4</v>
      </c>
      <c r="M213">
        <f t="shared" si="11"/>
        <v>0</v>
      </c>
      <c r="N213" t="str">
        <f t="shared" si="5"/>
        <v>Par</v>
      </c>
      <c r="O213" cm="1">
        <f t="array" ref="O213">IFERROR(
  INDEX('Putt Log'!$E$2:$V$72,
    MATCH(1,
      ('Putt Log'!$A$2:$A$72=$A213)*
      ('Putt Log'!$B$2:$B$72=$B213)*
      ('Putt Log'!$C$2:$C$72=$C213),
    0),
    MATCH($G213,'Putt Log'!$E$1:$V$1,0)
  ),
"")</f>
        <v>2</v>
      </c>
      <c r="P213" t="str" cm="1">
        <f t="array" ref="P213">IF(K213=3,"",
  IFERROR(
    INDEX('Fairway Log'!$E$2:$V$72,
      MATCH(1,
        ('Fairway Log'!$A$2:$A$72=$A213)*
        ('Fairway Log'!$B$2:$B$72=$B213)*
        ('Fairway Log'!$C$2:$C284=$C213),
      0),
      MATCH($G213,'Fairway Log'!$E$1:$V$1,0)
    ),
  "")
)</f>
        <v>→</v>
      </c>
      <c r="Q213" cm="1">
        <f t="array" ref="Q213">IFERROR(
  INDEX('GIR Log'!$E$2:$V$72,
    MATCH(1,
      ('GIR Log'!$A$2:$A$72=$A213)*
      ('GIR Log'!$B$2:$B$72=$B213)*
      ('GIR Log'!$C$2:$C$72=$C213),
    0),
    MATCH($G213,'GIR Log'!$E$1:$V$1,0)
  ),
"")</f>
        <v>1</v>
      </c>
    </row>
    <row r="214" spans="1:17" x14ac:dyDescent="0.25">
      <c r="A214" s="20" t="s">
        <v>126</v>
      </c>
      <c r="B214" s="2">
        <v>45487</v>
      </c>
      <c r="C214" t="s">
        <v>3</v>
      </c>
      <c r="D214" t="s">
        <v>3</v>
      </c>
      <c r="E214" t="s">
        <v>34</v>
      </c>
      <c r="F214">
        <v>78</v>
      </c>
      <c r="G214" t="s">
        <v>61</v>
      </c>
      <c r="H214" s="9">
        <f t="shared" si="12"/>
        <v>15</v>
      </c>
      <c r="I214" cm="1">
        <f t="array" ref="I214">IFERROR(INDEX(CourseYardages[[Hole 1]:[Hole 18]],
  MATCH(1, (CourseYardages[Course]=C214)*(CourseYardages[Tees]=E214), 0),
  MATCH(G214, CourseYardages[[#Headers],[Hole 1]:[Hole 18]], 0)
),"")</f>
        <v>207</v>
      </c>
      <c r="J214" cm="1">
        <f t="array" ref="J214">IFERROR(INDEX(CourseHandicap[[Hole 1]:[Hole 18]],
  MATCH(1, (CourseHandicap[Course]=C214)*(CourseHandicap[Tees]=E214), 0),
  MATCH(G214, CourseHandicap[[#Headers],[Hole 1]:[Hole 18]], 0)
),"")</f>
        <v>8</v>
      </c>
      <c r="K214" cm="1">
        <f t="array" ref="K214">IFERROR(INDEX(CourseRatings[[Hole 1]:[Hole 18]],
  MATCH(1, (CourseRatings[Course]=C214)*(CourseRatings[Tees]=E214), 0),
  MATCH(G214, CourseRatings[[#Headers],[Hole 1]:[Hole 18]], 0)
),"")</f>
        <v>3</v>
      </c>
      <c r="L214" cm="1">
        <f t="array" ref="L214">IFERROR(
  INDEX('Golf Log'!$E$2:$V$72,
    MATCH(1,
      ('Golf Log'!$A$2:$A$72=$A214)*
      ('Golf Log'!$B$2:$B$72=$B214)*
      ('Golf Log'!$C$2:$C$72=$C214),
    0),
    MATCH($G214,'Golf Log'!$E$1:$V$1,0)
  ),
"")</f>
        <v>4</v>
      </c>
      <c r="M214">
        <f t="shared" si="11"/>
        <v>1</v>
      </c>
      <c r="N214" t="str">
        <f t="shared" si="5"/>
        <v>Bogey</v>
      </c>
      <c r="O214" cm="1">
        <f t="array" ref="O214">IFERROR(
  INDEX('Putt Log'!$E$2:$V$72,
    MATCH(1,
      ('Putt Log'!$A$2:$A$72=$A214)*
      ('Putt Log'!$B$2:$B$72=$B214)*
      ('Putt Log'!$C$2:$C$72=$C214),
    0),
    MATCH($G214,'Putt Log'!$E$1:$V$1,0)
  ),
"")</f>
        <v>2</v>
      </c>
      <c r="P214" t="str" cm="1">
        <f t="array" ref="P214">IF(K214=3,"",
  IFERROR(
    INDEX('Fairway Log'!$E$2:$V$72,
      MATCH(1,
        ('Fairway Log'!$A$2:$A$72=$A214)*
        ('Fairway Log'!$B$2:$B$72=$B214)*
        ('Fairway Log'!$C$2:$C285=$C214),
      0),
      MATCH($G214,'Fairway Log'!$E$1:$V$1,0)
    ),
  "")
)</f>
        <v/>
      </c>
      <c r="Q214" t="str" cm="1">
        <f t="array" ref="Q214">IFERROR(
  INDEX('GIR Log'!$E$2:$V$72,
    MATCH(1,
      ('GIR Log'!$A$2:$A$72=$A214)*
      ('GIR Log'!$B$2:$B$72=$B214)*
      ('GIR Log'!$C$2:$C$72=$C214),
    0),
    MATCH($G214,'GIR Log'!$E$1:$V$1,0)
  ),
"")</f>
        <v>→</v>
      </c>
    </row>
    <row r="215" spans="1:17" x14ac:dyDescent="0.25">
      <c r="A215" s="20" t="s">
        <v>126</v>
      </c>
      <c r="B215" s="2">
        <v>45487</v>
      </c>
      <c r="C215" t="s">
        <v>3</v>
      </c>
      <c r="D215" t="s">
        <v>3</v>
      </c>
      <c r="E215" t="s">
        <v>34</v>
      </c>
      <c r="F215">
        <v>78</v>
      </c>
      <c r="G215" t="s">
        <v>62</v>
      </c>
      <c r="H215" s="9">
        <f t="shared" si="12"/>
        <v>16</v>
      </c>
      <c r="I215" cm="1">
        <f t="array" ref="I215">IFERROR(INDEX(CourseYardages[[Hole 1]:[Hole 18]],
  MATCH(1, (CourseYardages[Course]=C215)*(CourseYardages[Tees]=E215), 0),
  MATCH(G215, CourseYardages[[#Headers],[Hole 1]:[Hole 18]], 0)
),"")</f>
        <v>358</v>
      </c>
      <c r="J215" cm="1">
        <f t="array" ref="J215">IFERROR(INDEX(CourseHandicap[[Hole 1]:[Hole 18]],
  MATCH(1, (CourseHandicap[Course]=C215)*(CourseHandicap[Tees]=E215), 0),
  MATCH(G215, CourseHandicap[[#Headers],[Hole 1]:[Hole 18]], 0)
),"")</f>
        <v>10</v>
      </c>
      <c r="K215" cm="1">
        <f t="array" ref="K215">IFERROR(INDEX(CourseRatings[[Hole 1]:[Hole 18]],
  MATCH(1, (CourseRatings[Course]=C215)*(CourseRatings[Tees]=E215), 0),
  MATCH(G215, CourseRatings[[#Headers],[Hole 1]:[Hole 18]], 0)
),"")</f>
        <v>4</v>
      </c>
      <c r="L215" cm="1">
        <f t="array" ref="L215">IFERROR(
  INDEX('Golf Log'!$E$2:$V$72,
    MATCH(1,
      ('Golf Log'!$A$2:$A$72=$A215)*
      ('Golf Log'!$B$2:$B$72=$B215)*
      ('Golf Log'!$C$2:$C$72=$C215),
    0),
    MATCH($G215,'Golf Log'!$E$1:$V$1,0)
  ),
"")</f>
        <v>3</v>
      </c>
      <c r="M215">
        <f t="shared" si="11"/>
        <v>-1</v>
      </c>
      <c r="N215" t="str">
        <f t="shared" si="5"/>
        <v>Birdie</v>
      </c>
      <c r="O215" cm="1">
        <f t="array" ref="O215">IFERROR(
  INDEX('Putt Log'!$E$2:$V$72,
    MATCH(1,
      ('Putt Log'!$A$2:$A$72=$A215)*
      ('Putt Log'!$B$2:$B$72=$B215)*
      ('Putt Log'!$C$2:$C$72=$C215),
    0),
    MATCH($G215,'Putt Log'!$E$1:$V$1,0)
  ),
"")</f>
        <v>1</v>
      </c>
      <c r="P215" t="str" cm="1">
        <f t="array" ref="P215">IF(K215=3,"",
  IFERROR(
    INDEX('Fairway Log'!$E$2:$V$72,
      MATCH(1,
        ('Fairway Log'!$A$2:$A$72=$A215)*
        ('Fairway Log'!$B$2:$B$72=$B215)*
        ('Fairway Log'!$C$2:$C286=$C215),
      0),
      MATCH($G215,'Fairway Log'!$E$1:$V$1,0)
    ),
  "")
)</f>
        <v>→</v>
      </c>
      <c r="Q215" cm="1">
        <f t="array" ref="Q215">IFERROR(
  INDEX('GIR Log'!$E$2:$V$72,
    MATCH(1,
      ('GIR Log'!$A$2:$A$72=$A215)*
      ('GIR Log'!$B$2:$B$72=$B215)*
      ('GIR Log'!$C$2:$C$72=$C215),
    0),
    MATCH($G215,'GIR Log'!$E$1:$V$1,0)
  ),
"")</f>
        <v>1</v>
      </c>
    </row>
    <row r="216" spans="1:17" x14ac:dyDescent="0.25">
      <c r="A216" s="20" t="s">
        <v>126</v>
      </c>
      <c r="B216" s="2">
        <v>45487</v>
      </c>
      <c r="C216" t="s">
        <v>3</v>
      </c>
      <c r="D216" t="s">
        <v>3</v>
      </c>
      <c r="E216" t="s">
        <v>34</v>
      </c>
      <c r="F216">
        <v>78</v>
      </c>
      <c r="G216" t="s">
        <v>63</v>
      </c>
      <c r="H216" s="9">
        <f t="shared" si="12"/>
        <v>17</v>
      </c>
      <c r="I216" cm="1">
        <f t="array" ref="I216">IFERROR(INDEX(CourseYardages[[Hole 1]:[Hole 18]],
  MATCH(1, (CourseYardages[Course]=C216)*(CourseYardages[Tees]=E216), 0),
  MATCH(G216, CourseYardages[[#Headers],[Hole 1]:[Hole 18]], 0)
),"")</f>
        <v>418</v>
      </c>
      <c r="J216" cm="1">
        <f t="array" ref="J216">IFERROR(INDEX(CourseHandicap[[Hole 1]:[Hole 18]],
  MATCH(1, (CourseHandicap[Course]=C216)*(CourseHandicap[Tees]=E216), 0),
  MATCH(G216, CourseHandicap[[#Headers],[Hole 1]:[Hole 18]], 0)
),"")</f>
        <v>4</v>
      </c>
      <c r="K216" cm="1">
        <f t="array" ref="K216">IFERROR(INDEX(CourseRatings[[Hole 1]:[Hole 18]],
  MATCH(1, (CourseRatings[Course]=C216)*(CourseRatings[Tees]=E216), 0),
  MATCH(G216, CourseRatings[[#Headers],[Hole 1]:[Hole 18]], 0)
),"")</f>
        <v>4</v>
      </c>
      <c r="L216" cm="1">
        <f t="array" ref="L216">IFERROR(
  INDEX('Golf Log'!$E$2:$V$72,
    MATCH(1,
      ('Golf Log'!$A$2:$A$72=$A216)*
      ('Golf Log'!$B$2:$B$72=$B216)*
      ('Golf Log'!$C$2:$C$72=$C216),
    0),
    MATCH($G216,'Golf Log'!$E$1:$V$1,0)
  ),
"")</f>
        <v>5</v>
      </c>
      <c r="M216">
        <f t="shared" si="11"/>
        <v>1</v>
      </c>
      <c r="N216" t="str">
        <f t="shared" si="5"/>
        <v>Bogey</v>
      </c>
      <c r="O216" cm="1">
        <f t="array" ref="O216">IFERROR(
  INDEX('Putt Log'!$E$2:$V$72,
    MATCH(1,
      ('Putt Log'!$A$2:$A$72=$A216)*
      ('Putt Log'!$B$2:$B$72=$B216)*
      ('Putt Log'!$C$2:$C$72=$C216),
    0),
    MATCH($G216,'Putt Log'!$E$1:$V$1,0)
  ),
"")</f>
        <v>1</v>
      </c>
      <c r="P216" t="str" cm="1">
        <f t="array" ref="P216">IF(K216=3,"",
  IFERROR(
    INDEX('Fairway Log'!$E$2:$V$72,
      MATCH(1,
        ('Fairway Log'!$A$2:$A$72=$A216)*
        ('Fairway Log'!$B$2:$B$72=$B216)*
        ('Fairway Log'!$C$2:$C287=$C216),
      0),
      MATCH($G216,'Fairway Log'!$E$1:$V$1,0)
    ),
  "")
)</f>
        <v>←</v>
      </c>
      <c r="Q216" t="str" cm="1">
        <f t="array" ref="Q216">IFERROR(
  INDEX('GIR Log'!$E$2:$V$72,
    MATCH(1,
      ('GIR Log'!$A$2:$A$72=$A216)*
      ('GIR Log'!$B$2:$B$72=$B216)*
      ('GIR Log'!$C$2:$C$72=$C216),
    0),
    MATCH($G216,'GIR Log'!$E$1:$V$1,0)
  ),
"")</f>
        <v>↓</v>
      </c>
    </row>
    <row r="217" spans="1:17" x14ac:dyDescent="0.25">
      <c r="A217" s="20" t="s">
        <v>126</v>
      </c>
      <c r="B217" s="2">
        <v>45487</v>
      </c>
      <c r="C217" t="s">
        <v>3</v>
      </c>
      <c r="D217" t="s">
        <v>3</v>
      </c>
      <c r="E217" t="s">
        <v>34</v>
      </c>
      <c r="F217">
        <v>78</v>
      </c>
      <c r="G217" t="s">
        <v>64</v>
      </c>
      <c r="H217" s="9">
        <f t="shared" si="12"/>
        <v>18</v>
      </c>
      <c r="I217" cm="1">
        <f t="array" ref="I217">IFERROR(INDEX(CourseYardages[[Hole 1]:[Hole 18]],
  MATCH(1, (CourseYardages[Course]=C217)*(CourseYardages[Tees]=E217), 0),
  MATCH(G217, CourseYardages[[#Headers],[Hole 1]:[Hole 18]], 0)
),"")</f>
        <v>398</v>
      </c>
      <c r="J217" cm="1">
        <f t="array" ref="J217">IFERROR(INDEX(CourseHandicap[[Hole 1]:[Hole 18]],
  MATCH(1, (CourseHandicap[Course]=C217)*(CourseHandicap[Tees]=E217), 0),
  MATCH(G217, CourseHandicap[[#Headers],[Hole 1]:[Hole 18]], 0)
),"")</f>
        <v>6</v>
      </c>
      <c r="K217" cm="1">
        <f t="array" ref="K217">IFERROR(INDEX(CourseRatings[[Hole 1]:[Hole 18]],
  MATCH(1, (CourseRatings[Course]=C217)*(CourseRatings[Tees]=E217), 0),
  MATCH(G217, CourseRatings[[#Headers],[Hole 1]:[Hole 18]], 0)
),"")</f>
        <v>4</v>
      </c>
      <c r="L217" cm="1">
        <f t="array" ref="L217">IFERROR(
  INDEX('Golf Log'!$E$2:$V$72,
    MATCH(1,
      ('Golf Log'!$A$2:$A$72=$A217)*
      ('Golf Log'!$B$2:$B$72=$B217)*
      ('Golf Log'!$C$2:$C$72=$C217),
    0),
    MATCH($G217,'Golf Log'!$E$1:$V$1,0)
  ),
"")</f>
        <v>5</v>
      </c>
      <c r="M217">
        <f t="shared" si="11"/>
        <v>1</v>
      </c>
      <c r="N217" t="str">
        <f t="shared" si="5"/>
        <v>Bogey</v>
      </c>
      <c r="O217" cm="1">
        <f t="array" ref="O217">IFERROR(
  INDEX('Putt Log'!$E$2:$V$72,
    MATCH(1,
      ('Putt Log'!$A$2:$A$72=$A217)*
      ('Putt Log'!$B$2:$B$72=$B217)*
      ('Putt Log'!$C$2:$C$72=$C217),
    0),
    MATCH($G217,'Putt Log'!$E$1:$V$1,0)
  ),
"")</f>
        <v>2</v>
      </c>
      <c r="P217" t="str" cm="1">
        <f t="array" ref="P217">IF(K217=3,"",
  IFERROR(
    INDEX('Fairway Log'!$E$2:$V$72,
      MATCH(1,
        ('Fairway Log'!$A$2:$A$72=$A217)*
        ('Fairway Log'!$B$2:$B$72=$B217)*
        ('Fairway Log'!$C$2:$C288=$C217),
      0),
      MATCH($G217,'Fairway Log'!$E$1:$V$1,0)
    ),
  "")
)</f>
        <v>→</v>
      </c>
      <c r="Q217" t="str" cm="1">
        <f t="array" ref="Q217">IFERROR(
  INDEX('GIR Log'!$E$2:$V$72,
    MATCH(1,
      ('GIR Log'!$A$2:$A$72=$A217)*
      ('GIR Log'!$B$2:$B$72=$B217)*
      ('GIR Log'!$C$2:$C$72=$C217),
    0),
    MATCH($G217,'GIR Log'!$E$1:$V$1,0)
  ),
"")</f>
        <v>↓</v>
      </c>
    </row>
    <row r="218" spans="1:17" x14ac:dyDescent="0.25">
      <c r="A218" s="20" t="s">
        <v>126</v>
      </c>
      <c r="B218" s="2">
        <v>45480</v>
      </c>
      <c r="C218" t="s">
        <v>10</v>
      </c>
      <c r="D218" t="s">
        <v>10</v>
      </c>
      <c r="E218" t="s">
        <v>34</v>
      </c>
      <c r="F218">
        <v>80</v>
      </c>
      <c r="G218" t="s">
        <v>47</v>
      </c>
      <c r="H218" s="9">
        <f t="shared" si="12"/>
        <v>1</v>
      </c>
      <c r="I218" cm="1">
        <f t="array" ref="I218">IFERROR(INDEX(CourseYardages[[Hole 1]:[Hole 18]],
  MATCH(1, (CourseYardages[Course]=C218)*(CourseYardages[Tees]=E218), 0),
  MATCH(G218, CourseYardages[[#Headers],[Hole 1]:[Hole 18]], 0)
),"")</f>
        <v>471</v>
      </c>
      <c r="J218" cm="1">
        <f t="array" ref="J218">IFERROR(INDEX(CourseHandicap[[Hole 1]:[Hole 18]],
  MATCH(1, (CourseHandicap[Course]=C218)*(CourseHandicap[Tees]=E218), 0),
  MATCH(G218, CourseHandicap[[#Headers],[Hole 1]:[Hole 18]], 0)
),"")</f>
        <v>3</v>
      </c>
      <c r="K218" cm="1">
        <f t="array" ref="K218">IFERROR(INDEX(CourseRatings[[Hole 1]:[Hole 18]],
  MATCH(1, (CourseRatings[Course]=C218)*(CourseRatings[Tees]=E218), 0),
  MATCH(G218, CourseRatings[[#Headers],[Hole 1]:[Hole 18]], 0)
),"")</f>
        <v>4</v>
      </c>
      <c r="L218" cm="1">
        <f t="array" ref="L218">IFERROR(
  INDEX('Golf Log'!$E$2:$V$72,
    MATCH(1,
      ('Golf Log'!$A$2:$A$72=$A218)*
      ('Golf Log'!$B$2:$B$72=$B218)*
      ('Golf Log'!$C$2:$C$72=$C218),
    0),
    MATCH($G218,'Golf Log'!$E$1:$V$1,0)
  ),
"")</f>
        <v>5</v>
      </c>
      <c r="M218">
        <f t="shared" si="11"/>
        <v>1</v>
      </c>
      <c r="N218" t="str">
        <f t="shared" si="5"/>
        <v>Bogey</v>
      </c>
      <c r="O218" cm="1">
        <f t="array" ref="O218">IFERROR(
  INDEX('Putt Log'!$E$2:$V$72,
    MATCH(1,
      ('Putt Log'!$A$2:$A$72=$A218)*
      ('Putt Log'!$B$2:$B$72=$B218)*
      ('Putt Log'!$C$2:$C$72=$C218),
    0),
    MATCH($G218,'Putt Log'!$E$1:$V$1,0)
  ),
"")</f>
        <v>2</v>
      </c>
      <c r="P218" t="str" cm="1">
        <f t="array" ref="P218">IF(K218=3,"",
  IFERROR(
    INDEX('Fairway Log'!$E$2:$V$72,
      MATCH(1,
        ('Fairway Log'!$A$2:$A$72=$A218)*
        ('Fairway Log'!$B$2:$B$72=$B218)*
        ('Fairway Log'!$C$2:$C289=$C218),
      0),
      MATCH($G218,'Fairway Log'!$E$1:$V$1,0)
    ),
  "")
)</f>
        <v>←</v>
      </c>
      <c r="Q218" t="str" cm="1">
        <f t="array" ref="Q218">IFERROR(
  INDEX('GIR Log'!$E$2:$V$72,
    MATCH(1,
      ('GIR Log'!$A$2:$A$72=$A218)*
      ('GIR Log'!$B$2:$B$72=$B218)*
      ('GIR Log'!$C$2:$C$72=$C218),
    0),
    MATCH($G218,'GIR Log'!$E$1:$V$1,0)
  ),
"")</f>
        <v>→</v>
      </c>
    </row>
    <row r="219" spans="1:17" x14ac:dyDescent="0.25">
      <c r="A219" s="20" t="s">
        <v>126</v>
      </c>
      <c r="B219" s="2">
        <v>45480</v>
      </c>
      <c r="C219" t="s">
        <v>10</v>
      </c>
      <c r="D219" t="s">
        <v>10</v>
      </c>
      <c r="E219" t="s">
        <v>34</v>
      </c>
      <c r="F219">
        <v>80</v>
      </c>
      <c r="G219" t="s">
        <v>48</v>
      </c>
      <c r="H219" s="9">
        <f t="shared" si="12"/>
        <v>2</v>
      </c>
      <c r="I219" cm="1">
        <f t="array" ref="I219">IFERROR(INDEX(CourseYardages[[Hole 1]:[Hole 18]],
  MATCH(1, (CourseYardages[Course]=C219)*(CourseYardages[Tees]=E219), 0),
  MATCH(G219, CourseYardages[[#Headers],[Hole 1]:[Hole 18]], 0)
),"")</f>
        <v>401</v>
      </c>
      <c r="J219" cm="1">
        <f t="array" ref="J219">IFERROR(INDEX(CourseHandicap[[Hole 1]:[Hole 18]],
  MATCH(1, (CourseHandicap[Course]=C219)*(CourseHandicap[Tees]=E219), 0),
  MATCH(G219, CourseHandicap[[#Headers],[Hole 1]:[Hole 18]], 0)
),"")</f>
        <v>7</v>
      </c>
      <c r="K219" cm="1">
        <f t="array" ref="K219">IFERROR(INDEX(CourseRatings[[Hole 1]:[Hole 18]],
  MATCH(1, (CourseRatings[Course]=C219)*(CourseRatings[Tees]=E219), 0),
  MATCH(G219, CourseRatings[[#Headers],[Hole 1]:[Hole 18]], 0)
),"")</f>
        <v>4</v>
      </c>
      <c r="L219" cm="1">
        <f t="array" ref="L219">IFERROR(
  INDEX('Golf Log'!$E$2:$V$72,
    MATCH(1,
      ('Golf Log'!$A$2:$A$72=$A219)*
      ('Golf Log'!$B$2:$B$72=$B219)*
      ('Golf Log'!$C$2:$C$72=$C219),
    0),
    MATCH($G219,'Golf Log'!$E$1:$V$1,0)
  ),
"")</f>
        <v>4</v>
      </c>
      <c r="M219">
        <f t="shared" si="11"/>
        <v>0</v>
      </c>
      <c r="N219" t="str">
        <f t="shared" si="5"/>
        <v>Par</v>
      </c>
      <c r="O219" cm="1">
        <f t="array" ref="O219">IFERROR(
  INDEX('Putt Log'!$E$2:$V$72,
    MATCH(1,
      ('Putt Log'!$A$2:$A$72=$A219)*
      ('Putt Log'!$B$2:$B$72=$B219)*
      ('Putt Log'!$C$2:$C$72=$C219),
    0),
    MATCH($G219,'Putt Log'!$E$1:$V$1,0)
  ),
"")</f>
        <v>1</v>
      </c>
      <c r="P219" cm="1">
        <f t="array" ref="P219">IF(K219=3,"",
  IFERROR(
    INDEX('Fairway Log'!$E$2:$V$72,
      MATCH(1,
        ('Fairway Log'!$A$2:$A$72=$A219)*
        ('Fairway Log'!$B$2:$B$72=$B219)*
        ('Fairway Log'!$C$2:$C290=$C219),
      0),
      MATCH($G219,'Fairway Log'!$E$1:$V$1,0)
    ),
  "")
)</f>
        <v>1</v>
      </c>
      <c r="Q219" t="str" cm="1">
        <f t="array" ref="Q219">IFERROR(
  INDEX('GIR Log'!$E$2:$V$72,
    MATCH(1,
      ('GIR Log'!$A$2:$A$72=$A219)*
      ('GIR Log'!$B$2:$B$72=$B219)*
      ('GIR Log'!$C$2:$C$72=$C219),
    0),
    MATCH($G219,'GIR Log'!$E$1:$V$1,0)
  ),
"")</f>
        <v>←</v>
      </c>
    </row>
    <row r="220" spans="1:17" x14ac:dyDescent="0.25">
      <c r="A220" s="20" t="s">
        <v>126</v>
      </c>
      <c r="B220" s="2">
        <v>45480</v>
      </c>
      <c r="C220" t="s">
        <v>10</v>
      </c>
      <c r="D220" t="s">
        <v>10</v>
      </c>
      <c r="E220" t="s">
        <v>34</v>
      </c>
      <c r="F220">
        <v>80</v>
      </c>
      <c r="G220" t="s">
        <v>49</v>
      </c>
      <c r="H220" s="9">
        <f t="shared" si="12"/>
        <v>3</v>
      </c>
      <c r="I220" cm="1">
        <f t="array" ref="I220">IFERROR(INDEX(CourseYardages[[Hole 1]:[Hole 18]],
  MATCH(1, (CourseYardages[Course]=C220)*(CourseYardages[Tees]=E220), 0),
  MATCH(G220, CourseYardages[[#Headers],[Hole 1]:[Hole 18]], 0)
),"")</f>
        <v>382</v>
      </c>
      <c r="J220" cm="1">
        <f t="array" ref="J220">IFERROR(INDEX(CourseHandicap[[Hole 1]:[Hole 18]],
  MATCH(1, (CourseHandicap[Course]=C220)*(CourseHandicap[Tees]=E220), 0),
  MATCH(G220, CourseHandicap[[#Headers],[Hole 1]:[Hole 18]], 0)
),"")</f>
        <v>11</v>
      </c>
      <c r="K220" cm="1">
        <f t="array" ref="K220">IFERROR(INDEX(CourseRatings[[Hole 1]:[Hole 18]],
  MATCH(1, (CourseRatings[Course]=C220)*(CourseRatings[Tees]=E220), 0),
  MATCH(G220, CourseRatings[[#Headers],[Hole 1]:[Hole 18]], 0)
),"")</f>
        <v>4</v>
      </c>
      <c r="L220" cm="1">
        <f t="array" ref="L220">IFERROR(
  INDEX('Golf Log'!$E$2:$V$72,
    MATCH(1,
      ('Golf Log'!$A$2:$A$72=$A220)*
      ('Golf Log'!$B$2:$B$72=$B220)*
      ('Golf Log'!$C$2:$C$72=$C220),
    0),
    MATCH($G220,'Golf Log'!$E$1:$V$1,0)
  ),
"")</f>
        <v>5</v>
      </c>
      <c r="M220">
        <f t="shared" si="11"/>
        <v>1</v>
      </c>
      <c r="N220" t="str">
        <f t="shared" si="5"/>
        <v>Bogey</v>
      </c>
      <c r="O220" cm="1">
        <f t="array" ref="O220">IFERROR(
  INDEX('Putt Log'!$E$2:$V$72,
    MATCH(1,
      ('Putt Log'!$A$2:$A$72=$A220)*
      ('Putt Log'!$B$2:$B$72=$B220)*
      ('Putt Log'!$C$2:$C$72=$C220),
    0),
    MATCH($G220,'Putt Log'!$E$1:$V$1,0)
  ),
"")</f>
        <v>2</v>
      </c>
      <c r="P220" cm="1">
        <f t="array" ref="P220">IF(K220=3,"",
  IFERROR(
    INDEX('Fairway Log'!$E$2:$V$72,
      MATCH(1,
        ('Fairway Log'!$A$2:$A$72=$A220)*
        ('Fairway Log'!$B$2:$B$72=$B220)*
        ('Fairway Log'!$C$2:$C291=$C220),
      0),
      MATCH($G220,'Fairway Log'!$E$1:$V$1,0)
    ),
  "")
)</f>
        <v>1</v>
      </c>
      <c r="Q220" t="str" cm="1">
        <f t="array" ref="Q220">IFERROR(
  INDEX('GIR Log'!$E$2:$V$72,
    MATCH(1,
      ('GIR Log'!$A$2:$A$72=$A220)*
      ('GIR Log'!$B$2:$B$72=$B220)*
      ('GIR Log'!$C$2:$C$72=$C220),
    0),
    MATCH($G220,'GIR Log'!$E$1:$V$1,0)
  ),
"")</f>
        <v>↓</v>
      </c>
    </row>
    <row r="221" spans="1:17" x14ac:dyDescent="0.25">
      <c r="A221" s="20" t="s">
        <v>126</v>
      </c>
      <c r="B221" s="2">
        <v>45480</v>
      </c>
      <c r="C221" t="s">
        <v>10</v>
      </c>
      <c r="D221" t="s">
        <v>10</v>
      </c>
      <c r="E221" t="s">
        <v>34</v>
      </c>
      <c r="F221">
        <v>80</v>
      </c>
      <c r="G221" t="s">
        <v>50</v>
      </c>
      <c r="H221" s="9">
        <f t="shared" si="12"/>
        <v>4</v>
      </c>
      <c r="I221" cm="1">
        <f t="array" ref="I221">IFERROR(INDEX(CourseYardages[[Hole 1]:[Hole 18]],
  MATCH(1, (CourseYardages[Course]=C221)*(CourseYardages[Tees]=E221), 0),
  MATCH(G221, CourseYardages[[#Headers],[Hole 1]:[Hole 18]], 0)
),"")</f>
        <v>181</v>
      </c>
      <c r="J221" cm="1">
        <f t="array" ref="J221">IFERROR(INDEX(CourseHandicap[[Hole 1]:[Hole 18]],
  MATCH(1, (CourseHandicap[Course]=C221)*(CourseHandicap[Tees]=E221), 0),
  MATCH(G221, CourseHandicap[[#Headers],[Hole 1]:[Hole 18]], 0)
),"")</f>
        <v>15</v>
      </c>
      <c r="K221" cm="1">
        <f t="array" ref="K221">IFERROR(INDEX(CourseRatings[[Hole 1]:[Hole 18]],
  MATCH(1, (CourseRatings[Course]=C221)*(CourseRatings[Tees]=E221), 0),
  MATCH(G221, CourseRatings[[#Headers],[Hole 1]:[Hole 18]], 0)
),"")</f>
        <v>3</v>
      </c>
      <c r="L221" cm="1">
        <f t="array" ref="L221">IFERROR(
  INDEX('Golf Log'!$E$2:$V$72,
    MATCH(1,
      ('Golf Log'!$A$2:$A$72=$A221)*
      ('Golf Log'!$B$2:$B$72=$B221)*
      ('Golf Log'!$C$2:$C$72=$C221),
    0),
    MATCH($G221,'Golf Log'!$E$1:$V$1,0)
  ),
"")</f>
        <v>4</v>
      </c>
      <c r="M221">
        <f t="shared" si="11"/>
        <v>1</v>
      </c>
      <c r="N221" t="str">
        <f t="shared" si="5"/>
        <v>Bogey</v>
      </c>
      <c r="O221" cm="1">
        <f t="array" ref="O221">IFERROR(
  INDEX('Putt Log'!$E$2:$V$72,
    MATCH(1,
      ('Putt Log'!$A$2:$A$72=$A221)*
      ('Putt Log'!$B$2:$B$72=$B221)*
      ('Putt Log'!$C$2:$C$72=$C221),
    0),
    MATCH($G221,'Putt Log'!$E$1:$V$1,0)
  ),
"")</f>
        <v>2</v>
      </c>
      <c r="P221" t="str" cm="1">
        <f t="array" ref="P221">IF(K221=3,"",
  IFERROR(
    INDEX('Fairway Log'!$E$2:$V$72,
      MATCH(1,
        ('Fairway Log'!$A$2:$A$72=$A221)*
        ('Fairway Log'!$B$2:$B$72=$B221)*
        ('Fairway Log'!$C$2:$C292=$C221),
      0),
      MATCH($G221,'Fairway Log'!$E$1:$V$1,0)
    ),
  "")
)</f>
        <v/>
      </c>
      <c r="Q221" t="str" cm="1">
        <f t="array" ref="Q221">IFERROR(
  INDEX('GIR Log'!$E$2:$V$72,
    MATCH(1,
      ('GIR Log'!$A$2:$A$72=$A221)*
      ('GIR Log'!$B$2:$B$72=$B221)*
      ('GIR Log'!$C$2:$C$72=$C221),
    0),
    MATCH($G221,'GIR Log'!$E$1:$V$1,0)
  ),
"")</f>
        <v>←</v>
      </c>
    </row>
    <row r="222" spans="1:17" x14ac:dyDescent="0.25">
      <c r="A222" s="20" t="s">
        <v>126</v>
      </c>
      <c r="B222" s="2">
        <v>45480</v>
      </c>
      <c r="C222" t="s">
        <v>10</v>
      </c>
      <c r="D222" t="s">
        <v>10</v>
      </c>
      <c r="E222" t="s">
        <v>34</v>
      </c>
      <c r="F222">
        <v>80</v>
      </c>
      <c r="G222" t="s">
        <v>51</v>
      </c>
      <c r="H222" s="9">
        <f t="shared" si="12"/>
        <v>5</v>
      </c>
      <c r="I222" cm="1">
        <f t="array" ref="I222">IFERROR(INDEX(CourseYardages[[Hole 1]:[Hole 18]],
  MATCH(1, (CourseYardages[Course]=C222)*(CourseYardages[Tees]=E222), 0),
  MATCH(G222, CourseYardages[[#Headers],[Hole 1]:[Hole 18]], 0)
),"")</f>
        <v>528</v>
      </c>
      <c r="J222" cm="1">
        <f t="array" ref="J222">IFERROR(INDEX(CourseHandicap[[Hole 1]:[Hole 18]],
  MATCH(1, (CourseHandicap[Course]=C222)*(CourseHandicap[Tees]=E222), 0),
  MATCH(G222, CourseHandicap[[#Headers],[Hole 1]:[Hole 18]], 0)
),"")</f>
        <v>5</v>
      </c>
      <c r="K222" cm="1">
        <f t="array" ref="K222">IFERROR(INDEX(CourseRatings[[Hole 1]:[Hole 18]],
  MATCH(1, (CourseRatings[Course]=C222)*(CourseRatings[Tees]=E222), 0),
  MATCH(G222, CourseRatings[[#Headers],[Hole 1]:[Hole 18]], 0)
),"")</f>
        <v>5</v>
      </c>
      <c r="L222" cm="1">
        <f t="array" ref="L222">IFERROR(
  INDEX('Golf Log'!$E$2:$V$72,
    MATCH(1,
      ('Golf Log'!$A$2:$A$72=$A222)*
      ('Golf Log'!$B$2:$B$72=$B222)*
      ('Golf Log'!$C$2:$C$72=$C222),
    0),
    MATCH($G222,'Golf Log'!$E$1:$V$1,0)
  ),
"")</f>
        <v>5</v>
      </c>
      <c r="M222">
        <f t="shared" si="11"/>
        <v>0</v>
      </c>
      <c r="N222" t="str">
        <f t="shared" si="5"/>
        <v>Par</v>
      </c>
      <c r="O222" cm="1">
        <f t="array" ref="O222">IFERROR(
  INDEX('Putt Log'!$E$2:$V$72,
    MATCH(1,
      ('Putt Log'!$A$2:$A$72=$A222)*
      ('Putt Log'!$B$2:$B$72=$B222)*
      ('Putt Log'!$C$2:$C$72=$C222),
    0),
    MATCH($G222,'Putt Log'!$E$1:$V$1,0)
  ),
"")</f>
        <v>2</v>
      </c>
      <c r="P222" cm="1">
        <f t="array" ref="P222">IF(K222=3,"",
  IFERROR(
    INDEX('Fairway Log'!$E$2:$V$72,
      MATCH(1,
        ('Fairway Log'!$A$2:$A$72=$A222)*
        ('Fairway Log'!$B$2:$B$72=$B222)*
        ('Fairway Log'!$C$2:$C293=$C222),
      0),
      MATCH($G222,'Fairway Log'!$E$1:$V$1,0)
    ),
  "")
)</f>
        <v>1</v>
      </c>
      <c r="Q222" cm="1">
        <f t="array" ref="Q222">IFERROR(
  INDEX('GIR Log'!$E$2:$V$72,
    MATCH(1,
      ('GIR Log'!$A$2:$A$72=$A222)*
      ('GIR Log'!$B$2:$B$72=$B222)*
      ('GIR Log'!$C$2:$C$72=$C222),
    0),
    MATCH($G222,'GIR Log'!$E$1:$V$1,0)
  ),
"")</f>
        <v>1</v>
      </c>
    </row>
    <row r="223" spans="1:17" x14ac:dyDescent="0.25">
      <c r="A223" s="20" t="s">
        <v>126</v>
      </c>
      <c r="B223" s="2">
        <v>45480</v>
      </c>
      <c r="C223" t="s">
        <v>10</v>
      </c>
      <c r="D223" t="s">
        <v>10</v>
      </c>
      <c r="E223" t="s">
        <v>34</v>
      </c>
      <c r="F223">
        <v>80</v>
      </c>
      <c r="G223" t="s">
        <v>52</v>
      </c>
      <c r="H223" s="9">
        <f t="shared" si="12"/>
        <v>6</v>
      </c>
      <c r="I223" cm="1">
        <f t="array" ref="I223">IFERROR(INDEX(CourseYardages[[Hole 1]:[Hole 18]],
  MATCH(1, (CourseYardages[Course]=C223)*(CourseYardages[Tees]=E223), 0),
  MATCH(G223, CourseYardages[[#Headers],[Hole 1]:[Hole 18]], 0)
),"")</f>
        <v>350</v>
      </c>
      <c r="J223" cm="1">
        <f t="array" ref="J223">IFERROR(INDEX(CourseHandicap[[Hole 1]:[Hole 18]],
  MATCH(1, (CourseHandicap[Course]=C223)*(CourseHandicap[Tees]=E223), 0),
  MATCH(G223, CourseHandicap[[#Headers],[Hole 1]:[Hole 18]], 0)
),"")</f>
        <v>9</v>
      </c>
      <c r="K223" cm="1">
        <f t="array" ref="K223">IFERROR(INDEX(CourseRatings[[Hole 1]:[Hole 18]],
  MATCH(1, (CourseRatings[Course]=C223)*(CourseRatings[Tees]=E223), 0),
  MATCH(G223, CourseRatings[[#Headers],[Hole 1]:[Hole 18]], 0)
),"")</f>
        <v>4</v>
      </c>
      <c r="L223" cm="1">
        <f t="array" ref="L223">IFERROR(
  INDEX('Golf Log'!$E$2:$V$72,
    MATCH(1,
      ('Golf Log'!$A$2:$A$72=$A223)*
      ('Golf Log'!$B$2:$B$72=$B223)*
      ('Golf Log'!$C$2:$C$72=$C223),
    0),
    MATCH($G223,'Golf Log'!$E$1:$V$1,0)
  ),
"")</f>
        <v>5</v>
      </c>
      <c r="M223">
        <f t="shared" si="11"/>
        <v>1</v>
      </c>
      <c r="N223" t="str">
        <f t="shared" si="5"/>
        <v>Bogey</v>
      </c>
      <c r="O223" cm="1">
        <f t="array" ref="O223">IFERROR(
  INDEX('Putt Log'!$E$2:$V$72,
    MATCH(1,
      ('Putt Log'!$A$2:$A$72=$A223)*
      ('Putt Log'!$B$2:$B$72=$B223)*
      ('Putt Log'!$C$2:$C$72=$C223),
    0),
    MATCH($G223,'Putt Log'!$E$1:$V$1,0)
  ),
"")</f>
        <v>2</v>
      </c>
      <c r="P223" cm="1">
        <f t="array" ref="P223">IF(K223=3,"",
  IFERROR(
    INDEX('Fairway Log'!$E$2:$V$72,
      MATCH(1,
        ('Fairway Log'!$A$2:$A$72=$A223)*
        ('Fairway Log'!$B$2:$B$72=$B223)*
        ('Fairway Log'!$C$2:$C294=$C223),
      0),
      MATCH($G223,'Fairway Log'!$E$1:$V$1,0)
    ),
  "")
)</f>
        <v>1</v>
      </c>
      <c r="Q223" t="str" cm="1">
        <f t="array" ref="Q223">IFERROR(
  INDEX('GIR Log'!$E$2:$V$72,
    MATCH(1,
      ('GIR Log'!$A$2:$A$72=$A223)*
      ('GIR Log'!$B$2:$B$72=$B223)*
      ('GIR Log'!$C$2:$C$72=$C223),
    0),
    MATCH($G223,'GIR Log'!$E$1:$V$1,0)
  ),
"")</f>
        <v>↑</v>
      </c>
    </row>
    <row r="224" spans="1:17" x14ac:dyDescent="0.25">
      <c r="A224" s="20" t="s">
        <v>126</v>
      </c>
      <c r="B224" s="2">
        <v>45480</v>
      </c>
      <c r="C224" t="s">
        <v>10</v>
      </c>
      <c r="D224" t="s">
        <v>10</v>
      </c>
      <c r="E224" t="s">
        <v>34</v>
      </c>
      <c r="F224">
        <v>80</v>
      </c>
      <c r="G224" t="s">
        <v>53</v>
      </c>
      <c r="H224" s="9">
        <f t="shared" si="12"/>
        <v>7</v>
      </c>
      <c r="I224" cm="1">
        <f t="array" ref="I224">IFERROR(INDEX(CourseYardages[[Hole 1]:[Hole 18]],
  MATCH(1, (CourseYardages[Course]=C224)*(CourseYardages[Tees]=E224), 0),
  MATCH(G224, CourseYardages[[#Headers],[Hole 1]:[Hole 18]], 0)
),"")</f>
        <v>184</v>
      </c>
      <c r="J224" cm="1">
        <f t="array" ref="J224">IFERROR(INDEX(CourseHandicap[[Hole 1]:[Hole 18]],
  MATCH(1, (CourseHandicap[Course]=C224)*(CourseHandicap[Tees]=E224), 0),
  MATCH(G224, CourseHandicap[[#Headers],[Hole 1]:[Hole 18]], 0)
),"")</f>
        <v>17</v>
      </c>
      <c r="K224" cm="1">
        <f t="array" ref="K224">IFERROR(INDEX(CourseRatings[[Hole 1]:[Hole 18]],
  MATCH(1, (CourseRatings[Course]=C224)*(CourseRatings[Tees]=E224), 0),
  MATCH(G224, CourseRatings[[#Headers],[Hole 1]:[Hole 18]], 0)
),"")</f>
        <v>3</v>
      </c>
      <c r="L224" cm="1">
        <f t="array" ref="L224">IFERROR(
  INDEX('Golf Log'!$E$2:$V$72,
    MATCH(1,
      ('Golf Log'!$A$2:$A$72=$A224)*
      ('Golf Log'!$B$2:$B$72=$B224)*
      ('Golf Log'!$C$2:$C$72=$C224),
    0),
    MATCH($G224,'Golf Log'!$E$1:$V$1,0)
  ),
"")</f>
        <v>4</v>
      </c>
      <c r="M224">
        <f t="shared" si="11"/>
        <v>1</v>
      </c>
      <c r="N224" t="str">
        <f t="shared" si="5"/>
        <v>Bogey</v>
      </c>
      <c r="O224" cm="1">
        <f t="array" ref="O224">IFERROR(
  INDEX('Putt Log'!$E$2:$V$72,
    MATCH(1,
      ('Putt Log'!$A$2:$A$72=$A224)*
      ('Putt Log'!$B$2:$B$72=$B224)*
      ('Putt Log'!$C$2:$C$72=$C224),
    0),
    MATCH($G224,'Putt Log'!$E$1:$V$1,0)
  ),
"")</f>
        <v>2</v>
      </c>
      <c r="P224" t="str" cm="1">
        <f t="array" ref="P224">IF(K224=3,"",
  IFERROR(
    INDEX('Fairway Log'!$E$2:$V$72,
      MATCH(1,
        ('Fairway Log'!$A$2:$A$72=$A224)*
        ('Fairway Log'!$B$2:$B$72=$B224)*
        ('Fairway Log'!$C$2:$C295=$C224),
      0),
      MATCH($G224,'Fairway Log'!$E$1:$V$1,0)
    ),
  "")
)</f>
        <v/>
      </c>
      <c r="Q224" t="str" cm="1">
        <f t="array" ref="Q224">IFERROR(
  INDEX('GIR Log'!$E$2:$V$72,
    MATCH(1,
      ('GIR Log'!$A$2:$A$72=$A224)*
      ('GIR Log'!$B$2:$B$72=$B224)*
      ('GIR Log'!$C$2:$C$72=$C224),
    0),
    MATCH($G224,'GIR Log'!$E$1:$V$1,0)
  ),
"")</f>
        <v>↓</v>
      </c>
    </row>
    <row r="225" spans="1:17" x14ac:dyDescent="0.25">
      <c r="A225" s="20" t="s">
        <v>126</v>
      </c>
      <c r="B225" s="2">
        <v>45480</v>
      </c>
      <c r="C225" t="s">
        <v>10</v>
      </c>
      <c r="D225" t="s">
        <v>10</v>
      </c>
      <c r="E225" t="s">
        <v>34</v>
      </c>
      <c r="F225">
        <v>80</v>
      </c>
      <c r="G225" t="s">
        <v>54</v>
      </c>
      <c r="H225" s="9">
        <f t="shared" si="12"/>
        <v>8</v>
      </c>
      <c r="I225" cm="1">
        <f t="array" ref="I225">IFERROR(INDEX(CourseYardages[[Hole 1]:[Hole 18]],
  MATCH(1, (CourseYardages[Course]=C225)*(CourseYardages[Tees]=E225), 0),
  MATCH(G225, CourseYardages[[#Headers],[Hole 1]:[Hole 18]], 0)
),"")</f>
        <v>403</v>
      </c>
      <c r="J225" cm="1">
        <f t="array" ref="J225">IFERROR(INDEX(CourseHandicap[[Hole 1]:[Hole 18]],
  MATCH(1, (CourseHandicap[Course]=C225)*(CourseHandicap[Tees]=E225), 0),
  MATCH(G225, CourseHandicap[[#Headers],[Hole 1]:[Hole 18]], 0)
),"")</f>
        <v>13</v>
      </c>
      <c r="K225" cm="1">
        <f t="array" ref="K225">IFERROR(INDEX(CourseRatings[[Hole 1]:[Hole 18]],
  MATCH(1, (CourseRatings[Course]=C225)*(CourseRatings[Tees]=E225), 0),
  MATCH(G225, CourseRatings[[#Headers],[Hole 1]:[Hole 18]], 0)
),"")</f>
        <v>4</v>
      </c>
      <c r="L225" cm="1">
        <f t="array" ref="L225">IFERROR(
  INDEX('Golf Log'!$E$2:$V$72,
    MATCH(1,
      ('Golf Log'!$A$2:$A$72=$A225)*
      ('Golf Log'!$B$2:$B$72=$B225)*
      ('Golf Log'!$C$2:$C$72=$C225),
    0),
    MATCH($G225,'Golf Log'!$E$1:$V$1,0)
  ),
"")</f>
        <v>5</v>
      </c>
      <c r="M225">
        <f t="shared" si="11"/>
        <v>1</v>
      </c>
      <c r="N225" t="str">
        <f t="shared" si="5"/>
        <v>Bogey</v>
      </c>
      <c r="O225" cm="1">
        <f t="array" ref="O225">IFERROR(
  INDEX('Putt Log'!$E$2:$V$72,
    MATCH(1,
      ('Putt Log'!$A$2:$A$72=$A225)*
      ('Putt Log'!$B$2:$B$72=$B225)*
      ('Putt Log'!$C$2:$C$72=$C225),
    0),
    MATCH($G225,'Putt Log'!$E$1:$V$1,0)
  ),
"")</f>
        <v>2</v>
      </c>
      <c r="P225" cm="1">
        <f t="array" ref="P225">IF(K225=3,"",
  IFERROR(
    INDEX('Fairway Log'!$E$2:$V$72,
      MATCH(1,
        ('Fairway Log'!$A$2:$A$72=$A225)*
        ('Fairway Log'!$B$2:$B$72=$B225)*
        ('Fairway Log'!$C$2:$C296=$C225),
      0),
      MATCH($G225,'Fairway Log'!$E$1:$V$1,0)
    ),
  "")
)</f>
        <v>1</v>
      </c>
      <c r="Q225" t="str" cm="1">
        <f t="array" ref="Q225">IFERROR(
  INDEX('GIR Log'!$E$2:$V$72,
    MATCH(1,
      ('GIR Log'!$A$2:$A$72=$A225)*
      ('GIR Log'!$B$2:$B$72=$B225)*
      ('GIR Log'!$C$2:$C$72=$C225),
    0),
    MATCH($G225,'GIR Log'!$E$1:$V$1,0)
  ),
"")</f>
        <v>←</v>
      </c>
    </row>
    <row r="226" spans="1:17" x14ac:dyDescent="0.25">
      <c r="A226" s="20" t="s">
        <v>126</v>
      </c>
      <c r="B226" s="2">
        <v>45480</v>
      </c>
      <c r="C226" t="s">
        <v>10</v>
      </c>
      <c r="D226" t="s">
        <v>10</v>
      </c>
      <c r="E226" t="s">
        <v>34</v>
      </c>
      <c r="F226">
        <v>80</v>
      </c>
      <c r="G226" t="s">
        <v>55</v>
      </c>
      <c r="H226" s="9">
        <f t="shared" si="12"/>
        <v>9</v>
      </c>
      <c r="I226" cm="1">
        <f t="array" ref="I226">IFERROR(INDEX(CourseYardages[[Hole 1]:[Hole 18]],
  MATCH(1, (CourseYardages[Course]=C226)*(CourseYardages[Tees]=E226), 0),
  MATCH(G226, CourseYardages[[#Headers],[Hole 1]:[Hole 18]], 0)
),"")</f>
        <v>466</v>
      </c>
      <c r="J226" cm="1">
        <f t="array" ref="J226">IFERROR(INDEX(CourseHandicap[[Hole 1]:[Hole 18]],
  MATCH(1, (CourseHandicap[Course]=C226)*(CourseHandicap[Tees]=E226), 0),
  MATCH(G226, CourseHandicap[[#Headers],[Hole 1]:[Hole 18]], 0)
),"")</f>
        <v>1</v>
      </c>
      <c r="K226" cm="1">
        <f t="array" ref="K226">IFERROR(INDEX(CourseRatings[[Hole 1]:[Hole 18]],
  MATCH(1, (CourseRatings[Course]=C226)*(CourseRatings[Tees]=E226), 0),
  MATCH(G226, CourseRatings[[#Headers],[Hole 1]:[Hole 18]], 0)
),"")</f>
        <v>4</v>
      </c>
      <c r="L226" cm="1">
        <f t="array" ref="L226">IFERROR(
  INDEX('Golf Log'!$E$2:$V$72,
    MATCH(1,
      ('Golf Log'!$A$2:$A$72=$A226)*
      ('Golf Log'!$B$2:$B$72=$B226)*
      ('Golf Log'!$C$2:$C$72=$C226),
    0),
    MATCH($G226,'Golf Log'!$E$1:$V$1,0)
  ),
"")</f>
        <v>5</v>
      </c>
      <c r="M226">
        <f t="shared" si="11"/>
        <v>1</v>
      </c>
      <c r="N226" t="str">
        <f t="shared" si="5"/>
        <v>Bogey</v>
      </c>
      <c r="O226" cm="1">
        <f t="array" ref="O226">IFERROR(
  INDEX('Putt Log'!$E$2:$V$72,
    MATCH(1,
      ('Putt Log'!$A$2:$A$72=$A226)*
      ('Putt Log'!$B$2:$B$72=$B226)*
      ('Putt Log'!$C$2:$C$72=$C226),
    0),
    MATCH($G226,'Putt Log'!$E$1:$V$1,0)
  ),
"")</f>
        <v>2</v>
      </c>
      <c r="P226" t="str" cm="1">
        <f t="array" ref="P226">IF(K226=3,"",
  IFERROR(
    INDEX('Fairway Log'!$E$2:$V$72,
      MATCH(1,
        ('Fairway Log'!$A$2:$A$72=$A226)*
        ('Fairway Log'!$B$2:$B$72=$B226)*
        ('Fairway Log'!$C$2:$C297=$C226),
      0),
      MATCH($G226,'Fairway Log'!$E$1:$V$1,0)
    ),
  "")
)</f>
        <v>←</v>
      </c>
      <c r="Q226" t="str" cm="1">
        <f t="array" ref="Q226">IFERROR(
  INDEX('GIR Log'!$E$2:$V$72,
    MATCH(1,
      ('GIR Log'!$A$2:$A$72=$A226)*
      ('GIR Log'!$B$2:$B$72=$B226)*
      ('GIR Log'!$C$2:$C$72=$C226),
    0),
    MATCH($G226,'GIR Log'!$E$1:$V$1,0)
  ),
"")</f>
        <v>↓</v>
      </c>
    </row>
    <row r="227" spans="1:17" x14ac:dyDescent="0.25">
      <c r="A227" s="20" t="s">
        <v>126</v>
      </c>
      <c r="B227" s="2">
        <v>45480</v>
      </c>
      <c r="C227" t="s">
        <v>10</v>
      </c>
      <c r="D227" t="s">
        <v>10</v>
      </c>
      <c r="E227" t="s">
        <v>34</v>
      </c>
      <c r="F227">
        <v>80</v>
      </c>
      <c r="G227" t="s">
        <v>56</v>
      </c>
      <c r="H227" s="9">
        <f t="shared" si="12"/>
        <v>10</v>
      </c>
      <c r="I227" cm="1">
        <f t="array" ref="I227">IFERROR(INDEX(CourseYardages[[Hole 1]:[Hole 18]],
  MATCH(1, (CourseYardages[Course]=C227)*(CourseYardages[Tees]=E227), 0),
  MATCH(G227, CourseYardages[[#Headers],[Hole 1]:[Hole 18]], 0)
),"")</f>
        <v>451</v>
      </c>
      <c r="J227" cm="1">
        <f t="array" ref="J227">IFERROR(INDEX(CourseHandicap[[Hole 1]:[Hole 18]],
  MATCH(1, (CourseHandicap[Course]=C227)*(CourseHandicap[Tees]=E227), 0),
  MATCH(G227, CourseHandicap[[#Headers],[Hole 1]:[Hole 18]], 0)
),"")</f>
        <v>14</v>
      </c>
      <c r="K227" cm="1">
        <f t="array" ref="K227">IFERROR(INDEX(CourseRatings[[Hole 1]:[Hole 18]],
  MATCH(1, (CourseRatings[Course]=C227)*(CourseRatings[Tees]=E227), 0),
  MATCH(G227, CourseRatings[[#Headers],[Hole 1]:[Hole 18]], 0)
),"")</f>
        <v>4</v>
      </c>
      <c r="L227" cm="1">
        <f t="array" ref="L227">IFERROR(
  INDEX('Golf Log'!$E$2:$V$72,
    MATCH(1,
      ('Golf Log'!$A$2:$A$72=$A227)*
      ('Golf Log'!$B$2:$B$72=$B227)*
      ('Golf Log'!$C$2:$C$72=$C227),
    0),
    MATCH($G227,'Golf Log'!$E$1:$V$1,0)
  ),
"")</f>
        <v>5</v>
      </c>
      <c r="M227">
        <f t="shared" si="11"/>
        <v>1</v>
      </c>
      <c r="N227" t="str">
        <f t="shared" si="5"/>
        <v>Bogey</v>
      </c>
      <c r="O227" cm="1">
        <f t="array" ref="O227">IFERROR(
  INDEX('Putt Log'!$E$2:$V$72,
    MATCH(1,
      ('Putt Log'!$A$2:$A$72=$A227)*
      ('Putt Log'!$B$2:$B$72=$B227)*
      ('Putt Log'!$C$2:$C$72=$C227),
    0),
    MATCH($G227,'Putt Log'!$E$1:$V$1,0)
  ),
"")</f>
        <v>2</v>
      </c>
      <c r="P227" t="str" cm="1">
        <f t="array" ref="P227">IF(K227=3,"",
  IFERROR(
    INDEX('Fairway Log'!$E$2:$V$72,
      MATCH(1,
        ('Fairway Log'!$A$2:$A$72=$A227)*
        ('Fairway Log'!$B$2:$B$72=$B227)*
        ('Fairway Log'!$C$2:$C298=$C227),
      0),
      MATCH($G227,'Fairway Log'!$E$1:$V$1,0)
    ),
  "")
)</f>
        <v>→</v>
      </c>
      <c r="Q227" t="str" cm="1">
        <f t="array" ref="Q227">IFERROR(
  INDEX('GIR Log'!$E$2:$V$72,
    MATCH(1,
      ('GIR Log'!$A$2:$A$72=$A227)*
      ('GIR Log'!$B$2:$B$72=$B227)*
      ('GIR Log'!$C$2:$C$72=$C227),
    0),
    MATCH($G227,'GIR Log'!$E$1:$V$1,0)
  ),
"")</f>
        <v>↓</v>
      </c>
    </row>
    <row r="228" spans="1:17" x14ac:dyDescent="0.25">
      <c r="A228" s="20" t="s">
        <v>126</v>
      </c>
      <c r="B228" s="2">
        <v>45480</v>
      </c>
      <c r="C228" t="s">
        <v>10</v>
      </c>
      <c r="D228" t="s">
        <v>10</v>
      </c>
      <c r="E228" t="s">
        <v>34</v>
      </c>
      <c r="F228">
        <v>80</v>
      </c>
      <c r="G228" t="s">
        <v>57</v>
      </c>
      <c r="H228" s="9">
        <f t="shared" si="12"/>
        <v>11</v>
      </c>
      <c r="I228" cm="1">
        <f t="array" ref="I228">IFERROR(INDEX(CourseYardages[[Hole 1]:[Hole 18]],
  MATCH(1, (CourseYardages[Course]=C228)*(CourseYardages[Tees]=E228), 0),
  MATCH(G228, CourseYardages[[#Headers],[Hole 1]:[Hole 18]], 0)
),"")</f>
        <v>462</v>
      </c>
      <c r="J228" cm="1">
        <f t="array" ref="J228">IFERROR(INDEX(CourseHandicap[[Hole 1]:[Hole 18]],
  MATCH(1, (CourseHandicap[Course]=C228)*(CourseHandicap[Tees]=E228), 0),
  MATCH(G228, CourseHandicap[[#Headers],[Hole 1]:[Hole 18]], 0)
),"")</f>
        <v>12</v>
      </c>
      <c r="K228" cm="1">
        <f t="array" ref="K228">IFERROR(INDEX(CourseRatings[[Hole 1]:[Hole 18]],
  MATCH(1, (CourseRatings[Course]=C228)*(CourseRatings[Tees]=E228), 0),
  MATCH(G228, CourseRatings[[#Headers],[Hole 1]:[Hole 18]], 0)
),"")</f>
        <v>4</v>
      </c>
      <c r="L228" cm="1">
        <f t="array" ref="L228">IFERROR(
  INDEX('Golf Log'!$E$2:$V$72,
    MATCH(1,
      ('Golf Log'!$A$2:$A$72=$A228)*
      ('Golf Log'!$B$2:$B$72=$B228)*
      ('Golf Log'!$C$2:$C$72=$C228),
    0),
    MATCH($G228,'Golf Log'!$E$1:$V$1,0)
  ),
"")</f>
        <v>4</v>
      </c>
      <c r="M228">
        <f t="shared" si="11"/>
        <v>0</v>
      </c>
      <c r="N228" t="str">
        <f t="shared" si="5"/>
        <v>Par</v>
      </c>
      <c r="O228" cm="1">
        <f t="array" ref="O228">IFERROR(
  INDEX('Putt Log'!$E$2:$V$72,
    MATCH(1,
      ('Putt Log'!$A$2:$A$72=$A228)*
      ('Putt Log'!$B$2:$B$72=$B228)*
      ('Putt Log'!$C$2:$C$72=$C228),
    0),
    MATCH($G228,'Putt Log'!$E$1:$V$1,0)
  ),
"")</f>
        <v>1</v>
      </c>
      <c r="P228" cm="1">
        <f t="array" ref="P228">IF(K228=3,"",
  IFERROR(
    INDEX('Fairway Log'!$E$2:$V$72,
      MATCH(1,
        ('Fairway Log'!$A$2:$A$72=$A228)*
        ('Fairway Log'!$B$2:$B$72=$B228)*
        ('Fairway Log'!$C$2:$C299=$C228),
      0),
      MATCH($G228,'Fairway Log'!$E$1:$V$1,0)
    ),
  "")
)</f>
        <v>1</v>
      </c>
      <c r="Q228" t="str" cm="1">
        <f t="array" ref="Q228">IFERROR(
  INDEX('GIR Log'!$E$2:$V$72,
    MATCH(1,
      ('GIR Log'!$A$2:$A$72=$A228)*
      ('GIR Log'!$B$2:$B$72=$B228)*
      ('GIR Log'!$C$2:$C$72=$C228),
    0),
    MATCH($G228,'GIR Log'!$E$1:$V$1,0)
  ),
"")</f>
        <v>↓</v>
      </c>
    </row>
    <row r="229" spans="1:17" x14ac:dyDescent="0.25">
      <c r="A229" s="20" t="s">
        <v>126</v>
      </c>
      <c r="B229" s="2">
        <v>45480</v>
      </c>
      <c r="C229" t="s">
        <v>10</v>
      </c>
      <c r="D229" t="s">
        <v>10</v>
      </c>
      <c r="E229" t="s">
        <v>34</v>
      </c>
      <c r="F229">
        <v>80</v>
      </c>
      <c r="G229" t="s">
        <v>58</v>
      </c>
      <c r="H229" s="9">
        <f t="shared" si="12"/>
        <v>12</v>
      </c>
      <c r="I229" cm="1">
        <f t="array" ref="I229">IFERROR(INDEX(CourseYardages[[Hole 1]:[Hole 18]],
  MATCH(1, (CourseYardages[Course]=C229)*(CourseYardages[Tees]=E229), 0),
  MATCH(G229, CourseYardages[[#Headers],[Hole 1]:[Hole 18]], 0)
),"")</f>
        <v>208</v>
      </c>
      <c r="J229" cm="1">
        <f t="array" ref="J229">IFERROR(INDEX(CourseHandicap[[Hole 1]:[Hole 18]],
  MATCH(1, (CourseHandicap[Course]=C229)*(CourseHandicap[Tees]=E229), 0),
  MATCH(G229, CourseHandicap[[#Headers],[Hole 1]:[Hole 18]], 0)
),"")</f>
        <v>16</v>
      </c>
      <c r="K229" cm="1">
        <f t="array" ref="K229">IFERROR(INDEX(CourseRatings[[Hole 1]:[Hole 18]],
  MATCH(1, (CourseRatings[Course]=C229)*(CourseRatings[Tees]=E229), 0),
  MATCH(G229, CourseRatings[[#Headers],[Hole 1]:[Hole 18]], 0)
),"")</f>
        <v>3</v>
      </c>
      <c r="L229" cm="1">
        <f t="array" ref="L229">IFERROR(
  INDEX('Golf Log'!$E$2:$V$72,
    MATCH(1,
      ('Golf Log'!$A$2:$A$72=$A229)*
      ('Golf Log'!$B$2:$B$72=$B229)*
      ('Golf Log'!$C$2:$C$72=$C229),
    0),
    MATCH($G229,'Golf Log'!$E$1:$V$1,0)
  ),
"")</f>
        <v>3</v>
      </c>
      <c r="M229">
        <f t="shared" si="11"/>
        <v>0</v>
      </c>
      <c r="N229" t="str">
        <f t="shared" si="5"/>
        <v>Par</v>
      </c>
      <c r="O229" cm="1">
        <f t="array" ref="O229">IFERROR(
  INDEX('Putt Log'!$E$2:$V$72,
    MATCH(1,
      ('Putt Log'!$A$2:$A$72=$A229)*
      ('Putt Log'!$B$2:$B$72=$B229)*
      ('Putt Log'!$C$2:$C$72=$C229),
    0),
    MATCH($G229,'Putt Log'!$E$1:$V$1,0)
  ),
"")</f>
        <v>1</v>
      </c>
      <c r="P229" t="str" cm="1">
        <f t="array" ref="P229">IF(K229=3,"",
  IFERROR(
    INDEX('Fairway Log'!$E$2:$V$72,
      MATCH(1,
        ('Fairway Log'!$A$2:$A$72=$A229)*
        ('Fairway Log'!$B$2:$B$72=$B229)*
        ('Fairway Log'!$C$2:$C300=$C229),
      0),
      MATCH($G229,'Fairway Log'!$E$1:$V$1,0)
    ),
  "")
)</f>
        <v/>
      </c>
      <c r="Q229" t="str" cm="1">
        <f t="array" ref="Q229">IFERROR(
  INDEX('GIR Log'!$E$2:$V$72,
    MATCH(1,
      ('GIR Log'!$A$2:$A$72=$A229)*
      ('GIR Log'!$B$2:$B$72=$B229)*
      ('GIR Log'!$C$2:$C$72=$C229),
    0),
    MATCH($G229,'GIR Log'!$E$1:$V$1,0)
  ),
"")</f>
        <v>→</v>
      </c>
    </row>
    <row r="230" spans="1:17" x14ac:dyDescent="0.25">
      <c r="A230" s="20" t="s">
        <v>126</v>
      </c>
      <c r="B230" s="2">
        <v>45480</v>
      </c>
      <c r="C230" t="s">
        <v>10</v>
      </c>
      <c r="D230" t="s">
        <v>10</v>
      </c>
      <c r="E230" t="s">
        <v>34</v>
      </c>
      <c r="F230">
        <v>80</v>
      </c>
      <c r="G230" t="s">
        <v>59</v>
      </c>
      <c r="H230" s="9">
        <f t="shared" si="12"/>
        <v>13</v>
      </c>
      <c r="I230" cm="1">
        <f t="array" ref="I230">IFERROR(INDEX(CourseYardages[[Hole 1]:[Hole 18]],
  MATCH(1, (CourseYardages[Course]=C230)*(CourseYardages[Tees]=E230), 0),
  MATCH(G230, CourseYardages[[#Headers],[Hole 1]:[Hole 18]], 0)
),"")</f>
        <v>400</v>
      </c>
      <c r="J230" cm="1">
        <f t="array" ref="J230">IFERROR(INDEX(CourseHandicap[[Hole 1]:[Hole 18]],
  MATCH(1, (CourseHandicap[Course]=C230)*(CourseHandicap[Tees]=E230), 0),
  MATCH(G230, CourseHandicap[[#Headers],[Hole 1]:[Hole 18]], 0)
),"")</f>
        <v>6</v>
      </c>
      <c r="K230" cm="1">
        <f t="array" ref="K230">IFERROR(INDEX(CourseRatings[[Hole 1]:[Hole 18]],
  MATCH(1, (CourseRatings[Course]=C230)*(CourseRatings[Tees]=E230), 0),
  MATCH(G230, CourseRatings[[#Headers],[Hole 1]:[Hole 18]], 0)
),"")</f>
        <v>4</v>
      </c>
      <c r="L230" cm="1">
        <f t="array" ref="L230">IFERROR(
  INDEX('Golf Log'!$E$2:$V$72,
    MATCH(1,
      ('Golf Log'!$A$2:$A$72=$A230)*
      ('Golf Log'!$B$2:$B$72=$B230)*
      ('Golf Log'!$C$2:$C$72=$C230),
    0),
    MATCH($G230,'Golf Log'!$E$1:$V$1,0)
  ),
"")</f>
        <v>5</v>
      </c>
      <c r="M230">
        <f t="shared" si="11"/>
        <v>1</v>
      </c>
      <c r="N230" t="str">
        <f t="shared" si="5"/>
        <v>Bogey</v>
      </c>
      <c r="O230" cm="1">
        <f t="array" ref="O230">IFERROR(
  INDEX('Putt Log'!$E$2:$V$72,
    MATCH(1,
      ('Putt Log'!$A$2:$A$72=$A230)*
      ('Putt Log'!$B$2:$B$72=$B230)*
      ('Putt Log'!$C$2:$C$72=$C230),
    0),
    MATCH($G230,'Putt Log'!$E$1:$V$1,0)
  ),
"")</f>
        <v>2</v>
      </c>
      <c r="P230" t="str" cm="1">
        <f t="array" ref="P230">IF(K230=3,"",
  IFERROR(
    INDEX('Fairway Log'!$E$2:$V$72,
      MATCH(1,
        ('Fairway Log'!$A$2:$A$72=$A230)*
        ('Fairway Log'!$B$2:$B$72=$B230)*
        ('Fairway Log'!$C$2:$C301=$C230),
      0),
      MATCH($G230,'Fairway Log'!$E$1:$V$1,0)
    ),
  "")
)</f>
        <v>←</v>
      </c>
      <c r="Q230" t="str" cm="1">
        <f t="array" ref="Q230">IFERROR(
  INDEX('GIR Log'!$E$2:$V$72,
    MATCH(1,
      ('GIR Log'!$A$2:$A$72=$A230)*
      ('GIR Log'!$B$2:$B$72=$B230)*
      ('GIR Log'!$C$2:$C$72=$C230),
    0),
    MATCH($G230,'GIR Log'!$E$1:$V$1,0)
  ),
"")</f>
        <v>←</v>
      </c>
    </row>
    <row r="231" spans="1:17" x14ac:dyDescent="0.25">
      <c r="A231" s="20" t="s">
        <v>126</v>
      </c>
      <c r="B231" s="2">
        <v>45480</v>
      </c>
      <c r="C231" t="s">
        <v>10</v>
      </c>
      <c r="D231" t="s">
        <v>10</v>
      </c>
      <c r="E231" t="s">
        <v>34</v>
      </c>
      <c r="F231">
        <v>80</v>
      </c>
      <c r="G231" t="s">
        <v>60</v>
      </c>
      <c r="H231" s="9">
        <f t="shared" si="12"/>
        <v>14</v>
      </c>
      <c r="I231" cm="1">
        <f t="array" ref="I231">IFERROR(INDEX(CourseYardages[[Hole 1]:[Hole 18]],
  MATCH(1, (CourseYardages[Course]=C231)*(CourseYardages[Tees]=E231), 0),
  MATCH(G231, CourseYardages[[#Headers],[Hole 1]:[Hole 18]], 0)
),"")</f>
        <v>435</v>
      </c>
      <c r="J231" cm="1">
        <f t="array" ref="J231">IFERROR(INDEX(CourseHandicap[[Hole 1]:[Hole 18]],
  MATCH(1, (CourseHandicap[Course]=C231)*(CourseHandicap[Tees]=E231), 0),
  MATCH(G231, CourseHandicap[[#Headers],[Hole 1]:[Hole 18]], 0)
),"")</f>
        <v>4</v>
      </c>
      <c r="K231" cm="1">
        <f t="array" ref="K231">IFERROR(INDEX(CourseRatings[[Hole 1]:[Hole 18]],
  MATCH(1, (CourseRatings[Course]=C231)*(CourseRatings[Tees]=E231), 0),
  MATCH(G231, CourseRatings[[#Headers],[Hole 1]:[Hole 18]], 0)
),"")</f>
        <v>4</v>
      </c>
      <c r="L231" cm="1">
        <f t="array" ref="L231">IFERROR(
  INDEX('Golf Log'!$E$2:$V$72,
    MATCH(1,
      ('Golf Log'!$A$2:$A$72=$A231)*
      ('Golf Log'!$B$2:$B$72=$B231)*
      ('Golf Log'!$C$2:$C$72=$C231),
    0),
    MATCH($G231,'Golf Log'!$E$1:$V$1,0)
  ),
"")</f>
        <v>4</v>
      </c>
      <c r="M231">
        <f t="shared" si="11"/>
        <v>0</v>
      </c>
      <c r="N231" t="str">
        <f t="shared" si="5"/>
        <v>Par</v>
      </c>
      <c r="O231" cm="1">
        <f t="array" ref="O231">IFERROR(
  INDEX('Putt Log'!$E$2:$V$72,
    MATCH(1,
      ('Putt Log'!$A$2:$A$72=$A231)*
      ('Putt Log'!$B$2:$B$72=$B231)*
      ('Putt Log'!$C$2:$C$72=$C231),
    0),
    MATCH($G231,'Putt Log'!$E$1:$V$1,0)
  ),
"")</f>
        <v>1</v>
      </c>
      <c r="P231" cm="1">
        <f t="array" ref="P231">IF(K231=3,"",
  IFERROR(
    INDEX('Fairway Log'!$E$2:$V$72,
      MATCH(1,
        ('Fairway Log'!$A$2:$A$72=$A231)*
        ('Fairway Log'!$B$2:$B$72=$B231)*
        ('Fairway Log'!$C$2:$C302=$C231),
      0),
      MATCH($G231,'Fairway Log'!$E$1:$V$1,0)
    ),
  "")
)</f>
        <v>1</v>
      </c>
      <c r="Q231" t="str" cm="1">
        <f t="array" ref="Q231">IFERROR(
  INDEX('GIR Log'!$E$2:$V$72,
    MATCH(1,
      ('GIR Log'!$A$2:$A$72=$A231)*
      ('GIR Log'!$B$2:$B$72=$B231)*
      ('GIR Log'!$C$2:$C$72=$C231),
    0),
    MATCH($G231,'GIR Log'!$E$1:$V$1,0)
  ),
"")</f>
        <v>↓</v>
      </c>
    </row>
    <row r="232" spans="1:17" x14ac:dyDescent="0.25">
      <c r="A232" s="20" t="s">
        <v>126</v>
      </c>
      <c r="B232" s="2">
        <v>45480</v>
      </c>
      <c r="C232" t="s">
        <v>10</v>
      </c>
      <c r="D232" t="s">
        <v>10</v>
      </c>
      <c r="E232" t="s">
        <v>34</v>
      </c>
      <c r="F232">
        <v>80</v>
      </c>
      <c r="G232" t="s">
        <v>61</v>
      </c>
      <c r="H232" s="9">
        <f t="shared" si="12"/>
        <v>15</v>
      </c>
      <c r="I232" cm="1">
        <f t="array" ref="I232">IFERROR(INDEX(CourseYardages[[Hole 1]:[Hole 18]],
  MATCH(1, (CourseYardages[Course]=C232)*(CourseYardages[Tees]=E232), 0),
  MATCH(G232, CourseYardages[[#Headers],[Hole 1]:[Hole 18]], 0)
),"")</f>
        <v>450</v>
      </c>
      <c r="J232" cm="1">
        <f t="array" ref="J232">IFERROR(INDEX(CourseHandicap[[Hole 1]:[Hole 18]],
  MATCH(1, (CourseHandicap[Course]=C232)*(CourseHandicap[Tees]=E232), 0),
  MATCH(G232, CourseHandicap[[#Headers],[Hole 1]:[Hole 18]], 0)
),"")</f>
        <v>2</v>
      </c>
      <c r="K232" cm="1">
        <f t="array" ref="K232">IFERROR(INDEX(CourseRatings[[Hole 1]:[Hole 18]],
  MATCH(1, (CourseRatings[Course]=C232)*(CourseRatings[Tees]=E232), 0),
  MATCH(G232, CourseRatings[[#Headers],[Hole 1]:[Hole 18]], 0)
),"")</f>
        <v>4</v>
      </c>
      <c r="L232" cm="1">
        <f t="array" ref="L232">IFERROR(
  INDEX('Golf Log'!$E$2:$V$72,
    MATCH(1,
      ('Golf Log'!$A$2:$A$72=$A232)*
      ('Golf Log'!$B$2:$B$72=$B232)*
      ('Golf Log'!$C$2:$C$72=$C232),
    0),
    MATCH($G232,'Golf Log'!$E$1:$V$1,0)
  ),
"")</f>
        <v>5</v>
      </c>
      <c r="M232">
        <f t="shared" si="11"/>
        <v>1</v>
      </c>
      <c r="N232" t="str">
        <f t="shared" si="5"/>
        <v>Bogey</v>
      </c>
      <c r="O232" cm="1">
        <f t="array" ref="O232">IFERROR(
  INDEX('Putt Log'!$E$2:$V$72,
    MATCH(1,
      ('Putt Log'!$A$2:$A$72=$A232)*
      ('Putt Log'!$B$2:$B$72=$B232)*
      ('Putt Log'!$C$2:$C$72=$C232),
    0),
    MATCH($G232,'Putt Log'!$E$1:$V$1,0)
  ),
"")</f>
        <v>2</v>
      </c>
      <c r="P232" t="str" cm="1">
        <f t="array" ref="P232">IF(K232=3,"",
  IFERROR(
    INDEX('Fairway Log'!$E$2:$V$72,
      MATCH(1,
        ('Fairway Log'!$A$2:$A$72=$A232)*
        ('Fairway Log'!$B$2:$B$72=$B232)*
        ('Fairway Log'!$C$2:$C303=$C232),
      0),
      MATCH($G232,'Fairway Log'!$E$1:$V$1,0)
    ),
  "")
)</f>
        <v>→</v>
      </c>
      <c r="Q232" t="str" cm="1">
        <f t="array" ref="Q232">IFERROR(
  INDEX('GIR Log'!$E$2:$V$72,
    MATCH(1,
      ('GIR Log'!$A$2:$A$72=$A232)*
      ('GIR Log'!$B$2:$B$72=$B232)*
      ('GIR Log'!$C$2:$C$72=$C232),
    0),
    MATCH($G232,'GIR Log'!$E$1:$V$1,0)
  ),
"")</f>
        <v>↓</v>
      </c>
    </row>
    <row r="233" spans="1:17" x14ac:dyDescent="0.25">
      <c r="A233" s="20" t="s">
        <v>126</v>
      </c>
      <c r="B233" s="2">
        <v>45480</v>
      </c>
      <c r="C233" t="s">
        <v>10</v>
      </c>
      <c r="D233" t="s">
        <v>10</v>
      </c>
      <c r="E233" t="s">
        <v>34</v>
      </c>
      <c r="F233">
        <v>80</v>
      </c>
      <c r="G233" t="s">
        <v>62</v>
      </c>
      <c r="H233" s="9">
        <f t="shared" si="12"/>
        <v>16</v>
      </c>
      <c r="I233" cm="1">
        <f t="array" ref="I233">IFERROR(INDEX(CourseYardages[[Hole 1]:[Hole 18]],
  MATCH(1, (CourseYardages[Course]=C233)*(CourseYardages[Tees]=E233), 0),
  MATCH(G233, CourseYardages[[#Headers],[Hole 1]:[Hole 18]], 0)
),"")</f>
        <v>565</v>
      </c>
      <c r="J233" cm="1">
        <f t="array" ref="J233">IFERROR(INDEX(CourseHandicap[[Hole 1]:[Hole 18]],
  MATCH(1, (CourseHandicap[Course]=C233)*(CourseHandicap[Tees]=E233), 0),
  MATCH(G233, CourseHandicap[[#Headers],[Hole 1]:[Hole 18]], 0)
),"")</f>
        <v>8</v>
      </c>
      <c r="K233" cm="1">
        <f t="array" ref="K233">IFERROR(INDEX(CourseRatings[[Hole 1]:[Hole 18]],
  MATCH(1, (CourseRatings[Course]=C233)*(CourseRatings[Tees]=E233), 0),
  MATCH(G233, CourseRatings[[#Headers],[Hole 1]:[Hole 18]], 0)
),"")</f>
        <v>5</v>
      </c>
      <c r="L233" cm="1">
        <f t="array" ref="L233">IFERROR(
  INDEX('Golf Log'!$E$2:$V$72,
    MATCH(1,
      ('Golf Log'!$A$2:$A$72=$A233)*
      ('Golf Log'!$B$2:$B$72=$B233)*
      ('Golf Log'!$C$2:$C$72=$C233),
    0),
    MATCH($G233,'Golf Log'!$E$1:$V$1,0)
  ),
"")</f>
        <v>5</v>
      </c>
      <c r="M233">
        <f t="shared" si="11"/>
        <v>0</v>
      </c>
      <c r="N233" t="str">
        <f t="shared" si="5"/>
        <v>Par</v>
      </c>
      <c r="O233" cm="1">
        <f t="array" ref="O233">IFERROR(
  INDEX('Putt Log'!$E$2:$V$72,
    MATCH(1,
      ('Putt Log'!$A$2:$A$72=$A233)*
      ('Putt Log'!$B$2:$B$72=$B233)*
      ('Putt Log'!$C$2:$C$72=$C233),
    0),
    MATCH($G233,'Putt Log'!$E$1:$V$1,0)
  ),
"")</f>
        <v>2</v>
      </c>
      <c r="P233" cm="1">
        <f t="array" ref="P233">IF(K233=3,"",
  IFERROR(
    INDEX('Fairway Log'!$E$2:$V$72,
      MATCH(1,
        ('Fairway Log'!$A$2:$A$72=$A233)*
        ('Fairway Log'!$B$2:$B$72=$B233)*
        ('Fairway Log'!$C$2:$C304=$C233),
      0),
      MATCH($G233,'Fairway Log'!$E$1:$V$1,0)
    ),
  "")
)</f>
        <v>1</v>
      </c>
      <c r="Q233" cm="1">
        <f t="array" ref="Q233">IFERROR(
  INDEX('GIR Log'!$E$2:$V$72,
    MATCH(1,
      ('GIR Log'!$A$2:$A$72=$A233)*
      ('GIR Log'!$B$2:$B$72=$B233)*
      ('GIR Log'!$C$2:$C$72=$C233),
    0),
    MATCH($G233,'GIR Log'!$E$1:$V$1,0)
  ),
"")</f>
        <v>1</v>
      </c>
    </row>
    <row r="234" spans="1:17" x14ac:dyDescent="0.25">
      <c r="A234" s="20" t="s">
        <v>126</v>
      </c>
      <c r="B234" s="2">
        <v>45480</v>
      </c>
      <c r="C234" t="s">
        <v>10</v>
      </c>
      <c r="D234" t="s">
        <v>10</v>
      </c>
      <c r="E234" t="s">
        <v>34</v>
      </c>
      <c r="F234">
        <v>80</v>
      </c>
      <c r="G234" t="s">
        <v>63</v>
      </c>
      <c r="H234" s="9">
        <f t="shared" si="12"/>
        <v>17</v>
      </c>
      <c r="I234" cm="1">
        <f t="array" ref="I234">IFERROR(INDEX(CourseYardages[[Hole 1]:[Hole 18]],
  MATCH(1, (CourseYardages[Course]=C234)*(CourseYardages[Tees]=E234), 0),
  MATCH(G234, CourseYardages[[#Headers],[Hole 1]:[Hole 18]], 0)
),"")</f>
        <v>165</v>
      </c>
      <c r="J234" cm="1">
        <f t="array" ref="J234">IFERROR(INDEX(CourseHandicap[[Hole 1]:[Hole 18]],
  MATCH(1, (CourseHandicap[Course]=C234)*(CourseHandicap[Tees]=E234), 0),
  MATCH(G234, CourseHandicap[[#Headers],[Hole 1]:[Hole 18]], 0)
),"")</f>
        <v>18</v>
      </c>
      <c r="K234" cm="1">
        <f t="array" ref="K234">IFERROR(INDEX(CourseRatings[[Hole 1]:[Hole 18]],
  MATCH(1, (CourseRatings[Course]=C234)*(CourseRatings[Tees]=E234), 0),
  MATCH(G234, CourseRatings[[#Headers],[Hole 1]:[Hole 18]], 0)
),"")</f>
        <v>3</v>
      </c>
      <c r="L234" cm="1">
        <f t="array" ref="L234">IFERROR(
  INDEX('Golf Log'!$E$2:$V$72,
    MATCH(1,
      ('Golf Log'!$A$2:$A$72=$A234)*
      ('Golf Log'!$B$2:$B$72=$B234)*
      ('Golf Log'!$C$2:$C$72=$C234),
    0),
    MATCH($G234,'Golf Log'!$E$1:$V$1,0)
  ),
"")</f>
        <v>3</v>
      </c>
      <c r="M234">
        <f t="shared" si="11"/>
        <v>0</v>
      </c>
      <c r="N234" t="str">
        <f t="shared" si="5"/>
        <v>Par</v>
      </c>
      <c r="O234" cm="1">
        <f t="array" ref="O234">IFERROR(
  INDEX('Putt Log'!$E$2:$V$72,
    MATCH(1,
      ('Putt Log'!$A$2:$A$72=$A234)*
      ('Putt Log'!$B$2:$B$72=$B234)*
      ('Putt Log'!$C$2:$C$72=$C234),
    0),
    MATCH($G234,'Putt Log'!$E$1:$V$1,0)
  ),
"")</f>
        <v>1</v>
      </c>
      <c r="P234" t="str" cm="1">
        <f t="array" ref="P234">IF(K234=3,"",
  IFERROR(
    INDEX('Fairway Log'!$E$2:$V$72,
      MATCH(1,
        ('Fairway Log'!$A$2:$A$72=$A234)*
        ('Fairway Log'!$B$2:$B$72=$B234)*
        ('Fairway Log'!$C$2:$C305=$C234),
      0),
      MATCH($G234,'Fairway Log'!$E$1:$V$1,0)
    ),
  "")
)</f>
        <v/>
      </c>
      <c r="Q234" t="str" cm="1">
        <f t="array" ref="Q234">IFERROR(
  INDEX('GIR Log'!$E$2:$V$72,
    MATCH(1,
      ('GIR Log'!$A$2:$A$72=$A234)*
      ('GIR Log'!$B$2:$B$72=$B234)*
      ('GIR Log'!$C$2:$C$72=$C234),
    0),
    MATCH($G234,'GIR Log'!$E$1:$V$1,0)
  ),
"")</f>
        <v>→</v>
      </c>
    </row>
    <row r="235" spans="1:17" x14ac:dyDescent="0.25">
      <c r="A235" s="20" t="s">
        <v>126</v>
      </c>
      <c r="B235" s="2">
        <v>45480</v>
      </c>
      <c r="C235" t="s">
        <v>10</v>
      </c>
      <c r="D235" t="s">
        <v>10</v>
      </c>
      <c r="E235" t="s">
        <v>34</v>
      </c>
      <c r="F235">
        <v>80</v>
      </c>
      <c r="G235" t="s">
        <v>64</v>
      </c>
      <c r="H235" s="9">
        <f t="shared" si="12"/>
        <v>18</v>
      </c>
      <c r="I235" cm="1">
        <f t="array" ref="I235">IFERROR(INDEX(CourseYardages[[Hole 1]:[Hole 18]],
  MATCH(1, (CourseYardages[Course]=C235)*(CourseYardages[Tees]=E235), 0),
  MATCH(G235, CourseYardages[[#Headers],[Hole 1]:[Hole 18]], 0)
),"")</f>
        <v>419</v>
      </c>
      <c r="J235" cm="1">
        <f t="array" ref="J235">IFERROR(INDEX(CourseHandicap[[Hole 1]:[Hole 18]],
  MATCH(1, (CourseHandicap[Course]=C235)*(CourseHandicap[Tees]=E235), 0),
  MATCH(G235, CourseHandicap[[#Headers],[Hole 1]:[Hole 18]], 0)
),"")</f>
        <v>10</v>
      </c>
      <c r="K235" cm="1">
        <f t="array" ref="K235">IFERROR(INDEX(CourseRatings[[Hole 1]:[Hole 18]],
  MATCH(1, (CourseRatings[Course]=C235)*(CourseRatings[Tees]=E235), 0),
  MATCH(G235, CourseRatings[[#Headers],[Hole 1]:[Hole 18]], 0)
),"")</f>
        <v>4</v>
      </c>
      <c r="L235" cm="1">
        <f t="array" ref="L235">IFERROR(
  INDEX('Golf Log'!$E$2:$V$72,
    MATCH(1,
      ('Golf Log'!$A$2:$A$72=$A235)*
      ('Golf Log'!$B$2:$B$72=$B235)*
      ('Golf Log'!$C$2:$C$72=$C235),
    0),
    MATCH($G235,'Golf Log'!$E$1:$V$1,0)
  ),
"")</f>
        <v>4</v>
      </c>
      <c r="M235">
        <f t="shared" si="11"/>
        <v>0</v>
      </c>
      <c r="N235" t="str">
        <f t="shared" si="5"/>
        <v>Par</v>
      </c>
      <c r="O235" cm="1">
        <f t="array" ref="O235">IFERROR(
  INDEX('Putt Log'!$E$2:$V$72,
    MATCH(1,
      ('Putt Log'!$A$2:$A$72=$A235)*
      ('Putt Log'!$B$2:$B$72=$B235)*
      ('Putt Log'!$C$2:$C$72=$C235),
    0),
    MATCH($G235,'Putt Log'!$E$1:$V$1,0)
  ),
"")</f>
        <v>1</v>
      </c>
      <c r="P235" t="str" cm="1">
        <f t="array" ref="P235">IF(K235=3,"",
  IFERROR(
    INDEX('Fairway Log'!$E$2:$V$72,
      MATCH(1,
        ('Fairway Log'!$A$2:$A$72=$A235)*
        ('Fairway Log'!$B$2:$B$72=$B235)*
        ('Fairway Log'!$C$2:$C306=$C235),
      0),
      MATCH($G235,'Fairway Log'!$E$1:$V$1,0)
    ),
  "")
)</f>
        <v>→</v>
      </c>
      <c r="Q235" t="str" cm="1">
        <f t="array" ref="Q235">IFERROR(
  INDEX('GIR Log'!$E$2:$V$72,
    MATCH(1,
      ('GIR Log'!$A$2:$A$72=$A235)*
      ('GIR Log'!$B$2:$B$72=$B235)*
      ('GIR Log'!$C$2:$C$72=$C235),
    0),
    MATCH($G235,'GIR Log'!$E$1:$V$1,0)
  ),
"")</f>
        <v>↓</v>
      </c>
    </row>
    <row r="236" spans="1:17" x14ac:dyDescent="0.25">
      <c r="A236" s="20" t="s">
        <v>126</v>
      </c>
      <c r="B236" s="2">
        <v>45475</v>
      </c>
      <c r="C236" t="s">
        <v>5</v>
      </c>
      <c r="D236" t="s">
        <v>5</v>
      </c>
      <c r="E236" t="s">
        <v>34</v>
      </c>
      <c r="F236">
        <v>77</v>
      </c>
      <c r="G236" t="s">
        <v>47</v>
      </c>
      <c r="H236" s="9">
        <f t="shared" si="12"/>
        <v>1</v>
      </c>
      <c r="I236" cm="1">
        <f t="array" ref="I236">IFERROR(INDEX(CourseYardages[[Hole 1]:[Hole 18]],
  MATCH(1, (CourseYardages[Course]=C236)*(CourseYardages[Tees]=E236), 0),
  MATCH(G236, CourseYardages[[#Headers],[Hole 1]:[Hole 18]], 0)
),"")</f>
        <v>432</v>
      </c>
      <c r="J236" cm="1">
        <f t="array" ref="J236">IFERROR(INDEX(CourseHandicap[[Hole 1]:[Hole 18]],
  MATCH(1, (CourseHandicap[Course]=C236)*(CourseHandicap[Tees]=E236), 0),
  MATCH(G236, CourseHandicap[[#Headers],[Hole 1]:[Hole 18]], 0)
),"")</f>
        <v>7</v>
      </c>
      <c r="K236" cm="1">
        <f t="array" ref="K236">IFERROR(INDEX(CourseRatings[[Hole 1]:[Hole 18]],
  MATCH(1, (CourseRatings[Course]=C236)*(CourseRatings[Tees]=E236), 0),
  MATCH(G236, CourseRatings[[#Headers],[Hole 1]:[Hole 18]], 0)
),"")</f>
        <v>4</v>
      </c>
      <c r="L236" cm="1">
        <f t="array" ref="L236">IFERROR(
  INDEX('Golf Log'!$E$2:$V$72,
    MATCH(1,
      ('Golf Log'!$A$2:$A$72=$A236)*
      ('Golf Log'!$B$2:$B$72=$B236)*
      ('Golf Log'!$C$2:$C$72=$C236),
    0),
    MATCH($G236,'Golf Log'!$E$1:$V$1,0)
  ),
"")</f>
        <v>5</v>
      </c>
      <c r="M236">
        <f t="shared" si="11"/>
        <v>1</v>
      </c>
      <c r="N236" t="str">
        <f t="shared" si="5"/>
        <v>Bogey</v>
      </c>
      <c r="O236" cm="1">
        <f t="array" ref="O236">IFERROR(
  INDEX('Putt Log'!$E$2:$V$72,
    MATCH(1,
      ('Putt Log'!$A$2:$A$72=$A236)*
      ('Putt Log'!$B$2:$B$72=$B236)*
      ('Putt Log'!$C$2:$C$72=$C236),
    0),
    MATCH($G236,'Putt Log'!$E$1:$V$1,0)
  ),
"")</f>
        <v>2</v>
      </c>
      <c r="P236" t="str" cm="1">
        <f t="array" ref="P236">IF(K236=3,"",
  IFERROR(
    INDEX('Fairway Log'!$E$2:$V$72,
      MATCH(1,
        ('Fairway Log'!$A$2:$A$72=$A236)*
        ('Fairway Log'!$B$2:$B$72=$B236)*
        ('Fairway Log'!$C$2:$C307=$C236),
      0),
      MATCH($G236,'Fairway Log'!$E$1:$V$1,0)
    ),
  "")
)</f>
        <v>→</v>
      </c>
      <c r="Q236" t="str" cm="1">
        <f t="array" ref="Q236">IFERROR(
  INDEX('GIR Log'!$E$2:$V$72,
    MATCH(1,
      ('GIR Log'!$A$2:$A$72=$A236)*
      ('GIR Log'!$B$2:$B$72=$B236)*
      ('GIR Log'!$C$2:$C$72=$C236),
    0),
    MATCH($G236,'GIR Log'!$E$1:$V$1,0)
  ),
"")</f>
        <v>NC</v>
      </c>
    </row>
    <row r="237" spans="1:17" x14ac:dyDescent="0.25">
      <c r="A237" s="20" t="s">
        <v>126</v>
      </c>
      <c r="B237" s="2">
        <v>45475</v>
      </c>
      <c r="C237" t="s">
        <v>5</v>
      </c>
      <c r="D237" t="s">
        <v>5</v>
      </c>
      <c r="E237" t="s">
        <v>34</v>
      </c>
      <c r="F237">
        <v>77</v>
      </c>
      <c r="G237" t="s">
        <v>48</v>
      </c>
      <c r="H237" s="9">
        <f t="shared" si="12"/>
        <v>2</v>
      </c>
      <c r="I237" cm="1">
        <f t="array" ref="I237">IFERROR(INDEX(CourseYardages[[Hole 1]:[Hole 18]],
  MATCH(1, (CourseYardages[Course]=C237)*(CourseYardages[Tees]=E237), 0),
  MATCH(G237, CourseYardages[[#Headers],[Hole 1]:[Hole 18]], 0)
),"")</f>
        <v>451</v>
      </c>
      <c r="J237" cm="1">
        <f t="array" ref="J237">IFERROR(INDEX(CourseHandicap[[Hole 1]:[Hole 18]],
  MATCH(1, (CourseHandicap[Course]=C237)*(CourseHandicap[Tees]=E237), 0),
  MATCH(G237, CourseHandicap[[#Headers],[Hole 1]:[Hole 18]], 0)
),"")</f>
        <v>3</v>
      </c>
      <c r="K237" cm="1">
        <f t="array" ref="K237">IFERROR(INDEX(CourseRatings[[Hole 1]:[Hole 18]],
  MATCH(1, (CourseRatings[Course]=C237)*(CourseRatings[Tees]=E237), 0),
  MATCH(G237, CourseRatings[[#Headers],[Hole 1]:[Hole 18]], 0)
),"")</f>
        <v>4</v>
      </c>
      <c r="L237" cm="1">
        <f t="array" ref="L237">IFERROR(
  INDEX('Golf Log'!$E$2:$V$72,
    MATCH(1,
      ('Golf Log'!$A$2:$A$72=$A237)*
      ('Golf Log'!$B$2:$B$72=$B237)*
      ('Golf Log'!$C$2:$C$72=$C237),
    0),
    MATCH($G237,'Golf Log'!$E$1:$V$1,0)
  ),
"")</f>
        <v>5</v>
      </c>
      <c r="M237">
        <f t="shared" si="11"/>
        <v>1</v>
      </c>
      <c r="N237" t="str">
        <f t="shared" si="5"/>
        <v>Bogey</v>
      </c>
      <c r="O237" cm="1">
        <f t="array" ref="O237">IFERROR(
  INDEX('Putt Log'!$E$2:$V$72,
    MATCH(1,
      ('Putt Log'!$A$2:$A$72=$A237)*
      ('Putt Log'!$B$2:$B$72=$B237)*
      ('Putt Log'!$C$2:$C$72=$C237),
    0),
    MATCH($G237,'Putt Log'!$E$1:$V$1,0)
  ),
"")</f>
        <v>1</v>
      </c>
      <c r="P237" t="str" cm="1">
        <f t="array" ref="P237">IF(K237=3,"",
  IFERROR(
    INDEX('Fairway Log'!$E$2:$V$72,
      MATCH(1,
        ('Fairway Log'!$A$2:$A$72=$A237)*
        ('Fairway Log'!$B$2:$B$72=$B237)*
        ('Fairway Log'!$C$2:$C308=$C237),
      0),
      MATCH($G237,'Fairway Log'!$E$1:$V$1,0)
    ),
  "")
)</f>
        <v>→</v>
      </c>
      <c r="Q237" t="str" cm="1">
        <f t="array" ref="Q237">IFERROR(
  INDEX('GIR Log'!$E$2:$V$72,
    MATCH(1,
      ('GIR Log'!$A$2:$A$72=$A237)*
      ('GIR Log'!$B$2:$B$72=$B237)*
      ('GIR Log'!$C$2:$C$72=$C237),
    0),
    MATCH($G237,'GIR Log'!$E$1:$V$1,0)
  ),
"")</f>
        <v>NC</v>
      </c>
    </row>
    <row r="238" spans="1:17" x14ac:dyDescent="0.25">
      <c r="A238" s="20" t="s">
        <v>126</v>
      </c>
      <c r="B238" s="2">
        <v>45475</v>
      </c>
      <c r="C238" t="s">
        <v>5</v>
      </c>
      <c r="D238" t="s">
        <v>5</v>
      </c>
      <c r="E238" t="s">
        <v>34</v>
      </c>
      <c r="F238">
        <v>77</v>
      </c>
      <c r="G238" t="s">
        <v>49</v>
      </c>
      <c r="H238" s="9">
        <f t="shared" si="12"/>
        <v>3</v>
      </c>
      <c r="I238" cm="1">
        <f t="array" ref="I238">IFERROR(INDEX(CourseYardages[[Hole 1]:[Hole 18]],
  MATCH(1, (CourseYardages[Course]=C238)*(CourseYardages[Tees]=E238), 0),
  MATCH(G238, CourseYardages[[#Headers],[Hole 1]:[Hole 18]], 0)
),"")</f>
        <v>195</v>
      </c>
      <c r="J238" cm="1">
        <f t="array" ref="J238">IFERROR(INDEX(CourseHandicap[[Hole 1]:[Hole 18]],
  MATCH(1, (CourseHandicap[Course]=C238)*(CourseHandicap[Tees]=E238), 0),
  MATCH(G238, CourseHandicap[[#Headers],[Hole 1]:[Hole 18]], 0)
),"")</f>
        <v>13</v>
      </c>
      <c r="K238" cm="1">
        <f t="array" ref="K238">IFERROR(INDEX(CourseRatings[[Hole 1]:[Hole 18]],
  MATCH(1, (CourseRatings[Course]=C238)*(CourseRatings[Tees]=E238), 0),
  MATCH(G238, CourseRatings[[#Headers],[Hole 1]:[Hole 18]], 0)
),"")</f>
        <v>3</v>
      </c>
      <c r="L238" cm="1">
        <f t="array" ref="L238">IFERROR(
  INDEX('Golf Log'!$E$2:$V$72,
    MATCH(1,
      ('Golf Log'!$A$2:$A$72=$A238)*
      ('Golf Log'!$B$2:$B$72=$B238)*
      ('Golf Log'!$C$2:$C$72=$C238),
    0),
    MATCH($G238,'Golf Log'!$E$1:$V$1,0)
  ),
"")</f>
        <v>3</v>
      </c>
      <c r="M238">
        <f t="shared" si="11"/>
        <v>0</v>
      </c>
      <c r="N238" t="str">
        <f t="shared" si="5"/>
        <v>Par</v>
      </c>
      <c r="O238" cm="1">
        <f t="array" ref="O238">IFERROR(
  INDEX('Putt Log'!$E$2:$V$72,
    MATCH(1,
      ('Putt Log'!$A$2:$A$72=$A238)*
      ('Putt Log'!$B$2:$B$72=$B238)*
      ('Putt Log'!$C$2:$C$72=$C238),
    0),
    MATCH($G238,'Putt Log'!$E$1:$V$1,0)
  ),
"")</f>
        <v>2</v>
      </c>
      <c r="P238" t="str" cm="1">
        <f t="array" ref="P238">IF(K238=3,"",
  IFERROR(
    INDEX('Fairway Log'!$E$2:$V$72,
      MATCH(1,
        ('Fairway Log'!$A$2:$A$72=$A238)*
        ('Fairway Log'!$B$2:$B$72=$B238)*
        ('Fairway Log'!$C$2:$C309=$C238),
      0),
      MATCH($G238,'Fairway Log'!$E$1:$V$1,0)
    ),
  "")
)</f>
        <v/>
      </c>
      <c r="Q238" cm="1">
        <f t="array" ref="Q238">IFERROR(
  INDEX('GIR Log'!$E$2:$V$72,
    MATCH(1,
      ('GIR Log'!$A$2:$A$72=$A238)*
      ('GIR Log'!$B$2:$B$72=$B238)*
      ('GIR Log'!$C$2:$C$72=$C238),
    0),
    MATCH($G238,'GIR Log'!$E$1:$V$1,0)
  ),
"")</f>
        <v>1</v>
      </c>
    </row>
    <row r="239" spans="1:17" x14ac:dyDescent="0.25">
      <c r="A239" s="20" t="s">
        <v>126</v>
      </c>
      <c r="B239" s="2">
        <v>45475</v>
      </c>
      <c r="C239" t="s">
        <v>5</v>
      </c>
      <c r="D239" t="s">
        <v>5</v>
      </c>
      <c r="E239" t="s">
        <v>34</v>
      </c>
      <c r="F239">
        <v>77</v>
      </c>
      <c r="G239" t="s">
        <v>50</v>
      </c>
      <c r="H239" s="9">
        <f t="shared" si="12"/>
        <v>4</v>
      </c>
      <c r="I239" cm="1">
        <f t="array" ref="I239">IFERROR(INDEX(CourseYardages[[Hole 1]:[Hole 18]],
  MATCH(1, (CourseYardages[Course]=C239)*(CourseYardages[Tees]=E239), 0),
  MATCH(G239, CourseYardages[[#Headers],[Hole 1]:[Hole 18]], 0)
),"")</f>
        <v>493</v>
      </c>
      <c r="J239" cm="1">
        <f t="array" ref="J239">IFERROR(INDEX(CourseHandicap[[Hole 1]:[Hole 18]],
  MATCH(1, (CourseHandicap[Course]=C239)*(CourseHandicap[Tees]=E239), 0),
  MATCH(G239, CourseHandicap[[#Headers],[Hole 1]:[Hole 18]], 0)
),"")</f>
        <v>15</v>
      </c>
      <c r="K239" cm="1">
        <f t="array" ref="K239">IFERROR(INDEX(CourseRatings[[Hole 1]:[Hole 18]],
  MATCH(1, (CourseRatings[Course]=C239)*(CourseRatings[Tees]=E239), 0),
  MATCH(G239, CourseRatings[[#Headers],[Hole 1]:[Hole 18]], 0)
),"")</f>
        <v>5</v>
      </c>
      <c r="L239" cm="1">
        <f t="array" ref="L239">IFERROR(
  INDEX('Golf Log'!$E$2:$V$72,
    MATCH(1,
      ('Golf Log'!$A$2:$A$72=$A239)*
      ('Golf Log'!$B$2:$B$72=$B239)*
      ('Golf Log'!$C$2:$C$72=$C239),
    0),
    MATCH($G239,'Golf Log'!$E$1:$V$1,0)
  ),
"")</f>
        <v>5</v>
      </c>
      <c r="M239">
        <f t="shared" si="11"/>
        <v>0</v>
      </c>
      <c r="N239" t="str">
        <f t="shared" si="5"/>
        <v>Par</v>
      </c>
      <c r="O239" cm="1">
        <f t="array" ref="O239">IFERROR(
  INDEX('Putt Log'!$E$2:$V$72,
    MATCH(1,
      ('Putt Log'!$A$2:$A$72=$A239)*
      ('Putt Log'!$B$2:$B$72=$B239)*
      ('Putt Log'!$C$2:$C$72=$C239),
    0),
    MATCH($G239,'Putt Log'!$E$1:$V$1,0)
  ),
"")</f>
        <v>2</v>
      </c>
      <c r="P239" cm="1">
        <f t="array" ref="P239">IF(K239=3,"",
  IFERROR(
    INDEX('Fairway Log'!$E$2:$V$72,
      MATCH(1,
        ('Fairway Log'!$A$2:$A$72=$A239)*
        ('Fairway Log'!$B$2:$B$72=$B239)*
        ('Fairway Log'!$C$2:$C310=$C239),
      0),
      MATCH($G239,'Fairway Log'!$E$1:$V$1,0)
    ),
  "")
)</f>
        <v>1</v>
      </c>
      <c r="Q239" cm="1">
        <f t="array" ref="Q239">IFERROR(
  INDEX('GIR Log'!$E$2:$V$72,
    MATCH(1,
      ('GIR Log'!$A$2:$A$72=$A239)*
      ('GIR Log'!$B$2:$B$72=$B239)*
      ('GIR Log'!$C$2:$C$72=$C239),
    0),
    MATCH($G239,'GIR Log'!$E$1:$V$1,0)
  ),
"")</f>
        <v>1</v>
      </c>
    </row>
    <row r="240" spans="1:17" x14ac:dyDescent="0.25">
      <c r="A240" s="20" t="s">
        <v>126</v>
      </c>
      <c r="B240" s="2">
        <v>45475</v>
      </c>
      <c r="C240" t="s">
        <v>5</v>
      </c>
      <c r="D240" t="s">
        <v>5</v>
      </c>
      <c r="E240" t="s">
        <v>34</v>
      </c>
      <c r="F240">
        <v>77</v>
      </c>
      <c r="G240" t="s">
        <v>51</v>
      </c>
      <c r="H240" s="9">
        <f t="shared" si="12"/>
        <v>5</v>
      </c>
      <c r="I240" cm="1">
        <f t="array" ref="I240">IFERROR(INDEX(CourseYardages[[Hole 1]:[Hole 18]],
  MATCH(1, (CourseYardages[Course]=C240)*(CourseYardages[Tees]=E240), 0),
  MATCH(G240, CourseYardages[[#Headers],[Hole 1]:[Hole 18]], 0)
),"")</f>
        <v>306</v>
      </c>
      <c r="J240" cm="1">
        <f t="array" ref="J240">IFERROR(INDEX(CourseHandicap[[Hole 1]:[Hole 18]],
  MATCH(1, (CourseHandicap[Course]=C240)*(CourseHandicap[Tees]=E240), 0),
  MATCH(G240, CourseHandicap[[#Headers],[Hole 1]:[Hole 18]], 0)
),"")</f>
        <v>17</v>
      </c>
      <c r="K240" cm="1">
        <f t="array" ref="K240">IFERROR(INDEX(CourseRatings[[Hole 1]:[Hole 18]],
  MATCH(1, (CourseRatings[Course]=C240)*(CourseRatings[Tees]=E240), 0),
  MATCH(G240, CourseRatings[[#Headers],[Hole 1]:[Hole 18]], 0)
),"")</f>
        <v>4</v>
      </c>
      <c r="L240" cm="1">
        <f t="array" ref="L240">IFERROR(
  INDEX('Golf Log'!$E$2:$V$72,
    MATCH(1,
      ('Golf Log'!$A$2:$A$72=$A240)*
      ('Golf Log'!$B$2:$B$72=$B240)*
      ('Golf Log'!$C$2:$C$72=$C240),
    0),
    MATCH($G240,'Golf Log'!$E$1:$V$1,0)
  ),
"")</f>
        <v>3</v>
      </c>
      <c r="M240">
        <f t="shared" si="11"/>
        <v>-1</v>
      </c>
      <c r="N240" t="str">
        <f t="shared" si="5"/>
        <v>Birdie</v>
      </c>
      <c r="O240" cm="1">
        <f t="array" ref="O240">IFERROR(
  INDEX('Putt Log'!$E$2:$V$72,
    MATCH(1,
      ('Putt Log'!$A$2:$A$72=$A240)*
      ('Putt Log'!$B$2:$B$72=$B240)*
      ('Putt Log'!$C$2:$C$72=$C240),
    0),
    MATCH($G240,'Putt Log'!$E$1:$V$1,0)
  ),
"")</f>
        <v>1</v>
      </c>
      <c r="P240" cm="1">
        <f t="array" ref="P240">IF(K240=3,"",
  IFERROR(
    INDEX('Fairway Log'!$E$2:$V$72,
      MATCH(1,
        ('Fairway Log'!$A$2:$A$72=$A240)*
        ('Fairway Log'!$B$2:$B$72=$B240)*
        ('Fairway Log'!$C$2:$C311=$C240),
      0),
      MATCH($G240,'Fairway Log'!$E$1:$V$1,0)
    ),
  "")
)</f>
        <v>1</v>
      </c>
      <c r="Q240" cm="1">
        <f t="array" ref="Q240">IFERROR(
  INDEX('GIR Log'!$E$2:$V$72,
    MATCH(1,
      ('GIR Log'!$A$2:$A$72=$A240)*
      ('GIR Log'!$B$2:$B$72=$B240)*
      ('GIR Log'!$C$2:$C$72=$C240),
    0),
    MATCH($G240,'GIR Log'!$E$1:$V$1,0)
  ),
"")</f>
        <v>1</v>
      </c>
    </row>
    <row r="241" spans="1:17" x14ac:dyDescent="0.25">
      <c r="A241" s="20" t="s">
        <v>126</v>
      </c>
      <c r="B241" s="2">
        <v>45475</v>
      </c>
      <c r="C241" t="s">
        <v>5</v>
      </c>
      <c r="D241" t="s">
        <v>5</v>
      </c>
      <c r="E241" t="s">
        <v>34</v>
      </c>
      <c r="F241">
        <v>77</v>
      </c>
      <c r="G241" t="s">
        <v>52</v>
      </c>
      <c r="H241" s="9">
        <f t="shared" si="12"/>
        <v>6</v>
      </c>
      <c r="I241" cm="1">
        <f t="array" ref="I241">IFERROR(INDEX(CourseYardages[[Hole 1]:[Hole 18]],
  MATCH(1, (CourseYardages[Course]=C241)*(CourseYardages[Tees]=E241), 0),
  MATCH(G241, CourseYardages[[#Headers],[Hole 1]:[Hole 18]], 0)
),"")</f>
        <v>462</v>
      </c>
      <c r="J241" cm="1">
        <f t="array" ref="J241">IFERROR(INDEX(CourseHandicap[[Hole 1]:[Hole 18]],
  MATCH(1, (CourseHandicap[Course]=C241)*(CourseHandicap[Tees]=E241), 0),
  MATCH(G241, CourseHandicap[[#Headers],[Hole 1]:[Hole 18]], 0)
),"")</f>
        <v>1</v>
      </c>
      <c r="K241" cm="1">
        <f t="array" ref="K241">IFERROR(INDEX(CourseRatings[[Hole 1]:[Hole 18]],
  MATCH(1, (CourseRatings[Course]=C241)*(CourseRatings[Tees]=E241), 0),
  MATCH(G241, CourseRatings[[#Headers],[Hole 1]:[Hole 18]], 0)
),"")</f>
        <v>4</v>
      </c>
      <c r="L241" cm="1">
        <f t="array" ref="L241">IFERROR(
  INDEX('Golf Log'!$E$2:$V$72,
    MATCH(1,
      ('Golf Log'!$A$2:$A$72=$A241)*
      ('Golf Log'!$B$2:$B$72=$B241)*
      ('Golf Log'!$C$2:$C$72=$C241),
    0),
    MATCH($G241,'Golf Log'!$E$1:$V$1,0)
  ),
"")</f>
        <v>5</v>
      </c>
      <c r="M241">
        <f t="shared" si="11"/>
        <v>1</v>
      </c>
      <c r="N241" t="str">
        <f t="shared" si="5"/>
        <v>Bogey</v>
      </c>
      <c r="O241" cm="1">
        <f t="array" ref="O241">IFERROR(
  INDEX('Putt Log'!$E$2:$V$72,
    MATCH(1,
      ('Putt Log'!$A$2:$A$72=$A241)*
      ('Putt Log'!$B$2:$B$72=$B241)*
      ('Putt Log'!$C$2:$C$72=$C241),
    0),
    MATCH($G241,'Putt Log'!$E$1:$V$1,0)
  ),
"")</f>
        <v>1</v>
      </c>
      <c r="P241" t="str" cm="1">
        <f t="array" ref="P241">IF(K241=3,"",
  IFERROR(
    INDEX('Fairway Log'!$E$2:$V$72,
      MATCH(1,
        ('Fairway Log'!$A$2:$A$72=$A241)*
        ('Fairway Log'!$B$2:$B$72=$B241)*
        ('Fairway Log'!$C$2:$C312=$C241),
      0),
      MATCH($G241,'Fairway Log'!$E$1:$V$1,0)
    ),
  "")
)</f>
        <v>↑</v>
      </c>
      <c r="Q241" t="str" cm="1">
        <f t="array" ref="Q241">IFERROR(
  INDEX('GIR Log'!$E$2:$V$72,
    MATCH(1,
      ('GIR Log'!$A$2:$A$72=$A241)*
      ('GIR Log'!$B$2:$B$72=$B241)*
      ('GIR Log'!$C$2:$C$72=$C241),
    0),
    MATCH($G241,'GIR Log'!$E$1:$V$1,0)
  ),
"")</f>
        <v>NC</v>
      </c>
    </row>
    <row r="242" spans="1:17" x14ac:dyDescent="0.25">
      <c r="A242" s="20" t="s">
        <v>126</v>
      </c>
      <c r="B242" s="2">
        <v>45475</v>
      </c>
      <c r="C242" t="s">
        <v>5</v>
      </c>
      <c r="D242" t="s">
        <v>5</v>
      </c>
      <c r="E242" t="s">
        <v>34</v>
      </c>
      <c r="F242">
        <v>77</v>
      </c>
      <c r="G242" t="s">
        <v>53</v>
      </c>
      <c r="H242" s="9">
        <f t="shared" si="12"/>
        <v>7</v>
      </c>
      <c r="I242" cm="1">
        <f t="array" ref="I242">IFERROR(INDEX(CourseYardages[[Hole 1]:[Hole 18]],
  MATCH(1, (CourseYardages[Course]=C242)*(CourseYardages[Tees]=E242), 0),
  MATCH(G242, CourseYardages[[#Headers],[Hole 1]:[Hole 18]], 0)
),"")</f>
        <v>186</v>
      </c>
      <c r="J242" cm="1">
        <f t="array" ref="J242">IFERROR(INDEX(CourseHandicap[[Hole 1]:[Hole 18]],
  MATCH(1, (CourseHandicap[Course]=C242)*(CourseHandicap[Tees]=E242), 0),
  MATCH(G242, CourseHandicap[[#Headers],[Hole 1]:[Hole 18]], 0)
),"")</f>
        <v>11</v>
      </c>
      <c r="K242" cm="1">
        <f t="array" ref="K242">IFERROR(INDEX(CourseRatings[[Hole 1]:[Hole 18]],
  MATCH(1, (CourseRatings[Course]=C242)*(CourseRatings[Tees]=E242), 0),
  MATCH(G242, CourseRatings[[#Headers],[Hole 1]:[Hole 18]], 0)
),"")</f>
        <v>3</v>
      </c>
      <c r="L242" cm="1">
        <f t="array" ref="L242">IFERROR(
  INDEX('Golf Log'!$E$2:$V$72,
    MATCH(1,
      ('Golf Log'!$A$2:$A$72=$A242)*
      ('Golf Log'!$B$2:$B$72=$B242)*
      ('Golf Log'!$C$2:$C$72=$C242),
    0),
    MATCH($G242,'Golf Log'!$E$1:$V$1,0)
  ),
"")</f>
        <v>3</v>
      </c>
      <c r="M242">
        <f t="shared" si="11"/>
        <v>0</v>
      </c>
      <c r="N242" t="str">
        <f t="shared" si="5"/>
        <v>Par</v>
      </c>
      <c r="O242" cm="1">
        <f t="array" ref="O242">IFERROR(
  INDEX('Putt Log'!$E$2:$V$72,
    MATCH(1,
      ('Putt Log'!$A$2:$A$72=$A242)*
      ('Putt Log'!$B$2:$B$72=$B242)*
      ('Putt Log'!$C$2:$C$72=$C242),
    0),
    MATCH($G242,'Putt Log'!$E$1:$V$1,0)
  ),
"")</f>
        <v>1</v>
      </c>
      <c r="P242" t="str" cm="1">
        <f t="array" ref="P242">IF(K242=3,"",
  IFERROR(
    INDEX('Fairway Log'!$E$2:$V$72,
      MATCH(1,
        ('Fairway Log'!$A$2:$A$72=$A242)*
        ('Fairway Log'!$B$2:$B$72=$B242)*
        ('Fairway Log'!$C$2:$C313=$C242),
      0),
      MATCH($G242,'Fairway Log'!$E$1:$V$1,0)
    ),
  "")
)</f>
        <v/>
      </c>
      <c r="Q242" t="str" cm="1">
        <f t="array" ref="Q242">IFERROR(
  INDEX('GIR Log'!$E$2:$V$72,
    MATCH(1,
      ('GIR Log'!$A$2:$A$72=$A242)*
      ('GIR Log'!$B$2:$B$72=$B242)*
      ('GIR Log'!$C$2:$C$72=$C242),
    0),
    MATCH($G242,'GIR Log'!$E$1:$V$1,0)
  ),
"")</f>
        <v>→</v>
      </c>
    </row>
    <row r="243" spans="1:17" x14ac:dyDescent="0.25">
      <c r="A243" s="20" t="s">
        <v>126</v>
      </c>
      <c r="B243" s="2">
        <v>45475</v>
      </c>
      <c r="C243" t="s">
        <v>5</v>
      </c>
      <c r="D243" t="s">
        <v>5</v>
      </c>
      <c r="E243" t="s">
        <v>34</v>
      </c>
      <c r="F243">
        <v>77</v>
      </c>
      <c r="G243" t="s">
        <v>54</v>
      </c>
      <c r="H243" s="9">
        <f t="shared" si="12"/>
        <v>8</v>
      </c>
      <c r="I243" cm="1">
        <f t="array" ref="I243">IFERROR(INDEX(CourseYardages[[Hole 1]:[Hole 18]],
  MATCH(1, (CourseYardages[Course]=C243)*(CourseYardages[Tees]=E243), 0),
  MATCH(G243, CourseYardages[[#Headers],[Hole 1]:[Hole 18]], 0)
),"")</f>
        <v>565</v>
      </c>
      <c r="J243" cm="1">
        <f t="array" ref="J243">IFERROR(INDEX(CourseHandicap[[Hole 1]:[Hole 18]],
  MATCH(1, (CourseHandicap[Course]=C243)*(CourseHandicap[Tees]=E243), 0),
  MATCH(G243, CourseHandicap[[#Headers],[Hole 1]:[Hole 18]], 0)
),"")</f>
        <v>5</v>
      </c>
      <c r="K243" cm="1">
        <f t="array" ref="K243">IFERROR(INDEX(CourseRatings[[Hole 1]:[Hole 18]],
  MATCH(1, (CourseRatings[Course]=C243)*(CourseRatings[Tees]=E243), 0),
  MATCH(G243, CourseRatings[[#Headers],[Hole 1]:[Hole 18]], 0)
),"")</f>
        <v>5</v>
      </c>
      <c r="L243" cm="1">
        <f t="array" ref="L243">IFERROR(
  INDEX('Golf Log'!$E$2:$V$72,
    MATCH(1,
      ('Golf Log'!$A$2:$A$72=$A243)*
      ('Golf Log'!$B$2:$B$72=$B243)*
      ('Golf Log'!$C$2:$C$72=$C243),
    0),
    MATCH($G243,'Golf Log'!$E$1:$V$1,0)
  ),
"")</f>
        <v>5</v>
      </c>
      <c r="M243">
        <f t="shared" si="11"/>
        <v>0</v>
      </c>
      <c r="N243" t="str">
        <f t="shared" si="5"/>
        <v>Par</v>
      </c>
      <c r="O243" cm="1">
        <f t="array" ref="O243">IFERROR(
  INDEX('Putt Log'!$E$2:$V$72,
    MATCH(1,
      ('Putt Log'!$A$2:$A$72=$A243)*
      ('Putt Log'!$B$2:$B$72=$B243)*
      ('Putt Log'!$C$2:$C$72=$C243),
    0),
    MATCH($G243,'Putt Log'!$E$1:$V$1,0)
  ),
"")</f>
        <v>2</v>
      </c>
      <c r="P243" cm="1">
        <f t="array" ref="P243">IF(K243=3,"",
  IFERROR(
    INDEX('Fairway Log'!$E$2:$V$72,
      MATCH(1,
        ('Fairway Log'!$A$2:$A$72=$A243)*
        ('Fairway Log'!$B$2:$B$72=$B243)*
        ('Fairway Log'!$C$2:$C314=$C243),
      0),
      MATCH($G243,'Fairway Log'!$E$1:$V$1,0)
    ),
  "")
)</f>
        <v>1</v>
      </c>
      <c r="Q243" cm="1">
        <f t="array" ref="Q243">IFERROR(
  INDEX('GIR Log'!$E$2:$V$72,
    MATCH(1,
      ('GIR Log'!$A$2:$A$72=$A243)*
      ('GIR Log'!$B$2:$B$72=$B243)*
      ('GIR Log'!$C$2:$C$72=$C243),
    0),
    MATCH($G243,'GIR Log'!$E$1:$V$1,0)
  ),
"")</f>
        <v>1</v>
      </c>
    </row>
    <row r="244" spans="1:17" x14ac:dyDescent="0.25">
      <c r="A244" s="20" t="s">
        <v>126</v>
      </c>
      <c r="B244" s="2">
        <v>45475</v>
      </c>
      <c r="C244" t="s">
        <v>5</v>
      </c>
      <c r="D244" t="s">
        <v>5</v>
      </c>
      <c r="E244" t="s">
        <v>34</v>
      </c>
      <c r="F244">
        <v>77</v>
      </c>
      <c r="G244" t="s">
        <v>55</v>
      </c>
      <c r="H244" s="9">
        <f t="shared" si="12"/>
        <v>9</v>
      </c>
      <c r="I244" cm="1">
        <f t="array" ref="I244">IFERROR(INDEX(CourseYardages[[Hole 1]:[Hole 18]],
  MATCH(1, (CourseYardages[Course]=C244)*(CourseYardages[Tees]=E244), 0),
  MATCH(G244, CourseYardages[[#Headers],[Hole 1]:[Hole 18]], 0)
),"")</f>
        <v>360</v>
      </c>
      <c r="J244" cm="1">
        <f t="array" ref="J244">IFERROR(INDEX(CourseHandicap[[Hole 1]:[Hole 18]],
  MATCH(1, (CourseHandicap[Course]=C244)*(CourseHandicap[Tees]=E244), 0),
  MATCH(G244, CourseHandicap[[#Headers],[Hole 1]:[Hole 18]], 0)
),"")</f>
        <v>9</v>
      </c>
      <c r="K244" cm="1">
        <f t="array" ref="K244">IFERROR(INDEX(CourseRatings[[Hole 1]:[Hole 18]],
  MATCH(1, (CourseRatings[Course]=C244)*(CourseRatings[Tees]=E244), 0),
  MATCH(G244, CourseRatings[[#Headers],[Hole 1]:[Hole 18]], 0)
),"")</f>
        <v>4</v>
      </c>
      <c r="L244" cm="1">
        <f t="array" ref="L244">IFERROR(
  INDEX('Golf Log'!$E$2:$V$72,
    MATCH(1,
      ('Golf Log'!$A$2:$A$72=$A244)*
      ('Golf Log'!$B$2:$B$72=$B244)*
      ('Golf Log'!$C$2:$C$72=$C244),
    0),
    MATCH($G244,'Golf Log'!$E$1:$V$1,0)
  ),
"")</f>
        <v>3</v>
      </c>
      <c r="M244">
        <f t="shared" si="11"/>
        <v>-1</v>
      </c>
      <c r="N244" t="str">
        <f t="shared" si="5"/>
        <v>Birdie</v>
      </c>
      <c r="O244" cm="1">
        <f t="array" ref="O244">IFERROR(
  INDEX('Putt Log'!$E$2:$V$72,
    MATCH(1,
      ('Putt Log'!$A$2:$A$72=$A244)*
      ('Putt Log'!$B$2:$B$72=$B244)*
      ('Putt Log'!$C$2:$C$72=$C244),
    0),
    MATCH($G244,'Putt Log'!$E$1:$V$1,0)
  ),
"")</f>
        <v>1</v>
      </c>
      <c r="P244" cm="1">
        <f t="array" ref="P244">IF(K244=3,"",
  IFERROR(
    INDEX('Fairway Log'!$E$2:$V$72,
      MATCH(1,
        ('Fairway Log'!$A$2:$A$72=$A244)*
        ('Fairway Log'!$B$2:$B$72=$B244)*
        ('Fairway Log'!$C$2:$C315=$C244),
      0),
      MATCH($G244,'Fairway Log'!$E$1:$V$1,0)
    ),
  "")
)</f>
        <v>1</v>
      </c>
      <c r="Q244" cm="1">
        <f t="array" ref="Q244">IFERROR(
  INDEX('GIR Log'!$E$2:$V$72,
    MATCH(1,
      ('GIR Log'!$A$2:$A$72=$A244)*
      ('GIR Log'!$B$2:$B$72=$B244)*
      ('GIR Log'!$C$2:$C$72=$C244),
    0),
    MATCH($G244,'GIR Log'!$E$1:$V$1,0)
  ),
"")</f>
        <v>1</v>
      </c>
    </row>
    <row r="245" spans="1:17" x14ac:dyDescent="0.25">
      <c r="A245" s="20" t="s">
        <v>126</v>
      </c>
      <c r="B245" s="2">
        <v>45475</v>
      </c>
      <c r="C245" t="s">
        <v>5</v>
      </c>
      <c r="D245" t="s">
        <v>5</v>
      </c>
      <c r="E245" t="s">
        <v>34</v>
      </c>
      <c r="F245">
        <v>77</v>
      </c>
      <c r="G245" t="s">
        <v>56</v>
      </c>
      <c r="H245" s="9">
        <f t="shared" si="12"/>
        <v>10</v>
      </c>
      <c r="I245" cm="1">
        <f t="array" ref="I245">IFERROR(INDEX(CourseYardages[[Hole 1]:[Hole 18]],
  MATCH(1, (CourseYardages[Course]=C245)*(CourseYardages[Tees]=E245), 0),
  MATCH(G245, CourseYardages[[#Headers],[Hole 1]:[Hole 18]], 0)
),"")</f>
        <v>381</v>
      </c>
      <c r="J245" cm="1">
        <f t="array" ref="J245">IFERROR(INDEX(CourseHandicap[[Hole 1]:[Hole 18]],
  MATCH(1, (CourseHandicap[Course]=C245)*(CourseHandicap[Tees]=E245), 0),
  MATCH(G245, CourseHandicap[[#Headers],[Hole 1]:[Hole 18]], 0)
),"")</f>
        <v>12</v>
      </c>
      <c r="K245" cm="1">
        <f t="array" ref="K245">IFERROR(INDEX(CourseRatings[[Hole 1]:[Hole 18]],
  MATCH(1, (CourseRatings[Course]=C245)*(CourseRatings[Tees]=E245), 0),
  MATCH(G245, CourseRatings[[#Headers],[Hole 1]:[Hole 18]], 0)
),"")</f>
        <v>4</v>
      </c>
      <c r="L245" cm="1">
        <f t="array" ref="L245">IFERROR(
  INDEX('Golf Log'!$E$2:$V$72,
    MATCH(1,
      ('Golf Log'!$A$2:$A$72=$A245)*
      ('Golf Log'!$B$2:$B$72=$B245)*
      ('Golf Log'!$C$2:$C$72=$C245),
    0),
    MATCH($G245,'Golf Log'!$E$1:$V$1,0)
  ),
"")</f>
        <v>4</v>
      </c>
      <c r="M245">
        <f t="shared" si="11"/>
        <v>0</v>
      </c>
      <c r="N245" t="str">
        <f t="shared" si="5"/>
        <v>Par</v>
      </c>
      <c r="O245" cm="1">
        <f t="array" ref="O245">IFERROR(
  INDEX('Putt Log'!$E$2:$V$72,
    MATCH(1,
      ('Putt Log'!$A$2:$A$72=$A245)*
      ('Putt Log'!$B$2:$B$72=$B245)*
      ('Putt Log'!$C$2:$C$72=$C245),
    0),
    MATCH($G245,'Putt Log'!$E$1:$V$1,0)
  ),
"")</f>
        <v>2</v>
      </c>
      <c r="P245" cm="1">
        <f t="array" ref="P245">IF(K245=3,"",
  IFERROR(
    INDEX('Fairway Log'!$E$2:$V$72,
      MATCH(1,
        ('Fairway Log'!$A$2:$A$72=$A245)*
        ('Fairway Log'!$B$2:$B$72=$B245)*
        ('Fairway Log'!$C$2:$C316=$C245),
      0),
      MATCH($G245,'Fairway Log'!$E$1:$V$1,0)
    ),
  "")
)</f>
        <v>1</v>
      </c>
      <c r="Q245" cm="1">
        <f t="array" ref="Q245">IFERROR(
  INDEX('GIR Log'!$E$2:$V$72,
    MATCH(1,
      ('GIR Log'!$A$2:$A$72=$A245)*
      ('GIR Log'!$B$2:$B$72=$B245)*
      ('GIR Log'!$C$2:$C$72=$C245),
    0),
    MATCH($G245,'GIR Log'!$E$1:$V$1,0)
  ),
"")</f>
        <v>1</v>
      </c>
    </row>
    <row r="246" spans="1:17" x14ac:dyDescent="0.25">
      <c r="A246" s="20" t="s">
        <v>126</v>
      </c>
      <c r="B246" s="2">
        <v>45475</v>
      </c>
      <c r="C246" t="s">
        <v>5</v>
      </c>
      <c r="D246" t="s">
        <v>5</v>
      </c>
      <c r="E246" t="s">
        <v>34</v>
      </c>
      <c r="F246">
        <v>77</v>
      </c>
      <c r="G246" t="s">
        <v>57</v>
      </c>
      <c r="H246" s="9">
        <f t="shared" si="12"/>
        <v>11</v>
      </c>
      <c r="I246" cm="1">
        <f t="array" ref="I246">IFERROR(INDEX(CourseYardages[[Hole 1]:[Hole 18]],
  MATCH(1, (CourseYardages[Course]=C246)*(CourseYardages[Tees]=E246), 0),
  MATCH(G246, CourseYardages[[#Headers],[Hole 1]:[Hole 18]], 0)
),"")</f>
        <v>200</v>
      </c>
      <c r="J246" cm="1">
        <f t="array" ref="J246">IFERROR(INDEX(CourseHandicap[[Hole 1]:[Hole 18]],
  MATCH(1, (CourseHandicap[Course]=C246)*(CourseHandicap[Tees]=E246), 0),
  MATCH(G246, CourseHandicap[[#Headers],[Hole 1]:[Hole 18]], 0)
),"")</f>
        <v>16</v>
      </c>
      <c r="K246" cm="1">
        <f t="array" ref="K246">IFERROR(INDEX(CourseRatings[[Hole 1]:[Hole 18]],
  MATCH(1, (CourseRatings[Course]=C246)*(CourseRatings[Tees]=E246), 0),
  MATCH(G246, CourseRatings[[#Headers],[Hole 1]:[Hole 18]], 0)
),"")</f>
        <v>3</v>
      </c>
      <c r="L246" cm="1">
        <f t="array" ref="L246">IFERROR(
  INDEX('Golf Log'!$E$2:$V$72,
    MATCH(1,
      ('Golf Log'!$A$2:$A$72=$A246)*
      ('Golf Log'!$B$2:$B$72=$B246)*
      ('Golf Log'!$C$2:$C$72=$C246),
    0),
    MATCH($G246,'Golf Log'!$E$1:$V$1,0)
  ),
"")</f>
        <v>3</v>
      </c>
      <c r="M246">
        <f t="shared" si="11"/>
        <v>0</v>
      </c>
      <c r="N246" t="str">
        <f t="shared" si="5"/>
        <v>Par</v>
      </c>
      <c r="O246" cm="1">
        <f t="array" ref="O246">IFERROR(
  INDEX('Putt Log'!$E$2:$V$72,
    MATCH(1,
      ('Putt Log'!$A$2:$A$72=$A246)*
      ('Putt Log'!$B$2:$B$72=$B246)*
      ('Putt Log'!$C$2:$C$72=$C246),
    0),
    MATCH($G246,'Putt Log'!$E$1:$V$1,0)
  ),
"")</f>
        <v>1</v>
      </c>
      <c r="P246" t="str" cm="1">
        <f t="array" ref="P246">IF(K246=3,"",
  IFERROR(
    INDEX('Fairway Log'!$E$2:$V$72,
      MATCH(1,
        ('Fairway Log'!$A$2:$A$72=$A246)*
        ('Fairway Log'!$B$2:$B$72=$B246)*
        ('Fairway Log'!$C$2:$C317=$C246),
      0),
      MATCH($G246,'Fairway Log'!$E$1:$V$1,0)
    ),
  "")
)</f>
        <v/>
      </c>
      <c r="Q246" t="str" cm="1">
        <f t="array" ref="Q246">IFERROR(
  INDEX('GIR Log'!$E$2:$V$72,
    MATCH(1,
      ('GIR Log'!$A$2:$A$72=$A246)*
      ('GIR Log'!$B$2:$B$72=$B246)*
      ('GIR Log'!$C$2:$C$72=$C246),
    0),
    MATCH($G246,'GIR Log'!$E$1:$V$1,0)
  ),
"")</f>
        <v>→</v>
      </c>
    </row>
    <row r="247" spans="1:17" x14ac:dyDescent="0.25">
      <c r="A247" s="20" t="s">
        <v>126</v>
      </c>
      <c r="B247" s="2">
        <v>45475</v>
      </c>
      <c r="C247" t="s">
        <v>5</v>
      </c>
      <c r="D247" t="s">
        <v>5</v>
      </c>
      <c r="E247" t="s">
        <v>34</v>
      </c>
      <c r="F247">
        <v>77</v>
      </c>
      <c r="G247" t="s">
        <v>58</v>
      </c>
      <c r="H247" s="9">
        <f t="shared" si="12"/>
        <v>12</v>
      </c>
      <c r="I247" cm="1">
        <f t="array" ref="I247">IFERROR(INDEX(CourseYardages[[Hole 1]:[Hole 18]],
  MATCH(1, (CourseYardages[Course]=C247)*(CourseYardages[Tees]=E247), 0),
  MATCH(G247, CourseYardages[[#Headers],[Hole 1]:[Hole 18]], 0)
),"")</f>
        <v>473</v>
      </c>
      <c r="J247" cm="1">
        <f t="array" ref="J247">IFERROR(INDEX(CourseHandicap[[Hole 1]:[Hole 18]],
  MATCH(1, (CourseHandicap[Course]=C247)*(CourseHandicap[Tees]=E247), 0),
  MATCH(G247, CourseHandicap[[#Headers],[Hole 1]:[Hole 18]], 0)
),"")</f>
        <v>10</v>
      </c>
      <c r="K247" cm="1">
        <f t="array" ref="K247">IFERROR(INDEX(CourseRatings[[Hole 1]:[Hole 18]],
  MATCH(1, (CourseRatings[Course]=C247)*(CourseRatings[Tees]=E247), 0),
  MATCH(G247, CourseRatings[[#Headers],[Hole 1]:[Hole 18]], 0)
),"")</f>
        <v>5</v>
      </c>
      <c r="L247" cm="1">
        <f t="array" ref="L247">IFERROR(
  INDEX('Golf Log'!$E$2:$V$72,
    MATCH(1,
      ('Golf Log'!$A$2:$A$72=$A247)*
      ('Golf Log'!$B$2:$B$72=$B247)*
      ('Golf Log'!$C$2:$C$72=$C247),
    0),
    MATCH($G247,'Golf Log'!$E$1:$V$1,0)
  ),
"")</f>
        <v>5</v>
      </c>
      <c r="M247">
        <f t="shared" si="11"/>
        <v>0</v>
      </c>
      <c r="N247" t="str">
        <f t="shared" si="5"/>
        <v>Par</v>
      </c>
      <c r="O247" cm="1">
        <f t="array" ref="O247">IFERROR(
  INDEX('Putt Log'!$E$2:$V$72,
    MATCH(1,
      ('Putt Log'!$A$2:$A$72=$A247)*
      ('Putt Log'!$B$2:$B$72=$B247)*
      ('Putt Log'!$C$2:$C$72=$C247),
    0),
    MATCH($G247,'Putt Log'!$E$1:$V$1,0)
  ),
"")</f>
        <v>1</v>
      </c>
      <c r="P247" t="str" cm="1">
        <f t="array" ref="P247">IF(K247=3,"",
  IFERROR(
    INDEX('Fairway Log'!$E$2:$V$72,
      MATCH(1,
        ('Fairway Log'!$A$2:$A$72=$A247)*
        ('Fairway Log'!$B$2:$B$72=$B247)*
        ('Fairway Log'!$C$2:$C318=$C247),
      0),
      MATCH($G247,'Fairway Log'!$E$1:$V$1,0)
    ),
  "")
)</f>
        <v>→</v>
      </c>
      <c r="Q247" t="str" cm="1">
        <f t="array" ref="Q247">IFERROR(
  INDEX('GIR Log'!$E$2:$V$72,
    MATCH(1,
      ('GIR Log'!$A$2:$A$72=$A247)*
      ('GIR Log'!$B$2:$B$72=$B247)*
      ('GIR Log'!$C$2:$C$72=$C247),
    0),
    MATCH($G247,'GIR Log'!$E$1:$V$1,0)
  ),
"")</f>
        <v>→</v>
      </c>
    </row>
    <row r="248" spans="1:17" x14ac:dyDescent="0.25">
      <c r="A248" s="20" t="s">
        <v>126</v>
      </c>
      <c r="B248" s="2">
        <v>45475</v>
      </c>
      <c r="C248" t="s">
        <v>5</v>
      </c>
      <c r="D248" t="s">
        <v>5</v>
      </c>
      <c r="E248" t="s">
        <v>34</v>
      </c>
      <c r="F248">
        <v>77</v>
      </c>
      <c r="G248" t="s">
        <v>59</v>
      </c>
      <c r="H248" s="9">
        <f t="shared" si="12"/>
        <v>13</v>
      </c>
      <c r="I248" cm="1">
        <f t="array" ref="I248">IFERROR(INDEX(CourseYardages[[Hole 1]:[Hole 18]],
  MATCH(1, (CourseYardages[Course]=C248)*(CourseYardages[Tees]=E248), 0),
  MATCH(G248, CourseYardages[[#Headers],[Hole 1]:[Hole 18]], 0)
),"")</f>
        <v>362</v>
      </c>
      <c r="J248" cm="1">
        <f t="array" ref="J248">IFERROR(INDEX(CourseHandicap[[Hole 1]:[Hole 18]],
  MATCH(1, (CourseHandicap[Course]=C248)*(CourseHandicap[Tees]=E248), 0),
  MATCH(G248, CourseHandicap[[#Headers],[Hole 1]:[Hole 18]], 0)
),"")</f>
        <v>18</v>
      </c>
      <c r="K248" cm="1">
        <f t="array" ref="K248">IFERROR(INDEX(CourseRatings[[Hole 1]:[Hole 18]],
  MATCH(1, (CourseRatings[Course]=C248)*(CourseRatings[Tees]=E248), 0),
  MATCH(G248, CourseRatings[[#Headers],[Hole 1]:[Hole 18]], 0)
),"")</f>
        <v>4</v>
      </c>
      <c r="L248" cm="1">
        <f t="array" ref="L248">IFERROR(
  INDEX('Golf Log'!$E$2:$V$72,
    MATCH(1,
      ('Golf Log'!$A$2:$A$72=$A248)*
      ('Golf Log'!$B$2:$B$72=$B248)*
      ('Golf Log'!$C$2:$C$72=$C248),
    0),
    MATCH($G248,'Golf Log'!$E$1:$V$1,0)
  ),
"")</f>
        <v>4</v>
      </c>
      <c r="M248">
        <f t="shared" si="11"/>
        <v>0</v>
      </c>
      <c r="N248" t="str">
        <f t="shared" si="5"/>
        <v>Par</v>
      </c>
      <c r="O248" cm="1">
        <f t="array" ref="O248">IFERROR(
  INDEX('Putt Log'!$E$2:$V$72,
    MATCH(1,
      ('Putt Log'!$A$2:$A$72=$A248)*
      ('Putt Log'!$B$2:$B$72=$B248)*
      ('Putt Log'!$C$2:$C$72=$C248),
    0),
    MATCH($G248,'Putt Log'!$E$1:$V$1,0)
  ),
"")</f>
        <v>2</v>
      </c>
      <c r="P248" cm="1">
        <f t="array" ref="P248">IF(K248=3,"",
  IFERROR(
    INDEX('Fairway Log'!$E$2:$V$72,
      MATCH(1,
        ('Fairway Log'!$A$2:$A$72=$A248)*
        ('Fairway Log'!$B$2:$B$72=$B248)*
        ('Fairway Log'!$C$2:$C319=$C248),
      0),
      MATCH($G248,'Fairway Log'!$E$1:$V$1,0)
    ),
  "")
)</f>
        <v>1</v>
      </c>
      <c r="Q248" cm="1">
        <f t="array" ref="Q248">IFERROR(
  INDEX('GIR Log'!$E$2:$V$72,
    MATCH(1,
      ('GIR Log'!$A$2:$A$72=$A248)*
      ('GIR Log'!$B$2:$B$72=$B248)*
      ('GIR Log'!$C$2:$C$72=$C248),
    0),
    MATCH($G248,'GIR Log'!$E$1:$V$1,0)
  ),
"")</f>
        <v>1</v>
      </c>
    </row>
    <row r="249" spans="1:17" x14ac:dyDescent="0.25">
      <c r="A249" s="20" t="s">
        <v>126</v>
      </c>
      <c r="B249" s="2">
        <v>45475</v>
      </c>
      <c r="C249" t="s">
        <v>5</v>
      </c>
      <c r="D249" t="s">
        <v>5</v>
      </c>
      <c r="E249" t="s">
        <v>34</v>
      </c>
      <c r="F249">
        <v>77</v>
      </c>
      <c r="G249" t="s">
        <v>60</v>
      </c>
      <c r="H249" s="9">
        <f t="shared" si="12"/>
        <v>14</v>
      </c>
      <c r="I249" cm="1">
        <f t="array" ref="I249">IFERROR(INDEX(CourseYardages[[Hole 1]:[Hole 18]],
  MATCH(1, (CourseYardages[Course]=C249)*(CourseYardages[Tees]=E249), 0),
  MATCH(G249, CourseYardages[[#Headers],[Hole 1]:[Hole 18]], 0)
),"")</f>
        <v>383</v>
      </c>
      <c r="J249" cm="1">
        <f t="array" ref="J249">IFERROR(INDEX(CourseHandicap[[Hole 1]:[Hole 18]],
  MATCH(1, (CourseHandicap[Course]=C249)*(CourseHandicap[Tees]=E249), 0),
  MATCH(G249, CourseHandicap[[#Headers],[Hole 1]:[Hole 18]], 0)
),"")</f>
        <v>8</v>
      </c>
      <c r="K249" cm="1">
        <f t="array" ref="K249">IFERROR(INDEX(CourseRatings[[Hole 1]:[Hole 18]],
  MATCH(1, (CourseRatings[Course]=C249)*(CourseRatings[Tees]=E249), 0),
  MATCH(G249, CourseRatings[[#Headers],[Hole 1]:[Hole 18]], 0)
),"")</f>
        <v>4</v>
      </c>
      <c r="L249" cm="1">
        <f t="array" ref="L249">IFERROR(
  INDEX('Golf Log'!$E$2:$V$72,
    MATCH(1,
      ('Golf Log'!$A$2:$A$72=$A249)*
      ('Golf Log'!$B$2:$B$72=$B249)*
      ('Golf Log'!$C$2:$C$72=$C249),
    0),
    MATCH($G249,'Golf Log'!$E$1:$V$1,0)
  ),
"")</f>
        <v>5</v>
      </c>
      <c r="M249">
        <f t="shared" si="11"/>
        <v>1</v>
      </c>
      <c r="N249" t="str">
        <f t="shared" si="5"/>
        <v>Bogey</v>
      </c>
      <c r="O249" cm="1">
        <f t="array" ref="O249">IFERROR(
  INDEX('Putt Log'!$E$2:$V$72,
    MATCH(1,
      ('Putt Log'!$A$2:$A$72=$A249)*
      ('Putt Log'!$B$2:$B$72=$B249)*
      ('Putt Log'!$C$2:$C$72=$C249),
    0),
    MATCH($G249,'Putt Log'!$E$1:$V$1,0)
  ),
"")</f>
        <v>2</v>
      </c>
      <c r="P249" cm="1">
        <f t="array" ref="P249">IF(K249=3,"",
  IFERROR(
    INDEX('Fairway Log'!$E$2:$V$72,
      MATCH(1,
        ('Fairway Log'!$A$2:$A$72=$A249)*
        ('Fairway Log'!$B$2:$B$72=$B249)*
        ('Fairway Log'!$C$2:$C320=$C249),
      0),
      MATCH($G249,'Fairway Log'!$E$1:$V$1,0)
    ),
  "")
)</f>
        <v>1</v>
      </c>
      <c r="Q249" t="str" cm="1">
        <f t="array" ref="Q249">IFERROR(
  INDEX('GIR Log'!$E$2:$V$72,
    MATCH(1,
      ('GIR Log'!$A$2:$A$72=$A249)*
      ('GIR Log'!$B$2:$B$72=$B249)*
      ('GIR Log'!$C$2:$C$72=$C249),
    0),
    MATCH($G249,'GIR Log'!$E$1:$V$1,0)
  ),
"")</f>
        <v>↓</v>
      </c>
    </row>
    <row r="250" spans="1:17" x14ac:dyDescent="0.25">
      <c r="A250" s="20" t="s">
        <v>126</v>
      </c>
      <c r="B250" s="2">
        <v>45475</v>
      </c>
      <c r="C250" t="s">
        <v>5</v>
      </c>
      <c r="D250" t="s">
        <v>5</v>
      </c>
      <c r="E250" t="s">
        <v>34</v>
      </c>
      <c r="F250">
        <v>77</v>
      </c>
      <c r="G250" t="s">
        <v>61</v>
      </c>
      <c r="H250" s="9">
        <f t="shared" si="12"/>
        <v>15</v>
      </c>
      <c r="I250" cm="1">
        <f t="array" ref="I250">IFERROR(INDEX(CourseYardages[[Hole 1]:[Hole 18]],
  MATCH(1, (CourseYardages[Course]=C250)*(CourseYardages[Tees]=E250), 0),
  MATCH(G250, CourseYardages[[#Headers],[Hole 1]:[Hole 18]], 0)
),"")</f>
        <v>387</v>
      </c>
      <c r="J250" cm="1">
        <f t="array" ref="J250">IFERROR(INDEX(CourseHandicap[[Hole 1]:[Hole 18]],
  MATCH(1, (CourseHandicap[Course]=C250)*(CourseHandicap[Tees]=E250), 0),
  MATCH(G250, CourseHandicap[[#Headers],[Hole 1]:[Hole 18]], 0)
),"")</f>
        <v>2</v>
      </c>
      <c r="K250" cm="1">
        <f t="array" ref="K250">IFERROR(INDEX(CourseRatings[[Hole 1]:[Hole 18]],
  MATCH(1, (CourseRatings[Course]=C250)*(CourseRatings[Tees]=E250), 0),
  MATCH(G250, CourseRatings[[#Headers],[Hole 1]:[Hole 18]], 0)
),"")</f>
        <v>4</v>
      </c>
      <c r="L250" cm="1">
        <f t="array" ref="L250">IFERROR(
  INDEX('Golf Log'!$E$2:$V$72,
    MATCH(1,
      ('Golf Log'!$A$2:$A$72=$A250)*
      ('Golf Log'!$B$2:$B$72=$B250)*
      ('Golf Log'!$C$2:$C$72=$C250),
    0),
    MATCH($G250,'Golf Log'!$E$1:$V$1,0)
  ),
"")</f>
        <v>5</v>
      </c>
      <c r="M250">
        <f t="shared" si="11"/>
        <v>1</v>
      </c>
      <c r="N250" t="str">
        <f t="shared" si="5"/>
        <v>Bogey</v>
      </c>
      <c r="O250" cm="1">
        <f t="array" ref="O250">IFERROR(
  INDEX('Putt Log'!$E$2:$V$72,
    MATCH(1,
      ('Putt Log'!$A$2:$A$72=$A250)*
      ('Putt Log'!$B$2:$B$72=$B250)*
      ('Putt Log'!$C$2:$C$72=$C250),
    0),
    MATCH($G250,'Putt Log'!$E$1:$V$1,0)
  ),
"")</f>
        <v>2</v>
      </c>
      <c r="P250" t="str" cm="1">
        <f t="array" ref="P250">IF(K250=3,"",
  IFERROR(
    INDEX('Fairway Log'!$E$2:$V$72,
      MATCH(1,
        ('Fairway Log'!$A$2:$A$72=$A250)*
        ('Fairway Log'!$B$2:$B$72=$B250)*
        ('Fairway Log'!$C$2:$C321=$C250),
      0),
      MATCH($G250,'Fairway Log'!$E$1:$V$1,0)
    ),
  "")
)</f>
        <v>↓</v>
      </c>
      <c r="Q250" t="str" cm="1">
        <f t="array" ref="Q250">IFERROR(
  INDEX('GIR Log'!$E$2:$V$72,
    MATCH(1,
      ('GIR Log'!$A$2:$A$72=$A250)*
      ('GIR Log'!$B$2:$B$72=$B250)*
      ('GIR Log'!$C$2:$C$72=$C250),
    0),
    MATCH($G250,'GIR Log'!$E$1:$V$1,0)
  ),
"")</f>
        <v>↑</v>
      </c>
    </row>
    <row r="251" spans="1:17" x14ac:dyDescent="0.25">
      <c r="A251" s="20" t="s">
        <v>126</v>
      </c>
      <c r="B251" s="2">
        <v>45475</v>
      </c>
      <c r="C251" t="s">
        <v>5</v>
      </c>
      <c r="D251" t="s">
        <v>5</v>
      </c>
      <c r="E251" t="s">
        <v>34</v>
      </c>
      <c r="F251">
        <v>77</v>
      </c>
      <c r="G251" t="s">
        <v>62</v>
      </c>
      <c r="H251" s="9">
        <f t="shared" si="12"/>
        <v>16</v>
      </c>
      <c r="I251" cm="1">
        <f t="array" ref="I251">IFERROR(INDEX(CourseYardages[[Hole 1]:[Hole 18]],
  MATCH(1, (CourseYardages[Course]=C251)*(CourseYardages[Tees]=E251), 0),
  MATCH(G251, CourseYardages[[#Headers],[Hole 1]:[Hole 18]], 0)
),"")</f>
        <v>501</v>
      </c>
      <c r="J251" cm="1">
        <f t="array" ref="J251">IFERROR(INDEX(CourseHandicap[[Hole 1]:[Hole 18]],
  MATCH(1, (CourseHandicap[Course]=C251)*(CourseHandicap[Tees]=E251), 0),
  MATCH(G251, CourseHandicap[[#Headers],[Hole 1]:[Hole 18]], 0)
),"")</f>
        <v>4</v>
      </c>
      <c r="K251" cm="1">
        <f t="array" ref="K251">IFERROR(INDEX(CourseRatings[[Hole 1]:[Hole 18]],
  MATCH(1, (CourseRatings[Course]=C251)*(CourseRatings[Tees]=E251), 0),
  MATCH(G251, CourseRatings[[#Headers],[Hole 1]:[Hole 18]], 0)
),"")</f>
        <v>5</v>
      </c>
      <c r="L251" cm="1">
        <f t="array" ref="L251">IFERROR(
  INDEX('Golf Log'!$E$2:$V$72,
    MATCH(1,
      ('Golf Log'!$A$2:$A$72=$A251)*
      ('Golf Log'!$B$2:$B$72=$B251)*
      ('Golf Log'!$C$2:$C$72=$C251),
    0),
    MATCH($G251,'Golf Log'!$E$1:$V$1,0)
  ),
"")</f>
        <v>5</v>
      </c>
      <c r="M251">
        <f t="shared" si="11"/>
        <v>0</v>
      </c>
      <c r="N251" t="str">
        <f t="shared" si="5"/>
        <v>Par</v>
      </c>
      <c r="O251" cm="1">
        <f t="array" ref="O251">IFERROR(
  INDEX('Putt Log'!$E$2:$V$72,
    MATCH(1,
      ('Putt Log'!$A$2:$A$72=$A251)*
      ('Putt Log'!$B$2:$B$72=$B251)*
      ('Putt Log'!$C$2:$C$72=$C251),
    0),
    MATCH($G251,'Putt Log'!$E$1:$V$1,0)
  ),
"")</f>
        <v>2</v>
      </c>
      <c r="P251" t="str" cm="1">
        <f t="array" ref="P251">IF(K251=3,"",
  IFERROR(
    INDEX('Fairway Log'!$E$2:$V$72,
      MATCH(1,
        ('Fairway Log'!$A$2:$A$72=$A251)*
        ('Fairway Log'!$B$2:$B$72=$B251)*
        ('Fairway Log'!$C$2:$C322=$C251),
      0),
      MATCH($G251,'Fairway Log'!$E$1:$V$1,0)
    ),
  "")
)</f>
        <v>→</v>
      </c>
      <c r="Q251" cm="1">
        <f t="array" ref="Q251">IFERROR(
  INDEX('GIR Log'!$E$2:$V$72,
    MATCH(1,
      ('GIR Log'!$A$2:$A$72=$A251)*
      ('GIR Log'!$B$2:$B$72=$B251)*
      ('GIR Log'!$C$2:$C$72=$C251),
    0),
    MATCH($G251,'GIR Log'!$E$1:$V$1,0)
  ),
"")</f>
        <v>1</v>
      </c>
    </row>
    <row r="252" spans="1:17" x14ac:dyDescent="0.25">
      <c r="A252" s="20" t="s">
        <v>126</v>
      </c>
      <c r="B252" s="2">
        <v>45475</v>
      </c>
      <c r="C252" t="s">
        <v>5</v>
      </c>
      <c r="D252" t="s">
        <v>5</v>
      </c>
      <c r="E252" t="s">
        <v>34</v>
      </c>
      <c r="F252">
        <v>77</v>
      </c>
      <c r="G252" t="s">
        <v>63</v>
      </c>
      <c r="H252" s="9">
        <f t="shared" si="12"/>
        <v>17</v>
      </c>
      <c r="I252" cm="1">
        <f t="array" ref="I252">IFERROR(INDEX(CourseYardages[[Hole 1]:[Hole 18]],
  MATCH(1, (CourseYardages[Course]=C252)*(CourseYardages[Tees]=E252), 0),
  MATCH(G252, CourseYardages[[#Headers],[Hole 1]:[Hole 18]], 0)
),"")</f>
        <v>175</v>
      </c>
      <c r="J252" cm="1">
        <f t="array" ref="J252">IFERROR(INDEX(CourseHandicap[[Hole 1]:[Hole 18]],
  MATCH(1, (CourseHandicap[Course]=C252)*(CourseHandicap[Tees]=E252), 0),
  MATCH(G252, CourseHandicap[[#Headers],[Hole 1]:[Hole 18]], 0)
),"")</f>
        <v>14</v>
      </c>
      <c r="K252" cm="1">
        <f t="array" ref="K252">IFERROR(INDEX(CourseRatings[[Hole 1]:[Hole 18]],
  MATCH(1, (CourseRatings[Course]=C252)*(CourseRatings[Tees]=E252), 0),
  MATCH(G252, CourseRatings[[#Headers],[Hole 1]:[Hole 18]], 0)
),"")</f>
        <v>3</v>
      </c>
      <c r="L252" cm="1">
        <f t="array" ref="L252">IFERROR(
  INDEX('Golf Log'!$E$2:$V$72,
    MATCH(1,
      ('Golf Log'!$A$2:$A$72=$A252)*
      ('Golf Log'!$B$2:$B$72=$B252)*
      ('Golf Log'!$C$2:$C$72=$C252),
    0),
    MATCH($G252,'Golf Log'!$E$1:$V$1,0)
  ),
"")</f>
        <v>4</v>
      </c>
      <c r="M252">
        <f t="shared" si="11"/>
        <v>1</v>
      </c>
      <c r="N252" t="str">
        <f t="shared" si="5"/>
        <v>Bogey</v>
      </c>
      <c r="O252" cm="1">
        <f t="array" ref="O252">IFERROR(
  INDEX('Putt Log'!$E$2:$V$72,
    MATCH(1,
      ('Putt Log'!$A$2:$A$72=$A252)*
      ('Putt Log'!$B$2:$B$72=$B252)*
      ('Putt Log'!$C$2:$C$72=$C252),
    0),
    MATCH($G252,'Putt Log'!$E$1:$V$1,0)
  ),
"")</f>
        <v>2</v>
      </c>
      <c r="P252" t="str" cm="1">
        <f t="array" ref="P252">IF(K252=3,"",
  IFERROR(
    INDEX('Fairway Log'!$E$2:$V$72,
      MATCH(1,
        ('Fairway Log'!$A$2:$A$72=$A252)*
        ('Fairway Log'!$B$2:$B$72=$B252)*
        ('Fairway Log'!$C$2:$C323=$C252),
      0),
      MATCH($G252,'Fairway Log'!$E$1:$V$1,0)
    ),
  "")
)</f>
        <v/>
      </c>
      <c r="Q252" t="str" cm="1">
        <f t="array" ref="Q252">IFERROR(
  INDEX('GIR Log'!$E$2:$V$72,
    MATCH(1,
      ('GIR Log'!$A$2:$A$72=$A252)*
      ('GIR Log'!$B$2:$B$72=$B252)*
      ('GIR Log'!$C$2:$C$72=$C252),
    0),
    MATCH($G252,'GIR Log'!$E$1:$V$1,0)
  ),
"")</f>
        <v>→</v>
      </c>
    </row>
    <row r="253" spans="1:17" x14ac:dyDescent="0.25">
      <c r="A253" s="20" t="s">
        <v>126</v>
      </c>
      <c r="B253" s="2">
        <v>45475</v>
      </c>
      <c r="C253" t="s">
        <v>5</v>
      </c>
      <c r="D253" t="s">
        <v>5</v>
      </c>
      <c r="E253" t="s">
        <v>34</v>
      </c>
      <c r="F253">
        <v>77</v>
      </c>
      <c r="G253" t="s">
        <v>64</v>
      </c>
      <c r="H253" s="9">
        <f t="shared" si="12"/>
        <v>18</v>
      </c>
      <c r="I253" cm="1">
        <f t="array" ref="I253">IFERROR(INDEX(CourseYardages[[Hole 1]:[Hole 18]],
  MATCH(1, (CourseYardages[Course]=C253)*(CourseYardages[Tees]=E253), 0),
  MATCH(G253, CourseYardages[[#Headers],[Hole 1]:[Hole 18]], 0)
),"")</f>
        <v>364</v>
      </c>
      <c r="J253" cm="1">
        <f t="array" ref="J253">IFERROR(INDEX(CourseHandicap[[Hole 1]:[Hole 18]],
  MATCH(1, (CourseHandicap[Course]=C253)*(CourseHandicap[Tees]=E253), 0),
  MATCH(G253, CourseHandicap[[#Headers],[Hole 1]:[Hole 18]], 0)
),"")</f>
        <v>6</v>
      </c>
      <c r="K253" cm="1">
        <f t="array" ref="K253">IFERROR(INDEX(CourseRatings[[Hole 1]:[Hole 18]],
  MATCH(1, (CourseRatings[Course]=C253)*(CourseRatings[Tees]=E253), 0),
  MATCH(G253, CourseRatings[[#Headers],[Hole 1]:[Hole 18]], 0)
),"")</f>
        <v>4</v>
      </c>
      <c r="L253" cm="1">
        <f t="array" ref="L253">IFERROR(
  INDEX('Golf Log'!$E$2:$V$72,
    MATCH(1,
      ('Golf Log'!$A$2:$A$72=$A253)*
      ('Golf Log'!$B$2:$B$72=$B253)*
      ('Golf Log'!$C$2:$C$72=$C253),
    0),
    MATCH($G253,'Golf Log'!$E$1:$V$1,0)
  ),
"")</f>
        <v>5</v>
      </c>
      <c r="M253">
        <f t="shared" si="11"/>
        <v>1</v>
      </c>
      <c r="N253" t="str">
        <f t="shared" si="5"/>
        <v>Bogey</v>
      </c>
      <c r="O253" cm="1">
        <f t="array" ref="O253">IFERROR(
  INDEX('Putt Log'!$E$2:$V$72,
    MATCH(1,
      ('Putt Log'!$A$2:$A$72=$A253)*
      ('Putt Log'!$B$2:$B$72=$B253)*
      ('Putt Log'!$C$2:$C$72=$C253),
    0),
    MATCH($G253,'Putt Log'!$E$1:$V$1,0)
  ),
"")</f>
        <v>2</v>
      </c>
      <c r="P253" cm="1">
        <f t="array" ref="P253">IF(K253=3,"",
  IFERROR(
    INDEX('Fairway Log'!$E$2:$V$72,
      MATCH(1,
        ('Fairway Log'!$A$2:$A$72=$A253)*
        ('Fairway Log'!$B$2:$B$72=$B253)*
        ('Fairway Log'!$C$2:$C324=$C253),
      0),
      MATCH($G253,'Fairway Log'!$E$1:$V$1,0)
    ),
  "")
)</f>
        <v>1</v>
      </c>
      <c r="Q253" t="str" cm="1">
        <f t="array" ref="Q253">IFERROR(
  INDEX('GIR Log'!$E$2:$V$72,
    MATCH(1,
      ('GIR Log'!$A$2:$A$72=$A253)*
      ('GIR Log'!$B$2:$B$72=$B253)*
      ('GIR Log'!$C$2:$C$72=$C253),
    0),
    MATCH($G253,'GIR Log'!$E$1:$V$1,0)
  ),
"")</f>
        <v>↑</v>
      </c>
    </row>
    <row r="254" spans="1:17" x14ac:dyDescent="0.25">
      <c r="A254" s="20" t="s">
        <v>126</v>
      </c>
      <c r="B254" s="2">
        <v>45467</v>
      </c>
      <c r="C254" t="s">
        <v>5</v>
      </c>
      <c r="D254" t="s">
        <v>5</v>
      </c>
      <c r="E254" t="s">
        <v>36</v>
      </c>
      <c r="F254">
        <v>80</v>
      </c>
      <c r="G254" t="s">
        <v>47</v>
      </c>
      <c r="H254" s="9">
        <f t="shared" si="12"/>
        <v>1</v>
      </c>
      <c r="I254" cm="1">
        <f t="array" ref="I254">IFERROR(INDEX(CourseYardages[[Hole 1]:[Hole 18]],
  MATCH(1, (CourseYardages[Course]=C254)*(CourseYardages[Tees]=E254), 0),
  MATCH(G254, CourseYardages[[#Headers],[Hole 1]:[Hole 18]], 0)
),"")</f>
        <v>397</v>
      </c>
      <c r="J254" cm="1">
        <f t="array" ref="J254">IFERROR(INDEX(CourseHandicap[[Hole 1]:[Hole 18]],
  MATCH(1, (CourseHandicap[Course]=C254)*(CourseHandicap[Tees]=E254), 0),
  MATCH(G254, CourseHandicap[[#Headers],[Hole 1]:[Hole 18]], 0)
),"")</f>
        <v>7</v>
      </c>
      <c r="K254" cm="1">
        <f t="array" ref="K254">IFERROR(INDEX(CourseRatings[[Hole 1]:[Hole 18]],
  MATCH(1, (CourseRatings[Course]=C254)*(CourseRatings[Tees]=E254), 0),
  MATCH(G254, CourseRatings[[#Headers],[Hole 1]:[Hole 18]], 0)
),"")</f>
        <v>4</v>
      </c>
      <c r="L254" cm="1">
        <f t="array" ref="L254">IFERROR(
  INDEX('Golf Log'!$E$2:$V$72,
    MATCH(1,
      ('Golf Log'!$A$2:$A$72=$A254)*
      ('Golf Log'!$B$2:$B$72=$B254)*
      ('Golf Log'!$C$2:$C$72=$C254),
    0),
    MATCH($G254,'Golf Log'!$E$1:$V$1,0)
  ),
"")</f>
        <v>5</v>
      </c>
      <c r="M254">
        <f t="shared" si="11"/>
        <v>1</v>
      </c>
      <c r="N254" t="str">
        <f t="shared" si="5"/>
        <v>Bogey</v>
      </c>
      <c r="O254" cm="1">
        <f t="array" ref="O254">IFERROR(
  INDEX('Putt Log'!$E$2:$V$72,
    MATCH(1,
      ('Putt Log'!$A$2:$A$72=$A254)*
      ('Putt Log'!$B$2:$B$72=$B254)*
      ('Putt Log'!$C$2:$C$72=$C254),
    0),
    MATCH($G254,'Putt Log'!$E$1:$V$1,0)
  ),
"")</f>
        <v>2</v>
      </c>
      <c r="P254" t="str" cm="1">
        <f t="array" ref="P254">IF(K254=3,"",
  IFERROR(
    INDEX('Fairway Log'!$E$2:$V$72,
      MATCH(1,
        ('Fairway Log'!$A$2:$A$72=$A254)*
        ('Fairway Log'!$B$2:$B$72=$B254)*
        ('Fairway Log'!$C$2:$C325=$C254),
      0),
      MATCH($G254,'Fairway Log'!$E$1:$V$1,0)
    ),
  "")
)</f>
        <v>←</v>
      </c>
      <c r="Q254" t="str" cm="1">
        <f t="array" ref="Q254">IFERROR(
  INDEX('GIR Log'!$E$2:$V$72,
    MATCH(1,
      ('GIR Log'!$A$2:$A$72=$A254)*
      ('GIR Log'!$B$2:$B$72=$B254)*
      ('GIR Log'!$C$2:$C$72=$C254),
    0),
    MATCH($G254,'GIR Log'!$E$1:$V$1,0)
  ),
"")</f>
        <v>NC</v>
      </c>
    </row>
    <row r="255" spans="1:17" x14ac:dyDescent="0.25">
      <c r="A255" s="20" t="s">
        <v>126</v>
      </c>
      <c r="B255" s="2">
        <v>45467</v>
      </c>
      <c r="C255" t="s">
        <v>5</v>
      </c>
      <c r="D255" t="s">
        <v>5</v>
      </c>
      <c r="E255" t="s">
        <v>36</v>
      </c>
      <c r="F255">
        <v>80</v>
      </c>
      <c r="G255" t="s">
        <v>48</v>
      </c>
      <c r="H255" s="9">
        <f t="shared" si="12"/>
        <v>2</v>
      </c>
      <c r="I255" cm="1">
        <f t="array" ref="I255">IFERROR(INDEX(CourseYardages[[Hole 1]:[Hole 18]],
  MATCH(1, (CourseYardages[Course]=C255)*(CourseYardages[Tees]=E255), 0),
  MATCH(G255, CourseYardages[[#Headers],[Hole 1]:[Hole 18]], 0)
),"")</f>
        <v>441</v>
      </c>
      <c r="J255" cm="1">
        <f t="array" ref="J255">IFERROR(INDEX(CourseHandicap[[Hole 1]:[Hole 18]],
  MATCH(1, (CourseHandicap[Course]=C255)*(CourseHandicap[Tees]=E255), 0),
  MATCH(G255, CourseHandicap[[#Headers],[Hole 1]:[Hole 18]], 0)
),"")</f>
        <v>3</v>
      </c>
      <c r="K255" cm="1">
        <f t="array" ref="K255">IFERROR(INDEX(CourseRatings[[Hole 1]:[Hole 18]],
  MATCH(1, (CourseRatings[Course]=C255)*(CourseRatings[Tees]=E255), 0),
  MATCH(G255, CourseRatings[[#Headers],[Hole 1]:[Hole 18]], 0)
),"")</f>
        <v>4</v>
      </c>
      <c r="L255" cm="1">
        <f t="array" ref="L255">IFERROR(
  INDEX('Golf Log'!$E$2:$V$72,
    MATCH(1,
      ('Golf Log'!$A$2:$A$72=$A255)*
      ('Golf Log'!$B$2:$B$72=$B255)*
      ('Golf Log'!$C$2:$C$72=$C255),
    0),
    MATCH($G255,'Golf Log'!$E$1:$V$1,0)
  ),
"")</f>
        <v>6</v>
      </c>
      <c r="M255">
        <f t="shared" si="11"/>
        <v>2</v>
      </c>
      <c r="N255" t="str">
        <f t="shared" si="5"/>
        <v>Double Bogey</v>
      </c>
      <c r="O255" cm="1">
        <f t="array" ref="O255">IFERROR(
  INDEX('Putt Log'!$E$2:$V$72,
    MATCH(1,
      ('Putt Log'!$A$2:$A$72=$A255)*
      ('Putt Log'!$B$2:$B$72=$B255)*
      ('Putt Log'!$C$2:$C$72=$C255),
    0),
    MATCH($G255,'Putt Log'!$E$1:$V$1,0)
  ),
"")</f>
        <v>2</v>
      </c>
      <c r="P255" t="str" cm="1">
        <f t="array" ref="P255">IF(K255=3,"",
  IFERROR(
    INDEX('Fairway Log'!$E$2:$V$72,
      MATCH(1,
        ('Fairway Log'!$A$2:$A$72=$A255)*
        ('Fairway Log'!$B$2:$B$72=$B255)*
        ('Fairway Log'!$C$2:$C326=$C255),
      0),
      MATCH($G255,'Fairway Log'!$E$1:$V$1,0)
    ),
  "")
)</f>
        <v>←</v>
      </c>
      <c r="Q255" t="str" cm="1">
        <f t="array" ref="Q255">IFERROR(
  INDEX('GIR Log'!$E$2:$V$72,
    MATCH(1,
      ('GIR Log'!$A$2:$A$72=$A255)*
      ('GIR Log'!$B$2:$B$72=$B255)*
      ('GIR Log'!$C$2:$C$72=$C255),
    0),
    MATCH($G255,'GIR Log'!$E$1:$V$1,0)
  ),
"")</f>
        <v>NC</v>
      </c>
    </row>
    <row r="256" spans="1:17" x14ac:dyDescent="0.25">
      <c r="A256" s="20" t="s">
        <v>126</v>
      </c>
      <c r="B256" s="2">
        <v>45467</v>
      </c>
      <c r="C256" t="s">
        <v>5</v>
      </c>
      <c r="D256" t="s">
        <v>5</v>
      </c>
      <c r="E256" t="s">
        <v>36</v>
      </c>
      <c r="F256">
        <v>80</v>
      </c>
      <c r="G256" t="s">
        <v>49</v>
      </c>
      <c r="H256" s="9">
        <f t="shared" si="12"/>
        <v>3</v>
      </c>
      <c r="I256" cm="1">
        <f t="array" ref="I256">IFERROR(INDEX(CourseYardages[[Hole 1]:[Hole 18]],
  MATCH(1, (CourseYardages[Course]=C256)*(CourseYardages[Tees]=E256), 0),
  MATCH(G256, CourseYardages[[#Headers],[Hole 1]:[Hole 18]], 0)
),"")</f>
        <v>180</v>
      </c>
      <c r="J256" cm="1">
        <f t="array" ref="J256">IFERROR(INDEX(CourseHandicap[[Hole 1]:[Hole 18]],
  MATCH(1, (CourseHandicap[Course]=C256)*(CourseHandicap[Tees]=E256), 0),
  MATCH(G256, CourseHandicap[[#Headers],[Hole 1]:[Hole 18]], 0)
),"")</f>
        <v>13</v>
      </c>
      <c r="K256" cm="1">
        <f t="array" ref="K256">IFERROR(INDEX(CourseRatings[[Hole 1]:[Hole 18]],
  MATCH(1, (CourseRatings[Course]=C256)*(CourseRatings[Tees]=E256), 0),
  MATCH(G256, CourseRatings[[#Headers],[Hole 1]:[Hole 18]], 0)
),"")</f>
        <v>3</v>
      </c>
      <c r="L256" cm="1">
        <f t="array" ref="L256">IFERROR(
  INDEX('Golf Log'!$E$2:$V$72,
    MATCH(1,
      ('Golf Log'!$A$2:$A$72=$A256)*
      ('Golf Log'!$B$2:$B$72=$B256)*
      ('Golf Log'!$C$2:$C$72=$C256),
    0),
    MATCH($G256,'Golf Log'!$E$1:$V$1,0)
  ),
"")</f>
        <v>4</v>
      </c>
      <c r="M256">
        <f t="shared" si="11"/>
        <v>1</v>
      </c>
      <c r="N256" t="str">
        <f t="shared" si="5"/>
        <v>Bogey</v>
      </c>
      <c r="O256" cm="1">
        <f t="array" ref="O256">IFERROR(
  INDEX('Putt Log'!$E$2:$V$72,
    MATCH(1,
      ('Putt Log'!$A$2:$A$72=$A256)*
      ('Putt Log'!$B$2:$B$72=$B256)*
      ('Putt Log'!$C$2:$C$72=$C256),
    0),
    MATCH($G256,'Putt Log'!$E$1:$V$1,0)
  ),
"")</f>
        <v>1</v>
      </c>
      <c r="P256" t="str" cm="1">
        <f t="array" ref="P256">IF(K256=3,"",
  IFERROR(
    INDEX('Fairway Log'!$E$2:$V$72,
      MATCH(1,
        ('Fairway Log'!$A$2:$A$72=$A256)*
        ('Fairway Log'!$B$2:$B$72=$B256)*
        ('Fairway Log'!$C$2:$C327=$C256),
      0),
      MATCH($G256,'Fairway Log'!$E$1:$V$1,0)
    ),
  "")
)</f>
        <v/>
      </c>
      <c r="Q256" t="str" cm="1">
        <f t="array" ref="Q256">IFERROR(
  INDEX('GIR Log'!$E$2:$V$72,
    MATCH(1,
      ('GIR Log'!$A$2:$A$72=$A256)*
      ('GIR Log'!$B$2:$B$72=$B256)*
      ('GIR Log'!$C$2:$C$72=$C256),
    0),
    MATCH($G256,'GIR Log'!$E$1:$V$1,0)
  ),
"")</f>
        <v>↓</v>
      </c>
    </row>
    <row r="257" spans="1:17" x14ac:dyDescent="0.25">
      <c r="A257" s="20" t="s">
        <v>126</v>
      </c>
      <c r="B257" s="2">
        <v>45467</v>
      </c>
      <c r="C257" t="s">
        <v>5</v>
      </c>
      <c r="D257" t="s">
        <v>5</v>
      </c>
      <c r="E257" t="s">
        <v>36</v>
      </c>
      <c r="F257">
        <v>80</v>
      </c>
      <c r="G257" t="s">
        <v>50</v>
      </c>
      <c r="H257" s="9">
        <f t="shared" si="12"/>
        <v>4</v>
      </c>
      <c r="I257" cm="1">
        <f t="array" ref="I257">IFERROR(INDEX(CourseYardages[[Hole 1]:[Hole 18]],
  MATCH(1, (CourseYardages[Course]=C257)*(CourseYardages[Tees]=E257), 0),
  MATCH(G257, CourseYardages[[#Headers],[Hole 1]:[Hole 18]], 0)
),"")</f>
        <v>479</v>
      </c>
      <c r="J257" cm="1">
        <f t="array" ref="J257">IFERROR(INDEX(CourseHandicap[[Hole 1]:[Hole 18]],
  MATCH(1, (CourseHandicap[Course]=C257)*(CourseHandicap[Tees]=E257), 0),
  MATCH(G257, CourseHandicap[[#Headers],[Hole 1]:[Hole 18]], 0)
),"")</f>
        <v>15</v>
      </c>
      <c r="K257" cm="1">
        <f t="array" ref="K257">IFERROR(INDEX(CourseRatings[[Hole 1]:[Hole 18]],
  MATCH(1, (CourseRatings[Course]=C257)*(CourseRatings[Tees]=E257), 0),
  MATCH(G257, CourseRatings[[#Headers],[Hole 1]:[Hole 18]], 0)
),"")</f>
        <v>5</v>
      </c>
      <c r="L257" cm="1">
        <f t="array" ref="L257">IFERROR(
  INDEX('Golf Log'!$E$2:$V$72,
    MATCH(1,
      ('Golf Log'!$A$2:$A$72=$A257)*
      ('Golf Log'!$B$2:$B$72=$B257)*
      ('Golf Log'!$C$2:$C$72=$C257),
    0),
    MATCH($G257,'Golf Log'!$E$1:$V$1,0)
  ),
"")</f>
        <v>5</v>
      </c>
      <c r="M257">
        <f t="shared" ref="M257:M320" si="13">IFERROR(L257-K257,"")</f>
        <v>0</v>
      </c>
      <c r="N257" t="str">
        <f t="shared" si="5"/>
        <v>Par</v>
      </c>
      <c r="O257" cm="1">
        <f t="array" ref="O257">IFERROR(
  INDEX('Putt Log'!$E$2:$V$72,
    MATCH(1,
      ('Putt Log'!$A$2:$A$72=$A257)*
      ('Putt Log'!$B$2:$B$72=$B257)*
      ('Putt Log'!$C$2:$C$72=$C257),
    0),
    MATCH($G257,'Putt Log'!$E$1:$V$1,0)
  ),
"")</f>
        <v>2</v>
      </c>
      <c r="P257" t="str" cm="1">
        <f t="array" ref="P257">IF(K257=3,"",
  IFERROR(
    INDEX('Fairway Log'!$E$2:$V$72,
      MATCH(1,
        ('Fairway Log'!$A$2:$A$72=$A257)*
        ('Fairway Log'!$B$2:$B$72=$B257)*
        ('Fairway Log'!$C$2:$C328=$C257),
      0),
      MATCH($G257,'Fairway Log'!$E$1:$V$1,0)
    ),
  "")
)</f>
        <v>→</v>
      </c>
      <c r="Q257" cm="1">
        <f t="array" ref="Q257">IFERROR(
  INDEX('GIR Log'!$E$2:$V$72,
    MATCH(1,
      ('GIR Log'!$A$2:$A$72=$A257)*
      ('GIR Log'!$B$2:$B$72=$B257)*
      ('GIR Log'!$C$2:$C$72=$C257),
    0),
    MATCH($G257,'GIR Log'!$E$1:$V$1,0)
  ),
"")</f>
        <v>1</v>
      </c>
    </row>
    <row r="258" spans="1:17" x14ac:dyDescent="0.25">
      <c r="A258" s="20" t="s">
        <v>126</v>
      </c>
      <c r="B258" s="2">
        <v>45467</v>
      </c>
      <c r="C258" t="s">
        <v>5</v>
      </c>
      <c r="D258" t="s">
        <v>5</v>
      </c>
      <c r="E258" t="s">
        <v>36</v>
      </c>
      <c r="F258">
        <v>80</v>
      </c>
      <c r="G258" t="s">
        <v>51</v>
      </c>
      <c r="H258" s="9">
        <f t="shared" si="12"/>
        <v>5</v>
      </c>
      <c r="I258" cm="1">
        <f t="array" ref="I258">IFERROR(INDEX(CourseYardages[[Hole 1]:[Hole 18]],
  MATCH(1, (CourseYardages[Course]=C258)*(CourseYardages[Tees]=E258), 0),
  MATCH(G258, CourseYardages[[#Headers],[Hole 1]:[Hole 18]], 0)
),"")</f>
        <v>298</v>
      </c>
      <c r="J258" cm="1">
        <f t="array" ref="J258">IFERROR(INDEX(CourseHandicap[[Hole 1]:[Hole 18]],
  MATCH(1, (CourseHandicap[Course]=C258)*(CourseHandicap[Tees]=E258), 0),
  MATCH(G258, CourseHandicap[[#Headers],[Hole 1]:[Hole 18]], 0)
),"")</f>
        <v>17</v>
      </c>
      <c r="K258" cm="1">
        <f t="array" ref="K258">IFERROR(INDEX(CourseRatings[[Hole 1]:[Hole 18]],
  MATCH(1, (CourseRatings[Course]=C258)*(CourseRatings[Tees]=E258), 0),
  MATCH(G258, CourseRatings[[#Headers],[Hole 1]:[Hole 18]], 0)
),"")</f>
        <v>4</v>
      </c>
      <c r="L258" cm="1">
        <f t="array" ref="L258">IFERROR(
  INDEX('Golf Log'!$E$2:$V$72,
    MATCH(1,
      ('Golf Log'!$A$2:$A$72=$A258)*
      ('Golf Log'!$B$2:$B$72=$B258)*
      ('Golf Log'!$C$2:$C$72=$C258),
    0),
    MATCH($G258,'Golf Log'!$E$1:$V$1,0)
  ),
"")</f>
        <v>4</v>
      </c>
      <c r="M258">
        <f t="shared" si="13"/>
        <v>0</v>
      </c>
      <c r="N258" t="str">
        <f t="shared" si="5"/>
        <v>Par</v>
      </c>
      <c r="O258" cm="1">
        <f t="array" ref="O258">IFERROR(
  INDEX('Putt Log'!$E$2:$V$72,
    MATCH(1,
      ('Putt Log'!$A$2:$A$72=$A258)*
      ('Putt Log'!$B$2:$B$72=$B258)*
      ('Putt Log'!$C$2:$C$72=$C258),
    0),
    MATCH($G258,'Putt Log'!$E$1:$V$1,0)
  ),
"")</f>
        <v>2</v>
      </c>
      <c r="P258" cm="1">
        <f t="array" ref="P258">IF(K258=3,"",
  IFERROR(
    INDEX('Fairway Log'!$E$2:$V$72,
      MATCH(1,
        ('Fairway Log'!$A$2:$A$72=$A258)*
        ('Fairway Log'!$B$2:$B$72=$B258)*
        ('Fairway Log'!$C$2:$C329=$C258),
      0),
      MATCH($G258,'Fairway Log'!$E$1:$V$1,0)
    ),
  "")
)</f>
        <v>1</v>
      </c>
      <c r="Q258" cm="1">
        <f t="array" ref="Q258">IFERROR(
  INDEX('GIR Log'!$E$2:$V$72,
    MATCH(1,
      ('GIR Log'!$A$2:$A$72=$A258)*
      ('GIR Log'!$B$2:$B$72=$B258)*
      ('GIR Log'!$C$2:$C$72=$C258),
    0),
    MATCH($G258,'GIR Log'!$E$1:$V$1,0)
  ),
"")</f>
        <v>1</v>
      </c>
    </row>
    <row r="259" spans="1:17" x14ac:dyDescent="0.25">
      <c r="A259" s="20" t="s">
        <v>126</v>
      </c>
      <c r="B259" s="2">
        <v>45467</v>
      </c>
      <c r="C259" t="s">
        <v>5</v>
      </c>
      <c r="D259" t="s">
        <v>5</v>
      </c>
      <c r="E259" t="s">
        <v>36</v>
      </c>
      <c r="F259">
        <v>80</v>
      </c>
      <c r="G259" t="s">
        <v>52</v>
      </c>
      <c r="H259" s="9">
        <f t="shared" ref="H259:H322" si="14">VALUE(RIGHT(G259, LEN(G259) - 5))</f>
        <v>6</v>
      </c>
      <c r="I259" cm="1">
        <f t="array" ref="I259">IFERROR(INDEX(CourseYardages[[Hole 1]:[Hole 18]],
  MATCH(1, (CourseYardages[Course]=C259)*(CourseYardages[Tees]=E259), 0),
  MATCH(G259, CourseYardages[[#Headers],[Hole 1]:[Hole 18]], 0)
),"")</f>
        <v>446</v>
      </c>
      <c r="J259" cm="1">
        <f t="array" ref="J259">IFERROR(INDEX(CourseHandicap[[Hole 1]:[Hole 18]],
  MATCH(1, (CourseHandicap[Course]=C259)*(CourseHandicap[Tees]=E259), 0),
  MATCH(G259, CourseHandicap[[#Headers],[Hole 1]:[Hole 18]], 0)
),"")</f>
        <v>1</v>
      </c>
      <c r="K259" cm="1">
        <f t="array" ref="K259">IFERROR(INDEX(CourseRatings[[Hole 1]:[Hole 18]],
  MATCH(1, (CourseRatings[Course]=C259)*(CourseRatings[Tees]=E259), 0),
  MATCH(G259, CourseRatings[[#Headers],[Hole 1]:[Hole 18]], 0)
),"")</f>
        <v>4</v>
      </c>
      <c r="L259" cm="1">
        <f t="array" ref="L259">IFERROR(
  INDEX('Golf Log'!$E$2:$V$72,
    MATCH(1,
      ('Golf Log'!$A$2:$A$72=$A259)*
      ('Golf Log'!$B$2:$B$72=$B259)*
      ('Golf Log'!$C$2:$C$72=$C259),
    0),
    MATCH($G259,'Golf Log'!$E$1:$V$1,0)
  ),
"")</f>
        <v>5</v>
      </c>
      <c r="M259">
        <f t="shared" si="13"/>
        <v>1</v>
      </c>
      <c r="N259" t="str">
        <f t="shared" si="5"/>
        <v>Bogey</v>
      </c>
      <c r="O259" cm="1">
        <f t="array" ref="O259">IFERROR(
  INDEX('Putt Log'!$E$2:$V$72,
    MATCH(1,
      ('Putt Log'!$A$2:$A$72=$A259)*
      ('Putt Log'!$B$2:$B$72=$B259)*
      ('Putt Log'!$C$2:$C$72=$C259),
    0),
    MATCH($G259,'Putt Log'!$E$1:$V$1,0)
  ),
"")</f>
        <v>2</v>
      </c>
      <c r="P259" cm="1">
        <f t="array" ref="P259">IF(K259=3,"",
  IFERROR(
    INDEX('Fairway Log'!$E$2:$V$72,
      MATCH(1,
        ('Fairway Log'!$A$2:$A$72=$A259)*
        ('Fairway Log'!$B$2:$B$72=$B259)*
        ('Fairway Log'!$C$2:$C330=$C259),
      0),
      MATCH($G259,'Fairway Log'!$E$1:$V$1,0)
    ),
  "")
)</f>
        <v>1</v>
      </c>
      <c r="Q259" t="str" cm="1">
        <f t="array" ref="Q259">IFERROR(
  INDEX('GIR Log'!$E$2:$V$72,
    MATCH(1,
      ('GIR Log'!$A$2:$A$72=$A259)*
      ('GIR Log'!$B$2:$B$72=$B259)*
      ('GIR Log'!$C$2:$C$72=$C259),
    0),
    MATCH($G259,'GIR Log'!$E$1:$V$1,0)
  ),
"")</f>
        <v>NC</v>
      </c>
    </row>
    <row r="260" spans="1:17" x14ac:dyDescent="0.25">
      <c r="A260" s="20" t="s">
        <v>126</v>
      </c>
      <c r="B260" s="2">
        <v>45467</v>
      </c>
      <c r="C260" t="s">
        <v>5</v>
      </c>
      <c r="D260" t="s">
        <v>5</v>
      </c>
      <c r="E260" t="s">
        <v>36</v>
      </c>
      <c r="F260">
        <v>80</v>
      </c>
      <c r="G260" t="s">
        <v>53</v>
      </c>
      <c r="H260" s="9">
        <f t="shared" si="14"/>
        <v>7</v>
      </c>
      <c r="I260" cm="1">
        <f t="array" ref="I260">IFERROR(INDEX(CourseYardages[[Hole 1]:[Hole 18]],
  MATCH(1, (CourseYardages[Course]=C260)*(CourseYardages[Tees]=E260), 0),
  MATCH(G260, CourseYardages[[#Headers],[Hole 1]:[Hole 18]], 0)
),"")</f>
        <v>175</v>
      </c>
      <c r="J260" cm="1">
        <f t="array" ref="J260">IFERROR(INDEX(CourseHandicap[[Hole 1]:[Hole 18]],
  MATCH(1, (CourseHandicap[Course]=C260)*(CourseHandicap[Tees]=E260), 0),
  MATCH(G260, CourseHandicap[[#Headers],[Hole 1]:[Hole 18]], 0)
),"")</f>
        <v>11</v>
      </c>
      <c r="K260" cm="1">
        <f t="array" ref="K260">IFERROR(INDEX(CourseRatings[[Hole 1]:[Hole 18]],
  MATCH(1, (CourseRatings[Course]=C260)*(CourseRatings[Tees]=E260), 0),
  MATCH(G260, CourseRatings[[#Headers],[Hole 1]:[Hole 18]], 0)
),"")</f>
        <v>3</v>
      </c>
      <c r="L260" cm="1">
        <f t="array" ref="L260">IFERROR(
  INDEX('Golf Log'!$E$2:$V$72,
    MATCH(1,
      ('Golf Log'!$A$2:$A$72=$A260)*
      ('Golf Log'!$B$2:$B$72=$B260)*
      ('Golf Log'!$C$2:$C$72=$C260),
    0),
    MATCH($G260,'Golf Log'!$E$1:$V$1,0)
  ),
"")</f>
        <v>4</v>
      </c>
      <c r="M260">
        <f t="shared" si="13"/>
        <v>1</v>
      </c>
      <c r="N260" t="str">
        <f t="shared" si="5"/>
        <v>Bogey</v>
      </c>
      <c r="O260" cm="1">
        <f t="array" ref="O260">IFERROR(
  INDEX('Putt Log'!$E$2:$V$72,
    MATCH(1,
      ('Putt Log'!$A$2:$A$72=$A260)*
      ('Putt Log'!$B$2:$B$72=$B260)*
      ('Putt Log'!$C$2:$C$72=$C260),
    0),
    MATCH($G260,'Putt Log'!$E$1:$V$1,0)
  ),
"")</f>
        <v>2</v>
      </c>
      <c r="P260" t="str" cm="1">
        <f t="array" ref="P260">IF(K260=3,"",
  IFERROR(
    INDEX('Fairway Log'!$E$2:$V$72,
      MATCH(1,
        ('Fairway Log'!$A$2:$A$72=$A260)*
        ('Fairway Log'!$B$2:$B$72=$B260)*
        ('Fairway Log'!$C$2:$C331=$C260),
      0),
      MATCH($G260,'Fairway Log'!$E$1:$V$1,0)
    ),
  "")
)</f>
        <v/>
      </c>
      <c r="Q260" t="str" cm="1">
        <f t="array" ref="Q260">IFERROR(
  INDEX('GIR Log'!$E$2:$V$72,
    MATCH(1,
      ('GIR Log'!$A$2:$A$72=$A260)*
      ('GIR Log'!$B$2:$B$72=$B260)*
      ('GIR Log'!$C$2:$C$72=$C260),
    0),
    MATCH($G260,'GIR Log'!$E$1:$V$1,0)
  ),
"")</f>
        <v>↓</v>
      </c>
    </row>
    <row r="261" spans="1:17" x14ac:dyDescent="0.25">
      <c r="A261" s="20" t="s">
        <v>126</v>
      </c>
      <c r="B261" s="2">
        <v>45467</v>
      </c>
      <c r="C261" t="s">
        <v>5</v>
      </c>
      <c r="D261" t="s">
        <v>5</v>
      </c>
      <c r="E261" t="s">
        <v>36</v>
      </c>
      <c r="F261">
        <v>80</v>
      </c>
      <c r="G261" t="s">
        <v>54</v>
      </c>
      <c r="H261" s="9">
        <f t="shared" si="14"/>
        <v>8</v>
      </c>
      <c r="I261" cm="1">
        <f t="array" ref="I261">IFERROR(INDEX(CourseYardages[[Hole 1]:[Hole 18]],
  MATCH(1, (CourseYardages[Course]=C261)*(CourseYardages[Tees]=E261), 0),
  MATCH(G261, CourseYardages[[#Headers],[Hole 1]:[Hole 18]], 0)
),"")</f>
        <v>545</v>
      </c>
      <c r="J261" cm="1">
        <f t="array" ref="J261">IFERROR(INDEX(CourseHandicap[[Hole 1]:[Hole 18]],
  MATCH(1, (CourseHandicap[Course]=C261)*(CourseHandicap[Tees]=E261), 0),
  MATCH(G261, CourseHandicap[[#Headers],[Hole 1]:[Hole 18]], 0)
),"")</f>
        <v>5</v>
      </c>
      <c r="K261" cm="1">
        <f t="array" ref="K261">IFERROR(INDEX(CourseRatings[[Hole 1]:[Hole 18]],
  MATCH(1, (CourseRatings[Course]=C261)*(CourseRatings[Tees]=E261), 0),
  MATCH(G261, CourseRatings[[#Headers],[Hole 1]:[Hole 18]], 0)
),"")</f>
        <v>5</v>
      </c>
      <c r="L261" cm="1">
        <f t="array" ref="L261">IFERROR(
  INDEX('Golf Log'!$E$2:$V$72,
    MATCH(1,
      ('Golf Log'!$A$2:$A$72=$A261)*
      ('Golf Log'!$B$2:$B$72=$B261)*
      ('Golf Log'!$C$2:$C$72=$C261),
    0),
    MATCH($G261,'Golf Log'!$E$1:$V$1,0)
  ),
"")</f>
        <v>5</v>
      </c>
      <c r="M261">
        <f t="shared" si="13"/>
        <v>0</v>
      </c>
      <c r="N261" t="str">
        <f t="shared" si="5"/>
        <v>Par</v>
      </c>
      <c r="O261" cm="1">
        <f t="array" ref="O261">IFERROR(
  INDEX('Putt Log'!$E$2:$V$72,
    MATCH(1,
      ('Putt Log'!$A$2:$A$72=$A261)*
      ('Putt Log'!$B$2:$B$72=$B261)*
      ('Putt Log'!$C$2:$C$72=$C261),
    0),
    MATCH($G261,'Putt Log'!$E$1:$V$1,0)
  ),
"")</f>
        <v>1</v>
      </c>
      <c r="P261" t="str" cm="1">
        <f t="array" ref="P261">IF(K261=3,"",
  IFERROR(
    INDEX('Fairway Log'!$E$2:$V$72,
      MATCH(1,
        ('Fairway Log'!$A$2:$A$72=$A261)*
        ('Fairway Log'!$B$2:$B$72=$B261)*
        ('Fairway Log'!$C$2:$C332=$C261),
      0),
      MATCH($G261,'Fairway Log'!$E$1:$V$1,0)
    ),
  "")
)</f>
        <v>←</v>
      </c>
      <c r="Q261" t="str" cm="1">
        <f t="array" ref="Q261">IFERROR(
  INDEX('GIR Log'!$E$2:$V$72,
    MATCH(1,
      ('GIR Log'!$A$2:$A$72=$A261)*
      ('GIR Log'!$B$2:$B$72=$B261)*
      ('GIR Log'!$C$2:$C$72=$C261),
    0),
    MATCH($G261,'GIR Log'!$E$1:$V$1,0)
  ),
"")</f>
        <v>↓</v>
      </c>
    </row>
    <row r="262" spans="1:17" x14ac:dyDescent="0.25">
      <c r="A262" s="20" t="s">
        <v>126</v>
      </c>
      <c r="B262" s="2">
        <v>45467</v>
      </c>
      <c r="C262" t="s">
        <v>5</v>
      </c>
      <c r="D262" t="s">
        <v>5</v>
      </c>
      <c r="E262" t="s">
        <v>36</v>
      </c>
      <c r="F262">
        <v>80</v>
      </c>
      <c r="G262" t="s">
        <v>55</v>
      </c>
      <c r="H262" s="9">
        <f t="shared" si="14"/>
        <v>9</v>
      </c>
      <c r="I262" cm="1">
        <f t="array" ref="I262">IFERROR(INDEX(CourseYardages[[Hole 1]:[Hole 18]],
  MATCH(1, (CourseYardages[Course]=C262)*(CourseYardages[Tees]=E262), 0),
  MATCH(G262, CourseYardages[[#Headers],[Hole 1]:[Hole 18]], 0)
),"")</f>
        <v>348</v>
      </c>
      <c r="J262" cm="1">
        <f t="array" ref="J262">IFERROR(INDEX(CourseHandicap[[Hole 1]:[Hole 18]],
  MATCH(1, (CourseHandicap[Course]=C262)*(CourseHandicap[Tees]=E262), 0),
  MATCH(G262, CourseHandicap[[#Headers],[Hole 1]:[Hole 18]], 0)
),"")</f>
        <v>9</v>
      </c>
      <c r="K262" cm="1">
        <f t="array" ref="K262">IFERROR(INDEX(CourseRatings[[Hole 1]:[Hole 18]],
  MATCH(1, (CourseRatings[Course]=C262)*(CourseRatings[Tees]=E262), 0),
  MATCH(G262, CourseRatings[[#Headers],[Hole 1]:[Hole 18]], 0)
),"")</f>
        <v>4</v>
      </c>
      <c r="L262" cm="1">
        <f t="array" ref="L262">IFERROR(
  INDEX('Golf Log'!$E$2:$V$72,
    MATCH(1,
      ('Golf Log'!$A$2:$A$72=$A262)*
      ('Golf Log'!$B$2:$B$72=$B262)*
      ('Golf Log'!$C$2:$C$72=$C262),
    0),
    MATCH($G262,'Golf Log'!$E$1:$V$1,0)
  ),
"")</f>
        <v>4</v>
      </c>
      <c r="M262">
        <f t="shared" si="13"/>
        <v>0</v>
      </c>
      <c r="N262" t="str">
        <f t="shared" si="5"/>
        <v>Par</v>
      </c>
      <c r="O262" cm="1">
        <f t="array" ref="O262">IFERROR(
  INDEX('Putt Log'!$E$2:$V$72,
    MATCH(1,
      ('Putt Log'!$A$2:$A$72=$A262)*
      ('Putt Log'!$B$2:$B$72=$B262)*
      ('Putt Log'!$C$2:$C$72=$C262),
    0),
    MATCH($G262,'Putt Log'!$E$1:$V$1,0)
  ),
"")</f>
        <v>1</v>
      </c>
      <c r="P262" cm="1">
        <f t="array" ref="P262">IF(K262=3,"",
  IFERROR(
    INDEX('Fairway Log'!$E$2:$V$72,
      MATCH(1,
        ('Fairway Log'!$A$2:$A$72=$A262)*
        ('Fairway Log'!$B$2:$B$72=$B262)*
        ('Fairway Log'!$C$2:$C333=$C262),
      0),
      MATCH($G262,'Fairway Log'!$E$1:$V$1,0)
    ),
  "")
)</f>
        <v>1</v>
      </c>
      <c r="Q262" t="str" cm="1">
        <f t="array" ref="Q262">IFERROR(
  INDEX('GIR Log'!$E$2:$V$72,
    MATCH(1,
      ('GIR Log'!$A$2:$A$72=$A262)*
      ('GIR Log'!$B$2:$B$72=$B262)*
      ('GIR Log'!$C$2:$C$72=$C262),
    0),
    MATCH($G262,'GIR Log'!$E$1:$V$1,0)
  ),
"")</f>
        <v>↓</v>
      </c>
    </row>
    <row r="263" spans="1:17" x14ac:dyDescent="0.25">
      <c r="A263" s="20" t="s">
        <v>126</v>
      </c>
      <c r="B263" s="2">
        <v>45467</v>
      </c>
      <c r="C263" t="s">
        <v>5</v>
      </c>
      <c r="D263" t="s">
        <v>5</v>
      </c>
      <c r="E263" t="s">
        <v>36</v>
      </c>
      <c r="F263">
        <v>80</v>
      </c>
      <c r="G263" t="s">
        <v>56</v>
      </c>
      <c r="H263" s="9">
        <f t="shared" si="14"/>
        <v>10</v>
      </c>
      <c r="I263" cm="1">
        <f t="array" ref="I263">IFERROR(INDEX(CourseYardages[[Hole 1]:[Hole 18]],
  MATCH(1, (CourseYardages[Course]=C263)*(CourseYardages[Tees]=E263), 0),
  MATCH(G263, CourseYardages[[#Headers],[Hole 1]:[Hole 18]], 0)
),"")</f>
        <v>362</v>
      </c>
      <c r="J263" cm="1">
        <f t="array" ref="J263">IFERROR(INDEX(CourseHandicap[[Hole 1]:[Hole 18]],
  MATCH(1, (CourseHandicap[Course]=C263)*(CourseHandicap[Tees]=E263), 0),
  MATCH(G263, CourseHandicap[[#Headers],[Hole 1]:[Hole 18]], 0)
),"")</f>
        <v>12</v>
      </c>
      <c r="K263" cm="1">
        <f t="array" ref="K263">IFERROR(INDEX(CourseRatings[[Hole 1]:[Hole 18]],
  MATCH(1, (CourseRatings[Course]=C263)*(CourseRatings[Tees]=E263), 0),
  MATCH(G263, CourseRatings[[#Headers],[Hole 1]:[Hole 18]], 0)
),"")</f>
        <v>4</v>
      </c>
      <c r="L263" cm="1">
        <f t="array" ref="L263">IFERROR(
  INDEX('Golf Log'!$E$2:$V$72,
    MATCH(1,
      ('Golf Log'!$A$2:$A$72=$A263)*
      ('Golf Log'!$B$2:$B$72=$B263)*
      ('Golf Log'!$C$2:$C$72=$C263),
    0),
    MATCH($G263,'Golf Log'!$E$1:$V$1,0)
  ),
"")</f>
        <v>5</v>
      </c>
      <c r="M263">
        <f t="shared" si="13"/>
        <v>1</v>
      </c>
      <c r="N263" t="str">
        <f t="shared" si="5"/>
        <v>Bogey</v>
      </c>
      <c r="O263" cm="1">
        <f t="array" ref="O263">IFERROR(
  INDEX('Putt Log'!$E$2:$V$72,
    MATCH(1,
      ('Putt Log'!$A$2:$A$72=$A263)*
      ('Putt Log'!$B$2:$B$72=$B263)*
      ('Putt Log'!$C$2:$C$72=$C263),
    0),
    MATCH($G263,'Putt Log'!$E$1:$V$1,0)
  ),
"")</f>
        <v>2</v>
      </c>
      <c r="P263" t="str" cm="1">
        <f t="array" ref="P263">IF(K263=3,"",
  IFERROR(
    INDEX('Fairway Log'!$E$2:$V$72,
      MATCH(1,
        ('Fairway Log'!$A$2:$A$72=$A263)*
        ('Fairway Log'!$B$2:$B$72=$B263)*
        ('Fairway Log'!$C$2:$C334=$C263),
      0),
      MATCH($G263,'Fairway Log'!$E$1:$V$1,0)
    ),
  "")
)</f>
        <v>↓</v>
      </c>
      <c r="Q263" t="str" cm="1">
        <f t="array" ref="Q263">IFERROR(
  INDEX('GIR Log'!$E$2:$V$72,
    MATCH(1,
      ('GIR Log'!$A$2:$A$72=$A263)*
      ('GIR Log'!$B$2:$B$72=$B263)*
      ('GIR Log'!$C$2:$C$72=$C263),
    0),
    MATCH($G263,'GIR Log'!$E$1:$V$1,0)
  ),
"")</f>
        <v>NC</v>
      </c>
    </row>
    <row r="264" spans="1:17" x14ac:dyDescent="0.25">
      <c r="A264" s="20" t="s">
        <v>126</v>
      </c>
      <c r="B264" s="2">
        <v>45467</v>
      </c>
      <c r="C264" t="s">
        <v>5</v>
      </c>
      <c r="D264" t="s">
        <v>5</v>
      </c>
      <c r="E264" t="s">
        <v>36</v>
      </c>
      <c r="F264">
        <v>80</v>
      </c>
      <c r="G264" t="s">
        <v>57</v>
      </c>
      <c r="H264" s="9">
        <f t="shared" si="14"/>
        <v>11</v>
      </c>
      <c r="I264" cm="1">
        <f t="array" ref="I264">IFERROR(INDEX(CourseYardages[[Hole 1]:[Hole 18]],
  MATCH(1, (CourseYardages[Course]=C264)*(CourseYardages[Tees]=E264), 0),
  MATCH(G264, CourseYardages[[#Headers],[Hole 1]:[Hole 18]], 0)
),"")</f>
        <v>187</v>
      </c>
      <c r="J264" cm="1">
        <f t="array" ref="J264">IFERROR(INDEX(CourseHandicap[[Hole 1]:[Hole 18]],
  MATCH(1, (CourseHandicap[Course]=C264)*(CourseHandicap[Tees]=E264), 0),
  MATCH(G264, CourseHandicap[[#Headers],[Hole 1]:[Hole 18]], 0)
),"")</f>
        <v>16</v>
      </c>
      <c r="K264" cm="1">
        <f t="array" ref="K264">IFERROR(INDEX(CourseRatings[[Hole 1]:[Hole 18]],
  MATCH(1, (CourseRatings[Course]=C264)*(CourseRatings[Tees]=E264), 0),
  MATCH(G264, CourseRatings[[#Headers],[Hole 1]:[Hole 18]], 0)
),"")</f>
        <v>3</v>
      </c>
      <c r="L264" cm="1">
        <f t="array" ref="L264">IFERROR(
  INDEX('Golf Log'!$E$2:$V$72,
    MATCH(1,
      ('Golf Log'!$A$2:$A$72=$A264)*
      ('Golf Log'!$B$2:$B$72=$B264)*
      ('Golf Log'!$C$2:$C$72=$C264),
    0),
    MATCH($G264,'Golf Log'!$E$1:$V$1,0)
  ),
"")</f>
        <v>4</v>
      </c>
      <c r="M264">
        <f t="shared" si="13"/>
        <v>1</v>
      </c>
      <c r="N264" t="str">
        <f t="shared" si="5"/>
        <v>Bogey</v>
      </c>
      <c r="O264" cm="1">
        <f t="array" ref="O264">IFERROR(
  INDEX('Putt Log'!$E$2:$V$72,
    MATCH(1,
      ('Putt Log'!$A$2:$A$72=$A264)*
      ('Putt Log'!$B$2:$B$72=$B264)*
      ('Putt Log'!$C$2:$C$72=$C264),
    0),
    MATCH($G264,'Putt Log'!$E$1:$V$1,0)
  ),
"")</f>
        <v>2</v>
      </c>
      <c r="P264" t="str" cm="1">
        <f t="array" ref="P264">IF(K264=3,"",
  IFERROR(
    INDEX('Fairway Log'!$E$2:$V$72,
      MATCH(1,
        ('Fairway Log'!$A$2:$A$72=$A264)*
        ('Fairway Log'!$B$2:$B$72=$B264)*
        ('Fairway Log'!$C$2:$C335=$C264),
      0),
      MATCH($G264,'Fairway Log'!$E$1:$V$1,0)
    ),
  "")
)</f>
        <v/>
      </c>
      <c r="Q264" t="str" cm="1">
        <f t="array" ref="Q264">IFERROR(
  INDEX('GIR Log'!$E$2:$V$72,
    MATCH(1,
      ('GIR Log'!$A$2:$A$72=$A264)*
      ('GIR Log'!$B$2:$B$72=$B264)*
      ('GIR Log'!$C$2:$C$72=$C264),
    0),
    MATCH($G264,'GIR Log'!$E$1:$V$1,0)
  ),
"")</f>
        <v>NC</v>
      </c>
    </row>
    <row r="265" spans="1:17" x14ac:dyDescent="0.25">
      <c r="A265" s="20" t="s">
        <v>126</v>
      </c>
      <c r="B265" s="2">
        <v>45467</v>
      </c>
      <c r="C265" t="s">
        <v>5</v>
      </c>
      <c r="D265" t="s">
        <v>5</v>
      </c>
      <c r="E265" t="s">
        <v>36</v>
      </c>
      <c r="F265">
        <v>80</v>
      </c>
      <c r="G265" t="s">
        <v>58</v>
      </c>
      <c r="H265" s="9">
        <f t="shared" si="14"/>
        <v>12</v>
      </c>
      <c r="I265" cm="1">
        <f t="array" ref="I265">IFERROR(INDEX(CourseYardages[[Hole 1]:[Hole 18]],
  MATCH(1, (CourseYardages[Course]=C265)*(CourseYardages[Tees]=E265), 0),
  MATCH(G265, CourseYardages[[#Headers],[Hole 1]:[Hole 18]], 0)
),"")</f>
        <v>463</v>
      </c>
      <c r="J265" cm="1">
        <f t="array" ref="J265">IFERROR(INDEX(CourseHandicap[[Hole 1]:[Hole 18]],
  MATCH(1, (CourseHandicap[Course]=C265)*(CourseHandicap[Tees]=E265), 0),
  MATCH(G265, CourseHandicap[[#Headers],[Hole 1]:[Hole 18]], 0)
),"")</f>
        <v>10</v>
      </c>
      <c r="K265" cm="1">
        <f t="array" ref="K265">IFERROR(INDEX(CourseRatings[[Hole 1]:[Hole 18]],
  MATCH(1, (CourseRatings[Course]=C265)*(CourseRatings[Tees]=E265), 0),
  MATCH(G265, CourseRatings[[#Headers],[Hole 1]:[Hole 18]], 0)
),"")</f>
        <v>5</v>
      </c>
      <c r="L265" cm="1">
        <f t="array" ref="L265">IFERROR(
  INDEX('Golf Log'!$E$2:$V$72,
    MATCH(1,
      ('Golf Log'!$A$2:$A$72=$A265)*
      ('Golf Log'!$B$2:$B$72=$B265)*
      ('Golf Log'!$C$2:$C$72=$C265),
    0),
    MATCH($G265,'Golf Log'!$E$1:$V$1,0)
  ),
"")</f>
        <v>5</v>
      </c>
      <c r="M265">
        <f t="shared" si="13"/>
        <v>0</v>
      </c>
      <c r="N265" t="str">
        <f t="shared" si="5"/>
        <v>Par</v>
      </c>
      <c r="O265" cm="1">
        <f t="array" ref="O265">IFERROR(
  INDEX('Putt Log'!$E$2:$V$72,
    MATCH(1,
      ('Putt Log'!$A$2:$A$72=$A265)*
      ('Putt Log'!$B$2:$B$72=$B265)*
      ('Putt Log'!$C$2:$C$72=$C265),
    0),
    MATCH($G265,'Putt Log'!$E$1:$V$1,0)
  ),
"")</f>
        <v>2</v>
      </c>
      <c r="P265" t="str" cm="1">
        <f t="array" ref="P265">IF(K265=3,"",
  IFERROR(
    INDEX('Fairway Log'!$E$2:$V$72,
      MATCH(1,
        ('Fairway Log'!$A$2:$A$72=$A265)*
        ('Fairway Log'!$B$2:$B$72=$B265)*
        ('Fairway Log'!$C$2:$C336=$C265),
      0),
      MATCH($G265,'Fairway Log'!$E$1:$V$1,0)
    ),
  "")
)</f>
        <v>→</v>
      </c>
      <c r="Q265" cm="1">
        <f t="array" ref="Q265">IFERROR(
  INDEX('GIR Log'!$E$2:$V$72,
    MATCH(1,
      ('GIR Log'!$A$2:$A$72=$A265)*
      ('GIR Log'!$B$2:$B$72=$B265)*
      ('GIR Log'!$C$2:$C$72=$C265),
    0),
    MATCH($G265,'GIR Log'!$E$1:$V$1,0)
  ),
"")</f>
        <v>1</v>
      </c>
    </row>
    <row r="266" spans="1:17" x14ac:dyDescent="0.25">
      <c r="A266" s="20" t="s">
        <v>126</v>
      </c>
      <c r="B266" s="2">
        <v>45467</v>
      </c>
      <c r="C266" t="s">
        <v>5</v>
      </c>
      <c r="D266" t="s">
        <v>5</v>
      </c>
      <c r="E266" t="s">
        <v>36</v>
      </c>
      <c r="F266">
        <v>80</v>
      </c>
      <c r="G266" t="s">
        <v>59</v>
      </c>
      <c r="H266" s="9">
        <f t="shared" si="14"/>
        <v>13</v>
      </c>
      <c r="I266" cm="1">
        <f t="array" ref="I266">IFERROR(INDEX(CourseYardages[[Hole 1]:[Hole 18]],
  MATCH(1, (CourseYardages[Course]=C266)*(CourseYardages[Tees]=E266), 0),
  MATCH(G266, CourseYardages[[#Headers],[Hole 1]:[Hole 18]], 0)
),"")</f>
        <v>347</v>
      </c>
      <c r="J266" cm="1">
        <f t="array" ref="J266">IFERROR(INDEX(CourseHandicap[[Hole 1]:[Hole 18]],
  MATCH(1, (CourseHandicap[Course]=C266)*(CourseHandicap[Tees]=E266), 0),
  MATCH(G266, CourseHandicap[[#Headers],[Hole 1]:[Hole 18]], 0)
),"")</f>
        <v>18</v>
      </c>
      <c r="K266" cm="1">
        <f t="array" ref="K266">IFERROR(INDEX(CourseRatings[[Hole 1]:[Hole 18]],
  MATCH(1, (CourseRatings[Course]=C266)*(CourseRatings[Tees]=E266), 0),
  MATCH(G266, CourseRatings[[#Headers],[Hole 1]:[Hole 18]], 0)
),"")</f>
        <v>4</v>
      </c>
      <c r="L266" cm="1">
        <f t="array" ref="L266">IFERROR(
  INDEX('Golf Log'!$E$2:$V$72,
    MATCH(1,
      ('Golf Log'!$A$2:$A$72=$A266)*
      ('Golf Log'!$B$2:$B$72=$B266)*
      ('Golf Log'!$C$2:$C$72=$C266),
    0),
    MATCH($G266,'Golf Log'!$E$1:$V$1,0)
  ),
"")</f>
        <v>4</v>
      </c>
      <c r="M266">
        <f t="shared" si="13"/>
        <v>0</v>
      </c>
      <c r="N266" t="str">
        <f t="shared" si="5"/>
        <v>Par</v>
      </c>
      <c r="O266" cm="1">
        <f t="array" ref="O266">IFERROR(
  INDEX('Putt Log'!$E$2:$V$72,
    MATCH(1,
      ('Putt Log'!$A$2:$A$72=$A266)*
      ('Putt Log'!$B$2:$B$72=$B266)*
      ('Putt Log'!$C$2:$C$72=$C266),
    0),
    MATCH($G266,'Putt Log'!$E$1:$V$1,0)
  ),
"")</f>
        <v>2</v>
      </c>
      <c r="P266" cm="1">
        <f t="array" ref="P266">IF(K266=3,"",
  IFERROR(
    INDEX('Fairway Log'!$E$2:$V$72,
      MATCH(1,
        ('Fairway Log'!$A$2:$A$72=$A266)*
        ('Fairway Log'!$B$2:$B$72=$B266)*
        ('Fairway Log'!$C$2:$C337=$C266),
      0),
      MATCH($G266,'Fairway Log'!$E$1:$V$1,0)
    ),
  "")
)</f>
        <v>1</v>
      </c>
      <c r="Q266" cm="1">
        <f t="array" ref="Q266">IFERROR(
  INDEX('GIR Log'!$E$2:$V$72,
    MATCH(1,
      ('GIR Log'!$A$2:$A$72=$A266)*
      ('GIR Log'!$B$2:$B$72=$B266)*
      ('GIR Log'!$C$2:$C$72=$C266),
    0),
    MATCH($G266,'GIR Log'!$E$1:$V$1,0)
  ),
"")</f>
        <v>1</v>
      </c>
    </row>
    <row r="267" spans="1:17" x14ac:dyDescent="0.25">
      <c r="A267" s="20" t="s">
        <v>126</v>
      </c>
      <c r="B267" s="2">
        <v>45467</v>
      </c>
      <c r="C267" t="s">
        <v>5</v>
      </c>
      <c r="D267" t="s">
        <v>5</v>
      </c>
      <c r="E267" t="s">
        <v>36</v>
      </c>
      <c r="F267">
        <v>80</v>
      </c>
      <c r="G267" t="s">
        <v>60</v>
      </c>
      <c r="H267" s="9">
        <f t="shared" si="14"/>
        <v>14</v>
      </c>
      <c r="I267" cm="1">
        <f t="array" ref="I267">IFERROR(INDEX(CourseYardages[[Hole 1]:[Hole 18]],
  MATCH(1, (CourseYardages[Course]=C267)*(CourseYardages[Tees]=E267), 0),
  MATCH(G267, CourseYardages[[#Headers],[Hole 1]:[Hole 18]], 0)
),"")</f>
        <v>362</v>
      </c>
      <c r="J267" cm="1">
        <f t="array" ref="J267">IFERROR(INDEX(CourseHandicap[[Hole 1]:[Hole 18]],
  MATCH(1, (CourseHandicap[Course]=C267)*(CourseHandicap[Tees]=E267), 0),
  MATCH(G267, CourseHandicap[[#Headers],[Hole 1]:[Hole 18]], 0)
),"")</f>
        <v>8</v>
      </c>
      <c r="K267" cm="1">
        <f t="array" ref="K267">IFERROR(INDEX(CourseRatings[[Hole 1]:[Hole 18]],
  MATCH(1, (CourseRatings[Course]=C267)*(CourseRatings[Tees]=E267), 0),
  MATCH(G267, CourseRatings[[#Headers],[Hole 1]:[Hole 18]], 0)
),"")</f>
        <v>4</v>
      </c>
      <c r="L267" cm="1">
        <f t="array" ref="L267">IFERROR(
  INDEX('Golf Log'!$E$2:$V$72,
    MATCH(1,
      ('Golf Log'!$A$2:$A$72=$A267)*
      ('Golf Log'!$B$2:$B$72=$B267)*
      ('Golf Log'!$C$2:$C$72=$C267),
    0),
    MATCH($G267,'Golf Log'!$E$1:$V$1,0)
  ),
"")</f>
        <v>4</v>
      </c>
      <c r="M267">
        <f t="shared" si="13"/>
        <v>0</v>
      </c>
      <c r="N267" t="str">
        <f t="shared" si="5"/>
        <v>Par</v>
      </c>
      <c r="O267" cm="1">
        <f t="array" ref="O267">IFERROR(
  INDEX('Putt Log'!$E$2:$V$72,
    MATCH(1,
      ('Putt Log'!$A$2:$A$72=$A267)*
      ('Putt Log'!$B$2:$B$72=$B267)*
      ('Putt Log'!$C$2:$C$72=$C267),
    0),
    MATCH($G267,'Putt Log'!$E$1:$V$1,0)
  ),
"")</f>
        <v>2</v>
      </c>
      <c r="P267" cm="1">
        <f t="array" ref="P267">IF(K267=3,"",
  IFERROR(
    INDEX('Fairway Log'!$E$2:$V$72,
      MATCH(1,
        ('Fairway Log'!$A$2:$A$72=$A267)*
        ('Fairway Log'!$B$2:$B$72=$B267)*
        ('Fairway Log'!$C$2:$C338=$C267),
      0),
      MATCH($G267,'Fairway Log'!$E$1:$V$1,0)
    ),
  "")
)</f>
        <v>1</v>
      </c>
      <c r="Q267" cm="1">
        <f t="array" ref="Q267">IFERROR(
  INDEX('GIR Log'!$E$2:$V$72,
    MATCH(1,
      ('GIR Log'!$A$2:$A$72=$A267)*
      ('GIR Log'!$B$2:$B$72=$B267)*
      ('GIR Log'!$C$2:$C$72=$C267),
    0),
    MATCH($G267,'GIR Log'!$E$1:$V$1,0)
  ),
"")</f>
        <v>1</v>
      </c>
    </row>
    <row r="268" spans="1:17" x14ac:dyDescent="0.25">
      <c r="A268" s="20" t="s">
        <v>126</v>
      </c>
      <c r="B268" s="2">
        <v>45467</v>
      </c>
      <c r="C268" t="s">
        <v>5</v>
      </c>
      <c r="D268" t="s">
        <v>5</v>
      </c>
      <c r="E268" t="s">
        <v>36</v>
      </c>
      <c r="F268">
        <v>80</v>
      </c>
      <c r="G268" t="s">
        <v>61</v>
      </c>
      <c r="H268" s="9">
        <f t="shared" si="14"/>
        <v>15</v>
      </c>
      <c r="I268" cm="1">
        <f t="array" ref="I268">IFERROR(INDEX(CourseYardages[[Hole 1]:[Hole 18]],
  MATCH(1, (CourseYardages[Course]=C268)*(CourseYardages[Tees]=E268), 0),
  MATCH(G268, CourseYardages[[#Headers],[Hole 1]:[Hole 18]], 0)
),"")</f>
        <v>371</v>
      </c>
      <c r="J268" cm="1">
        <f t="array" ref="J268">IFERROR(INDEX(CourseHandicap[[Hole 1]:[Hole 18]],
  MATCH(1, (CourseHandicap[Course]=C268)*(CourseHandicap[Tees]=E268), 0),
  MATCH(G268, CourseHandicap[[#Headers],[Hole 1]:[Hole 18]], 0)
),"")</f>
        <v>2</v>
      </c>
      <c r="K268" cm="1">
        <f t="array" ref="K268">IFERROR(INDEX(CourseRatings[[Hole 1]:[Hole 18]],
  MATCH(1, (CourseRatings[Course]=C268)*(CourseRatings[Tees]=E268), 0),
  MATCH(G268, CourseRatings[[#Headers],[Hole 1]:[Hole 18]], 0)
),"")</f>
        <v>4</v>
      </c>
      <c r="L268" cm="1">
        <f t="array" ref="L268">IFERROR(
  INDEX('Golf Log'!$E$2:$V$72,
    MATCH(1,
      ('Golf Log'!$A$2:$A$72=$A268)*
      ('Golf Log'!$B$2:$B$72=$B268)*
      ('Golf Log'!$C$2:$C$72=$C268),
    0),
    MATCH($G268,'Golf Log'!$E$1:$V$1,0)
  ),
"")</f>
        <v>4</v>
      </c>
      <c r="M268">
        <f t="shared" si="13"/>
        <v>0</v>
      </c>
      <c r="N268" t="str">
        <f t="shared" si="5"/>
        <v>Par</v>
      </c>
      <c r="O268" cm="1">
        <f t="array" ref="O268">IFERROR(
  INDEX('Putt Log'!$E$2:$V$72,
    MATCH(1,
      ('Putt Log'!$A$2:$A$72=$A268)*
      ('Putt Log'!$B$2:$B$72=$B268)*
      ('Putt Log'!$C$2:$C$72=$C268),
    0),
    MATCH($G268,'Putt Log'!$E$1:$V$1,0)
  ),
"")</f>
        <v>2</v>
      </c>
      <c r="P268" t="str" cm="1">
        <f t="array" ref="P268">IF(K268=3,"",
  IFERROR(
    INDEX('Fairway Log'!$E$2:$V$72,
      MATCH(1,
        ('Fairway Log'!$A$2:$A$72=$A268)*
        ('Fairway Log'!$B$2:$B$72=$B268)*
        ('Fairway Log'!$C$2:$C339=$C268),
      0),
      MATCH($G268,'Fairway Log'!$E$1:$V$1,0)
    ),
  "")
)</f>
        <v>→</v>
      </c>
      <c r="Q268" cm="1">
        <f t="array" ref="Q268">IFERROR(
  INDEX('GIR Log'!$E$2:$V$72,
    MATCH(1,
      ('GIR Log'!$A$2:$A$72=$A268)*
      ('GIR Log'!$B$2:$B$72=$B268)*
      ('GIR Log'!$C$2:$C$72=$C268),
    0),
    MATCH($G268,'GIR Log'!$E$1:$V$1,0)
  ),
"")</f>
        <v>1</v>
      </c>
    </row>
    <row r="269" spans="1:17" x14ac:dyDescent="0.25">
      <c r="A269" s="20" t="s">
        <v>126</v>
      </c>
      <c r="B269" s="2">
        <v>45467</v>
      </c>
      <c r="C269" t="s">
        <v>5</v>
      </c>
      <c r="D269" t="s">
        <v>5</v>
      </c>
      <c r="E269" t="s">
        <v>36</v>
      </c>
      <c r="F269">
        <v>80</v>
      </c>
      <c r="G269" t="s">
        <v>62</v>
      </c>
      <c r="H269" s="9">
        <f t="shared" si="14"/>
        <v>16</v>
      </c>
      <c r="I269" cm="1">
        <f t="array" ref="I269">IFERROR(INDEX(CourseYardages[[Hole 1]:[Hole 18]],
  MATCH(1, (CourseYardages[Course]=C269)*(CourseYardages[Tees]=E269), 0),
  MATCH(G269, CourseYardages[[#Headers],[Hole 1]:[Hole 18]], 0)
),"")</f>
        <v>490</v>
      </c>
      <c r="J269" cm="1">
        <f t="array" ref="J269">IFERROR(INDEX(CourseHandicap[[Hole 1]:[Hole 18]],
  MATCH(1, (CourseHandicap[Course]=C269)*(CourseHandicap[Tees]=E269), 0),
  MATCH(G269, CourseHandicap[[#Headers],[Hole 1]:[Hole 18]], 0)
),"")</f>
        <v>4</v>
      </c>
      <c r="K269" cm="1">
        <f t="array" ref="K269">IFERROR(INDEX(CourseRatings[[Hole 1]:[Hole 18]],
  MATCH(1, (CourseRatings[Course]=C269)*(CourseRatings[Tees]=E269), 0),
  MATCH(G269, CourseRatings[[#Headers],[Hole 1]:[Hole 18]], 0)
),"")</f>
        <v>5</v>
      </c>
      <c r="L269" cm="1">
        <f t="array" ref="L269">IFERROR(
  INDEX('Golf Log'!$E$2:$V$72,
    MATCH(1,
      ('Golf Log'!$A$2:$A$72=$A269)*
      ('Golf Log'!$B$2:$B$72=$B269)*
      ('Golf Log'!$C$2:$C$72=$C269),
    0),
    MATCH($G269,'Golf Log'!$E$1:$V$1,0)
  ),
"")</f>
        <v>5</v>
      </c>
      <c r="M269">
        <f t="shared" si="13"/>
        <v>0</v>
      </c>
      <c r="N269" t="str">
        <f t="shared" si="5"/>
        <v>Par</v>
      </c>
      <c r="O269" cm="1">
        <f t="array" ref="O269">IFERROR(
  INDEX('Putt Log'!$E$2:$V$72,
    MATCH(1,
      ('Putt Log'!$A$2:$A$72=$A269)*
      ('Putt Log'!$B$2:$B$72=$B269)*
      ('Putt Log'!$C$2:$C$72=$C269),
    0),
    MATCH($G269,'Putt Log'!$E$1:$V$1,0)
  ),
"")</f>
        <v>2</v>
      </c>
      <c r="P269" t="str" cm="1">
        <f t="array" ref="P269">IF(K269=3,"",
  IFERROR(
    INDEX('Fairway Log'!$E$2:$V$72,
      MATCH(1,
        ('Fairway Log'!$A$2:$A$72=$A269)*
        ('Fairway Log'!$B$2:$B$72=$B269)*
        ('Fairway Log'!$C$2:$C340=$C269),
      0),
      MATCH($G269,'Fairway Log'!$E$1:$V$1,0)
    ),
  "")
)</f>
        <v>←</v>
      </c>
      <c r="Q269" cm="1">
        <f t="array" ref="Q269">IFERROR(
  INDEX('GIR Log'!$E$2:$V$72,
    MATCH(1,
      ('GIR Log'!$A$2:$A$72=$A269)*
      ('GIR Log'!$B$2:$B$72=$B269)*
      ('GIR Log'!$C$2:$C$72=$C269),
    0),
    MATCH($G269,'GIR Log'!$E$1:$V$1,0)
  ),
"")</f>
        <v>1</v>
      </c>
    </row>
    <row r="270" spans="1:17" x14ac:dyDescent="0.25">
      <c r="A270" s="20" t="s">
        <v>126</v>
      </c>
      <c r="B270" s="2">
        <v>45467</v>
      </c>
      <c r="C270" t="s">
        <v>5</v>
      </c>
      <c r="D270" t="s">
        <v>5</v>
      </c>
      <c r="E270" t="s">
        <v>36</v>
      </c>
      <c r="F270">
        <v>80</v>
      </c>
      <c r="G270" t="s">
        <v>63</v>
      </c>
      <c r="H270" s="9">
        <f t="shared" si="14"/>
        <v>17</v>
      </c>
      <c r="I270" cm="1">
        <f t="array" ref="I270">IFERROR(INDEX(CourseYardages[[Hole 1]:[Hole 18]],
  MATCH(1, (CourseYardages[Course]=C270)*(CourseYardages[Tees]=E270), 0),
  MATCH(G270, CourseYardages[[#Headers],[Hole 1]:[Hole 18]], 0)
),"")</f>
        <v>163</v>
      </c>
      <c r="J270" cm="1">
        <f t="array" ref="J270">IFERROR(INDEX(CourseHandicap[[Hole 1]:[Hole 18]],
  MATCH(1, (CourseHandicap[Course]=C270)*(CourseHandicap[Tees]=E270), 0),
  MATCH(G270, CourseHandicap[[#Headers],[Hole 1]:[Hole 18]], 0)
),"")</f>
        <v>14</v>
      </c>
      <c r="K270" cm="1">
        <f t="array" ref="K270">IFERROR(INDEX(CourseRatings[[Hole 1]:[Hole 18]],
  MATCH(1, (CourseRatings[Course]=C270)*(CourseRatings[Tees]=E270), 0),
  MATCH(G270, CourseRatings[[#Headers],[Hole 1]:[Hole 18]], 0)
),"")</f>
        <v>3</v>
      </c>
      <c r="L270" cm="1">
        <f t="array" ref="L270">IFERROR(
  INDEX('Golf Log'!$E$2:$V$72,
    MATCH(1,
      ('Golf Log'!$A$2:$A$72=$A270)*
      ('Golf Log'!$B$2:$B$72=$B270)*
      ('Golf Log'!$C$2:$C$72=$C270),
    0),
    MATCH($G270,'Golf Log'!$E$1:$V$1,0)
  ),
"")</f>
        <v>3</v>
      </c>
      <c r="M270">
        <f t="shared" si="13"/>
        <v>0</v>
      </c>
      <c r="N270" t="str">
        <f t="shared" si="5"/>
        <v>Par</v>
      </c>
      <c r="O270" cm="1">
        <f t="array" ref="O270">IFERROR(
  INDEX('Putt Log'!$E$2:$V$72,
    MATCH(1,
      ('Putt Log'!$A$2:$A$72=$A270)*
      ('Putt Log'!$B$2:$B$72=$B270)*
      ('Putt Log'!$C$2:$C$72=$C270),
    0),
    MATCH($G270,'Putt Log'!$E$1:$V$1,0)
  ),
"")</f>
        <v>2</v>
      </c>
      <c r="P270" t="str" cm="1">
        <f t="array" ref="P270">IF(K270=3,"",
  IFERROR(
    INDEX('Fairway Log'!$E$2:$V$72,
      MATCH(1,
        ('Fairway Log'!$A$2:$A$72=$A270)*
        ('Fairway Log'!$B$2:$B$72=$B270)*
        ('Fairway Log'!$C$2:$C341=$C270),
      0),
      MATCH($G270,'Fairway Log'!$E$1:$V$1,0)
    ),
  "")
)</f>
        <v/>
      </c>
      <c r="Q270" cm="1">
        <f t="array" ref="Q270">IFERROR(
  INDEX('GIR Log'!$E$2:$V$72,
    MATCH(1,
      ('GIR Log'!$A$2:$A$72=$A270)*
      ('GIR Log'!$B$2:$B$72=$B270)*
      ('GIR Log'!$C$2:$C$72=$C270),
    0),
    MATCH($G270,'GIR Log'!$E$1:$V$1,0)
  ),
"")</f>
        <v>1</v>
      </c>
    </row>
    <row r="271" spans="1:17" x14ac:dyDescent="0.25">
      <c r="A271" s="20" t="s">
        <v>126</v>
      </c>
      <c r="B271" s="2">
        <v>45467</v>
      </c>
      <c r="C271" t="s">
        <v>5</v>
      </c>
      <c r="D271" t="s">
        <v>5</v>
      </c>
      <c r="E271" t="s">
        <v>36</v>
      </c>
      <c r="F271">
        <v>80</v>
      </c>
      <c r="G271" t="s">
        <v>64</v>
      </c>
      <c r="H271" s="9">
        <f t="shared" si="14"/>
        <v>18</v>
      </c>
      <c r="I271" cm="1">
        <f t="array" ref="I271">IFERROR(INDEX(CourseYardages[[Hole 1]:[Hole 18]],
  MATCH(1, (CourseYardages[Course]=C271)*(CourseYardages[Tees]=E271), 0),
  MATCH(G271, CourseYardages[[#Headers],[Hole 1]:[Hole 18]], 0)
),"")</f>
        <v>351</v>
      </c>
      <c r="J271" cm="1">
        <f t="array" ref="J271">IFERROR(INDEX(CourseHandicap[[Hole 1]:[Hole 18]],
  MATCH(1, (CourseHandicap[Course]=C271)*(CourseHandicap[Tees]=E271), 0),
  MATCH(G271, CourseHandicap[[#Headers],[Hole 1]:[Hole 18]], 0)
),"")</f>
        <v>6</v>
      </c>
      <c r="K271" cm="1">
        <f t="array" ref="K271">IFERROR(INDEX(CourseRatings[[Hole 1]:[Hole 18]],
  MATCH(1, (CourseRatings[Course]=C271)*(CourseRatings[Tees]=E271), 0),
  MATCH(G271, CourseRatings[[#Headers],[Hole 1]:[Hole 18]], 0)
),"")</f>
        <v>4</v>
      </c>
      <c r="L271" cm="1">
        <f t="array" ref="L271">IFERROR(
  INDEX('Golf Log'!$E$2:$V$72,
    MATCH(1,
      ('Golf Log'!$A$2:$A$72=$A271)*
      ('Golf Log'!$B$2:$B$72=$B271)*
      ('Golf Log'!$C$2:$C$72=$C271),
    0),
    MATCH($G271,'Golf Log'!$E$1:$V$1,0)
  ),
"")</f>
        <v>4</v>
      </c>
      <c r="M271">
        <f t="shared" si="13"/>
        <v>0</v>
      </c>
      <c r="N271" t="str">
        <f t="shared" si="5"/>
        <v>Par</v>
      </c>
      <c r="O271" cm="1">
        <f t="array" ref="O271">IFERROR(
  INDEX('Putt Log'!$E$2:$V$72,
    MATCH(1,
      ('Putt Log'!$A$2:$A$72=$A271)*
      ('Putt Log'!$B$2:$B$72=$B271)*
      ('Putt Log'!$C$2:$C$72=$C271),
    0),
    MATCH($G271,'Putt Log'!$E$1:$V$1,0)
  ),
"")</f>
        <v>2</v>
      </c>
      <c r="P271" cm="1">
        <f t="array" ref="P271">IF(K271=3,"",
  IFERROR(
    INDEX('Fairway Log'!$E$2:$V$72,
      MATCH(1,
        ('Fairway Log'!$A$2:$A$72=$A271)*
        ('Fairway Log'!$B$2:$B$72=$B271)*
        ('Fairway Log'!$C$2:$C342=$C271),
      0),
      MATCH($G271,'Fairway Log'!$E$1:$V$1,0)
    ),
  "")
)</f>
        <v>1</v>
      </c>
      <c r="Q271" cm="1">
        <f t="array" ref="Q271">IFERROR(
  INDEX('GIR Log'!$E$2:$V$72,
    MATCH(1,
      ('GIR Log'!$A$2:$A$72=$A271)*
      ('GIR Log'!$B$2:$B$72=$B271)*
      ('GIR Log'!$C$2:$C$72=$C271),
    0),
    MATCH($G271,'GIR Log'!$E$1:$V$1,0)
  ),
"")</f>
        <v>1</v>
      </c>
    </row>
    <row r="272" spans="1:17" x14ac:dyDescent="0.25">
      <c r="A272" s="20" t="s">
        <v>126</v>
      </c>
      <c r="B272" s="2">
        <v>45466</v>
      </c>
      <c r="C272" t="s">
        <v>10</v>
      </c>
      <c r="D272" t="s">
        <v>10</v>
      </c>
      <c r="E272" t="s">
        <v>36</v>
      </c>
      <c r="F272">
        <v>81</v>
      </c>
      <c r="G272" t="s">
        <v>47</v>
      </c>
      <c r="H272" s="9">
        <f t="shared" si="14"/>
        <v>1</v>
      </c>
      <c r="I272" cm="1">
        <f t="array" ref="I272">IFERROR(INDEX(CourseYardages[[Hole 1]:[Hole 18]],
  MATCH(1, (CourseYardages[Course]=C272)*(CourseYardages[Tees]=E272), 0),
  MATCH(G272, CourseYardages[[#Headers],[Hole 1]:[Hole 18]], 0)
),"")</f>
        <v>459</v>
      </c>
      <c r="J272" cm="1">
        <f t="array" ref="J272">IFERROR(INDEX(CourseHandicap[[Hole 1]:[Hole 18]],
  MATCH(1, (CourseHandicap[Course]=C272)*(CourseHandicap[Tees]=E272), 0),
  MATCH(G272, CourseHandicap[[#Headers],[Hole 1]:[Hole 18]], 0)
),"")</f>
        <v>3</v>
      </c>
      <c r="K272" cm="1">
        <f t="array" ref="K272">IFERROR(INDEX(CourseRatings[[Hole 1]:[Hole 18]],
  MATCH(1, (CourseRatings[Course]=C272)*(CourseRatings[Tees]=E272), 0),
  MATCH(G272, CourseRatings[[#Headers],[Hole 1]:[Hole 18]], 0)
),"")</f>
        <v>4</v>
      </c>
      <c r="L272" cm="1">
        <f t="array" ref="L272">IFERROR(
  INDEX('Golf Log'!$E$2:$V$72,
    MATCH(1,
      ('Golf Log'!$A$2:$A$72=$A272)*
      ('Golf Log'!$B$2:$B$72=$B272)*
      ('Golf Log'!$C$2:$C$72=$C272),
    0),
    MATCH($G272,'Golf Log'!$E$1:$V$1,0)
  ),
"")</f>
        <v>5</v>
      </c>
      <c r="M272">
        <f t="shared" si="13"/>
        <v>1</v>
      </c>
      <c r="N272" t="str">
        <f t="shared" si="5"/>
        <v>Bogey</v>
      </c>
      <c r="O272" cm="1">
        <f t="array" ref="O272">IFERROR(
  INDEX('Putt Log'!$E$2:$V$72,
    MATCH(1,
      ('Putt Log'!$A$2:$A$72=$A272)*
      ('Putt Log'!$B$2:$B$72=$B272)*
      ('Putt Log'!$C$2:$C$72=$C272),
    0),
    MATCH($G272,'Putt Log'!$E$1:$V$1,0)
  ),
"")</f>
        <v>1</v>
      </c>
      <c r="P272" cm="1">
        <f t="array" ref="P272">IF(K272=3,"",
  IFERROR(
    INDEX('Fairway Log'!$E$2:$V$72,
      MATCH(1,
        ('Fairway Log'!$A$2:$A$72=$A272)*
        ('Fairway Log'!$B$2:$B$72=$B272)*
        ('Fairway Log'!$C$2:$C343=$C272),
      0),
      MATCH($G272,'Fairway Log'!$E$1:$V$1,0)
    ),
  "")
)</f>
        <v>1</v>
      </c>
      <c r="Q272" t="str" cm="1">
        <f t="array" ref="Q272">IFERROR(
  INDEX('GIR Log'!$E$2:$V$72,
    MATCH(1,
      ('GIR Log'!$A$2:$A$72=$A272)*
      ('GIR Log'!$B$2:$B$72=$B272)*
      ('GIR Log'!$C$2:$C$72=$C272),
    0),
    MATCH($G272,'GIR Log'!$E$1:$V$1,0)
  ),
"")</f>
        <v>↓</v>
      </c>
    </row>
    <row r="273" spans="1:17" x14ac:dyDescent="0.25">
      <c r="A273" s="20" t="s">
        <v>126</v>
      </c>
      <c r="B273" s="2">
        <v>45466</v>
      </c>
      <c r="C273" t="s">
        <v>10</v>
      </c>
      <c r="D273" t="s">
        <v>10</v>
      </c>
      <c r="E273" t="s">
        <v>36</v>
      </c>
      <c r="F273">
        <v>81</v>
      </c>
      <c r="G273" t="s">
        <v>48</v>
      </c>
      <c r="H273" s="9">
        <f t="shared" si="14"/>
        <v>2</v>
      </c>
      <c r="I273" cm="1">
        <f t="array" ref="I273">IFERROR(INDEX(CourseYardages[[Hole 1]:[Hole 18]],
  MATCH(1, (CourseYardages[Course]=C273)*(CourseYardages[Tees]=E273), 0),
  MATCH(G273, CourseYardages[[#Headers],[Hole 1]:[Hole 18]], 0)
),"")</f>
        <v>387</v>
      </c>
      <c r="J273" cm="1">
        <f t="array" ref="J273">IFERROR(INDEX(CourseHandicap[[Hole 1]:[Hole 18]],
  MATCH(1, (CourseHandicap[Course]=C273)*(CourseHandicap[Tees]=E273), 0),
  MATCH(G273, CourseHandicap[[#Headers],[Hole 1]:[Hole 18]], 0)
),"")</f>
        <v>7</v>
      </c>
      <c r="K273" cm="1">
        <f t="array" ref="K273">IFERROR(INDEX(CourseRatings[[Hole 1]:[Hole 18]],
  MATCH(1, (CourseRatings[Course]=C273)*(CourseRatings[Tees]=E273), 0),
  MATCH(G273, CourseRatings[[#Headers],[Hole 1]:[Hole 18]], 0)
),"")</f>
        <v>4</v>
      </c>
      <c r="L273" cm="1">
        <f t="array" ref="L273">IFERROR(
  INDEX('Golf Log'!$E$2:$V$72,
    MATCH(1,
      ('Golf Log'!$A$2:$A$72=$A273)*
      ('Golf Log'!$B$2:$B$72=$B273)*
      ('Golf Log'!$C$2:$C$72=$C273),
    0),
    MATCH($G273,'Golf Log'!$E$1:$V$1,0)
  ),
"")</f>
        <v>5</v>
      </c>
      <c r="M273">
        <f t="shared" si="13"/>
        <v>1</v>
      </c>
      <c r="N273" t="str">
        <f t="shared" si="5"/>
        <v>Bogey</v>
      </c>
      <c r="O273" cm="1">
        <f t="array" ref="O273">IFERROR(
  INDEX('Putt Log'!$E$2:$V$72,
    MATCH(1,
      ('Putt Log'!$A$2:$A$72=$A273)*
      ('Putt Log'!$B$2:$B$72=$B273)*
      ('Putt Log'!$C$2:$C$72=$C273),
    0),
    MATCH($G273,'Putt Log'!$E$1:$V$1,0)
  ),
"")</f>
        <v>2</v>
      </c>
      <c r="P273" t="str" cm="1">
        <f t="array" ref="P273">IF(K273=3,"",
  IFERROR(
    INDEX('Fairway Log'!$E$2:$V$72,
      MATCH(1,
        ('Fairway Log'!$A$2:$A$72=$A273)*
        ('Fairway Log'!$B$2:$B$72=$B273)*
        ('Fairway Log'!$C$2:$C344=$C273),
      0),
      MATCH($G273,'Fairway Log'!$E$1:$V$1,0)
    ),
  "")
)</f>
        <v>←</v>
      </c>
      <c r="Q273" t="str" cm="1">
        <f t="array" ref="Q273">IFERROR(
  INDEX('GIR Log'!$E$2:$V$72,
    MATCH(1,
      ('GIR Log'!$A$2:$A$72=$A273)*
      ('GIR Log'!$B$2:$B$72=$B273)*
      ('GIR Log'!$C$2:$C$72=$C273),
    0),
    MATCH($G273,'GIR Log'!$E$1:$V$1,0)
  ),
"")</f>
        <v>↓</v>
      </c>
    </row>
    <row r="274" spans="1:17" x14ac:dyDescent="0.25">
      <c r="A274" s="20" t="s">
        <v>126</v>
      </c>
      <c r="B274" s="2">
        <v>45466</v>
      </c>
      <c r="C274" t="s">
        <v>10</v>
      </c>
      <c r="D274" t="s">
        <v>10</v>
      </c>
      <c r="E274" t="s">
        <v>36</v>
      </c>
      <c r="F274">
        <v>81</v>
      </c>
      <c r="G274" t="s">
        <v>49</v>
      </c>
      <c r="H274" s="9">
        <f t="shared" si="14"/>
        <v>3</v>
      </c>
      <c r="I274" cm="1">
        <f t="array" ref="I274">IFERROR(INDEX(CourseYardages[[Hole 1]:[Hole 18]],
  MATCH(1, (CourseYardages[Course]=C274)*(CourseYardages[Tees]=E274), 0),
  MATCH(G274, CourseYardages[[#Headers],[Hole 1]:[Hole 18]], 0)
),"")</f>
        <v>368</v>
      </c>
      <c r="J274" cm="1">
        <f t="array" ref="J274">IFERROR(INDEX(CourseHandicap[[Hole 1]:[Hole 18]],
  MATCH(1, (CourseHandicap[Course]=C274)*(CourseHandicap[Tees]=E274), 0),
  MATCH(G274, CourseHandicap[[#Headers],[Hole 1]:[Hole 18]], 0)
),"")</f>
        <v>11</v>
      </c>
      <c r="K274" cm="1">
        <f t="array" ref="K274">IFERROR(INDEX(CourseRatings[[Hole 1]:[Hole 18]],
  MATCH(1, (CourseRatings[Course]=C274)*(CourseRatings[Tees]=E274), 0),
  MATCH(G274, CourseRatings[[#Headers],[Hole 1]:[Hole 18]], 0)
),"")</f>
        <v>4</v>
      </c>
      <c r="L274" cm="1">
        <f t="array" ref="L274">IFERROR(
  INDEX('Golf Log'!$E$2:$V$72,
    MATCH(1,
      ('Golf Log'!$A$2:$A$72=$A274)*
      ('Golf Log'!$B$2:$B$72=$B274)*
      ('Golf Log'!$C$2:$C$72=$C274),
    0),
    MATCH($G274,'Golf Log'!$E$1:$V$1,0)
  ),
"")</f>
        <v>4</v>
      </c>
      <c r="M274">
        <f t="shared" si="13"/>
        <v>0</v>
      </c>
      <c r="N274" t="str">
        <f t="shared" si="5"/>
        <v>Par</v>
      </c>
      <c r="O274" cm="1">
        <f t="array" ref="O274">IFERROR(
  INDEX('Putt Log'!$E$2:$V$72,
    MATCH(1,
      ('Putt Log'!$A$2:$A$72=$A274)*
      ('Putt Log'!$B$2:$B$72=$B274)*
      ('Putt Log'!$C$2:$C$72=$C274),
    0),
    MATCH($G274,'Putt Log'!$E$1:$V$1,0)
  ),
"")</f>
        <v>2</v>
      </c>
      <c r="P274" cm="1">
        <f t="array" ref="P274">IF(K274=3,"",
  IFERROR(
    INDEX('Fairway Log'!$E$2:$V$72,
      MATCH(1,
        ('Fairway Log'!$A$2:$A$72=$A274)*
        ('Fairway Log'!$B$2:$B$72=$B274)*
        ('Fairway Log'!$C$2:$C345=$C274),
      0),
      MATCH($G274,'Fairway Log'!$E$1:$V$1,0)
    ),
  "")
)</f>
        <v>1</v>
      </c>
      <c r="Q274" cm="1">
        <f t="array" ref="Q274">IFERROR(
  INDEX('GIR Log'!$E$2:$V$72,
    MATCH(1,
      ('GIR Log'!$A$2:$A$72=$A274)*
      ('GIR Log'!$B$2:$B$72=$B274)*
      ('GIR Log'!$C$2:$C$72=$C274),
    0),
    MATCH($G274,'GIR Log'!$E$1:$V$1,0)
  ),
"")</f>
        <v>1</v>
      </c>
    </row>
    <row r="275" spans="1:17" x14ac:dyDescent="0.25">
      <c r="A275" s="20" t="s">
        <v>126</v>
      </c>
      <c r="B275" s="2">
        <v>45466</v>
      </c>
      <c r="C275" t="s">
        <v>10</v>
      </c>
      <c r="D275" t="s">
        <v>10</v>
      </c>
      <c r="E275" t="s">
        <v>36</v>
      </c>
      <c r="F275">
        <v>81</v>
      </c>
      <c r="G275" t="s">
        <v>50</v>
      </c>
      <c r="H275" s="9">
        <f t="shared" si="14"/>
        <v>4</v>
      </c>
      <c r="I275" cm="1">
        <f t="array" ref="I275">IFERROR(INDEX(CourseYardages[[Hole 1]:[Hole 18]],
  MATCH(1, (CourseYardages[Course]=C275)*(CourseYardages[Tees]=E275), 0),
  MATCH(G275, CourseYardages[[#Headers],[Hole 1]:[Hole 18]], 0)
),"")</f>
        <v>158</v>
      </c>
      <c r="J275" cm="1">
        <f t="array" ref="J275">IFERROR(INDEX(CourseHandicap[[Hole 1]:[Hole 18]],
  MATCH(1, (CourseHandicap[Course]=C275)*(CourseHandicap[Tees]=E275), 0),
  MATCH(G275, CourseHandicap[[#Headers],[Hole 1]:[Hole 18]], 0)
),"")</f>
        <v>15</v>
      </c>
      <c r="K275" cm="1">
        <f t="array" ref="K275">IFERROR(INDEX(CourseRatings[[Hole 1]:[Hole 18]],
  MATCH(1, (CourseRatings[Course]=C275)*(CourseRatings[Tees]=E275), 0),
  MATCH(G275, CourseRatings[[#Headers],[Hole 1]:[Hole 18]], 0)
),"")</f>
        <v>3</v>
      </c>
      <c r="L275" cm="1">
        <f t="array" ref="L275">IFERROR(
  INDEX('Golf Log'!$E$2:$V$72,
    MATCH(1,
      ('Golf Log'!$A$2:$A$72=$A275)*
      ('Golf Log'!$B$2:$B$72=$B275)*
      ('Golf Log'!$C$2:$C$72=$C275),
    0),
    MATCH($G275,'Golf Log'!$E$1:$V$1,0)
  ),
"")</f>
        <v>3</v>
      </c>
      <c r="M275">
        <f t="shared" si="13"/>
        <v>0</v>
      </c>
      <c r="N275" t="str">
        <f t="shared" si="5"/>
        <v>Par</v>
      </c>
      <c r="O275" cm="1">
        <f t="array" ref="O275">IFERROR(
  INDEX('Putt Log'!$E$2:$V$72,
    MATCH(1,
      ('Putt Log'!$A$2:$A$72=$A275)*
      ('Putt Log'!$B$2:$B$72=$B275)*
      ('Putt Log'!$C$2:$C$72=$C275),
    0),
    MATCH($G275,'Putt Log'!$E$1:$V$1,0)
  ),
"")</f>
        <v>1</v>
      </c>
      <c r="P275" t="str" cm="1">
        <f t="array" ref="P275">IF(K275=3,"",
  IFERROR(
    INDEX('Fairway Log'!$E$2:$V$72,
      MATCH(1,
        ('Fairway Log'!$A$2:$A$72=$A275)*
        ('Fairway Log'!$B$2:$B$72=$B275)*
        ('Fairway Log'!$C$2:$C346=$C275),
      0),
      MATCH($G275,'Fairway Log'!$E$1:$V$1,0)
    ),
  "")
)</f>
        <v/>
      </c>
      <c r="Q275" t="str" cm="1">
        <f t="array" ref="Q275">IFERROR(
  INDEX('GIR Log'!$E$2:$V$72,
    MATCH(1,
      ('GIR Log'!$A$2:$A$72=$A275)*
      ('GIR Log'!$B$2:$B$72=$B275)*
      ('GIR Log'!$C$2:$C$72=$C275),
    0),
    MATCH($G275,'GIR Log'!$E$1:$V$1,0)
  ),
"")</f>
        <v>←</v>
      </c>
    </row>
    <row r="276" spans="1:17" x14ac:dyDescent="0.25">
      <c r="A276" s="20" t="s">
        <v>126</v>
      </c>
      <c r="B276" s="2">
        <v>45466</v>
      </c>
      <c r="C276" t="s">
        <v>10</v>
      </c>
      <c r="D276" t="s">
        <v>10</v>
      </c>
      <c r="E276" t="s">
        <v>36</v>
      </c>
      <c r="F276">
        <v>81</v>
      </c>
      <c r="G276" t="s">
        <v>51</v>
      </c>
      <c r="H276" s="9">
        <f t="shared" si="14"/>
        <v>5</v>
      </c>
      <c r="I276" cm="1">
        <f t="array" ref="I276">IFERROR(INDEX(CourseYardages[[Hole 1]:[Hole 18]],
  MATCH(1, (CourseYardages[Course]=C276)*(CourseYardages[Tees]=E276), 0),
  MATCH(G276, CourseYardages[[#Headers],[Hole 1]:[Hole 18]], 0)
),"")</f>
        <v>510</v>
      </c>
      <c r="J276" cm="1">
        <f t="array" ref="J276">IFERROR(INDEX(CourseHandicap[[Hole 1]:[Hole 18]],
  MATCH(1, (CourseHandicap[Course]=C276)*(CourseHandicap[Tees]=E276), 0),
  MATCH(G276, CourseHandicap[[#Headers],[Hole 1]:[Hole 18]], 0)
),"")</f>
        <v>5</v>
      </c>
      <c r="K276" cm="1">
        <f t="array" ref="K276">IFERROR(INDEX(CourseRatings[[Hole 1]:[Hole 18]],
  MATCH(1, (CourseRatings[Course]=C276)*(CourseRatings[Tees]=E276), 0),
  MATCH(G276, CourseRatings[[#Headers],[Hole 1]:[Hole 18]], 0)
),"")</f>
        <v>5</v>
      </c>
      <c r="L276" cm="1">
        <f t="array" ref="L276">IFERROR(
  INDEX('Golf Log'!$E$2:$V$72,
    MATCH(1,
      ('Golf Log'!$A$2:$A$72=$A276)*
      ('Golf Log'!$B$2:$B$72=$B276)*
      ('Golf Log'!$C$2:$C$72=$C276),
    0),
    MATCH($G276,'Golf Log'!$E$1:$V$1,0)
  ),
"")</f>
        <v>5</v>
      </c>
      <c r="M276">
        <f t="shared" si="13"/>
        <v>0</v>
      </c>
      <c r="N276" t="str">
        <f t="shared" si="5"/>
        <v>Par</v>
      </c>
      <c r="O276" cm="1">
        <f t="array" ref="O276">IFERROR(
  INDEX('Putt Log'!$E$2:$V$72,
    MATCH(1,
      ('Putt Log'!$A$2:$A$72=$A276)*
      ('Putt Log'!$B$2:$B$72=$B276)*
      ('Putt Log'!$C$2:$C$72=$C276),
    0),
    MATCH($G276,'Putt Log'!$E$1:$V$1,0)
  ),
"")</f>
        <v>1</v>
      </c>
      <c r="P276" t="str" cm="1">
        <f t="array" ref="P276">IF(K276=3,"",
  IFERROR(
    INDEX('Fairway Log'!$E$2:$V$72,
      MATCH(1,
        ('Fairway Log'!$A$2:$A$72=$A276)*
        ('Fairway Log'!$B$2:$B$72=$B276)*
        ('Fairway Log'!$C$2:$C347=$C276),
      0),
      MATCH($G276,'Fairway Log'!$E$1:$V$1,0)
    ),
  "")
)</f>
        <v>←</v>
      </c>
      <c r="Q276" t="str" cm="1">
        <f t="array" ref="Q276">IFERROR(
  INDEX('GIR Log'!$E$2:$V$72,
    MATCH(1,
      ('GIR Log'!$A$2:$A$72=$A276)*
      ('GIR Log'!$B$2:$B$72=$B276)*
      ('GIR Log'!$C$2:$C$72=$C276),
    0),
    MATCH($G276,'GIR Log'!$E$1:$V$1,0)
  ),
"")</f>
        <v>↑</v>
      </c>
    </row>
    <row r="277" spans="1:17" x14ac:dyDescent="0.25">
      <c r="A277" s="20" t="s">
        <v>126</v>
      </c>
      <c r="B277" s="2">
        <v>45466</v>
      </c>
      <c r="C277" t="s">
        <v>10</v>
      </c>
      <c r="D277" t="s">
        <v>10</v>
      </c>
      <c r="E277" t="s">
        <v>36</v>
      </c>
      <c r="F277">
        <v>81</v>
      </c>
      <c r="G277" t="s">
        <v>52</v>
      </c>
      <c r="H277" s="9">
        <f t="shared" si="14"/>
        <v>6</v>
      </c>
      <c r="I277" cm="1">
        <f t="array" ref="I277">IFERROR(INDEX(CourseYardages[[Hole 1]:[Hole 18]],
  MATCH(1, (CourseYardages[Course]=C277)*(CourseYardages[Tees]=E277), 0),
  MATCH(G277, CourseYardages[[#Headers],[Hole 1]:[Hole 18]], 0)
),"")</f>
        <v>337</v>
      </c>
      <c r="J277" cm="1">
        <f t="array" ref="J277">IFERROR(INDEX(CourseHandicap[[Hole 1]:[Hole 18]],
  MATCH(1, (CourseHandicap[Course]=C277)*(CourseHandicap[Tees]=E277), 0),
  MATCH(G277, CourseHandicap[[#Headers],[Hole 1]:[Hole 18]], 0)
),"")</f>
        <v>9</v>
      </c>
      <c r="K277" cm="1">
        <f t="array" ref="K277">IFERROR(INDEX(CourseRatings[[Hole 1]:[Hole 18]],
  MATCH(1, (CourseRatings[Course]=C277)*(CourseRatings[Tees]=E277), 0),
  MATCH(G277, CourseRatings[[#Headers],[Hole 1]:[Hole 18]], 0)
),"")</f>
        <v>4</v>
      </c>
      <c r="L277" cm="1">
        <f t="array" ref="L277">IFERROR(
  INDEX('Golf Log'!$E$2:$V$72,
    MATCH(1,
      ('Golf Log'!$A$2:$A$72=$A277)*
      ('Golf Log'!$B$2:$B$72=$B277)*
      ('Golf Log'!$C$2:$C$72=$C277),
    0),
    MATCH($G277,'Golf Log'!$E$1:$V$1,0)
  ),
"")</f>
        <v>6</v>
      </c>
      <c r="M277">
        <f t="shared" si="13"/>
        <v>2</v>
      </c>
      <c r="N277" t="str">
        <f t="shared" si="5"/>
        <v>Double Bogey</v>
      </c>
      <c r="O277" cm="1">
        <f t="array" ref="O277">IFERROR(
  INDEX('Putt Log'!$E$2:$V$72,
    MATCH(1,
      ('Putt Log'!$A$2:$A$72=$A277)*
      ('Putt Log'!$B$2:$B$72=$B277)*
      ('Putt Log'!$C$2:$C$72=$C277),
    0),
    MATCH($G277,'Putt Log'!$E$1:$V$1,0)
  ),
"")</f>
        <v>2</v>
      </c>
      <c r="P277" cm="1">
        <f t="array" ref="P277">IF(K277=3,"",
  IFERROR(
    INDEX('Fairway Log'!$E$2:$V$72,
      MATCH(1,
        ('Fairway Log'!$A$2:$A$72=$A277)*
        ('Fairway Log'!$B$2:$B$72=$B277)*
        ('Fairway Log'!$C$2:$C348=$C277),
      0),
      MATCH($G277,'Fairway Log'!$E$1:$V$1,0)
    ),
  "")
)</f>
        <v>1</v>
      </c>
      <c r="Q277" t="str" cm="1">
        <f t="array" ref="Q277">IFERROR(
  INDEX('GIR Log'!$E$2:$V$72,
    MATCH(1,
      ('GIR Log'!$A$2:$A$72=$A277)*
      ('GIR Log'!$B$2:$B$72=$B277)*
      ('GIR Log'!$C$2:$C$72=$C277),
    0),
    MATCH($G277,'GIR Log'!$E$1:$V$1,0)
  ),
"")</f>
        <v>↓</v>
      </c>
    </row>
    <row r="278" spans="1:17" x14ac:dyDescent="0.25">
      <c r="A278" s="20" t="s">
        <v>126</v>
      </c>
      <c r="B278" s="2">
        <v>45466</v>
      </c>
      <c r="C278" t="s">
        <v>10</v>
      </c>
      <c r="D278" t="s">
        <v>10</v>
      </c>
      <c r="E278" t="s">
        <v>36</v>
      </c>
      <c r="F278">
        <v>81</v>
      </c>
      <c r="G278" t="s">
        <v>53</v>
      </c>
      <c r="H278" s="9">
        <f t="shared" si="14"/>
        <v>7</v>
      </c>
      <c r="I278" cm="1">
        <f t="array" ref="I278">IFERROR(INDEX(CourseYardages[[Hole 1]:[Hole 18]],
  MATCH(1, (CourseYardages[Course]=C278)*(CourseYardages[Tees]=E278), 0),
  MATCH(G278, CourseYardages[[#Headers],[Hole 1]:[Hole 18]], 0)
),"")</f>
        <v>154</v>
      </c>
      <c r="J278" cm="1">
        <f t="array" ref="J278">IFERROR(INDEX(CourseHandicap[[Hole 1]:[Hole 18]],
  MATCH(1, (CourseHandicap[Course]=C278)*(CourseHandicap[Tees]=E278), 0),
  MATCH(G278, CourseHandicap[[#Headers],[Hole 1]:[Hole 18]], 0)
),"")</f>
        <v>17</v>
      </c>
      <c r="K278" cm="1">
        <f t="array" ref="K278">IFERROR(INDEX(CourseRatings[[Hole 1]:[Hole 18]],
  MATCH(1, (CourseRatings[Course]=C278)*(CourseRatings[Tees]=E278), 0),
  MATCH(G278, CourseRatings[[#Headers],[Hole 1]:[Hole 18]], 0)
),"")</f>
        <v>3</v>
      </c>
      <c r="L278" cm="1">
        <f t="array" ref="L278">IFERROR(
  INDEX('Golf Log'!$E$2:$V$72,
    MATCH(1,
      ('Golf Log'!$A$2:$A$72=$A278)*
      ('Golf Log'!$B$2:$B$72=$B278)*
      ('Golf Log'!$C$2:$C$72=$C278),
    0),
    MATCH($G278,'Golf Log'!$E$1:$V$1,0)
  ),
"")</f>
        <v>4</v>
      </c>
      <c r="M278">
        <f t="shared" si="13"/>
        <v>1</v>
      </c>
      <c r="N278" t="str">
        <f t="shared" si="5"/>
        <v>Bogey</v>
      </c>
      <c r="O278" cm="1">
        <f t="array" ref="O278">IFERROR(
  INDEX('Putt Log'!$E$2:$V$72,
    MATCH(1,
      ('Putt Log'!$A$2:$A$72=$A278)*
      ('Putt Log'!$B$2:$B$72=$B278)*
      ('Putt Log'!$C$2:$C$72=$C278),
    0),
    MATCH($G278,'Putt Log'!$E$1:$V$1,0)
  ),
"")</f>
        <v>2</v>
      </c>
      <c r="P278" t="str" cm="1">
        <f t="array" ref="P278">IF(K278=3,"",
  IFERROR(
    INDEX('Fairway Log'!$E$2:$V$72,
      MATCH(1,
        ('Fairway Log'!$A$2:$A$72=$A278)*
        ('Fairway Log'!$B$2:$B$72=$B278)*
        ('Fairway Log'!$C$2:$C349=$C278),
      0),
      MATCH($G278,'Fairway Log'!$E$1:$V$1,0)
    ),
  "")
)</f>
        <v/>
      </c>
      <c r="Q278" t="str" cm="1">
        <f t="array" ref="Q278">IFERROR(
  INDEX('GIR Log'!$E$2:$V$72,
    MATCH(1,
      ('GIR Log'!$A$2:$A$72=$A278)*
      ('GIR Log'!$B$2:$B$72=$B278)*
      ('GIR Log'!$C$2:$C$72=$C278),
    0),
    MATCH($G278,'GIR Log'!$E$1:$V$1,0)
  ),
"")</f>
        <v>←</v>
      </c>
    </row>
    <row r="279" spans="1:17" x14ac:dyDescent="0.25">
      <c r="A279" s="20" t="s">
        <v>126</v>
      </c>
      <c r="B279" s="2">
        <v>45466</v>
      </c>
      <c r="C279" t="s">
        <v>10</v>
      </c>
      <c r="D279" t="s">
        <v>10</v>
      </c>
      <c r="E279" t="s">
        <v>36</v>
      </c>
      <c r="F279">
        <v>81</v>
      </c>
      <c r="G279" t="s">
        <v>54</v>
      </c>
      <c r="H279" s="9">
        <f t="shared" si="14"/>
        <v>8</v>
      </c>
      <c r="I279" cm="1">
        <f t="array" ref="I279">IFERROR(INDEX(CourseYardages[[Hole 1]:[Hole 18]],
  MATCH(1, (CourseYardages[Course]=C279)*(CourseYardages[Tees]=E279), 0),
  MATCH(G279, CourseYardages[[#Headers],[Hole 1]:[Hole 18]], 0)
),"")</f>
        <v>378</v>
      </c>
      <c r="J279" cm="1">
        <f t="array" ref="J279">IFERROR(INDEX(CourseHandicap[[Hole 1]:[Hole 18]],
  MATCH(1, (CourseHandicap[Course]=C279)*(CourseHandicap[Tees]=E279), 0),
  MATCH(G279, CourseHandicap[[#Headers],[Hole 1]:[Hole 18]], 0)
),"")</f>
        <v>13</v>
      </c>
      <c r="K279" cm="1">
        <f t="array" ref="K279">IFERROR(INDEX(CourseRatings[[Hole 1]:[Hole 18]],
  MATCH(1, (CourseRatings[Course]=C279)*(CourseRatings[Tees]=E279), 0),
  MATCH(G279, CourseRatings[[#Headers],[Hole 1]:[Hole 18]], 0)
),"")</f>
        <v>4</v>
      </c>
      <c r="L279" cm="1">
        <f t="array" ref="L279">IFERROR(
  INDEX('Golf Log'!$E$2:$V$72,
    MATCH(1,
      ('Golf Log'!$A$2:$A$72=$A279)*
      ('Golf Log'!$B$2:$B$72=$B279)*
      ('Golf Log'!$C$2:$C$72=$C279),
    0),
    MATCH($G279,'Golf Log'!$E$1:$V$1,0)
  ),
"")</f>
        <v>5</v>
      </c>
      <c r="M279">
        <f t="shared" si="13"/>
        <v>1</v>
      </c>
      <c r="N279" t="str">
        <f t="shared" si="5"/>
        <v>Bogey</v>
      </c>
      <c r="O279" cm="1">
        <f t="array" ref="O279">IFERROR(
  INDEX('Putt Log'!$E$2:$V$72,
    MATCH(1,
      ('Putt Log'!$A$2:$A$72=$A279)*
      ('Putt Log'!$B$2:$B$72=$B279)*
      ('Putt Log'!$C$2:$C$72=$C279),
    0),
    MATCH($G279,'Putt Log'!$E$1:$V$1,0)
  ),
"")</f>
        <v>2</v>
      </c>
      <c r="P279" cm="1">
        <f t="array" ref="P279">IF(K279=3,"",
  IFERROR(
    INDEX('Fairway Log'!$E$2:$V$72,
      MATCH(1,
        ('Fairway Log'!$A$2:$A$72=$A279)*
        ('Fairway Log'!$B$2:$B$72=$B279)*
        ('Fairway Log'!$C$2:$C350=$C279),
      0),
      MATCH($G279,'Fairway Log'!$E$1:$V$1,0)
    ),
  "")
)</f>
        <v>1</v>
      </c>
      <c r="Q279" t="str" cm="1">
        <f t="array" ref="Q279">IFERROR(
  INDEX('GIR Log'!$E$2:$V$72,
    MATCH(1,
      ('GIR Log'!$A$2:$A$72=$A279)*
      ('GIR Log'!$B$2:$B$72=$B279)*
      ('GIR Log'!$C$2:$C$72=$C279),
    0),
    MATCH($G279,'GIR Log'!$E$1:$V$1,0)
  ),
"")</f>
        <v>↑</v>
      </c>
    </row>
    <row r="280" spans="1:17" x14ac:dyDescent="0.25">
      <c r="A280" s="20" t="s">
        <v>126</v>
      </c>
      <c r="B280" s="2">
        <v>45466</v>
      </c>
      <c r="C280" t="s">
        <v>10</v>
      </c>
      <c r="D280" t="s">
        <v>10</v>
      </c>
      <c r="E280" t="s">
        <v>36</v>
      </c>
      <c r="F280">
        <v>81</v>
      </c>
      <c r="G280" t="s">
        <v>55</v>
      </c>
      <c r="H280" s="9">
        <f t="shared" si="14"/>
        <v>9</v>
      </c>
      <c r="I280" cm="1">
        <f t="array" ref="I280">IFERROR(INDEX(CourseYardages[[Hole 1]:[Hole 18]],
  MATCH(1, (CourseYardages[Course]=C280)*(CourseYardages[Tees]=E280), 0),
  MATCH(G280, CourseYardages[[#Headers],[Hole 1]:[Hole 18]], 0)
),"")</f>
        <v>449</v>
      </c>
      <c r="J280" cm="1">
        <f t="array" ref="J280">IFERROR(INDEX(CourseHandicap[[Hole 1]:[Hole 18]],
  MATCH(1, (CourseHandicap[Course]=C280)*(CourseHandicap[Tees]=E280), 0),
  MATCH(G280, CourseHandicap[[#Headers],[Hole 1]:[Hole 18]], 0)
),"")</f>
        <v>1</v>
      </c>
      <c r="K280" cm="1">
        <f t="array" ref="K280">IFERROR(INDEX(CourseRatings[[Hole 1]:[Hole 18]],
  MATCH(1, (CourseRatings[Course]=C280)*(CourseRatings[Tees]=E280), 0),
  MATCH(G280, CourseRatings[[#Headers],[Hole 1]:[Hole 18]], 0)
),"")</f>
        <v>4</v>
      </c>
      <c r="L280" cm="1">
        <f t="array" ref="L280">IFERROR(
  INDEX('Golf Log'!$E$2:$V$72,
    MATCH(1,
      ('Golf Log'!$A$2:$A$72=$A280)*
      ('Golf Log'!$B$2:$B$72=$B280)*
      ('Golf Log'!$C$2:$C$72=$C280),
    0),
    MATCH($G280,'Golf Log'!$E$1:$V$1,0)
  ),
"")</f>
        <v>5</v>
      </c>
      <c r="M280">
        <f t="shared" si="13"/>
        <v>1</v>
      </c>
      <c r="N280" t="str">
        <f t="shared" si="5"/>
        <v>Bogey</v>
      </c>
      <c r="O280" cm="1">
        <f t="array" ref="O280">IFERROR(
  INDEX('Putt Log'!$E$2:$V$72,
    MATCH(1,
      ('Putt Log'!$A$2:$A$72=$A280)*
      ('Putt Log'!$B$2:$B$72=$B280)*
      ('Putt Log'!$C$2:$C$72=$C280),
    0),
    MATCH($G280,'Putt Log'!$E$1:$V$1,0)
  ),
"")</f>
        <v>2</v>
      </c>
      <c r="P280" cm="1">
        <f t="array" ref="P280">IF(K280=3,"",
  IFERROR(
    INDEX('Fairway Log'!$E$2:$V$72,
      MATCH(1,
        ('Fairway Log'!$A$2:$A$72=$A280)*
        ('Fairway Log'!$B$2:$B$72=$B280)*
        ('Fairway Log'!$C$2:$C351=$C280),
      0),
      MATCH($G280,'Fairway Log'!$E$1:$V$1,0)
    ),
  "")
)</f>
        <v>1</v>
      </c>
      <c r="Q280" t="str" cm="1">
        <f t="array" ref="Q280">IFERROR(
  INDEX('GIR Log'!$E$2:$V$72,
    MATCH(1,
      ('GIR Log'!$A$2:$A$72=$A280)*
      ('GIR Log'!$B$2:$B$72=$B280)*
      ('GIR Log'!$C$2:$C$72=$C280),
    0),
    MATCH($G280,'GIR Log'!$E$1:$V$1,0)
  ),
"")</f>
        <v>↓</v>
      </c>
    </row>
    <row r="281" spans="1:17" x14ac:dyDescent="0.25">
      <c r="A281" s="20" t="s">
        <v>126</v>
      </c>
      <c r="B281" s="2">
        <v>45466</v>
      </c>
      <c r="C281" t="s">
        <v>10</v>
      </c>
      <c r="D281" t="s">
        <v>10</v>
      </c>
      <c r="E281" t="s">
        <v>36</v>
      </c>
      <c r="F281">
        <v>81</v>
      </c>
      <c r="G281" t="s">
        <v>56</v>
      </c>
      <c r="H281" s="9">
        <f t="shared" si="14"/>
        <v>10</v>
      </c>
      <c r="I281" cm="1">
        <f t="array" ref="I281">IFERROR(INDEX(CourseYardages[[Hole 1]:[Hole 18]],
  MATCH(1, (CourseYardages[Course]=C281)*(CourseYardages[Tees]=E281), 0),
  MATCH(G281, CourseYardages[[#Headers],[Hole 1]:[Hole 18]], 0)
),"")</f>
        <v>416</v>
      </c>
      <c r="J281" cm="1">
        <f t="array" ref="J281">IFERROR(INDEX(CourseHandicap[[Hole 1]:[Hole 18]],
  MATCH(1, (CourseHandicap[Course]=C281)*(CourseHandicap[Tees]=E281), 0),
  MATCH(G281, CourseHandicap[[#Headers],[Hole 1]:[Hole 18]], 0)
),"")</f>
        <v>14</v>
      </c>
      <c r="K281" cm="1">
        <f t="array" ref="K281">IFERROR(INDEX(CourseRatings[[Hole 1]:[Hole 18]],
  MATCH(1, (CourseRatings[Course]=C281)*(CourseRatings[Tees]=E281), 0),
  MATCH(G281, CourseRatings[[#Headers],[Hole 1]:[Hole 18]], 0)
),"")</f>
        <v>4</v>
      </c>
      <c r="L281" cm="1">
        <f t="array" ref="L281">IFERROR(
  INDEX('Golf Log'!$E$2:$V$72,
    MATCH(1,
      ('Golf Log'!$A$2:$A$72=$A281)*
      ('Golf Log'!$B$2:$B$72=$B281)*
      ('Golf Log'!$C$2:$C$72=$C281),
    0),
    MATCH($G281,'Golf Log'!$E$1:$V$1,0)
  ),
"")</f>
        <v>4</v>
      </c>
      <c r="M281">
        <f t="shared" si="13"/>
        <v>0</v>
      </c>
      <c r="N281" t="str">
        <f t="shared" si="5"/>
        <v>Par</v>
      </c>
      <c r="O281" cm="1">
        <f t="array" ref="O281">IFERROR(
  INDEX('Putt Log'!$E$2:$V$72,
    MATCH(1,
      ('Putt Log'!$A$2:$A$72=$A281)*
      ('Putt Log'!$B$2:$B$72=$B281)*
      ('Putt Log'!$C$2:$C$72=$C281),
    0),
    MATCH($G281,'Putt Log'!$E$1:$V$1,0)
  ),
"")</f>
        <v>1</v>
      </c>
      <c r="P281" cm="1">
        <f t="array" ref="P281">IF(K281=3,"",
  IFERROR(
    INDEX('Fairway Log'!$E$2:$V$72,
      MATCH(1,
        ('Fairway Log'!$A$2:$A$72=$A281)*
        ('Fairway Log'!$B$2:$B$72=$B281)*
        ('Fairway Log'!$C$2:$C352=$C281),
      0),
      MATCH($G281,'Fairway Log'!$E$1:$V$1,0)
    ),
  "")
)</f>
        <v>1</v>
      </c>
      <c r="Q281" t="str" cm="1">
        <f t="array" ref="Q281">IFERROR(
  INDEX('GIR Log'!$E$2:$V$72,
    MATCH(1,
      ('GIR Log'!$A$2:$A$72=$A281)*
      ('GIR Log'!$B$2:$B$72=$B281)*
      ('GIR Log'!$C$2:$C$72=$C281),
    0),
    MATCH($G281,'GIR Log'!$E$1:$V$1,0)
  ),
"")</f>
        <v>↓</v>
      </c>
    </row>
    <row r="282" spans="1:17" x14ac:dyDescent="0.25">
      <c r="A282" s="20" t="s">
        <v>126</v>
      </c>
      <c r="B282" s="2">
        <v>45466</v>
      </c>
      <c r="C282" t="s">
        <v>10</v>
      </c>
      <c r="D282" t="s">
        <v>10</v>
      </c>
      <c r="E282" t="s">
        <v>36</v>
      </c>
      <c r="F282">
        <v>81</v>
      </c>
      <c r="G282" t="s">
        <v>57</v>
      </c>
      <c r="H282" s="9">
        <f t="shared" si="14"/>
        <v>11</v>
      </c>
      <c r="I282" cm="1">
        <f t="array" ref="I282">IFERROR(INDEX(CourseYardages[[Hole 1]:[Hole 18]],
  MATCH(1, (CourseYardages[Course]=C282)*(CourseYardages[Tees]=E282), 0),
  MATCH(G282, CourseYardages[[#Headers],[Hole 1]:[Hole 18]], 0)
),"")</f>
        <v>432</v>
      </c>
      <c r="J282" cm="1">
        <f t="array" ref="J282">IFERROR(INDEX(CourseHandicap[[Hole 1]:[Hole 18]],
  MATCH(1, (CourseHandicap[Course]=C282)*(CourseHandicap[Tees]=E282), 0),
  MATCH(G282, CourseHandicap[[#Headers],[Hole 1]:[Hole 18]], 0)
),"")</f>
        <v>12</v>
      </c>
      <c r="K282" cm="1">
        <f t="array" ref="K282">IFERROR(INDEX(CourseRatings[[Hole 1]:[Hole 18]],
  MATCH(1, (CourseRatings[Course]=C282)*(CourseRatings[Tees]=E282), 0),
  MATCH(G282, CourseRatings[[#Headers],[Hole 1]:[Hole 18]], 0)
),"")</f>
        <v>4</v>
      </c>
      <c r="L282" cm="1">
        <f t="array" ref="L282">IFERROR(
  INDEX('Golf Log'!$E$2:$V$72,
    MATCH(1,
      ('Golf Log'!$A$2:$A$72=$A282)*
      ('Golf Log'!$B$2:$B$72=$B282)*
      ('Golf Log'!$C$2:$C$72=$C282),
    0),
    MATCH($G282,'Golf Log'!$E$1:$V$1,0)
  ),
"")</f>
        <v>4</v>
      </c>
      <c r="M282">
        <f t="shared" si="13"/>
        <v>0</v>
      </c>
      <c r="N282" t="str">
        <f t="shared" si="5"/>
        <v>Par</v>
      </c>
      <c r="O282" cm="1">
        <f t="array" ref="O282">IFERROR(
  INDEX('Putt Log'!$E$2:$V$72,
    MATCH(1,
      ('Putt Log'!$A$2:$A$72=$A282)*
      ('Putt Log'!$B$2:$B$72=$B282)*
      ('Putt Log'!$C$2:$C$72=$C282),
    0),
    MATCH($G282,'Putt Log'!$E$1:$V$1,0)
  ),
"")</f>
        <v>2</v>
      </c>
      <c r="P282" t="str" cm="1">
        <f t="array" ref="P282">IF(K282=3,"",
  IFERROR(
    INDEX('Fairway Log'!$E$2:$V$72,
      MATCH(1,
        ('Fairway Log'!$A$2:$A$72=$A282)*
        ('Fairway Log'!$B$2:$B$72=$B282)*
        ('Fairway Log'!$C$2:$C353=$C282),
      0),
      MATCH($G282,'Fairway Log'!$E$1:$V$1,0)
    ),
  "")
)</f>
        <v>→</v>
      </c>
      <c r="Q282" cm="1">
        <f t="array" ref="Q282">IFERROR(
  INDEX('GIR Log'!$E$2:$V$72,
    MATCH(1,
      ('GIR Log'!$A$2:$A$72=$A282)*
      ('GIR Log'!$B$2:$B$72=$B282)*
      ('GIR Log'!$C$2:$C$72=$C282),
    0),
    MATCH($G282,'GIR Log'!$E$1:$V$1,0)
  ),
"")</f>
        <v>1</v>
      </c>
    </row>
    <row r="283" spans="1:17" x14ac:dyDescent="0.25">
      <c r="A283" s="20" t="s">
        <v>126</v>
      </c>
      <c r="B283" s="2">
        <v>45466</v>
      </c>
      <c r="C283" t="s">
        <v>10</v>
      </c>
      <c r="D283" t="s">
        <v>10</v>
      </c>
      <c r="E283" t="s">
        <v>36</v>
      </c>
      <c r="F283">
        <v>81</v>
      </c>
      <c r="G283" t="s">
        <v>58</v>
      </c>
      <c r="H283" s="9">
        <f t="shared" si="14"/>
        <v>12</v>
      </c>
      <c r="I283" cm="1">
        <f t="array" ref="I283">IFERROR(INDEX(CourseYardages[[Hole 1]:[Hole 18]],
  MATCH(1, (CourseYardages[Course]=C283)*(CourseYardages[Tees]=E283), 0),
  MATCH(G283, CourseYardages[[#Headers],[Hole 1]:[Hole 18]], 0)
),"")</f>
        <v>189</v>
      </c>
      <c r="J283" cm="1">
        <f t="array" ref="J283">IFERROR(INDEX(CourseHandicap[[Hole 1]:[Hole 18]],
  MATCH(1, (CourseHandicap[Course]=C283)*(CourseHandicap[Tees]=E283), 0),
  MATCH(G283, CourseHandicap[[#Headers],[Hole 1]:[Hole 18]], 0)
),"")</f>
        <v>16</v>
      </c>
      <c r="K283" cm="1">
        <f t="array" ref="K283">IFERROR(INDEX(CourseRatings[[Hole 1]:[Hole 18]],
  MATCH(1, (CourseRatings[Course]=C283)*(CourseRatings[Tees]=E283), 0),
  MATCH(G283, CourseRatings[[#Headers],[Hole 1]:[Hole 18]], 0)
),"")</f>
        <v>3</v>
      </c>
      <c r="L283" cm="1">
        <f t="array" ref="L283">IFERROR(
  INDEX('Golf Log'!$E$2:$V$72,
    MATCH(1,
      ('Golf Log'!$A$2:$A$72=$A283)*
      ('Golf Log'!$B$2:$B$72=$B283)*
      ('Golf Log'!$C$2:$C$72=$C283),
    0),
    MATCH($G283,'Golf Log'!$E$1:$V$1,0)
  ),
"")</f>
        <v>3</v>
      </c>
      <c r="M283">
        <f t="shared" si="13"/>
        <v>0</v>
      </c>
      <c r="N283" t="str">
        <f t="shared" si="5"/>
        <v>Par</v>
      </c>
      <c r="O283" cm="1">
        <f t="array" ref="O283">IFERROR(
  INDEX('Putt Log'!$E$2:$V$72,
    MATCH(1,
      ('Putt Log'!$A$2:$A$72=$A283)*
      ('Putt Log'!$B$2:$B$72=$B283)*
      ('Putt Log'!$C$2:$C$72=$C283),
    0),
    MATCH($G283,'Putt Log'!$E$1:$V$1,0)
  ),
"")</f>
        <v>2</v>
      </c>
      <c r="P283" t="str" cm="1">
        <f t="array" ref="P283">IF(K283=3,"",
  IFERROR(
    INDEX('Fairway Log'!$E$2:$V$72,
      MATCH(1,
        ('Fairway Log'!$A$2:$A$72=$A283)*
        ('Fairway Log'!$B$2:$B$72=$B283)*
        ('Fairway Log'!$C$2:$C354=$C283),
      0),
      MATCH($G283,'Fairway Log'!$E$1:$V$1,0)
    ),
  "")
)</f>
        <v/>
      </c>
      <c r="Q283" cm="1">
        <f t="array" ref="Q283">IFERROR(
  INDEX('GIR Log'!$E$2:$V$72,
    MATCH(1,
      ('GIR Log'!$A$2:$A$72=$A283)*
      ('GIR Log'!$B$2:$B$72=$B283)*
      ('GIR Log'!$C$2:$C$72=$C283),
    0),
    MATCH($G283,'GIR Log'!$E$1:$V$1,0)
  ),
"")</f>
        <v>1</v>
      </c>
    </row>
    <row r="284" spans="1:17" x14ac:dyDescent="0.25">
      <c r="A284" s="20" t="s">
        <v>126</v>
      </c>
      <c r="B284" s="2">
        <v>45466</v>
      </c>
      <c r="C284" t="s">
        <v>10</v>
      </c>
      <c r="D284" t="s">
        <v>10</v>
      </c>
      <c r="E284" t="s">
        <v>36</v>
      </c>
      <c r="F284">
        <v>81</v>
      </c>
      <c r="G284" t="s">
        <v>59</v>
      </c>
      <c r="H284" s="9">
        <f t="shared" si="14"/>
        <v>13</v>
      </c>
      <c r="I284" cm="1">
        <f t="array" ref="I284">IFERROR(INDEX(CourseYardages[[Hole 1]:[Hole 18]],
  MATCH(1, (CourseYardages[Course]=C284)*(CourseYardages[Tees]=E284), 0),
  MATCH(G284, CourseYardages[[#Headers],[Hole 1]:[Hole 18]], 0)
),"")</f>
        <v>385</v>
      </c>
      <c r="J284" cm="1">
        <f t="array" ref="J284">IFERROR(INDEX(CourseHandicap[[Hole 1]:[Hole 18]],
  MATCH(1, (CourseHandicap[Course]=C284)*(CourseHandicap[Tees]=E284), 0),
  MATCH(G284, CourseHandicap[[#Headers],[Hole 1]:[Hole 18]], 0)
),"")</f>
        <v>6</v>
      </c>
      <c r="K284" cm="1">
        <f t="array" ref="K284">IFERROR(INDEX(CourseRatings[[Hole 1]:[Hole 18]],
  MATCH(1, (CourseRatings[Course]=C284)*(CourseRatings[Tees]=E284), 0),
  MATCH(G284, CourseRatings[[#Headers],[Hole 1]:[Hole 18]], 0)
),"")</f>
        <v>4</v>
      </c>
      <c r="L284" cm="1">
        <f t="array" ref="L284">IFERROR(
  INDEX('Golf Log'!$E$2:$V$72,
    MATCH(1,
      ('Golf Log'!$A$2:$A$72=$A284)*
      ('Golf Log'!$B$2:$B$72=$B284)*
      ('Golf Log'!$C$2:$C$72=$C284),
    0),
    MATCH($G284,'Golf Log'!$E$1:$V$1,0)
  ),
"")</f>
        <v>5</v>
      </c>
      <c r="M284">
        <f t="shared" si="13"/>
        <v>1</v>
      </c>
      <c r="N284" t="str">
        <f t="shared" si="5"/>
        <v>Bogey</v>
      </c>
      <c r="O284" cm="1">
        <f t="array" ref="O284">IFERROR(
  INDEX('Putt Log'!$E$2:$V$72,
    MATCH(1,
      ('Putt Log'!$A$2:$A$72=$A284)*
      ('Putt Log'!$B$2:$B$72=$B284)*
      ('Putt Log'!$C$2:$C$72=$C284),
    0),
    MATCH($G284,'Putt Log'!$E$1:$V$1,0)
  ),
"")</f>
        <v>2</v>
      </c>
      <c r="P284" t="str" cm="1">
        <f t="array" ref="P284">IF(K284=3,"",
  IFERROR(
    INDEX('Fairway Log'!$E$2:$V$72,
      MATCH(1,
        ('Fairway Log'!$A$2:$A$72=$A284)*
        ('Fairway Log'!$B$2:$B$72=$B284)*
        ('Fairway Log'!$C$2:$C355=$C284),
      0),
      MATCH($G284,'Fairway Log'!$E$1:$V$1,0)
    ),
  "")
)</f>
        <v>←</v>
      </c>
      <c r="Q284" t="str" cm="1">
        <f t="array" ref="Q284">IFERROR(
  INDEX('GIR Log'!$E$2:$V$72,
    MATCH(1,
      ('GIR Log'!$A$2:$A$72=$A284)*
      ('GIR Log'!$B$2:$B$72=$B284)*
      ('GIR Log'!$C$2:$C$72=$C284),
    0),
    MATCH($G284,'GIR Log'!$E$1:$V$1,0)
  ),
"")</f>
        <v>←</v>
      </c>
    </row>
    <row r="285" spans="1:17" x14ac:dyDescent="0.25">
      <c r="A285" s="20" t="s">
        <v>126</v>
      </c>
      <c r="B285" s="2">
        <v>45466</v>
      </c>
      <c r="C285" t="s">
        <v>10</v>
      </c>
      <c r="D285" t="s">
        <v>10</v>
      </c>
      <c r="E285" t="s">
        <v>36</v>
      </c>
      <c r="F285">
        <v>81</v>
      </c>
      <c r="G285" t="s">
        <v>60</v>
      </c>
      <c r="H285" s="9">
        <f t="shared" si="14"/>
        <v>14</v>
      </c>
      <c r="I285" cm="1">
        <f t="array" ref="I285">IFERROR(INDEX(CourseYardages[[Hole 1]:[Hole 18]],
  MATCH(1, (CourseYardages[Course]=C285)*(CourseYardages[Tees]=E285), 0),
  MATCH(G285, CourseYardages[[#Headers],[Hole 1]:[Hole 18]], 0)
),"")</f>
        <v>421</v>
      </c>
      <c r="J285" cm="1">
        <f t="array" ref="J285">IFERROR(INDEX(CourseHandicap[[Hole 1]:[Hole 18]],
  MATCH(1, (CourseHandicap[Course]=C285)*(CourseHandicap[Tees]=E285), 0),
  MATCH(G285, CourseHandicap[[#Headers],[Hole 1]:[Hole 18]], 0)
),"")</f>
        <v>4</v>
      </c>
      <c r="K285" cm="1">
        <f t="array" ref="K285">IFERROR(INDEX(CourseRatings[[Hole 1]:[Hole 18]],
  MATCH(1, (CourseRatings[Course]=C285)*(CourseRatings[Tees]=E285), 0),
  MATCH(G285, CourseRatings[[#Headers],[Hole 1]:[Hole 18]], 0)
),"")</f>
        <v>4</v>
      </c>
      <c r="L285" cm="1">
        <f t="array" ref="L285">IFERROR(
  INDEX('Golf Log'!$E$2:$V$72,
    MATCH(1,
      ('Golf Log'!$A$2:$A$72=$A285)*
      ('Golf Log'!$B$2:$B$72=$B285)*
      ('Golf Log'!$C$2:$C$72=$C285),
    0),
    MATCH($G285,'Golf Log'!$E$1:$V$1,0)
  ),
"")</f>
        <v>5</v>
      </c>
      <c r="M285">
        <f t="shared" si="13"/>
        <v>1</v>
      </c>
      <c r="N285" t="str">
        <f t="shared" si="5"/>
        <v>Bogey</v>
      </c>
      <c r="O285" cm="1">
        <f t="array" ref="O285">IFERROR(
  INDEX('Putt Log'!$E$2:$V$72,
    MATCH(1,
      ('Putt Log'!$A$2:$A$72=$A285)*
      ('Putt Log'!$B$2:$B$72=$B285)*
      ('Putt Log'!$C$2:$C$72=$C285),
    0),
    MATCH($G285,'Putt Log'!$E$1:$V$1,0)
  ),
"")</f>
        <v>2</v>
      </c>
      <c r="P285" t="str" cm="1">
        <f t="array" ref="P285">IF(K285=3,"",
  IFERROR(
    INDEX('Fairway Log'!$E$2:$V$72,
      MATCH(1,
        ('Fairway Log'!$A$2:$A$72=$A285)*
        ('Fairway Log'!$B$2:$B$72=$B285)*
        ('Fairway Log'!$C$2:$C356=$C285),
      0),
      MATCH($G285,'Fairway Log'!$E$1:$V$1,0)
    ),
  "")
)</f>
        <v>←</v>
      </c>
      <c r="Q285" t="str" cm="1">
        <f t="array" ref="Q285">IFERROR(
  INDEX('GIR Log'!$E$2:$V$72,
    MATCH(1,
      ('GIR Log'!$A$2:$A$72=$A285)*
      ('GIR Log'!$B$2:$B$72=$B285)*
      ('GIR Log'!$C$2:$C$72=$C285),
    0),
    MATCH($G285,'GIR Log'!$E$1:$V$1,0)
  ),
"")</f>
        <v>↓</v>
      </c>
    </row>
    <row r="286" spans="1:17" x14ac:dyDescent="0.25">
      <c r="A286" s="20" t="s">
        <v>126</v>
      </c>
      <c r="B286" s="2">
        <v>45466</v>
      </c>
      <c r="C286" t="s">
        <v>10</v>
      </c>
      <c r="D286" t="s">
        <v>10</v>
      </c>
      <c r="E286" t="s">
        <v>36</v>
      </c>
      <c r="F286">
        <v>81</v>
      </c>
      <c r="G286" t="s">
        <v>61</v>
      </c>
      <c r="H286" s="9">
        <f t="shared" si="14"/>
        <v>15</v>
      </c>
      <c r="I286" cm="1">
        <f t="array" ref="I286">IFERROR(INDEX(CourseYardages[[Hole 1]:[Hole 18]],
  MATCH(1, (CourseYardages[Course]=C286)*(CourseYardages[Tees]=E286), 0),
  MATCH(G286, CourseYardages[[#Headers],[Hole 1]:[Hole 18]], 0)
),"")</f>
        <v>438</v>
      </c>
      <c r="J286" cm="1">
        <f t="array" ref="J286">IFERROR(INDEX(CourseHandicap[[Hole 1]:[Hole 18]],
  MATCH(1, (CourseHandicap[Course]=C286)*(CourseHandicap[Tees]=E286), 0),
  MATCH(G286, CourseHandicap[[#Headers],[Hole 1]:[Hole 18]], 0)
),"")</f>
        <v>2</v>
      </c>
      <c r="K286" cm="1">
        <f t="array" ref="K286">IFERROR(INDEX(CourseRatings[[Hole 1]:[Hole 18]],
  MATCH(1, (CourseRatings[Course]=C286)*(CourseRatings[Tees]=E286), 0),
  MATCH(G286, CourseRatings[[#Headers],[Hole 1]:[Hole 18]], 0)
),"")</f>
        <v>4</v>
      </c>
      <c r="L286" cm="1">
        <f t="array" ref="L286">IFERROR(
  INDEX('Golf Log'!$E$2:$V$72,
    MATCH(1,
      ('Golf Log'!$A$2:$A$72=$A286)*
      ('Golf Log'!$B$2:$B$72=$B286)*
      ('Golf Log'!$C$2:$C$72=$C286),
    0),
    MATCH($G286,'Golf Log'!$E$1:$V$1,0)
  ),
"")</f>
        <v>5</v>
      </c>
      <c r="M286">
        <f t="shared" si="13"/>
        <v>1</v>
      </c>
      <c r="N286" t="str">
        <f t="shared" si="5"/>
        <v>Bogey</v>
      </c>
      <c r="O286" cm="1">
        <f t="array" ref="O286">IFERROR(
  INDEX('Putt Log'!$E$2:$V$72,
    MATCH(1,
      ('Putt Log'!$A$2:$A$72=$A286)*
      ('Putt Log'!$B$2:$B$72=$B286)*
      ('Putt Log'!$C$2:$C$72=$C286),
    0),
    MATCH($G286,'Putt Log'!$E$1:$V$1,0)
  ),
"")</f>
        <v>1</v>
      </c>
      <c r="P286" t="str" cm="1">
        <f t="array" ref="P286">IF(K286=3,"",
  IFERROR(
    INDEX('Fairway Log'!$E$2:$V$72,
      MATCH(1,
        ('Fairway Log'!$A$2:$A$72=$A286)*
        ('Fairway Log'!$B$2:$B$72=$B286)*
        ('Fairway Log'!$C$2:$C357=$C286),
      0),
      MATCH($G286,'Fairway Log'!$E$1:$V$1,0)
    ),
  "")
)</f>
        <v>→</v>
      </c>
      <c r="Q286" t="str" cm="1">
        <f t="array" ref="Q286">IFERROR(
  INDEX('GIR Log'!$E$2:$V$72,
    MATCH(1,
      ('GIR Log'!$A$2:$A$72=$A286)*
      ('GIR Log'!$B$2:$B$72=$B286)*
      ('GIR Log'!$C$2:$C$72=$C286),
    0),
    MATCH($G286,'GIR Log'!$E$1:$V$1,0)
  ),
"")</f>
        <v>↓</v>
      </c>
    </row>
    <row r="287" spans="1:17" x14ac:dyDescent="0.25">
      <c r="A287" s="20" t="s">
        <v>126</v>
      </c>
      <c r="B287" s="2">
        <v>45466</v>
      </c>
      <c r="C287" t="s">
        <v>10</v>
      </c>
      <c r="D287" t="s">
        <v>10</v>
      </c>
      <c r="E287" t="s">
        <v>36</v>
      </c>
      <c r="F287">
        <v>81</v>
      </c>
      <c r="G287" t="s">
        <v>62</v>
      </c>
      <c r="H287" s="9">
        <f t="shared" si="14"/>
        <v>16</v>
      </c>
      <c r="I287" cm="1">
        <f t="array" ref="I287">IFERROR(INDEX(CourseYardages[[Hole 1]:[Hole 18]],
  MATCH(1, (CourseYardages[Course]=C287)*(CourseYardages[Tees]=E287), 0),
  MATCH(G287, CourseYardages[[#Headers],[Hole 1]:[Hole 18]], 0)
),"")</f>
        <v>535</v>
      </c>
      <c r="J287" cm="1">
        <f t="array" ref="J287">IFERROR(INDEX(CourseHandicap[[Hole 1]:[Hole 18]],
  MATCH(1, (CourseHandicap[Course]=C287)*(CourseHandicap[Tees]=E287), 0),
  MATCH(G287, CourseHandicap[[#Headers],[Hole 1]:[Hole 18]], 0)
),"")</f>
        <v>8</v>
      </c>
      <c r="K287" cm="1">
        <f t="array" ref="K287">IFERROR(INDEX(CourseRatings[[Hole 1]:[Hole 18]],
  MATCH(1, (CourseRatings[Course]=C287)*(CourseRatings[Tees]=E287), 0),
  MATCH(G287, CourseRatings[[#Headers],[Hole 1]:[Hole 18]], 0)
),"")</f>
        <v>5</v>
      </c>
      <c r="L287" cm="1">
        <f t="array" ref="L287">IFERROR(
  INDEX('Golf Log'!$E$2:$V$72,
    MATCH(1,
      ('Golf Log'!$A$2:$A$72=$A287)*
      ('Golf Log'!$B$2:$B$72=$B287)*
      ('Golf Log'!$C$2:$C$72=$C287),
    0),
    MATCH($G287,'Golf Log'!$E$1:$V$1,0)
  ),
"")</f>
        <v>5</v>
      </c>
      <c r="M287">
        <f t="shared" si="13"/>
        <v>0</v>
      </c>
      <c r="N287" t="str">
        <f t="shared" si="5"/>
        <v>Par</v>
      </c>
      <c r="O287" cm="1">
        <f t="array" ref="O287">IFERROR(
  INDEX('Putt Log'!$E$2:$V$72,
    MATCH(1,
      ('Putt Log'!$A$2:$A$72=$A287)*
      ('Putt Log'!$B$2:$B$72=$B287)*
      ('Putt Log'!$C$2:$C$72=$C287),
    0),
    MATCH($G287,'Putt Log'!$E$1:$V$1,0)
  ),
"")</f>
        <v>1</v>
      </c>
      <c r="P287" cm="1">
        <f t="array" ref="P287">IF(K287=3,"",
  IFERROR(
    INDEX('Fairway Log'!$E$2:$V$72,
      MATCH(1,
        ('Fairway Log'!$A$2:$A$72=$A287)*
        ('Fairway Log'!$B$2:$B$72=$B287)*
        ('Fairway Log'!$C$2:$C358=$C287),
      0),
      MATCH($G287,'Fairway Log'!$E$1:$V$1,0)
    ),
  "")
)</f>
        <v>1</v>
      </c>
      <c r="Q287" t="str" cm="1">
        <f t="array" ref="Q287">IFERROR(
  INDEX('GIR Log'!$E$2:$V$72,
    MATCH(1,
      ('GIR Log'!$A$2:$A$72=$A287)*
      ('GIR Log'!$B$2:$B$72=$B287)*
      ('GIR Log'!$C$2:$C$72=$C287),
    0),
    MATCH($G287,'GIR Log'!$E$1:$V$1,0)
  ),
"")</f>
        <v>↓</v>
      </c>
    </row>
    <row r="288" spans="1:17" x14ac:dyDescent="0.25">
      <c r="A288" s="20" t="s">
        <v>126</v>
      </c>
      <c r="B288" s="2">
        <v>45466</v>
      </c>
      <c r="C288" t="s">
        <v>10</v>
      </c>
      <c r="D288" t="s">
        <v>10</v>
      </c>
      <c r="E288" t="s">
        <v>36</v>
      </c>
      <c r="F288">
        <v>81</v>
      </c>
      <c r="G288" t="s">
        <v>63</v>
      </c>
      <c r="H288" s="9">
        <f t="shared" si="14"/>
        <v>17</v>
      </c>
      <c r="I288" cm="1">
        <f t="array" ref="I288">IFERROR(INDEX(CourseYardages[[Hole 1]:[Hole 18]],
  MATCH(1, (CourseYardages[Course]=C288)*(CourseYardages[Tees]=E288), 0),
  MATCH(G288, CourseYardages[[#Headers],[Hole 1]:[Hole 18]], 0)
),"")</f>
        <v>153</v>
      </c>
      <c r="J288" cm="1">
        <f t="array" ref="J288">IFERROR(INDEX(CourseHandicap[[Hole 1]:[Hole 18]],
  MATCH(1, (CourseHandicap[Course]=C288)*(CourseHandicap[Tees]=E288), 0),
  MATCH(G288, CourseHandicap[[#Headers],[Hole 1]:[Hole 18]], 0)
),"")</f>
        <v>18</v>
      </c>
      <c r="K288" cm="1">
        <f t="array" ref="K288">IFERROR(INDEX(CourseRatings[[Hole 1]:[Hole 18]],
  MATCH(1, (CourseRatings[Course]=C288)*(CourseRatings[Tees]=E288), 0),
  MATCH(G288, CourseRatings[[#Headers],[Hole 1]:[Hole 18]], 0)
),"")</f>
        <v>3</v>
      </c>
      <c r="L288" cm="1">
        <f t="array" ref="L288">IFERROR(
  INDEX('Golf Log'!$E$2:$V$72,
    MATCH(1,
      ('Golf Log'!$A$2:$A$72=$A288)*
      ('Golf Log'!$B$2:$B$72=$B288)*
      ('Golf Log'!$C$2:$C$72=$C288),
    0),
    MATCH($G288,'Golf Log'!$E$1:$V$1,0)
  ),
"")</f>
        <v>3</v>
      </c>
      <c r="M288">
        <f t="shared" si="13"/>
        <v>0</v>
      </c>
      <c r="N288" t="str">
        <f t="shared" si="5"/>
        <v>Par</v>
      </c>
      <c r="O288" cm="1">
        <f t="array" ref="O288">IFERROR(
  INDEX('Putt Log'!$E$2:$V$72,
    MATCH(1,
      ('Putt Log'!$A$2:$A$72=$A288)*
      ('Putt Log'!$B$2:$B$72=$B288)*
      ('Putt Log'!$C$2:$C$72=$C288),
    0),
    MATCH($G288,'Putt Log'!$E$1:$V$1,0)
  ),
"")</f>
        <v>2</v>
      </c>
      <c r="P288" t="str" cm="1">
        <f t="array" ref="P288">IF(K288=3,"",
  IFERROR(
    INDEX('Fairway Log'!$E$2:$V$72,
      MATCH(1,
        ('Fairway Log'!$A$2:$A$72=$A288)*
        ('Fairway Log'!$B$2:$B$72=$B288)*
        ('Fairway Log'!$C$2:$C359=$C288),
      0),
      MATCH($G288,'Fairway Log'!$E$1:$V$1,0)
    ),
  "")
)</f>
        <v/>
      </c>
      <c r="Q288" cm="1">
        <f t="array" ref="Q288">IFERROR(
  INDEX('GIR Log'!$E$2:$V$72,
    MATCH(1,
      ('GIR Log'!$A$2:$A$72=$A288)*
      ('GIR Log'!$B$2:$B$72=$B288)*
      ('GIR Log'!$C$2:$C$72=$C288),
    0),
    MATCH($G288,'GIR Log'!$E$1:$V$1,0)
  ),
"")</f>
        <v>1</v>
      </c>
    </row>
    <row r="289" spans="1:17" x14ac:dyDescent="0.25">
      <c r="A289" s="20" t="s">
        <v>126</v>
      </c>
      <c r="B289" s="2">
        <v>45466</v>
      </c>
      <c r="C289" t="s">
        <v>10</v>
      </c>
      <c r="D289" t="s">
        <v>10</v>
      </c>
      <c r="E289" t="s">
        <v>36</v>
      </c>
      <c r="F289">
        <v>81</v>
      </c>
      <c r="G289" t="s">
        <v>64</v>
      </c>
      <c r="H289" s="9">
        <f t="shared" si="14"/>
        <v>18</v>
      </c>
      <c r="I289" cm="1">
        <f t="array" ref="I289">IFERROR(INDEX(CourseYardages[[Hole 1]:[Hole 18]],
  MATCH(1, (CourseYardages[Course]=C289)*(CourseYardages[Tees]=E289), 0),
  MATCH(G289, CourseYardages[[#Headers],[Hole 1]:[Hole 18]], 0)
),"")</f>
        <v>401</v>
      </c>
      <c r="J289" cm="1">
        <f t="array" ref="J289">IFERROR(INDEX(CourseHandicap[[Hole 1]:[Hole 18]],
  MATCH(1, (CourseHandicap[Course]=C289)*(CourseHandicap[Tees]=E289), 0),
  MATCH(G289, CourseHandicap[[#Headers],[Hole 1]:[Hole 18]], 0)
),"")</f>
        <v>10</v>
      </c>
      <c r="K289" cm="1">
        <f t="array" ref="K289">IFERROR(INDEX(CourseRatings[[Hole 1]:[Hole 18]],
  MATCH(1, (CourseRatings[Course]=C289)*(CourseRatings[Tees]=E289), 0),
  MATCH(G289, CourseRatings[[#Headers],[Hole 1]:[Hole 18]], 0)
),"")</f>
        <v>4</v>
      </c>
      <c r="L289" cm="1">
        <f t="array" ref="L289">IFERROR(
  INDEX('Golf Log'!$E$2:$V$72,
    MATCH(1,
      ('Golf Log'!$A$2:$A$72=$A289)*
      ('Golf Log'!$B$2:$B$72=$B289)*
      ('Golf Log'!$C$2:$C$72=$C289),
    0),
    MATCH($G289,'Golf Log'!$E$1:$V$1,0)
  ),
"")</f>
        <v>5</v>
      </c>
      <c r="M289">
        <f t="shared" si="13"/>
        <v>1</v>
      </c>
      <c r="N289" t="str">
        <f t="shared" si="5"/>
        <v>Bogey</v>
      </c>
      <c r="O289" cm="1">
        <f t="array" ref="O289">IFERROR(
  INDEX('Putt Log'!$E$2:$V$72,
    MATCH(1,
      ('Putt Log'!$A$2:$A$72=$A289)*
      ('Putt Log'!$B$2:$B$72=$B289)*
      ('Putt Log'!$C$2:$C$72=$C289),
    0),
    MATCH($G289,'Putt Log'!$E$1:$V$1,0)
  ),
"")</f>
        <v>2</v>
      </c>
      <c r="P289" t="str" cm="1">
        <f t="array" ref="P289">IF(K289=3,"",
  IFERROR(
    INDEX('Fairway Log'!$E$2:$V$72,
      MATCH(1,
        ('Fairway Log'!$A$2:$A$72=$A289)*
        ('Fairway Log'!$B$2:$B$72=$B289)*
        ('Fairway Log'!$C$2:$C360=$C289),
      0),
      MATCH($G289,'Fairway Log'!$E$1:$V$1,0)
    ),
  "")
)</f>
        <v>→</v>
      </c>
      <c r="Q289" t="str" cm="1">
        <f t="array" ref="Q289">IFERROR(
  INDEX('GIR Log'!$E$2:$V$72,
    MATCH(1,
      ('GIR Log'!$A$2:$A$72=$A289)*
      ('GIR Log'!$B$2:$B$72=$B289)*
      ('GIR Log'!$C$2:$C$72=$C289),
    0),
    MATCH($G289,'GIR Log'!$E$1:$V$1,0)
  ),
"")</f>
        <v>↓</v>
      </c>
    </row>
    <row r="290" spans="1:17" x14ac:dyDescent="0.25">
      <c r="A290" s="20" t="s">
        <v>126</v>
      </c>
      <c r="B290" s="2">
        <v>45465</v>
      </c>
      <c r="C290" t="s">
        <v>12</v>
      </c>
      <c r="D290" t="s">
        <v>76</v>
      </c>
      <c r="E290" t="s">
        <v>34</v>
      </c>
      <c r="F290">
        <v>99</v>
      </c>
      <c r="G290" t="s">
        <v>47</v>
      </c>
      <c r="H290" s="9">
        <f t="shared" si="14"/>
        <v>1</v>
      </c>
      <c r="I290" cm="1">
        <f t="array" ref="I290">IFERROR(INDEX(CourseYardages[[Hole 1]:[Hole 18]],
  MATCH(1, (CourseYardages[Course]=C290)*(CourseYardages[Tees]=E290), 0),
  MATCH(G290, CourseYardages[[#Headers],[Hole 1]:[Hole 18]], 0)
),"")</f>
        <v>360</v>
      </c>
      <c r="J290" cm="1">
        <f t="array" ref="J290">IFERROR(INDEX(CourseHandicap[[Hole 1]:[Hole 18]],
  MATCH(1, (CourseHandicap[Course]=C290)*(CourseHandicap[Tees]=E290), 0),
  MATCH(G290, CourseHandicap[[#Headers],[Hole 1]:[Hole 18]], 0)
),"")</f>
        <v>9</v>
      </c>
      <c r="K290" cm="1">
        <f t="array" ref="K290">IFERROR(INDEX(CourseRatings[[Hole 1]:[Hole 18]],
  MATCH(1, (CourseRatings[Course]=C290)*(CourseRatings[Tees]=E290), 0),
  MATCH(G290, CourseRatings[[#Headers],[Hole 1]:[Hole 18]], 0)
),"")</f>
        <v>4</v>
      </c>
      <c r="L290" cm="1">
        <f t="array" ref="L290">IFERROR(
  INDEX('Golf Log'!$E$2:$V$72,
    MATCH(1,
      ('Golf Log'!$A$2:$A$72=$A290)*
      ('Golf Log'!$B$2:$B$72=$B290)*
      ('Golf Log'!$C$2:$C$72=$C290),
    0),
    MATCH($G290,'Golf Log'!$E$1:$V$1,0)
  ),
"")</f>
        <v>7</v>
      </c>
      <c r="M290">
        <f t="shared" si="13"/>
        <v>3</v>
      </c>
      <c r="N290" t="str">
        <f t="shared" si="5"/>
        <v>Triple Bogey</v>
      </c>
      <c r="O290" cm="1">
        <f t="array" ref="O290">IFERROR(
  INDEX('Putt Log'!$E$2:$V$72,
    MATCH(1,
      ('Putt Log'!$A$2:$A$72=$A290)*
      ('Putt Log'!$B$2:$B$72=$B290)*
      ('Putt Log'!$C$2:$C$72=$C290),
    0),
    MATCH($G290,'Putt Log'!$E$1:$V$1,0)
  ),
"")</f>
        <v>2</v>
      </c>
      <c r="P290" t="str" cm="1">
        <f t="array" ref="P290">IF(K290=3,"",
  IFERROR(
    INDEX('Fairway Log'!$E$2:$V$72,
      MATCH(1,
        ('Fairway Log'!$A$2:$A$72=$A290)*
        ('Fairway Log'!$B$2:$B$72=$B290)*
        ('Fairway Log'!$C$2:$C361=$C290),
      0),
      MATCH($G290,'Fairway Log'!$E$1:$V$1,0)
    ),
  "")
)</f>
        <v>↓</v>
      </c>
      <c r="Q290" t="str" cm="1">
        <f t="array" ref="Q290">IFERROR(
  INDEX('GIR Log'!$E$2:$V$72,
    MATCH(1,
      ('GIR Log'!$A$2:$A$72=$A290)*
      ('GIR Log'!$B$2:$B$72=$B290)*
      ('GIR Log'!$C$2:$C$72=$C290),
    0),
    MATCH($G290,'GIR Log'!$E$1:$V$1,0)
  ),
"")</f>
        <v>↓</v>
      </c>
    </row>
    <row r="291" spans="1:17" x14ac:dyDescent="0.25">
      <c r="A291" s="20" t="s">
        <v>126</v>
      </c>
      <c r="B291" s="2">
        <v>45465</v>
      </c>
      <c r="C291" t="s">
        <v>12</v>
      </c>
      <c r="D291" t="s">
        <v>76</v>
      </c>
      <c r="E291" t="s">
        <v>34</v>
      </c>
      <c r="F291">
        <v>99</v>
      </c>
      <c r="G291" t="s">
        <v>48</v>
      </c>
      <c r="H291" s="9">
        <f t="shared" si="14"/>
        <v>2</v>
      </c>
      <c r="I291" cm="1">
        <f t="array" ref="I291">IFERROR(INDEX(CourseYardages[[Hole 1]:[Hole 18]],
  MATCH(1, (CourseYardages[Course]=C291)*(CourseYardages[Tees]=E291), 0),
  MATCH(G291, CourseYardages[[#Headers],[Hole 1]:[Hole 18]], 0)
),"")</f>
        <v>480</v>
      </c>
      <c r="J291" cm="1">
        <f t="array" ref="J291">IFERROR(INDEX(CourseHandicap[[Hole 1]:[Hole 18]],
  MATCH(1, (CourseHandicap[Course]=C291)*(CourseHandicap[Tees]=E291), 0),
  MATCH(G291, CourseHandicap[[#Headers],[Hole 1]:[Hole 18]], 0)
),"")</f>
        <v>5</v>
      </c>
      <c r="K291" cm="1">
        <f t="array" ref="K291">IFERROR(INDEX(CourseRatings[[Hole 1]:[Hole 18]],
  MATCH(1, (CourseRatings[Course]=C291)*(CourseRatings[Tees]=E291), 0),
  MATCH(G291, CourseRatings[[#Headers],[Hole 1]:[Hole 18]], 0)
),"")</f>
        <v>5</v>
      </c>
      <c r="L291" cm="1">
        <f t="array" ref="L291">IFERROR(
  INDEX('Golf Log'!$E$2:$V$72,
    MATCH(1,
      ('Golf Log'!$A$2:$A$72=$A291)*
      ('Golf Log'!$B$2:$B$72=$B291)*
      ('Golf Log'!$C$2:$C$72=$C291),
    0),
    MATCH($G291,'Golf Log'!$E$1:$V$1,0)
  ),
"")</f>
        <v>8</v>
      </c>
      <c r="M291">
        <f t="shared" si="13"/>
        <v>3</v>
      </c>
      <c r="N291" t="str">
        <f t="shared" si="5"/>
        <v>Triple Bogey</v>
      </c>
      <c r="O291" cm="1">
        <f t="array" ref="O291">IFERROR(
  INDEX('Putt Log'!$E$2:$V$72,
    MATCH(1,
      ('Putt Log'!$A$2:$A$72=$A291)*
      ('Putt Log'!$B$2:$B$72=$B291)*
      ('Putt Log'!$C$2:$C$72=$C291),
    0),
    MATCH($G291,'Putt Log'!$E$1:$V$1,0)
  ),
"")</f>
        <v>3</v>
      </c>
      <c r="P291" t="str" cm="1">
        <f t="array" ref="P291">IF(K291=3,"",
  IFERROR(
    INDEX('Fairway Log'!$E$2:$V$72,
      MATCH(1,
        ('Fairway Log'!$A$2:$A$72=$A291)*
        ('Fairway Log'!$B$2:$B$72=$B291)*
        ('Fairway Log'!$C$2:$C362=$C291),
      0),
      MATCH($G291,'Fairway Log'!$E$1:$V$1,0)
    ),
  "")
)</f>
        <v>↓</v>
      </c>
      <c r="Q291" t="str" cm="1">
        <f t="array" ref="Q291">IFERROR(
  INDEX('GIR Log'!$E$2:$V$72,
    MATCH(1,
      ('GIR Log'!$A$2:$A$72=$A291)*
      ('GIR Log'!$B$2:$B$72=$B291)*
      ('GIR Log'!$C$2:$C$72=$C291),
    0),
    MATCH($G291,'GIR Log'!$E$1:$V$1,0)
  ),
"")</f>
        <v>↓</v>
      </c>
    </row>
    <row r="292" spans="1:17" x14ac:dyDescent="0.25">
      <c r="A292" s="20" t="s">
        <v>126</v>
      </c>
      <c r="B292" s="2">
        <v>45465</v>
      </c>
      <c r="C292" t="s">
        <v>12</v>
      </c>
      <c r="D292" t="s">
        <v>76</v>
      </c>
      <c r="E292" t="s">
        <v>34</v>
      </c>
      <c r="F292">
        <v>99</v>
      </c>
      <c r="G292" t="s">
        <v>49</v>
      </c>
      <c r="H292" s="9">
        <f t="shared" si="14"/>
        <v>3</v>
      </c>
      <c r="I292" cm="1">
        <f t="array" ref="I292">IFERROR(INDEX(CourseYardages[[Hole 1]:[Hole 18]],
  MATCH(1, (CourseYardages[Course]=C292)*(CourseYardages[Tees]=E292), 0),
  MATCH(G292, CourseYardages[[#Headers],[Hole 1]:[Hole 18]], 0)
),"")</f>
        <v>315</v>
      </c>
      <c r="J292" cm="1">
        <f t="array" ref="J292">IFERROR(INDEX(CourseHandicap[[Hole 1]:[Hole 18]],
  MATCH(1, (CourseHandicap[Course]=C292)*(CourseHandicap[Tees]=E292), 0),
  MATCH(G292, CourseHandicap[[#Headers],[Hole 1]:[Hole 18]], 0)
),"")</f>
        <v>13</v>
      </c>
      <c r="K292" cm="1">
        <f t="array" ref="K292">IFERROR(INDEX(CourseRatings[[Hole 1]:[Hole 18]],
  MATCH(1, (CourseRatings[Course]=C292)*(CourseRatings[Tees]=E292), 0),
  MATCH(G292, CourseRatings[[#Headers],[Hole 1]:[Hole 18]], 0)
),"")</f>
        <v>4</v>
      </c>
      <c r="L292" cm="1">
        <f t="array" ref="L292">IFERROR(
  INDEX('Golf Log'!$E$2:$V$72,
    MATCH(1,
      ('Golf Log'!$A$2:$A$72=$A292)*
      ('Golf Log'!$B$2:$B$72=$B292)*
      ('Golf Log'!$C$2:$C$72=$C292),
    0),
    MATCH($G292,'Golf Log'!$E$1:$V$1,0)
  ),
"")</f>
        <v>4</v>
      </c>
      <c r="M292">
        <f t="shared" si="13"/>
        <v>0</v>
      </c>
      <c r="N292" t="str">
        <f t="shared" ref="N292:N355" si="15">IF(M292="","",(IF(M292=-2,"Eagle",IF(M292=-1,"Birdie",IF(M292=0,"Par",IF(M292=1,"Bogey",IF(M292=2,"Double Bogey",IF(M292=3,"Triple Bogey",IF(M292&gt;3,"Quad Bogey+")))))))))</f>
        <v>Par</v>
      </c>
      <c r="O292" cm="1">
        <f t="array" ref="O292">IFERROR(
  INDEX('Putt Log'!$E$2:$V$72,
    MATCH(1,
      ('Putt Log'!$A$2:$A$72=$A292)*
      ('Putt Log'!$B$2:$B$72=$B292)*
      ('Putt Log'!$C$2:$C$72=$C292),
    0),
    MATCH($G292,'Putt Log'!$E$1:$V$1,0)
  ),
"")</f>
        <v>1</v>
      </c>
      <c r="P292" t="str" cm="1">
        <f t="array" ref="P292">IF(K292=3,"",
  IFERROR(
    INDEX('Fairway Log'!$E$2:$V$72,
      MATCH(1,
        ('Fairway Log'!$A$2:$A$72=$A292)*
        ('Fairway Log'!$B$2:$B$72=$B292)*
        ('Fairway Log'!$C$2:$C363=$C292),
      0),
      MATCH($G292,'Fairway Log'!$E$1:$V$1,0)
    ),
  "")
)</f>
        <v>→</v>
      </c>
      <c r="Q292" t="str" cm="1">
        <f t="array" ref="Q292">IFERROR(
  INDEX('GIR Log'!$E$2:$V$72,
    MATCH(1,
      ('GIR Log'!$A$2:$A$72=$A292)*
      ('GIR Log'!$B$2:$B$72=$B292)*
      ('GIR Log'!$C$2:$C$72=$C292),
    0),
    MATCH($G292,'GIR Log'!$E$1:$V$1,0)
  ),
"")</f>
        <v>↑</v>
      </c>
    </row>
    <row r="293" spans="1:17" x14ac:dyDescent="0.25">
      <c r="A293" s="20" t="s">
        <v>126</v>
      </c>
      <c r="B293" s="2">
        <v>45465</v>
      </c>
      <c r="C293" t="s">
        <v>12</v>
      </c>
      <c r="D293" t="s">
        <v>76</v>
      </c>
      <c r="E293" t="s">
        <v>34</v>
      </c>
      <c r="F293">
        <v>99</v>
      </c>
      <c r="G293" t="s">
        <v>50</v>
      </c>
      <c r="H293" s="9">
        <f t="shared" si="14"/>
        <v>4</v>
      </c>
      <c r="I293" cm="1">
        <f t="array" ref="I293">IFERROR(INDEX(CourseYardages[[Hole 1]:[Hole 18]],
  MATCH(1, (CourseYardages[Course]=C293)*(CourseYardages[Tees]=E293), 0),
  MATCH(G293, CourseYardages[[#Headers],[Hole 1]:[Hole 18]], 0)
),"")</f>
        <v>375</v>
      </c>
      <c r="J293" cm="1">
        <f t="array" ref="J293">IFERROR(INDEX(CourseHandicap[[Hole 1]:[Hole 18]],
  MATCH(1, (CourseHandicap[Course]=C293)*(CourseHandicap[Tees]=E293), 0),
  MATCH(G293, CourseHandicap[[#Headers],[Hole 1]:[Hole 18]], 0)
),"")</f>
        <v>11</v>
      </c>
      <c r="K293" cm="1">
        <f t="array" ref="K293">IFERROR(INDEX(CourseRatings[[Hole 1]:[Hole 18]],
  MATCH(1, (CourseRatings[Course]=C293)*(CourseRatings[Tees]=E293), 0),
  MATCH(G293, CourseRatings[[#Headers],[Hole 1]:[Hole 18]], 0)
),"")</f>
        <v>4</v>
      </c>
      <c r="L293" cm="1">
        <f t="array" ref="L293">IFERROR(
  INDEX('Golf Log'!$E$2:$V$72,
    MATCH(1,
      ('Golf Log'!$A$2:$A$72=$A293)*
      ('Golf Log'!$B$2:$B$72=$B293)*
      ('Golf Log'!$C$2:$C$72=$C293),
    0),
    MATCH($G293,'Golf Log'!$E$1:$V$1,0)
  ),
"")</f>
        <v>6</v>
      </c>
      <c r="M293">
        <f t="shared" si="13"/>
        <v>2</v>
      </c>
      <c r="N293" t="str">
        <f t="shared" si="15"/>
        <v>Double Bogey</v>
      </c>
      <c r="O293" cm="1">
        <f t="array" ref="O293">IFERROR(
  INDEX('Putt Log'!$E$2:$V$72,
    MATCH(1,
      ('Putt Log'!$A$2:$A$72=$A293)*
      ('Putt Log'!$B$2:$B$72=$B293)*
      ('Putt Log'!$C$2:$C$72=$C293),
    0),
    MATCH($G293,'Putt Log'!$E$1:$V$1,0)
  ),
"")</f>
        <v>2</v>
      </c>
      <c r="P293" t="str" cm="1">
        <f t="array" ref="P293">IF(K293=3,"",
  IFERROR(
    INDEX('Fairway Log'!$E$2:$V$72,
      MATCH(1,
        ('Fairway Log'!$A$2:$A$72=$A293)*
        ('Fairway Log'!$B$2:$B$72=$B293)*
        ('Fairway Log'!$C$2:$C364=$C293),
      0),
      MATCH($G293,'Fairway Log'!$E$1:$V$1,0)
    ),
  "")
)</f>
        <v>←</v>
      </c>
      <c r="Q293" t="str" cm="1">
        <f t="array" ref="Q293">IFERROR(
  INDEX('GIR Log'!$E$2:$V$72,
    MATCH(1,
      ('GIR Log'!$A$2:$A$72=$A293)*
      ('GIR Log'!$B$2:$B$72=$B293)*
      ('GIR Log'!$C$2:$C$72=$C293),
    0),
    MATCH($G293,'GIR Log'!$E$1:$V$1,0)
  ),
"")</f>
        <v>↓</v>
      </c>
    </row>
    <row r="294" spans="1:17" x14ac:dyDescent="0.25">
      <c r="A294" s="20" t="s">
        <v>126</v>
      </c>
      <c r="B294" s="2">
        <v>45465</v>
      </c>
      <c r="C294" t="s">
        <v>12</v>
      </c>
      <c r="D294" t="s">
        <v>76</v>
      </c>
      <c r="E294" t="s">
        <v>34</v>
      </c>
      <c r="F294">
        <v>99</v>
      </c>
      <c r="G294" t="s">
        <v>51</v>
      </c>
      <c r="H294" s="9">
        <f t="shared" si="14"/>
        <v>5</v>
      </c>
      <c r="I294" cm="1">
        <f t="array" ref="I294">IFERROR(INDEX(CourseYardages[[Hole 1]:[Hole 18]],
  MATCH(1, (CourseYardages[Course]=C294)*(CourseYardages[Tees]=E294), 0),
  MATCH(G294, CourseYardages[[#Headers],[Hole 1]:[Hole 18]], 0)
),"")</f>
        <v>478</v>
      </c>
      <c r="J294" cm="1">
        <f t="array" ref="J294">IFERROR(INDEX(CourseHandicap[[Hole 1]:[Hole 18]],
  MATCH(1, (CourseHandicap[Course]=C294)*(CourseHandicap[Tees]=E294), 0),
  MATCH(G294, CourseHandicap[[#Headers],[Hole 1]:[Hole 18]], 0)
),"")</f>
        <v>7</v>
      </c>
      <c r="K294" cm="1">
        <f t="array" ref="K294">IFERROR(INDEX(CourseRatings[[Hole 1]:[Hole 18]],
  MATCH(1, (CourseRatings[Course]=C294)*(CourseRatings[Tees]=E294), 0),
  MATCH(G294, CourseRatings[[#Headers],[Hole 1]:[Hole 18]], 0)
),"")</f>
        <v>5</v>
      </c>
      <c r="L294" cm="1">
        <f t="array" ref="L294">IFERROR(
  INDEX('Golf Log'!$E$2:$V$72,
    MATCH(1,
      ('Golf Log'!$A$2:$A$72=$A294)*
      ('Golf Log'!$B$2:$B$72=$B294)*
      ('Golf Log'!$C$2:$C$72=$C294),
    0),
    MATCH($G294,'Golf Log'!$E$1:$V$1,0)
  ),
"")</f>
        <v>5</v>
      </c>
      <c r="M294">
        <f t="shared" si="13"/>
        <v>0</v>
      </c>
      <c r="N294" t="str">
        <f t="shared" si="15"/>
        <v>Par</v>
      </c>
      <c r="O294" cm="1">
        <f t="array" ref="O294">IFERROR(
  INDEX('Putt Log'!$E$2:$V$72,
    MATCH(1,
      ('Putt Log'!$A$2:$A$72=$A294)*
      ('Putt Log'!$B$2:$B$72=$B294)*
      ('Putt Log'!$C$2:$C$72=$C294),
    0),
    MATCH($G294,'Putt Log'!$E$1:$V$1,0)
  ),
"")</f>
        <v>2</v>
      </c>
      <c r="P294" cm="1">
        <f t="array" ref="P294">IF(K294=3,"",
  IFERROR(
    INDEX('Fairway Log'!$E$2:$V$72,
      MATCH(1,
        ('Fairway Log'!$A$2:$A$72=$A294)*
        ('Fairway Log'!$B$2:$B$72=$B294)*
        ('Fairway Log'!$C$2:$C365=$C294),
      0),
      MATCH($G294,'Fairway Log'!$E$1:$V$1,0)
    ),
  "")
)</f>
        <v>1</v>
      </c>
      <c r="Q294" cm="1">
        <f t="array" ref="Q294">IFERROR(
  INDEX('GIR Log'!$E$2:$V$72,
    MATCH(1,
      ('GIR Log'!$A$2:$A$72=$A294)*
      ('GIR Log'!$B$2:$B$72=$B294)*
      ('GIR Log'!$C$2:$C$72=$C294),
    0),
    MATCH($G294,'GIR Log'!$E$1:$V$1,0)
  ),
"")</f>
        <v>1</v>
      </c>
    </row>
    <row r="295" spans="1:17" x14ac:dyDescent="0.25">
      <c r="A295" s="20" t="s">
        <v>126</v>
      </c>
      <c r="B295" s="2">
        <v>45465</v>
      </c>
      <c r="C295" t="s">
        <v>12</v>
      </c>
      <c r="D295" t="s">
        <v>76</v>
      </c>
      <c r="E295" t="s">
        <v>34</v>
      </c>
      <c r="F295">
        <v>99</v>
      </c>
      <c r="G295" t="s">
        <v>52</v>
      </c>
      <c r="H295" s="9">
        <f t="shared" si="14"/>
        <v>6</v>
      </c>
      <c r="I295" cm="1">
        <f t="array" ref="I295">IFERROR(INDEX(CourseYardages[[Hole 1]:[Hole 18]],
  MATCH(1, (CourseYardages[Course]=C295)*(CourseYardages[Tees]=E295), 0),
  MATCH(G295, CourseYardages[[#Headers],[Hole 1]:[Hole 18]], 0)
),"")</f>
        <v>177</v>
      </c>
      <c r="J295" cm="1">
        <f t="array" ref="J295">IFERROR(INDEX(CourseHandicap[[Hole 1]:[Hole 18]],
  MATCH(1, (CourseHandicap[Course]=C295)*(CourseHandicap[Tees]=E295), 0),
  MATCH(G295, CourseHandicap[[#Headers],[Hole 1]:[Hole 18]], 0)
),"")</f>
        <v>17</v>
      </c>
      <c r="K295" cm="1">
        <f t="array" ref="K295">IFERROR(INDEX(CourseRatings[[Hole 1]:[Hole 18]],
  MATCH(1, (CourseRatings[Course]=C295)*(CourseRatings[Tees]=E295), 0),
  MATCH(G295, CourseRatings[[#Headers],[Hole 1]:[Hole 18]], 0)
),"")</f>
        <v>3</v>
      </c>
      <c r="L295" cm="1">
        <f t="array" ref="L295">IFERROR(
  INDEX('Golf Log'!$E$2:$V$72,
    MATCH(1,
      ('Golf Log'!$A$2:$A$72=$A295)*
      ('Golf Log'!$B$2:$B$72=$B295)*
      ('Golf Log'!$C$2:$C$72=$C295),
    0),
    MATCH($G295,'Golf Log'!$E$1:$V$1,0)
  ),
"")</f>
        <v>4</v>
      </c>
      <c r="M295">
        <f t="shared" si="13"/>
        <v>1</v>
      </c>
      <c r="N295" t="str">
        <f t="shared" si="15"/>
        <v>Bogey</v>
      </c>
      <c r="O295" cm="1">
        <f t="array" ref="O295">IFERROR(
  INDEX('Putt Log'!$E$2:$V$72,
    MATCH(1,
      ('Putt Log'!$A$2:$A$72=$A295)*
      ('Putt Log'!$B$2:$B$72=$B295)*
      ('Putt Log'!$C$2:$C$72=$C295),
    0),
    MATCH($G295,'Putt Log'!$E$1:$V$1,0)
  ),
"")</f>
        <v>2</v>
      </c>
      <c r="P295" t="str" cm="1">
        <f t="array" ref="P295">IF(K295=3,"",
  IFERROR(
    INDEX('Fairway Log'!$E$2:$V$72,
      MATCH(1,
        ('Fairway Log'!$A$2:$A$72=$A295)*
        ('Fairway Log'!$B$2:$B$72=$B295)*
        ('Fairway Log'!$C$2:$C366=$C295),
      0),
      MATCH($G295,'Fairway Log'!$E$1:$V$1,0)
    ),
  "")
)</f>
        <v/>
      </c>
      <c r="Q295" t="str" cm="1">
        <f t="array" ref="Q295">IFERROR(
  INDEX('GIR Log'!$E$2:$V$72,
    MATCH(1,
      ('GIR Log'!$A$2:$A$72=$A295)*
      ('GIR Log'!$B$2:$B$72=$B295)*
      ('GIR Log'!$C$2:$C$72=$C295),
    0),
    MATCH($G295,'GIR Log'!$E$1:$V$1,0)
  ),
"")</f>
        <v>↓</v>
      </c>
    </row>
    <row r="296" spans="1:17" x14ac:dyDescent="0.25">
      <c r="A296" s="20" t="s">
        <v>126</v>
      </c>
      <c r="B296" s="2">
        <v>45465</v>
      </c>
      <c r="C296" t="s">
        <v>12</v>
      </c>
      <c r="D296" t="s">
        <v>76</v>
      </c>
      <c r="E296" t="s">
        <v>34</v>
      </c>
      <c r="F296">
        <v>99</v>
      </c>
      <c r="G296" t="s">
        <v>53</v>
      </c>
      <c r="H296" s="9">
        <f t="shared" si="14"/>
        <v>7</v>
      </c>
      <c r="I296" cm="1">
        <f t="array" ref="I296">IFERROR(INDEX(CourseYardages[[Hole 1]:[Hole 18]],
  MATCH(1, (CourseYardages[Course]=C296)*(CourseYardages[Tees]=E296), 0),
  MATCH(G296, CourseYardages[[#Headers],[Hole 1]:[Hole 18]], 0)
),"")</f>
        <v>413</v>
      </c>
      <c r="J296" cm="1">
        <f t="array" ref="J296">IFERROR(INDEX(CourseHandicap[[Hole 1]:[Hole 18]],
  MATCH(1, (CourseHandicap[Course]=C296)*(CourseHandicap[Tees]=E296), 0),
  MATCH(G296, CourseHandicap[[#Headers],[Hole 1]:[Hole 18]], 0)
),"")</f>
        <v>1</v>
      </c>
      <c r="K296" cm="1">
        <f t="array" ref="K296">IFERROR(INDEX(CourseRatings[[Hole 1]:[Hole 18]],
  MATCH(1, (CourseRatings[Course]=C296)*(CourseRatings[Tees]=E296), 0),
  MATCH(G296, CourseRatings[[#Headers],[Hole 1]:[Hole 18]], 0)
),"")</f>
        <v>4</v>
      </c>
      <c r="L296" cm="1">
        <f t="array" ref="L296">IFERROR(
  INDEX('Golf Log'!$E$2:$V$72,
    MATCH(1,
      ('Golf Log'!$A$2:$A$72=$A296)*
      ('Golf Log'!$B$2:$B$72=$B296)*
      ('Golf Log'!$C$2:$C$72=$C296),
    0),
    MATCH($G296,'Golf Log'!$E$1:$V$1,0)
  ),
"")</f>
        <v>5</v>
      </c>
      <c r="M296">
        <f t="shared" si="13"/>
        <v>1</v>
      </c>
      <c r="N296" t="str">
        <f t="shared" si="15"/>
        <v>Bogey</v>
      </c>
      <c r="O296" cm="1">
        <f t="array" ref="O296">IFERROR(
  INDEX('Putt Log'!$E$2:$V$72,
    MATCH(1,
      ('Putt Log'!$A$2:$A$72=$A296)*
      ('Putt Log'!$B$2:$B$72=$B296)*
      ('Putt Log'!$C$2:$C$72=$C296),
    0),
    MATCH($G296,'Putt Log'!$E$1:$V$1,0)
  ),
"")</f>
        <v>2</v>
      </c>
      <c r="P296" t="str" cm="1">
        <f t="array" ref="P296">IF(K296=3,"",
  IFERROR(
    INDEX('Fairway Log'!$E$2:$V$72,
      MATCH(1,
        ('Fairway Log'!$A$2:$A$72=$A296)*
        ('Fairway Log'!$B$2:$B$72=$B296)*
        ('Fairway Log'!$C$2:$C367=$C296),
      0),
      MATCH($G296,'Fairway Log'!$E$1:$V$1,0)
    ),
  "")
)</f>
        <v>←</v>
      </c>
      <c r="Q296" t="str" cm="1">
        <f t="array" ref="Q296">IFERROR(
  INDEX('GIR Log'!$E$2:$V$72,
    MATCH(1,
      ('GIR Log'!$A$2:$A$72=$A296)*
      ('GIR Log'!$B$2:$B$72=$B296)*
      ('GIR Log'!$C$2:$C$72=$C296),
    0),
    MATCH($G296,'GIR Log'!$E$1:$V$1,0)
  ),
"")</f>
        <v>↑</v>
      </c>
    </row>
    <row r="297" spans="1:17" x14ac:dyDescent="0.25">
      <c r="A297" s="20" t="s">
        <v>126</v>
      </c>
      <c r="B297" s="2">
        <v>45465</v>
      </c>
      <c r="C297" t="s">
        <v>12</v>
      </c>
      <c r="D297" t="s">
        <v>76</v>
      </c>
      <c r="E297" t="s">
        <v>34</v>
      </c>
      <c r="F297">
        <v>99</v>
      </c>
      <c r="G297" t="s">
        <v>54</v>
      </c>
      <c r="H297" s="9">
        <f t="shared" si="14"/>
        <v>8</v>
      </c>
      <c r="I297" cm="1">
        <f t="array" ref="I297">IFERROR(INDEX(CourseYardages[[Hole 1]:[Hole 18]],
  MATCH(1, (CourseYardages[Course]=C297)*(CourseYardages[Tees]=E297), 0),
  MATCH(G297, CourseYardages[[#Headers],[Hole 1]:[Hole 18]], 0)
),"")</f>
        <v>169</v>
      </c>
      <c r="J297" cm="1">
        <f t="array" ref="J297">IFERROR(INDEX(CourseHandicap[[Hole 1]:[Hole 18]],
  MATCH(1, (CourseHandicap[Course]=C297)*(CourseHandicap[Tees]=E297), 0),
  MATCH(G297, CourseHandicap[[#Headers],[Hole 1]:[Hole 18]], 0)
),"")</f>
        <v>15</v>
      </c>
      <c r="K297" cm="1">
        <f t="array" ref="K297">IFERROR(INDEX(CourseRatings[[Hole 1]:[Hole 18]],
  MATCH(1, (CourseRatings[Course]=C297)*(CourseRatings[Tees]=E297), 0),
  MATCH(G297, CourseRatings[[#Headers],[Hole 1]:[Hole 18]], 0)
),"")</f>
        <v>3</v>
      </c>
      <c r="L297" cm="1">
        <f t="array" ref="L297">IFERROR(
  INDEX('Golf Log'!$E$2:$V$72,
    MATCH(1,
      ('Golf Log'!$A$2:$A$72=$A297)*
      ('Golf Log'!$B$2:$B$72=$B297)*
      ('Golf Log'!$C$2:$C$72=$C297),
    0),
    MATCH($G297,'Golf Log'!$E$1:$V$1,0)
  ),
"")</f>
        <v>4</v>
      </c>
      <c r="M297">
        <f t="shared" si="13"/>
        <v>1</v>
      </c>
      <c r="N297" t="str">
        <f t="shared" si="15"/>
        <v>Bogey</v>
      </c>
      <c r="O297" cm="1">
        <f t="array" ref="O297">IFERROR(
  INDEX('Putt Log'!$E$2:$V$72,
    MATCH(1,
      ('Putt Log'!$A$2:$A$72=$A297)*
      ('Putt Log'!$B$2:$B$72=$B297)*
      ('Putt Log'!$C$2:$C$72=$C297),
    0),
    MATCH($G297,'Putt Log'!$E$1:$V$1,0)
  ),
"")</f>
        <v>3</v>
      </c>
      <c r="P297" t="str" cm="1">
        <f t="array" ref="P297">IF(K297=3,"",
  IFERROR(
    INDEX('Fairway Log'!$E$2:$V$72,
      MATCH(1,
        ('Fairway Log'!$A$2:$A$72=$A297)*
        ('Fairway Log'!$B$2:$B$72=$B297)*
        ('Fairway Log'!$C$2:$C368=$C297),
      0),
      MATCH($G297,'Fairway Log'!$E$1:$V$1,0)
    ),
  "")
)</f>
        <v/>
      </c>
      <c r="Q297" cm="1">
        <f t="array" ref="Q297">IFERROR(
  INDEX('GIR Log'!$E$2:$V$72,
    MATCH(1,
      ('GIR Log'!$A$2:$A$72=$A297)*
      ('GIR Log'!$B$2:$B$72=$B297)*
      ('GIR Log'!$C$2:$C$72=$C297),
    0),
    MATCH($G297,'GIR Log'!$E$1:$V$1,0)
  ),
"")</f>
        <v>1</v>
      </c>
    </row>
    <row r="298" spans="1:17" x14ac:dyDescent="0.25">
      <c r="A298" s="20" t="s">
        <v>126</v>
      </c>
      <c r="B298" s="2">
        <v>45465</v>
      </c>
      <c r="C298" t="s">
        <v>12</v>
      </c>
      <c r="D298" t="s">
        <v>76</v>
      </c>
      <c r="E298" t="s">
        <v>34</v>
      </c>
      <c r="F298">
        <v>99</v>
      </c>
      <c r="G298" t="s">
        <v>55</v>
      </c>
      <c r="H298" s="9">
        <f t="shared" si="14"/>
        <v>9</v>
      </c>
      <c r="I298" cm="1">
        <f t="array" ref="I298">IFERROR(INDEX(CourseYardages[[Hole 1]:[Hole 18]],
  MATCH(1, (CourseYardages[Course]=C298)*(CourseYardages[Tees]=E298), 0),
  MATCH(G298, CourseYardages[[#Headers],[Hole 1]:[Hole 18]], 0)
),"")</f>
        <v>390</v>
      </c>
      <c r="J298" cm="1">
        <f t="array" ref="J298">IFERROR(INDEX(CourseHandicap[[Hole 1]:[Hole 18]],
  MATCH(1, (CourseHandicap[Course]=C298)*(CourseHandicap[Tees]=E298), 0),
  MATCH(G298, CourseHandicap[[#Headers],[Hole 1]:[Hole 18]], 0)
),"")</f>
        <v>3</v>
      </c>
      <c r="K298" cm="1">
        <f t="array" ref="K298">IFERROR(INDEX(CourseRatings[[Hole 1]:[Hole 18]],
  MATCH(1, (CourseRatings[Course]=C298)*(CourseRatings[Tees]=E298), 0),
  MATCH(G298, CourseRatings[[#Headers],[Hole 1]:[Hole 18]], 0)
),"")</f>
        <v>4</v>
      </c>
      <c r="L298" cm="1">
        <f t="array" ref="L298">IFERROR(
  INDEX('Golf Log'!$E$2:$V$72,
    MATCH(1,
      ('Golf Log'!$A$2:$A$72=$A298)*
      ('Golf Log'!$B$2:$B$72=$B298)*
      ('Golf Log'!$C$2:$C$72=$C298),
    0),
    MATCH($G298,'Golf Log'!$E$1:$V$1,0)
  ),
"")</f>
        <v>5</v>
      </c>
      <c r="M298">
        <f t="shared" si="13"/>
        <v>1</v>
      </c>
      <c r="N298" t="str">
        <f t="shared" si="15"/>
        <v>Bogey</v>
      </c>
      <c r="O298" cm="1">
        <f t="array" ref="O298">IFERROR(
  INDEX('Putt Log'!$E$2:$V$72,
    MATCH(1,
      ('Putt Log'!$A$2:$A$72=$A298)*
      ('Putt Log'!$B$2:$B$72=$B298)*
      ('Putt Log'!$C$2:$C$72=$C298),
    0),
    MATCH($G298,'Putt Log'!$E$1:$V$1,0)
  ),
"")</f>
        <v>1</v>
      </c>
      <c r="P298" t="str" cm="1">
        <f t="array" ref="P298">IF(K298=3,"",
  IFERROR(
    INDEX('Fairway Log'!$E$2:$V$72,
      MATCH(1,
        ('Fairway Log'!$A$2:$A$72=$A298)*
        ('Fairway Log'!$B$2:$B$72=$B298)*
        ('Fairway Log'!$C$2:$C369=$C298),
      0),
      MATCH($G298,'Fairway Log'!$E$1:$V$1,0)
    ),
  "")
)</f>
        <v>←</v>
      </c>
      <c r="Q298" t="str" cm="1">
        <f t="array" ref="Q298">IFERROR(
  INDEX('GIR Log'!$E$2:$V$72,
    MATCH(1,
      ('GIR Log'!$A$2:$A$72=$A298)*
      ('GIR Log'!$B$2:$B$72=$B298)*
      ('GIR Log'!$C$2:$C$72=$C298),
    0),
    MATCH($G298,'GIR Log'!$E$1:$V$1,0)
  ),
"")</f>
        <v>↑</v>
      </c>
    </row>
    <row r="299" spans="1:17" x14ac:dyDescent="0.25">
      <c r="A299" s="20" t="s">
        <v>126</v>
      </c>
      <c r="B299" s="2">
        <v>45465</v>
      </c>
      <c r="C299" t="s">
        <v>12</v>
      </c>
      <c r="D299" t="s">
        <v>76</v>
      </c>
      <c r="E299" t="s">
        <v>34</v>
      </c>
      <c r="F299">
        <v>99</v>
      </c>
      <c r="G299" t="s">
        <v>56</v>
      </c>
      <c r="H299" s="9">
        <f t="shared" si="14"/>
        <v>10</v>
      </c>
      <c r="I299" cm="1">
        <f t="array" ref="I299">IFERROR(INDEX(CourseYardages[[Hole 1]:[Hole 18]],
  MATCH(1, (CourseYardages[Course]=C299)*(CourseYardages[Tees]=E299), 0),
  MATCH(G299, CourseYardages[[#Headers],[Hole 1]:[Hole 18]], 0)
),"")</f>
        <v>470</v>
      </c>
      <c r="J299" cm="1">
        <f t="array" ref="J299">IFERROR(INDEX(CourseHandicap[[Hole 1]:[Hole 18]],
  MATCH(1, (CourseHandicap[Course]=C299)*(CourseHandicap[Tees]=E299), 0),
  MATCH(G299, CourseHandicap[[#Headers],[Hole 1]:[Hole 18]], 0)
),"")</f>
        <v>4</v>
      </c>
      <c r="K299" cm="1">
        <f t="array" ref="K299">IFERROR(INDEX(CourseRatings[[Hole 1]:[Hole 18]],
  MATCH(1, (CourseRatings[Course]=C299)*(CourseRatings[Tees]=E299), 0),
  MATCH(G299, CourseRatings[[#Headers],[Hole 1]:[Hole 18]], 0)
),"")</f>
        <v>5</v>
      </c>
      <c r="L299" cm="1">
        <f t="array" ref="L299">IFERROR(
  INDEX('Golf Log'!$E$2:$V$72,
    MATCH(1,
      ('Golf Log'!$A$2:$A$72=$A299)*
      ('Golf Log'!$B$2:$B$72=$B299)*
      ('Golf Log'!$C$2:$C$72=$C299),
    0),
    MATCH($G299,'Golf Log'!$E$1:$V$1,0)
  ),
"")</f>
        <v>6</v>
      </c>
      <c r="M299">
        <f t="shared" si="13"/>
        <v>1</v>
      </c>
      <c r="N299" t="str">
        <f t="shared" si="15"/>
        <v>Bogey</v>
      </c>
      <c r="O299" cm="1">
        <f t="array" ref="O299">IFERROR(
  INDEX('Putt Log'!$E$2:$V$72,
    MATCH(1,
      ('Putt Log'!$A$2:$A$72=$A299)*
      ('Putt Log'!$B$2:$B$72=$B299)*
      ('Putt Log'!$C$2:$C$72=$C299),
    0),
    MATCH($G299,'Putt Log'!$E$1:$V$1,0)
  ),
"")</f>
        <v>2</v>
      </c>
      <c r="P299" t="str" cm="1">
        <f t="array" ref="P299">IF(K299=3,"",
  IFERROR(
    INDEX('Fairway Log'!$E$2:$V$72,
      MATCH(1,
        ('Fairway Log'!$A$2:$A$72=$A299)*
        ('Fairway Log'!$B$2:$B$72=$B299)*
        ('Fairway Log'!$C$2:$C370=$C299),
      0),
      MATCH($G299,'Fairway Log'!$E$1:$V$1,0)
    ),
  "")
)</f>
        <v>↓</v>
      </c>
      <c r="Q299" t="str" cm="1">
        <f t="array" ref="Q299">IFERROR(
  INDEX('GIR Log'!$E$2:$V$72,
    MATCH(1,
      ('GIR Log'!$A$2:$A$72=$A299)*
      ('GIR Log'!$B$2:$B$72=$B299)*
      ('GIR Log'!$C$2:$C$72=$C299),
    0),
    MATCH($G299,'GIR Log'!$E$1:$V$1,0)
  ),
"")</f>
        <v>↓</v>
      </c>
    </row>
    <row r="300" spans="1:17" x14ac:dyDescent="0.25">
      <c r="A300" s="20" t="s">
        <v>126</v>
      </c>
      <c r="B300" s="2">
        <v>45465</v>
      </c>
      <c r="C300" t="s">
        <v>12</v>
      </c>
      <c r="D300" t="s">
        <v>76</v>
      </c>
      <c r="E300" t="s">
        <v>34</v>
      </c>
      <c r="F300">
        <v>99</v>
      </c>
      <c r="G300" t="s">
        <v>57</v>
      </c>
      <c r="H300" s="9">
        <f t="shared" si="14"/>
        <v>11</v>
      </c>
      <c r="I300" cm="1">
        <f t="array" ref="I300">IFERROR(INDEX(CourseYardages[[Hole 1]:[Hole 18]],
  MATCH(1, (CourseYardages[Course]=C300)*(CourseYardages[Tees]=E300), 0),
  MATCH(G300, CourseYardages[[#Headers],[Hole 1]:[Hole 18]], 0)
),"")</f>
        <v>306</v>
      </c>
      <c r="J300" cm="1">
        <f t="array" ref="J300">IFERROR(INDEX(CourseHandicap[[Hole 1]:[Hole 18]],
  MATCH(1, (CourseHandicap[Course]=C300)*(CourseHandicap[Tees]=E300), 0),
  MATCH(G300, CourseHandicap[[#Headers],[Hole 1]:[Hole 18]], 0)
),"")</f>
        <v>16</v>
      </c>
      <c r="K300" cm="1">
        <f t="array" ref="K300">IFERROR(INDEX(CourseRatings[[Hole 1]:[Hole 18]],
  MATCH(1, (CourseRatings[Course]=C300)*(CourseRatings[Tees]=E300), 0),
  MATCH(G300, CourseRatings[[#Headers],[Hole 1]:[Hole 18]], 0)
),"")</f>
        <v>4</v>
      </c>
      <c r="L300" cm="1">
        <f t="array" ref="L300">IFERROR(
  INDEX('Golf Log'!$E$2:$V$72,
    MATCH(1,
      ('Golf Log'!$A$2:$A$72=$A300)*
      ('Golf Log'!$B$2:$B$72=$B300)*
      ('Golf Log'!$C$2:$C$72=$C300),
    0),
    MATCH($G300,'Golf Log'!$E$1:$V$1,0)
  ),
"")</f>
        <v>4</v>
      </c>
      <c r="M300">
        <f t="shared" si="13"/>
        <v>0</v>
      </c>
      <c r="N300" t="str">
        <f t="shared" si="15"/>
        <v>Par</v>
      </c>
      <c r="O300" cm="1">
        <f t="array" ref="O300">IFERROR(
  INDEX('Putt Log'!$E$2:$V$72,
    MATCH(1,
      ('Putt Log'!$A$2:$A$72=$A300)*
      ('Putt Log'!$B$2:$B$72=$B300)*
      ('Putt Log'!$C$2:$C$72=$C300),
    0),
    MATCH($G300,'Putt Log'!$E$1:$V$1,0)
  ),
"")</f>
        <v>1</v>
      </c>
      <c r="P300" t="str" cm="1">
        <f t="array" ref="P300">IF(K300=3,"",
  IFERROR(
    INDEX('Fairway Log'!$E$2:$V$72,
      MATCH(1,
        ('Fairway Log'!$A$2:$A$72=$A300)*
        ('Fairway Log'!$B$2:$B$72=$B300)*
        ('Fairway Log'!$C$2:$C371=$C300),
      0),
      MATCH($G300,'Fairway Log'!$E$1:$V$1,0)
    ),
  "")
)</f>
        <v>↓</v>
      </c>
      <c r="Q300" t="str" cm="1">
        <f t="array" ref="Q300">IFERROR(
  INDEX('GIR Log'!$E$2:$V$72,
    MATCH(1,
      ('GIR Log'!$A$2:$A$72=$A300)*
      ('GIR Log'!$B$2:$B$72=$B300)*
      ('GIR Log'!$C$2:$C$72=$C300),
    0),
    MATCH($G300,'GIR Log'!$E$1:$V$1,0)
  ),
"")</f>
        <v>↓</v>
      </c>
    </row>
    <row r="301" spans="1:17" x14ac:dyDescent="0.25">
      <c r="A301" s="20" t="s">
        <v>126</v>
      </c>
      <c r="B301" s="2">
        <v>45465</v>
      </c>
      <c r="C301" t="s">
        <v>12</v>
      </c>
      <c r="D301" t="s">
        <v>76</v>
      </c>
      <c r="E301" t="s">
        <v>34</v>
      </c>
      <c r="F301">
        <v>99</v>
      </c>
      <c r="G301" t="s">
        <v>58</v>
      </c>
      <c r="H301" s="9">
        <f t="shared" si="14"/>
        <v>12</v>
      </c>
      <c r="I301" cm="1">
        <f t="array" ref="I301">IFERROR(INDEX(CourseYardages[[Hole 1]:[Hole 18]],
  MATCH(1, (CourseYardages[Course]=C301)*(CourseYardages[Tees]=E301), 0),
  MATCH(G301, CourseYardages[[#Headers],[Hole 1]:[Hole 18]], 0)
),"")</f>
        <v>148</v>
      </c>
      <c r="J301" cm="1">
        <f t="array" ref="J301">IFERROR(INDEX(CourseHandicap[[Hole 1]:[Hole 18]],
  MATCH(1, (CourseHandicap[Course]=C301)*(CourseHandicap[Tees]=E301), 0),
  MATCH(G301, CourseHandicap[[#Headers],[Hole 1]:[Hole 18]], 0)
),"")</f>
        <v>18</v>
      </c>
      <c r="K301" cm="1">
        <f t="array" ref="K301">IFERROR(INDEX(CourseRatings[[Hole 1]:[Hole 18]],
  MATCH(1, (CourseRatings[Course]=C301)*(CourseRatings[Tees]=E301), 0),
  MATCH(G301, CourseRatings[[#Headers],[Hole 1]:[Hole 18]], 0)
),"")</f>
        <v>3</v>
      </c>
      <c r="L301" cm="1">
        <f t="array" ref="L301">IFERROR(
  INDEX('Golf Log'!$E$2:$V$72,
    MATCH(1,
      ('Golf Log'!$A$2:$A$72=$A301)*
      ('Golf Log'!$B$2:$B$72=$B301)*
      ('Golf Log'!$C$2:$C$72=$C301),
    0),
    MATCH($G301,'Golf Log'!$E$1:$V$1,0)
  ),
"")</f>
        <v>4</v>
      </c>
      <c r="M301">
        <f t="shared" si="13"/>
        <v>1</v>
      </c>
      <c r="N301" t="str">
        <f t="shared" si="15"/>
        <v>Bogey</v>
      </c>
      <c r="O301" cm="1">
        <f t="array" ref="O301">IFERROR(
  INDEX('Putt Log'!$E$2:$V$72,
    MATCH(1,
      ('Putt Log'!$A$2:$A$72=$A301)*
      ('Putt Log'!$B$2:$B$72=$B301)*
      ('Putt Log'!$C$2:$C$72=$C301),
    0),
    MATCH($G301,'Putt Log'!$E$1:$V$1,0)
  ),
"")</f>
        <v>2</v>
      </c>
      <c r="P301" t="str" cm="1">
        <f t="array" ref="P301">IF(K301=3,"",
  IFERROR(
    INDEX('Fairway Log'!$E$2:$V$72,
      MATCH(1,
        ('Fairway Log'!$A$2:$A$72=$A301)*
        ('Fairway Log'!$B$2:$B$72=$B301)*
        ('Fairway Log'!$C$2:$C372=$C301),
      0),
      MATCH($G301,'Fairway Log'!$E$1:$V$1,0)
    ),
  "")
)</f>
        <v/>
      </c>
      <c r="Q301" t="str" cm="1">
        <f t="array" ref="Q301">IFERROR(
  INDEX('GIR Log'!$E$2:$V$72,
    MATCH(1,
      ('GIR Log'!$A$2:$A$72=$A301)*
      ('GIR Log'!$B$2:$B$72=$B301)*
      ('GIR Log'!$C$2:$C$72=$C301),
    0),
    MATCH($G301,'GIR Log'!$E$1:$V$1,0)
  ),
"")</f>
        <v>↑</v>
      </c>
    </row>
    <row r="302" spans="1:17" x14ac:dyDescent="0.25">
      <c r="A302" s="20" t="s">
        <v>126</v>
      </c>
      <c r="B302" s="2">
        <v>45465</v>
      </c>
      <c r="C302" t="s">
        <v>12</v>
      </c>
      <c r="D302" t="s">
        <v>76</v>
      </c>
      <c r="E302" t="s">
        <v>34</v>
      </c>
      <c r="F302">
        <v>99</v>
      </c>
      <c r="G302" t="s">
        <v>59</v>
      </c>
      <c r="H302" s="9">
        <f t="shared" si="14"/>
        <v>13</v>
      </c>
      <c r="I302" cm="1">
        <f t="array" ref="I302">IFERROR(INDEX(CourseYardages[[Hole 1]:[Hole 18]],
  MATCH(1, (CourseYardages[Course]=C302)*(CourseYardages[Tees]=E302), 0),
  MATCH(G302, CourseYardages[[#Headers],[Hole 1]:[Hole 18]], 0)
),"")</f>
        <v>377</v>
      </c>
      <c r="J302" cm="1">
        <f t="array" ref="J302">IFERROR(INDEX(CourseHandicap[[Hole 1]:[Hole 18]],
  MATCH(1, (CourseHandicap[Course]=C302)*(CourseHandicap[Tees]=E302), 0),
  MATCH(G302, CourseHandicap[[#Headers],[Hole 1]:[Hole 18]], 0)
),"")</f>
        <v>14</v>
      </c>
      <c r="K302" cm="1">
        <f t="array" ref="K302">IFERROR(INDEX(CourseRatings[[Hole 1]:[Hole 18]],
  MATCH(1, (CourseRatings[Course]=C302)*(CourseRatings[Tees]=E302), 0),
  MATCH(G302, CourseRatings[[#Headers],[Hole 1]:[Hole 18]], 0)
),"")</f>
        <v>4</v>
      </c>
      <c r="L302" cm="1">
        <f t="array" ref="L302">IFERROR(
  INDEX('Golf Log'!$E$2:$V$72,
    MATCH(1,
      ('Golf Log'!$A$2:$A$72=$A302)*
      ('Golf Log'!$B$2:$B$72=$B302)*
      ('Golf Log'!$C$2:$C$72=$C302),
    0),
    MATCH($G302,'Golf Log'!$E$1:$V$1,0)
  ),
"")</f>
        <v>6</v>
      </c>
      <c r="M302">
        <f t="shared" si="13"/>
        <v>2</v>
      </c>
      <c r="N302" t="str">
        <f t="shared" si="15"/>
        <v>Double Bogey</v>
      </c>
      <c r="O302" cm="1">
        <f t="array" ref="O302">IFERROR(
  INDEX('Putt Log'!$E$2:$V$72,
    MATCH(1,
      ('Putt Log'!$A$2:$A$72=$A302)*
      ('Putt Log'!$B$2:$B$72=$B302)*
      ('Putt Log'!$C$2:$C$72=$C302),
    0),
    MATCH($G302,'Putt Log'!$E$1:$V$1,0)
  ),
"")</f>
        <v>2</v>
      </c>
      <c r="P302" cm="1">
        <f t="array" ref="P302">IF(K302=3,"",
  IFERROR(
    INDEX('Fairway Log'!$E$2:$V$72,
      MATCH(1,
        ('Fairway Log'!$A$2:$A$72=$A302)*
        ('Fairway Log'!$B$2:$B$72=$B302)*
        ('Fairway Log'!$C$2:$C373=$C302),
      0),
      MATCH($G302,'Fairway Log'!$E$1:$V$1,0)
    ),
  "")
)</f>
        <v>1</v>
      </c>
      <c r="Q302" t="str" cm="1">
        <f t="array" ref="Q302">IFERROR(
  INDEX('GIR Log'!$E$2:$V$72,
    MATCH(1,
      ('GIR Log'!$A$2:$A$72=$A302)*
      ('GIR Log'!$B$2:$B$72=$B302)*
      ('GIR Log'!$C$2:$C$72=$C302),
    0),
    MATCH($G302,'GIR Log'!$E$1:$V$1,0)
  ),
"")</f>
        <v>→</v>
      </c>
    </row>
    <row r="303" spans="1:17" x14ac:dyDescent="0.25">
      <c r="A303" s="20" t="s">
        <v>126</v>
      </c>
      <c r="B303" s="2">
        <v>45465</v>
      </c>
      <c r="C303" t="s">
        <v>12</v>
      </c>
      <c r="D303" t="s">
        <v>76</v>
      </c>
      <c r="E303" t="s">
        <v>34</v>
      </c>
      <c r="F303">
        <v>99</v>
      </c>
      <c r="G303" t="s">
        <v>60</v>
      </c>
      <c r="H303" s="9">
        <f t="shared" si="14"/>
        <v>14</v>
      </c>
      <c r="I303" cm="1">
        <f t="array" ref="I303">IFERROR(INDEX(CourseYardages[[Hole 1]:[Hole 18]],
  MATCH(1, (CourseYardages[Course]=C303)*(CourseYardages[Tees]=E303), 0),
  MATCH(G303, CourseYardages[[#Headers],[Hole 1]:[Hole 18]], 0)
),"")</f>
        <v>218</v>
      </c>
      <c r="J303" cm="1">
        <f t="array" ref="J303">IFERROR(INDEX(CourseHandicap[[Hole 1]:[Hole 18]],
  MATCH(1, (CourseHandicap[Course]=C303)*(CourseHandicap[Tees]=E303), 0),
  MATCH(G303, CourseHandicap[[#Headers],[Hole 1]:[Hole 18]], 0)
),"")</f>
        <v>12</v>
      </c>
      <c r="K303" cm="1">
        <f t="array" ref="K303">IFERROR(INDEX(CourseRatings[[Hole 1]:[Hole 18]],
  MATCH(1, (CourseRatings[Course]=C303)*(CourseRatings[Tees]=E303), 0),
  MATCH(G303, CourseRatings[[#Headers],[Hole 1]:[Hole 18]], 0)
),"")</f>
        <v>3</v>
      </c>
      <c r="L303" cm="1">
        <f t="array" ref="L303">IFERROR(
  INDEX('Golf Log'!$E$2:$V$72,
    MATCH(1,
      ('Golf Log'!$A$2:$A$72=$A303)*
      ('Golf Log'!$B$2:$B$72=$B303)*
      ('Golf Log'!$C$2:$C$72=$C303),
    0),
    MATCH($G303,'Golf Log'!$E$1:$V$1,0)
  ),
"")</f>
        <v>6</v>
      </c>
      <c r="M303">
        <f t="shared" si="13"/>
        <v>3</v>
      </c>
      <c r="N303" t="str">
        <f t="shared" si="15"/>
        <v>Triple Bogey</v>
      </c>
      <c r="O303" cm="1">
        <f t="array" ref="O303">IFERROR(
  INDEX('Putt Log'!$E$2:$V$72,
    MATCH(1,
      ('Putt Log'!$A$2:$A$72=$A303)*
      ('Putt Log'!$B$2:$B$72=$B303)*
      ('Putt Log'!$C$2:$C$72=$C303),
    0),
    MATCH($G303,'Putt Log'!$E$1:$V$1,0)
  ),
"")</f>
        <v>2</v>
      </c>
      <c r="P303" t="str" cm="1">
        <f t="array" ref="P303">IF(K303=3,"",
  IFERROR(
    INDEX('Fairway Log'!$E$2:$V$72,
      MATCH(1,
        ('Fairway Log'!$A$2:$A$72=$A303)*
        ('Fairway Log'!$B$2:$B$72=$B303)*
        ('Fairway Log'!$C$2:$C374=$C303),
      0),
      MATCH($G303,'Fairway Log'!$E$1:$V$1,0)
    ),
  "")
)</f>
        <v/>
      </c>
      <c r="Q303" t="str" cm="1">
        <f t="array" ref="Q303">IFERROR(
  INDEX('GIR Log'!$E$2:$V$72,
    MATCH(1,
      ('GIR Log'!$A$2:$A$72=$A303)*
      ('GIR Log'!$B$2:$B$72=$B303)*
      ('GIR Log'!$C$2:$C$72=$C303),
    0),
    MATCH($G303,'GIR Log'!$E$1:$V$1,0)
  ),
"")</f>
        <v>↑</v>
      </c>
    </row>
    <row r="304" spans="1:17" x14ac:dyDescent="0.25">
      <c r="A304" s="20" t="s">
        <v>126</v>
      </c>
      <c r="B304" s="2">
        <v>45465</v>
      </c>
      <c r="C304" t="s">
        <v>12</v>
      </c>
      <c r="D304" t="s">
        <v>76</v>
      </c>
      <c r="E304" t="s">
        <v>34</v>
      </c>
      <c r="F304">
        <v>99</v>
      </c>
      <c r="G304" t="s">
        <v>61</v>
      </c>
      <c r="H304" s="9">
        <f t="shared" si="14"/>
        <v>15</v>
      </c>
      <c r="I304" cm="1">
        <f t="array" ref="I304">IFERROR(INDEX(CourseYardages[[Hole 1]:[Hole 18]],
  MATCH(1, (CourseYardages[Course]=C304)*(CourseYardages[Tees]=E304), 0),
  MATCH(G304, CourseYardages[[#Headers],[Hole 1]:[Hole 18]], 0)
),"")</f>
        <v>543</v>
      </c>
      <c r="J304" cm="1">
        <f t="array" ref="J304">IFERROR(INDEX(CourseHandicap[[Hole 1]:[Hole 18]],
  MATCH(1, (CourseHandicap[Course]=C304)*(CourseHandicap[Tees]=E304), 0),
  MATCH(G304, CourseHandicap[[#Headers],[Hole 1]:[Hole 18]], 0)
),"")</f>
        <v>2</v>
      </c>
      <c r="K304" cm="1">
        <f t="array" ref="K304">IFERROR(INDEX(CourseRatings[[Hole 1]:[Hole 18]],
  MATCH(1, (CourseRatings[Course]=C304)*(CourseRatings[Tees]=E304), 0),
  MATCH(G304, CourseRatings[[#Headers],[Hole 1]:[Hole 18]], 0)
),"")</f>
        <v>5</v>
      </c>
      <c r="L304" cm="1">
        <f t="array" ref="L304">IFERROR(
  INDEX('Golf Log'!$E$2:$V$72,
    MATCH(1,
      ('Golf Log'!$A$2:$A$72=$A304)*
      ('Golf Log'!$B$2:$B$72=$B304)*
      ('Golf Log'!$C$2:$C$72=$C304),
    0),
    MATCH($G304,'Golf Log'!$E$1:$V$1,0)
  ),
"")</f>
        <v>7</v>
      </c>
      <c r="M304">
        <f t="shared" si="13"/>
        <v>2</v>
      </c>
      <c r="N304" t="str">
        <f t="shared" si="15"/>
        <v>Double Bogey</v>
      </c>
      <c r="O304" cm="1">
        <f t="array" ref="O304">IFERROR(
  INDEX('Putt Log'!$E$2:$V$72,
    MATCH(1,
      ('Putt Log'!$A$2:$A$72=$A304)*
      ('Putt Log'!$B$2:$B$72=$B304)*
      ('Putt Log'!$C$2:$C$72=$C304),
    0),
    MATCH($G304,'Putt Log'!$E$1:$V$1,0)
  ),
"")</f>
        <v>2</v>
      </c>
      <c r="P304" cm="1">
        <f t="array" ref="P304">IF(K304=3,"",
  IFERROR(
    INDEX('Fairway Log'!$E$2:$V$72,
      MATCH(1,
        ('Fairway Log'!$A$2:$A$72=$A304)*
        ('Fairway Log'!$B$2:$B$72=$B304)*
        ('Fairway Log'!$C$2:$C375=$C304),
      0),
      MATCH($G304,'Fairway Log'!$E$1:$V$1,0)
    ),
  "")
)</f>
        <v>1</v>
      </c>
      <c r="Q304" t="str" cm="1">
        <f t="array" ref="Q304">IFERROR(
  INDEX('GIR Log'!$E$2:$V$72,
    MATCH(1,
      ('GIR Log'!$A$2:$A$72=$A304)*
      ('GIR Log'!$B$2:$B$72=$B304)*
      ('GIR Log'!$C$2:$C$72=$C304),
    0),
    MATCH($G304,'GIR Log'!$E$1:$V$1,0)
  ),
"")</f>
        <v>↓</v>
      </c>
    </row>
    <row r="305" spans="1:17" x14ac:dyDescent="0.25">
      <c r="A305" s="20" t="s">
        <v>126</v>
      </c>
      <c r="B305" s="2">
        <v>45465</v>
      </c>
      <c r="C305" t="s">
        <v>12</v>
      </c>
      <c r="D305" t="s">
        <v>76</v>
      </c>
      <c r="E305" t="s">
        <v>34</v>
      </c>
      <c r="F305">
        <v>99</v>
      </c>
      <c r="G305" t="s">
        <v>62</v>
      </c>
      <c r="H305" s="9">
        <f t="shared" si="14"/>
        <v>16</v>
      </c>
      <c r="I305" cm="1">
        <f t="array" ref="I305">IFERROR(INDEX(CourseYardages[[Hole 1]:[Hole 18]],
  MATCH(1, (CourseYardages[Course]=C305)*(CourseYardages[Tees]=E305), 0),
  MATCH(G305, CourseYardages[[#Headers],[Hole 1]:[Hole 18]], 0)
),"")</f>
        <v>316</v>
      </c>
      <c r="J305" cm="1">
        <f t="array" ref="J305">IFERROR(INDEX(CourseHandicap[[Hole 1]:[Hole 18]],
  MATCH(1, (CourseHandicap[Course]=C305)*(CourseHandicap[Tees]=E305), 0),
  MATCH(G305, CourseHandicap[[#Headers],[Hole 1]:[Hole 18]], 0)
),"")</f>
        <v>10</v>
      </c>
      <c r="K305" cm="1">
        <f t="array" ref="K305">IFERROR(INDEX(CourseRatings[[Hole 1]:[Hole 18]],
  MATCH(1, (CourseRatings[Course]=C305)*(CourseRatings[Tees]=E305), 0),
  MATCH(G305, CourseRatings[[#Headers],[Hole 1]:[Hole 18]], 0)
),"")</f>
        <v>4</v>
      </c>
      <c r="L305" cm="1">
        <f t="array" ref="L305">IFERROR(
  INDEX('Golf Log'!$E$2:$V$72,
    MATCH(1,
      ('Golf Log'!$A$2:$A$72=$A305)*
      ('Golf Log'!$B$2:$B$72=$B305)*
      ('Golf Log'!$C$2:$C$72=$C305),
    0),
    MATCH($G305,'Golf Log'!$E$1:$V$1,0)
  ),
"")</f>
        <v>7</v>
      </c>
      <c r="M305">
        <f t="shared" si="13"/>
        <v>3</v>
      </c>
      <c r="N305" t="str">
        <f t="shared" si="15"/>
        <v>Triple Bogey</v>
      </c>
      <c r="O305" cm="1">
        <f t="array" ref="O305">IFERROR(
  INDEX('Putt Log'!$E$2:$V$72,
    MATCH(1,
      ('Putt Log'!$A$2:$A$72=$A305)*
      ('Putt Log'!$B$2:$B$72=$B305)*
      ('Putt Log'!$C$2:$C$72=$C305),
    0),
    MATCH($G305,'Putt Log'!$E$1:$V$1,0)
  ),
"")</f>
        <v>2</v>
      </c>
      <c r="P305" t="str" cm="1">
        <f t="array" ref="P305">IF(K305=3,"",
  IFERROR(
    INDEX('Fairway Log'!$E$2:$V$72,
      MATCH(1,
        ('Fairway Log'!$A$2:$A$72=$A305)*
        ('Fairway Log'!$B$2:$B$72=$B305)*
        ('Fairway Log'!$C$2:$C376=$C305),
      0),
      MATCH($G305,'Fairway Log'!$E$1:$V$1,0)
    ),
  "")
)</f>
        <v>←</v>
      </c>
      <c r="Q305" t="str" cm="1">
        <f t="array" ref="Q305">IFERROR(
  INDEX('GIR Log'!$E$2:$V$72,
    MATCH(1,
      ('GIR Log'!$A$2:$A$72=$A305)*
      ('GIR Log'!$B$2:$B$72=$B305)*
      ('GIR Log'!$C$2:$C$72=$C305),
    0),
    MATCH($G305,'GIR Log'!$E$1:$V$1,0)
  ),
"")</f>
        <v>↓</v>
      </c>
    </row>
    <row r="306" spans="1:17" x14ac:dyDescent="0.25">
      <c r="A306" s="20" t="s">
        <v>126</v>
      </c>
      <c r="B306" s="2">
        <v>45465</v>
      </c>
      <c r="C306" t="s">
        <v>12</v>
      </c>
      <c r="D306" t="s">
        <v>76</v>
      </c>
      <c r="E306" t="s">
        <v>34</v>
      </c>
      <c r="F306">
        <v>99</v>
      </c>
      <c r="G306" t="s">
        <v>63</v>
      </c>
      <c r="H306" s="9">
        <f t="shared" si="14"/>
        <v>17</v>
      </c>
      <c r="I306" cm="1">
        <f t="array" ref="I306">IFERROR(INDEX(CourseYardages[[Hole 1]:[Hole 18]],
  MATCH(1, (CourseYardages[Course]=C306)*(CourseYardages[Tees]=E306), 0),
  MATCH(G306, CourseYardages[[#Headers],[Hole 1]:[Hole 18]], 0)
),"")</f>
        <v>419</v>
      </c>
      <c r="J306" cm="1">
        <f t="array" ref="J306">IFERROR(INDEX(CourseHandicap[[Hole 1]:[Hole 18]],
  MATCH(1, (CourseHandicap[Course]=C306)*(CourseHandicap[Tees]=E306), 0),
  MATCH(G306, CourseHandicap[[#Headers],[Hole 1]:[Hole 18]], 0)
),"")</f>
        <v>6</v>
      </c>
      <c r="K306" cm="1">
        <f t="array" ref="K306">IFERROR(INDEX(CourseRatings[[Hole 1]:[Hole 18]],
  MATCH(1, (CourseRatings[Course]=C306)*(CourseRatings[Tees]=E306), 0),
  MATCH(G306, CourseRatings[[#Headers],[Hole 1]:[Hole 18]], 0)
),"")</f>
        <v>4</v>
      </c>
      <c r="L306" cm="1">
        <f t="array" ref="L306">IFERROR(
  INDEX('Golf Log'!$E$2:$V$72,
    MATCH(1,
      ('Golf Log'!$A$2:$A$72=$A306)*
      ('Golf Log'!$B$2:$B$72=$B306)*
      ('Golf Log'!$C$2:$C$72=$C306),
    0),
    MATCH($G306,'Golf Log'!$E$1:$V$1,0)
  ),
"")</f>
        <v>6</v>
      </c>
      <c r="M306">
        <f t="shared" si="13"/>
        <v>2</v>
      </c>
      <c r="N306" t="str">
        <f t="shared" si="15"/>
        <v>Double Bogey</v>
      </c>
      <c r="O306" cm="1">
        <f t="array" ref="O306">IFERROR(
  INDEX('Putt Log'!$E$2:$V$72,
    MATCH(1,
      ('Putt Log'!$A$2:$A$72=$A306)*
      ('Putt Log'!$B$2:$B$72=$B306)*
      ('Putt Log'!$C$2:$C$72=$C306),
    0),
    MATCH($G306,'Putt Log'!$E$1:$V$1,0)
  ),
"")</f>
        <v>2</v>
      </c>
      <c r="P306" cm="1">
        <f t="array" ref="P306">IF(K306=3,"",
  IFERROR(
    INDEX('Fairway Log'!$E$2:$V$72,
      MATCH(1,
        ('Fairway Log'!$A$2:$A$72=$A306)*
        ('Fairway Log'!$B$2:$B$72=$B306)*
        ('Fairway Log'!$C$2:$C377=$C306),
      0),
      MATCH($G306,'Fairway Log'!$E$1:$V$1,0)
    ),
  "")
)</f>
        <v>0</v>
      </c>
      <c r="Q306" t="str" cm="1">
        <f t="array" ref="Q306">IFERROR(
  INDEX('GIR Log'!$E$2:$V$72,
    MATCH(1,
      ('GIR Log'!$A$2:$A$72=$A306)*
      ('GIR Log'!$B$2:$B$72=$B306)*
      ('GIR Log'!$C$2:$C$72=$C306),
    0),
    MATCH($G306,'GIR Log'!$E$1:$V$1,0)
  ),
"")</f>
        <v>↓</v>
      </c>
    </row>
    <row r="307" spans="1:17" x14ac:dyDescent="0.25">
      <c r="A307" s="20" t="s">
        <v>126</v>
      </c>
      <c r="B307" s="2">
        <v>45465</v>
      </c>
      <c r="C307" t="s">
        <v>12</v>
      </c>
      <c r="D307" t="s">
        <v>76</v>
      </c>
      <c r="E307" t="s">
        <v>34</v>
      </c>
      <c r="F307">
        <v>99</v>
      </c>
      <c r="G307" t="s">
        <v>64</v>
      </c>
      <c r="H307" s="9">
        <f t="shared" si="14"/>
        <v>18</v>
      </c>
      <c r="I307" cm="1">
        <f t="array" ref="I307">IFERROR(INDEX(CourseYardages[[Hole 1]:[Hole 18]],
  MATCH(1, (CourseYardages[Course]=C307)*(CourseYardages[Tees]=E307), 0),
  MATCH(G307, CourseYardages[[#Headers],[Hole 1]:[Hole 18]], 0)
),"")</f>
        <v>324</v>
      </c>
      <c r="J307" cm="1">
        <f t="array" ref="J307">IFERROR(INDEX(CourseHandicap[[Hole 1]:[Hole 18]],
  MATCH(1, (CourseHandicap[Course]=C307)*(CourseHandicap[Tees]=E307), 0),
  MATCH(G307, CourseHandicap[[#Headers],[Hole 1]:[Hole 18]], 0)
),"")</f>
        <v>8</v>
      </c>
      <c r="K307" cm="1">
        <f t="array" ref="K307">IFERROR(INDEX(CourseRatings[[Hole 1]:[Hole 18]],
  MATCH(1, (CourseRatings[Course]=C307)*(CourseRatings[Tees]=E307), 0),
  MATCH(G307, CourseRatings[[#Headers],[Hole 1]:[Hole 18]], 0)
),"")</f>
        <v>4</v>
      </c>
      <c r="L307" cm="1">
        <f t="array" ref="L307">IFERROR(
  INDEX('Golf Log'!$E$2:$V$72,
    MATCH(1,
      ('Golf Log'!$A$2:$A$72=$A307)*
      ('Golf Log'!$B$2:$B$72=$B307)*
      ('Golf Log'!$C$2:$C$72=$C307),
    0),
    MATCH($G307,'Golf Log'!$E$1:$V$1,0)
  ),
"")</f>
        <v>5</v>
      </c>
      <c r="M307">
        <f t="shared" si="13"/>
        <v>1</v>
      </c>
      <c r="N307" t="str">
        <f t="shared" si="15"/>
        <v>Bogey</v>
      </c>
      <c r="O307" cm="1">
        <f t="array" ref="O307">IFERROR(
  INDEX('Putt Log'!$E$2:$V$72,
    MATCH(1,
      ('Putt Log'!$A$2:$A$72=$A307)*
      ('Putt Log'!$B$2:$B$72=$B307)*
      ('Putt Log'!$C$2:$C$72=$C307),
    0),
    MATCH($G307,'Putt Log'!$E$1:$V$1,0)
  ),
"")</f>
        <v>2</v>
      </c>
      <c r="P307" t="str" cm="1">
        <f t="array" ref="P307">IF(K307=3,"",
  IFERROR(
    INDEX('Fairway Log'!$E$2:$V$72,
      MATCH(1,
        ('Fairway Log'!$A$2:$A$72=$A307)*
        ('Fairway Log'!$B$2:$B$72=$B307)*
        ('Fairway Log'!$C$2:$C378=$C307),
      0),
      MATCH($G307,'Fairway Log'!$E$1:$V$1,0)
    ),
  "")
)</f>
        <v>→</v>
      </c>
      <c r="Q307" t="str" cm="1">
        <f t="array" ref="Q307">IFERROR(
  INDEX('GIR Log'!$E$2:$V$72,
    MATCH(1,
      ('GIR Log'!$A$2:$A$72=$A307)*
      ('GIR Log'!$B$2:$B$72=$B307)*
      ('GIR Log'!$C$2:$C$72=$C307),
    0),
    MATCH($G307,'GIR Log'!$E$1:$V$1,0)
  ),
"")</f>
        <v>↓</v>
      </c>
    </row>
    <row r="308" spans="1:17" x14ac:dyDescent="0.25">
      <c r="A308" s="20" t="s">
        <v>126</v>
      </c>
      <c r="B308" s="2">
        <v>45453</v>
      </c>
      <c r="C308" t="s">
        <v>11</v>
      </c>
      <c r="D308" t="s">
        <v>77</v>
      </c>
      <c r="E308" t="s">
        <v>34</v>
      </c>
      <c r="F308">
        <v>95</v>
      </c>
      <c r="G308" t="s">
        <v>47</v>
      </c>
      <c r="H308" s="9">
        <f t="shared" si="14"/>
        <v>1</v>
      </c>
      <c r="I308" cm="1">
        <f t="array" ref="I308">IFERROR(INDEX(CourseYardages[[Hole 1]:[Hole 18]],
  MATCH(1, (CourseYardages[Course]=C308)*(CourseYardages[Tees]=E308), 0),
  MATCH(G308, CourseYardages[[#Headers],[Hole 1]:[Hole 18]], 0)
),"")</f>
        <v>298</v>
      </c>
      <c r="J308" cm="1">
        <f t="array" ref="J308">IFERROR(INDEX(CourseHandicap[[Hole 1]:[Hole 18]],
  MATCH(1, (CourseHandicap[Course]=C308)*(CourseHandicap[Tees]=E308), 0),
  MATCH(G308, CourseHandicap[[#Headers],[Hole 1]:[Hole 18]], 0)
),"")</f>
        <v>15</v>
      </c>
      <c r="K308" cm="1">
        <f t="array" ref="K308">IFERROR(INDEX(CourseRatings[[Hole 1]:[Hole 18]],
  MATCH(1, (CourseRatings[Course]=C308)*(CourseRatings[Tees]=E308), 0),
  MATCH(G308, CourseRatings[[#Headers],[Hole 1]:[Hole 18]], 0)
),"")</f>
        <v>4</v>
      </c>
      <c r="L308" cm="1">
        <f t="array" ref="L308">IFERROR(
  INDEX('Golf Log'!$E$2:$V$72,
    MATCH(1,
      ('Golf Log'!$A$2:$A$72=$A308)*
      ('Golf Log'!$B$2:$B$72=$B308)*
      ('Golf Log'!$C$2:$C$72=$C308),
    0),
    MATCH($G308,'Golf Log'!$E$1:$V$1,0)
  ),
"")</f>
        <v>7</v>
      </c>
      <c r="M308">
        <f t="shared" si="13"/>
        <v>3</v>
      </c>
      <c r="N308" t="str">
        <f t="shared" si="15"/>
        <v>Triple Bogey</v>
      </c>
      <c r="O308" cm="1">
        <f t="array" ref="O308">IFERROR(
  INDEX('Putt Log'!$E$2:$V$72,
    MATCH(1,
      ('Putt Log'!$A$2:$A$72=$A308)*
      ('Putt Log'!$B$2:$B$72=$B308)*
      ('Putt Log'!$C$2:$C$72=$C308),
    0),
    MATCH($G308,'Putt Log'!$E$1:$V$1,0)
  ),
"")</f>
        <v>2</v>
      </c>
      <c r="P308" t="str" cm="1">
        <f t="array" ref="P308">IF(K308=3,"",
  IFERROR(
    INDEX('Fairway Log'!$E$2:$V$72,
      MATCH(1,
        ('Fairway Log'!$A$2:$A$72=$A308)*
        ('Fairway Log'!$B$2:$B$72=$B308)*
        ('Fairway Log'!$C$2:$C379=$C308),
      0),
      MATCH($G308,'Fairway Log'!$E$1:$V$1,0)
    ),
  "")
)</f>
        <v>↓</v>
      </c>
      <c r="Q308" t="str" cm="1">
        <f t="array" ref="Q308">IFERROR(
  INDEX('GIR Log'!$E$2:$V$72,
    MATCH(1,
      ('GIR Log'!$A$2:$A$72=$A308)*
      ('GIR Log'!$B$2:$B$72=$B308)*
      ('GIR Log'!$C$2:$C$72=$C308),
    0),
    MATCH($G308,'GIR Log'!$E$1:$V$1,0)
  ),
"")</f>
        <v>↓</v>
      </c>
    </row>
    <row r="309" spans="1:17" x14ac:dyDescent="0.25">
      <c r="A309" s="20" t="s">
        <v>126</v>
      </c>
      <c r="B309" s="2">
        <v>45453</v>
      </c>
      <c r="C309" t="s">
        <v>11</v>
      </c>
      <c r="D309" t="s">
        <v>77</v>
      </c>
      <c r="E309" t="s">
        <v>34</v>
      </c>
      <c r="F309">
        <v>95</v>
      </c>
      <c r="G309" t="s">
        <v>48</v>
      </c>
      <c r="H309" s="9">
        <f t="shared" si="14"/>
        <v>2</v>
      </c>
      <c r="I309" cm="1">
        <f t="array" ref="I309">IFERROR(INDEX(CourseYardages[[Hole 1]:[Hole 18]],
  MATCH(1, (CourseYardages[Course]=C309)*(CourseYardages[Tees]=E309), 0),
  MATCH(G309, CourseYardages[[#Headers],[Hole 1]:[Hole 18]], 0)
),"")</f>
        <v>130</v>
      </c>
      <c r="J309" cm="1">
        <f t="array" ref="J309">IFERROR(INDEX(CourseHandicap[[Hole 1]:[Hole 18]],
  MATCH(1, (CourseHandicap[Course]=C309)*(CourseHandicap[Tees]=E309), 0),
  MATCH(G309, CourseHandicap[[#Headers],[Hole 1]:[Hole 18]], 0)
),"")</f>
        <v>17</v>
      </c>
      <c r="K309" cm="1">
        <f t="array" ref="K309">IFERROR(INDEX(CourseRatings[[Hole 1]:[Hole 18]],
  MATCH(1, (CourseRatings[Course]=C309)*(CourseRatings[Tees]=E309), 0),
  MATCH(G309, CourseRatings[[#Headers],[Hole 1]:[Hole 18]], 0)
),"")</f>
        <v>3</v>
      </c>
      <c r="L309" cm="1">
        <f t="array" ref="L309">IFERROR(
  INDEX('Golf Log'!$E$2:$V$72,
    MATCH(1,
      ('Golf Log'!$A$2:$A$72=$A309)*
      ('Golf Log'!$B$2:$B$72=$B309)*
      ('Golf Log'!$C$2:$C$72=$C309),
    0),
    MATCH($G309,'Golf Log'!$E$1:$V$1,0)
  ),
"")</f>
        <v>3</v>
      </c>
      <c r="M309">
        <f t="shared" si="13"/>
        <v>0</v>
      </c>
      <c r="N309" t="str">
        <f t="shared" si="15"/>
        <v>Par</v>
      </c>
      <c r="O309" cm="1">
        <f t="array" ref="O309">IFERROR(
  INDEX('Putt Log'!$E$2:$V$72,
    MATCH(1,
      ('Putt Log'!$A$2:$A$72=$A309)*
      ('Putt Log'!$B$2:$B$72=$B309)*
      ('Putt Log'!$C$2:$C$72=$C309),
    0),
    MATCH($G309,'Putt Log'!$E$1:$V$1,0)
  ),
"")</f>
        <v>2</v>
      </c>
      <c r="P309" t="str" cm="1">
        <f t="array" ref="P309">IF(K309=3,"",
  IFERROR(
    INDEX('Fairway Log'!$E$2:$V$72,
      MATCH(1,
        ('Fairway Log'!$A$2:$A$72=$A309)*
        ('Fairway Log'!$B$2:$B$72=$B309)*
        ('Fairway Log'!$C$2:$C380=$C309),
      0),
      MATCH($G309,'Fairway Log'!$E$1:$V$1,0)
    ),
  "")
)</f>
        <v/>
      </c>
      <c r="Q309" cm="1">
        <f t="array" ref="Q309">IFERROR(
  INDEX('GIR Log'!$E$2:$V$72,
    MATCH(1,
      ('GIR Log'!$A$2:$A$72=$A309)*
      ('GIR Log'!$B$2:$B$72=$B309)*
      ('GIR Log'!$C$2:$C$72=$C309),
    0),
    MATCH($G309,'GIR Log'!$E$1:$V$1,0)
  ),
"")</f>
        <v>1</v>
      </c>
    </row>
    <row r="310" spans="1:17" x14ac:dyDescent="0.25">
      <c r="A310" s="20" t="s">
        <v>126</v>
      </c>
      <c r="B310" s="2">
        <v>45453</v>
      </c>
      <c r="C310" t="s">
        <v>11</v>
      </c>
      <c r="D310" t="s">
        <v>77</v>
      </c>
      <c r="E310" t="s">
        <v>34</v>
      </c>
      <c r="F310">
        <v>95</v>
      </c>
      <c r="G310" t="s">
        <v>49</v>
      </c>
      <c r="H310" s="9">
        <f t="shared" si="14"/>
        <v>3</v>
      </c>
      <c r="I310" cm="1">
        <f t="array" ref="I310">IFERROR(INDEX(CourseYardages[[Hole 1]:[Hole 18]],
  MATCH(1, (CourseYardages[Course]=C310)*(CourseYardages[Tees]=E310), 0),
  MATCH(G310, CourseYardages[[#Headers],[Hole 1]:[Hole 18]], 0)
),"")</f>
        <v>327</v>
      </c>
      <c r="J310" cm="1">
        <f t="array" ref="J310">IFERROR(INDEX(CourseHandicap[[Hole 1]:[Hole 18]],
  MATCH(1, (CourseHandicap[Course]=C310)*(CourseHandicap[Tees]=E310), 0),
  MATCH(G310, CourseHandicap[[#Headers],[Hole 1]:[Hole 18]], 0)
),"")</f>
        <v>9</v>
      </c>
      <c r="K310" cm="1">
        <f t="array" ref="K310">IFERROR(INDEX(CourseRatings[[Hole 1]:[Hole 18]],
  MATCH(1, (CourseRatings[Course]=C310)*(CourseRatings[Tees]=E310), 0),
  MATCH(G310, CourseRatings[[#Headers],[Hole 1]:[Hole 18]], 0)
),"")</f>
        <v>4</v>
      </c>
      <c r="L310" cm="1">
        <f t="array" ref="L310">IFERROR(
  INDEX('Golf Log'!$E$2:$V$72,
    MATCH(1,
      ('Golf Log'!$A$2:$A$72=$A310)*
      ('Golf Log'!$B$2:$B$72=$B310)*
      ('Golf Log'!$C$2:$C$72=$C310),
    0),
    MATCH($G310,'Golf Log'!$E$1:$V$1,0)
  ),
"")</f>
        <v>6</v>
      </c>
      <c r="M310">
        <f t="shared" si="13"/>
        <v>2</v>
      </c>
      <c r="N310" t="str">
        <f t="shared" si="15"/>
        <v>Double Bogey</v>
      </c>
      <c r="O310" cm="1">
        <f t="array" ref="O310">IFERROR(
  INDEX('Putt Log'!$E$2:$V$72,
    MATCH(1,
      ('Putt Log'!$A$2:$A$72=$A310)*
      ('Putt Log'!$B$2:$B$72=$B310)*
      ('Putt Log'!$C$2:$C$72=$C310),
    0),
    MATCH($G310,'Putt Log'!$E$1:$V$1,0)
  ),
"")</f>
        <v>2</v>
      </c>
      <c r="P310" cm="1">
        <f t="array" ref="P310">IF(K310=3,"",
  IFERROR(
    INDEX('Fairway Log'!$E$2:$V$72,
      MATCH(1,
        ('Fairway Log'!$A$2:$A$72=$A310)*
        ('Fairway Log'!$B$2:$B$72=$B310)*
        ('Fairway Log'!$C$2:$C381=$C310),
      0),
      MATCH($G310,'Fairway Log'!$E$1:$V$1,0)
    ),
  "")
)</f>
        <v>1</v>
      </c>
      <c r="Q310" t="str" cm="1">
        <f t="array" ref="Q310">IFERROR(
  INDEX('GIR Log'!$E$2:$V$72,
    MATCH(1,
      ('GIR Log'!$A$2:$A$72=$A310)*
      ('GIR Log'!$B$2:$B$72=$B310)*
      ('GIR Log'!$C$2:$C$72=$C310),
    0),
    MATCH($G310,'GIR Log'!$E$1:$V$1,0)
  ),
"")</f>
        <v>↑</v>
      </c>
    </row>
    <row r="311" spans="1:17" x14ac:dyDescent="0.25">
      <c r="A311" s="20" t="s">
        <v>126</v>
      </c>
      <c r="B311" s="2">
        <v>45453</v>
      </c>
      <c r="C311" t="s">
        <v>11</v>
      </c>
      <c r="D311" t="s">
        <v>77</v>
      </c>
      <c r="E311" t="s">
        <v>34</v>
      </c>
      <c r="F311">
        <v>95</v>
      </c>
      <c r="G311" t="s">
        <v>50</v>
      </c>
      <c r="H311" s="9">
        <f t="shared" si="14"/>
        <v>4</v>
      </c>
      <c r="I311" cm="1">
        <f t="array" ref="I311">IFERROR(INDEX(CourseYardages[[Hole 1]:[Hole 18]],
  MATCH(1, (CourseYardages[Course]=C311)*(CourseYardages[Tees]=E311), 0),
  MATCH(G311, CourseYardages[[#Headers],[Hole 1]:[Hole 18]], 0)
),"")</f>
        <v>176</v>
      </c>
      <c r="J311" cm="1">
        <f t="array" ref="J311">IFERROR(INDEX(CourseHandicap[[Hole 1]:[Hole 18]],
  MATCH(1, (CourseHandicap[Course]=C311)*(CourseHandicap[Tees]=E311), 0),
  MATCH(G311, CourseHandicap[[#Headers],[Hole 1]:[Hole 18]], 0)
),"")</f>
        <v>13</v>
      </c>
      <c r="K311" cm="1">
        <f t="array" ref="K311">IFERROR(INDEX(CourseRatings[[Hole 1]:[Hole 18]],
  MATCH(1, (CourseRatings[Course]=C311)*(CourseRatings[Tees]=E311), 0),
  MATCH(G311, CourseRatings[[#Headers],[Hole 1]:[Hole 18]], 0)
),"")</f>
        <v>3</v>
      </c>
      <c r="L311" cm="1">
        <f t="array" ref="L311">IFERROR(
  INDEX('Golf Log'!$E$2:$V$72,
    MATCH(1,
      ('Golf Log'!$A$2:$A$72=$A311)*
      ('Golf Log'!$B$2:$B$72=$B311)*
      ('Golf Log'!$C$2:$C$72=$C311),
    0),
    MATCH($G311,'Golf Log'!$E$1:$V$1,0)
  ),
"")</f>
        <v>4</v>
      </c>
      <c r="M311">
        <f t="shared" si="13"/>
        <v>1</v>
      </c>
      <c r="N311" t="str">
        <f t="shared" si="15"/>
        <v>Bogey</v>
      </c>
      <c r="O311" cm="1">
        <f t="array" ref="O311">IFERROR(
  INDEX('Putt Log'!$E$2:$V$72,
    MATCH(1,
      ('Putt Log'!$A$2:$A$72=$A311)*
      ('Putt Log'!$B$2:$B$72=$B311)*
      ('Putt Log'!$C$2:$C$72=$C311),
    0),
    MATCH($G311,'Putt Log'!$E$1:$V$1,0)
  ),
"")</f>
        <v>2</v>
      </c>
      <c r="P311" t="str" cm="1">
        <f t="array" ref="P311">IF(K311=3,"",
  IFERROR(
    INDEX('Fairway Log'!$E$2:$V$72,
      MATCH(1,
        ('Fairway Log'!$A$2:$A$72=$A311)*
        ('Fairway Log'!$B$2:$B$72=$B311)*
        ('Fairway Log'!$C$2:$C382=$C311),
      0),
      MATCH($G311,'Fairway Log'!$E$1:$V$1,0)
    ),
  "")
)</f>
        <v/>
      </c>
      <c r="Q311" t="str" cm="1">
        <f t="array" ref="Q311">IFERROR(
  INDEX('GIR Log'!$E$2:$V$72,
    MATCH(1,
      ('GIR Log'!$A$2:$A$72=$A311)*
      ('GIR Log'!$B$2:$B$72=$B311)*
      ('GIR Log'!$C$2:$C$72=$C311),
    0),
    MATCH($G311,'GIR Log'!$E$1:$V$1,0)
  ),
"")</f>
        <v>←</v>
      </c>
    </row>
    <row r="312" spans="1:17" x14ac:dyDescent="0.25">
      <c r="A312" s="20" t="s">
        <v>126</v>
      </c>
      <c r="B312" s="2">
        <v>45453</v>
      </c>
      <c r="C312" t="s">
        <v>11</v>
      </c>
      <c r="D312" t="s">
        <v>77</v>
      </c>
      <c r="E312" t="s">
        <v>34</v>
      </c>
      <c r="F312">
        <v>95</v>
      </c>
      <c r="G312" t="s">
        <v>51</v>
      </c>
      <c r="H312" s="9">
        <f t="shared" si="14"/>
        <v>5</v>
      </c>
      <c r="I312" cm="1">
        <f t="array" ref="I312">IFERROR(INDEX(CourseYardages[[Hole 1]:[Hole 18]],
  MATCH(1, (CourseYardages[Course]=C312)*(CourseYardages[Tees]=E312), 0),
  MATCH(G312, CourseYardages[[#Headers],[Hole 1]:[Hole 18]], 0)
),"")</f>
        <v>457</v>
      </c>
      <c r="J312" cm="1">
        <f t="array" ref="J312">IFERROR(INDEX(CourseHandicap[[Hole 1]:[Hole 18]],
  MATCH(1, (CourseHandicap[Course]=C312)*(CourseHandicap[Tees]=E312), 0),
  MATCH(G312, CourseHandicap[[#Headers],[Hole 1]:[Hole 18]], 0)
),"")</f>
        <v>7</v>
      </c>
      <c r="K312" cm="1">
        <f t="array" ref="K312">IFERROR(INDEX(CourseRatings[[Hole 1]:[Hole 18]],
  MATCH(1, (CourseRatings[Course]=C312)*(CourseRatings[Tees]=E312), 0),
  MATCH(G312, CourseRatings[[#Headers],[Hole 1]:[Hole 18]], 0)
),"")</f>
        <v>5</v>
      </c>
      <c r="L312" cm="1">
        <f t="array" ref="L312">IFERROR(
  INDEX('Golf Log'!$E$2:$V$72,
    MATCH(1,
      ('Golf Log'!$A$2:$A$72=$A312)*
      ('Golf Log'!$B$2:$B$72=$B312)*
      ('Golf Log'!$C$2:$C$72=$C312),
    0),
    MATCH($G312,'Golf Log'!$E$1:$V$1,0)
  ),
"")</f>
        <v>6</v>
      </c>
      <c r="M312">
        <f t="shared" si="13"/>
        <v>1</v>
      </c>
      <c r="N312" t="str">
        <f t="shared" si="15"/>
        <v>Bogey</v>
      </c>
      <c r="O312" cm="1">
        <f t="array" ref="O312">IFERROR(
  INDEX('Putt Log'!$E$2:$V$72,
    MATCH(1,
      ('Putt Log'!$A$2:$A$72=$A312)*
      ('Putt Log'!$B$2:$B$72=$B312)*
      ('Putt Log'!$C$2:$C$72=$C312),
    0),
    MATCH($G312,'Putt Log'!$E$1:$V$1,0)
  ),
"")</f>
        <v>2</v>
      </c>
      <c r="P312" t="str" cm="1">
        <f t="array" ref="P312">IF(K312=3,"",
  IFERROR(
    INDEX('Fairway Log'!$E$2:$V$72,
      MATCH(1,
        ('Fairway Log'!$A$2:$A$72=$A312)*
        ('Fairway Log'!$B$2:$B$72=$B312)*
        ('Fairway Log'!$C$2:$C383=$C312),
      0),
      MATCH($G312,'Fairway Log'!$E$1:$V$1,0)
    ),
  "")
)</f>
        <v>←</v>
      </c>
      <c r="Q312" t="str" cm="1">
        <f t="array" ref="Q312">IFERROR(
  INDEX('GIR Log'!$E$2:$V$72,
    MATCH(1,
      ('GIR Log'!$A$2:$A$72=$A312)*
      ('GIR Log'!$B$2:$B$72=$B312)*
      ('GIR Log'!$C$2:$C$72=$C312),
    0),
    MATCH($G312,'GIR Log'!$E$1:$V$1,0)
  ),
"")</f>
        <v>↓</v>
      </c>
    </row>
    <row r="313" spans="1:17" x14ac:dyDescent="0.25">
      <c r="A313" s="20" t="s">
        <v>126</v>
      </c>
      <c r="B313" s="2">
        <v>45453</v>
      </c>
      <c r="C313" t="s">
        <v>11</v>
      </c>
      <c r="D313" t="s">
        <v>77</v>
      </c>
      <c r="E313" t="s">
        <v>34</v>
      </c>
      <c r="F313">
        <v>95</v>
      </c>
      <c r="G313" t="s">
        <v>52</v>
      </c>
      <c r="H313" s="9">
        <f t="shared" si="14"/>
        <v>6</v>
      </c>
      <c r="I313" cm="1">
        <f t="array" ref="I313">IFERROR(INDEX(CourseYardages[[Hole 1]:[Hole 18]],
  MATCH(1, (CourseYardages[Course]=C313)*(CourseYardages[Tees]=E313), 0),
  MATCH(G313, CourseYardages[[#Headers],[Hole 1]:[Hole 18]], 0)
),"")</f>
        <v>389</v>
      </c>
      <c r="J313" cm="1">
        <f t="array" ref="J313">IFERROR(INDEX(CourseHandicap[[Hole 1]:[Hole 18]],
  MATCH(1, (CourseHandicap[Course]=C313)*(CourseHandicap[Tees]=E313), 0),
  MATCH(G313, CourseHandicap[[#Headers],[Hole 1]:[Hole 18]], 0)
),"")</f>
        <v>3</v>
      </c>
      <c r="K313" cm="1">
        <f t="array" ref="K313">IFERROR(INDEX(CourseRatings[[Hole 1]:[Hole 18]],
  MATCH(1, (CourseRatings[Course]=C313)*(CourseRatings[Tees]=E313), 0),
  MATCH(G313, CourseRatings[[#Headers],[Hole 1]:[Hole 18]], 0)
),"")</f>
        <v>4</v>
      </c>
      <c r="L313" cm="1">
        <f t="array" ref="L313">IFERROR(
  INDEX('Golf Log'!$E$2:$V$72,
    MATCH(1,
      ('Golf Log'!$A$2:$A$72=$A313)*
      ('Golf Log'!$B$2:$B$72=$B313)*
      ('Golf Log'!$C$2:$C$72=$C313),
    0),
    MATCH($G313,'Golf Log'!$E$1:$V$1,0)
  ),
"")</f>
        <v>6</v>
      </c>
      <c r="M313">
        <f t="shared" si="13"/>
        <v>2</v>
      </c>
      <c r="N313" t="str">
        <f t="shared" si="15"/>
        <v>Double Bogey</v>
      </c>
      <c r="O313" cm="1">
        <f t="array" ref="O313">IFERROR(
  INDEX('Putt Log'!$E$2:$V$72,
    MATCH(1,
      ('Putt Log'!$A$2:$A$72=$A313)*
      ('Putt Log'!$B$2:$B$72=$B313)*
      ('Putt Log'!$C$2:$C$72=$C313),
    0),
    MATCH($G313,'Putt Log'!$E$1:$V$1,0)
  ),
"")</f>
        <v>2</v>
      </c>
      <c r="P313" t="str" cm="1">
        <f t="array" ref="P313">IF(K313=3,"",
  IFERROR(
    INDEX('Fairway Log'!$E$2:$V$72,
      MATCH(1,
        ('Fairway Log'!$A$2:$A$72=$A313)*
        ('Fairway Log'!$B$2:$B$72=$B313)*
        ('Fairway Log'!$C$2:$C384=$C313),
      0),
      MATCH($G313,'Fairway Log'!$E$1:$V$1,0)
    ),
  "")
)</f>
        <v>←</v>
      </c>
      <c r="Q313" t="str" cm="1">
        <f t="array" ref="Q313">IFERROR(
  INDEX('GIR Log'!$E$2:$V$72,
    MATCH(1,
      ('GIR Log'!$A$2:$A$72=$A313)*
      ('GIR Log'!$B$2:$B$72=$B313)*
      ('GIR Log'!$C$2:$C$72=$C313),
    0),
    MATCH($G313,'GIR Log'!$E$1:$V$1,0)
  ),
"")</f>
        <v>↓</v>
      </c>
    </row>
    <row r="314" spans="1:17" x14ac:dyDescent="0.25">
      <c r="A314" s="20" t="s">
        <v>126</v>
      </c>
      <c r="B314" s="2">
        <v>45453</v>
      </c>
      <c r="C314" t="s">
        <v>11</v>
      </c>
      <c r="D314" t="s">
        <v>77</v>
      </c>
      <c r="E314" t="s">
        <v>34</v>
      </c>
      <c r="F314">
        <v>95</v>
      </c>
      <c r="G314" t="s">
        <v>53</v>
      </c>
      <c r="H314" s="9">
        <f t="shared" si="14"/>
        <v>7</v>
      </c>
      <c r="I314" cm="1">
        <f t="array" ref="I314">IFERROR(INDEX(CourseYardages[[Hole 1]:[Hole 18]],
  MATCH(1, (CourseYardages[Course]=C314)*(CourseYardages[Tees]=E314), 0),
  MATCH(G314, CourseYardages[[#Headers],[Hole 1]:[Hole 18]], 0)
),"")</f>
        <v>301</v>
      </c>
      <c r="J314" cm="1">
        <f t="array" ref="J314">IFERROR(INDEX(CourseHandicap[[Hole 1]:[Hole 18]],
  MATCH(1, (CourseHandicap[Course]=C314)*(CourseHandicap[Tees]=E314), 0),
  MATCH(G314, CourseHandicap[[#Headers],[Hole 1]:[Hole 18]], 0)
),"")</f>
        <v>11</v>
      </c>
      <c r="K314" cm="1">
        <f t="array" ref="K314">IFERROR(INDEX(CourseRatings[[Hole 1]:[Hole 18]],
  MATCH(1, (CourseRatings[Course]=C314)*(CourseRatings[Tees]=E314), 0),
  MATCH(G314, CourseRatings[[#Headers],[Hole 1]:[Hole 18]], 0)
),"")</f>
        <v>4</v>
      </c>
      <c r="L314" cm="1">
        <f t="array" ref="L314">IFERROR(
  INDEX('Golf Log'!$E$2:$V$72,
    MATCH(1,
      ('Golf Log'!$A$2:$A$72=$A314)*
      ('Golf Log'!$B$2:$B$72=$B314)*
      ('Golf Log'!$C$2:$C$72=$C314),
    0),
    MATCH($G314,'Golf Log'!$E$1:$V$1,0)
  ),
"")</f>
        <v>5</v>
      </c>
      <c r="M314">
        <f t="shared" si="13"/>
        <v>1</v>
      </c>
      <c r="N314" t="str">
        <f t="shared" si="15"/>
        <v>Bogey</v>
      </c>
      <c r="O314" cm="1">
        <f t="array" ref="O314">IFERROR(
  INDEX('Putt Log'!$E$2:$V$72,
    MATCH(1,
      ('Putt Log'!$A$2:$A$72=$A314)*
      ('Putt Log'!$B$2:$B$72=$B314)*
      ('Putt Log'!$C$2:$C$72=$C314),
    0),
    MATCH($G314,'Putt Log'!$E$1:$V$1,0)
  ),
"")</f>
        <v>2</v>
      </c>
      <c r="P314" cm="1">
        <f t="array" ref="P314">IF(K314=3,"",
  IFERROR(
    INDEX('Fairway Log'!$E$2:$V$72,
      MATCH(1,
        ('Fairway Log'!$A$2:$A$72=$A314)*
        ('Fairway Log'!$B$2:$B$72=$B314)*
        ('Fairway Log'!$C$2:$C385=$C314),
      0),
      MATCH($G314,'Fairway Log'!$E$1:$V$1,0)
    ),
  "")
)</f>
        <v>1</v>
      </c>
      <c r="Q314" cm="1">
        <f t="array" ref="Q314">IFERROR(
  INDEX('GIR Log'!$E$2:$V$72,
    MATCH(1,
      ('GIR Log'!$A$2:$A$72=$A314)*
      ('GIR Log'!$B$2:$B$72=$B314)*
      ('GIR Log'!$C$2:$C$72=$C314),
    0),
    MATCH($G314,'GIR Log'!$E$1:$V$1,0)
  ),
"")</f>
        <v>0</v>
      </c>
    </row>
    <row r="315" spans="1:17" x14ac:dyDescent="0.25">
      <c r="A315" s="20" t="s">
        <v>126</v>
      </c>
      <c r="B315" s="2">
        <v>45453</v>
      </c>
      <c r="C315" t="s">
        <v>11</v>
      </c>
      <c r="D315" t="s">
        <v>77</v>
      </c>
      <c r="E315" t="s">
        <v>34</v>
      </c>
      <c r="F315">
        <v>95</v>
      </c>
      <c r="G315" t="s">
        <v>54</v>
      </c>
      <c r="H315" s="9">
        <f t="shared" si="14"/>
        <v>8</v>
      </c>
      <c r="I315" cm="1">
        <f t="array" ref="I315">IFERROR(INDEX(CourseYardages[[Hole 1]:[Hole 18]],
  MATCH(1, (CourseYardages[Course]=C315)*(CourseYardages[Tees]=E315), 0),
  MATCH(G315, CourseYardages[[#Headers],[Hole 1]:[Hole 18]], 0)
),"")</f>
        <v>356</v>
      </c>
      <c r="J315" cm="1">
        <f t="array" ref="J315">IFERROR(INDEX(CourseHandicap[[Hole 1]:[Hole 18]],
  MATCH(1, (CourseHandicap[Course]=C315)*(CourseHandicap[Tees]=E315), 0),
  MATCH(G315, CourseHandicap[[#Headers],[Hole 1]:[Hole 18]], 0)
),"")</f>
        <v>5</v>
      </c>
      <c r="K315" cm="1">
        <f t="array" ref="K315">IFERROR(INDEX(CourseRatings[[Hole 1]:[Hole 18]],
  MATCH(1, (CourseRatings[Course]=C315)*(CourseRatings[Tees]=E315), 0),
  MATCH(G315, CourseRatings[[#Headers],[Hole 1]:[Hole 18]], 0)
),"")</f>
        <v>4</v>
      </c>
      <c r="L315" cm="1">
        <f t="array" ref="L315">IFERROR(
  INDEX('Golf Log'!$E$2:$V$72,
    MATCH(1,
      ('Golf Log'!$A$2:$A$72=$A315)*
      ('Golf Log'!$B$2:$B$72=$B315)*
      ('Golf Log'!$C$2:$C$72=$C315),
    0),
    MATCH($G315,'Golf Log'!$E$1:$V$1,0)
  ),
"")</f>
        <v>5</v>
      </c>
      <c r="M315">
        <f t="shared" si="13"/>
        <v>1</v>
      </c>
      <c r="N315" t="str">
        <f t="shared" si="15"/>
        <v>Bogey</v>
      </c>
      <c r="O315" cm="1">
        <f t="array" ref="O315">IFERROR(
  INDEX('Putt Log'!$E$2:$V$72,
    MATCH(1,
      ('Putt Log'!$A$2:$A$72=$A315)*
      ('Putt Log'!$B$2:$B$72=$B315)*
      ('Putt Log'!$C$2:$C$72=$C315),
    0),
    MATCH($G315,'Putt Log'!$E$1:$V$1,0)
  ),
"")</f>
        <v>2</v>
      </c>
      <c r="P315" t="str" cm="1">
        <f t="array" ref="P315">IF(K315=3,"",
  IFERROR(
    INDEX('Fairway Log'!$E$2:$V$72,
      MATCH(1,
        ('Fairway Log'!$A$2:$A$72=$A315)*
        ('Fairway Log'!$B$2:$B$72=$B315)*
        ('Fairway Log'!$C$2:$C386=$C315),
      0),
      MATCH($G315,'Fairway Log'!$E$1:$V$1,0)
    ),
  "")
)</f>
        <v>←</v>
      </c>
      <c r="Q315" t="str" cm="1">
        <f t="array" ref="Q315">IFERROR(
  INDEX('GIR Log'!$E$2:$V$72,
    MATCH(1,
      ('GIR Log'!$A$2:$A$72=$A315)*
      ('GIR Log'!$B$2:$B$72=$B315)*
      ('GIR Log'!$C$2:$C$72=$C315),
    0),
    MATCH($G315,'GIR Log'!$E$1:$V$1,0)
  ),
"")</f>
        <v>↑</v>
      </c>
    </row>
    <row r="316" spans="1:17" x14ac:dyDescent="0.25">
      <c r="A316" s="20" t="s">
        <v>126</v>
      </c>
      <c r="B316" s="2">
        <v>45453</v>
      </c>
      <c r="C316" t="s">
        <v>11</v>
      </c>
      <c r="D316" t="s">
        <v>77</v>
      </c>
      <c r="E316" t="s">
        <v>34</v>
      </c>
      <c r="F316">
        <v>95</v>
      </c>
      <c r="G316" t="s">
        <v>55</v>
      </c>
      <c r="H316" s="9">
        <f t="shared" si="14"/>
        <v>9</v>
      </c>
      <c r="I316" cm="1">
        <f t="array" ref="I316">IFERROR(INDEX(CourseYardages[[Hole 1]:[Hole 18]],
  MATCH(1, (CourseYardages[Course]=C316)*(CourseYardages[Tees]=E316), 0),
  MATCH(G316, CourseYardages[[#Headers],[Hole 1]:[Hole 18]], 0)
),"")</f>
        <v>534</v>
      </c>
      <c r="J316" cm="1">
        <f t="array" ref="J316">IFERROR(INDEX(CourseHandicap[[Hole 1]:[Hole 18]],
  MATCH(1, (CourseHandicap[Course]=C316)*(CourseHandicap[Tees]=E316), 0),
  MATCH(G316, CourseHandicap[[#Headers],[Hole 1]:[Hole 18]], 0)
),"")</f>
        <v>1</v>
      </c>
      <c r="K316" cm="1">
        <f t="array" ref="K316">IFERROR(INDEX(CourseRatings[[Hole 1]:[Hole 18]],
  MATCH(1, (CourseRatings[Course]=C316)*(CourseRatings[Tees]=E316), 0),
  MATCH(G316, CourseRatings[[#Headers],[Hole 1]:[Hole 18]], 0)
),"")</f>
        <v>5</v>
      </c>
      <c r="L316" cm="1">
        <f t="array" ref="L316">IFERROR(
  INDEX('Golf Log'!$E$2:$V$72,
    MATCH(1,
      ('Golf Log'!$A$2:$A$72=$A316)*
      ('Golf Log'!$B$2:$B$72=$B316)*
      ('Golf Log'!$C$2:$C$72=$C316),
    0),
    MATCH($G316,'Golf Log'!$E$1:$V$1,0)
  ),
"")</f>
        <v>7</v>
      </c>
      <c r="M316">
        <f t="shared" si="13"/>
        <v>2</v>
      </c>
      <c r="N316" t="str">
        <f t="shared" si="15"/>
        <v>Double Bogey</v>
      </c>
      <c r="O316" cm="1">
        <f t="array" ref="O316">IFERROR(
  INDEX('Putt Log'!$E$2:$V$72,
    MATCH(1,
      ('Putt Log'!$A$2:$A$72=$A316)*
      ('Putt Log'!$B$2:$B$72=$B316)*
      ('Putt Log'!$C$2:$C$72=$C316),
    0),
    MATCH($G316,'Putt Log'!$E$1:$V$1,0)
  ),
"")</f>
        <v>2</v>
      </c>
      <c r="P316" cm="1">
        <f t="array" ref="P316">IF(K316=3,"",
  IFERROR(
    INDEX('Fairway Log'!$E$2:$V$72,
      MATCH(1,
        ('Fairway Log'!$A$2:$A$72=$A316)*
        ('Fairway Log'!$B$2:$B$72=$B316)*
        ('Fairway Log'!$C$2:$C387=$C316),
      0),
      MATCH($G316,'Fairway Log'!$E$1:$V$1,0)
    ),
  "")
)</f>
        <v>1</v>
      </c>
      <c r="Q316" t="str" cm="1">
        <f t="array" ref="Q316">IFERROR(
  INDEX('GIR Log'!$E$2:$V$72,
    MATCH(1,
      ('GIR Log'!$A$2:$A$72=$A316)*
      ('GIR Log'!$B$2:$B$72=$B316)*
      ('GIR Log'!$C$2:$C$72=$C316),
    0),
    MATCH($G316,'GIR Log'!$E$1:$V$1,0)
  ),
"")</f>
        <v>←</v>
      </c>
    </row>
    <row r="317" spans="1:17" x14ac:dyDescent="0.25">
      <c r="A317" s="20" t="s">
        <v>126</v>
      </c>
      <c r="B317" s="2">
        <v>45453</v>
      </c>
      <c r="C317" t="s">
        <v>11</v>
      </c>
      <c r="D317" t="s">
        <v>77</v>
      </c>
      <c r="E317" t="s">
        <v>34</v>
      </c>
      <c r="F317">
        <v>95</v>
      </c>
      <c r="G317" t="s">
        <v>56</v>
      </c>
      <c r="H317" s="9">
        <f t="shared" si="14"/>
        <v>10</v>
      </c>
      <c r="I317" cm="1">
        <f t="array" ref="I317">IFERROR(INDEX(CourseYardages[[Hole 1]:[Hole 18]],
  MATCH(1, (CourseYardages[Course]=C317)*(CourseYardages[Tees]=E317), 0),
  MATCH(G317, CourseYardages[[#Headers],[Hole 1]:[Hole 18]], 0)
),"")</f>
        <v>339</v>
      </c>
      <c r="J317" cm="1">
        <f t="array" ref="J317">IFERROR(INDEX(CourseHandicap[[Hole 1]:[Hole 18]],
  MATCH(1, (CourseHandicap[Course]=C317)*(CourseHandicap[Tees]=E317), 0),
  MATCH(G317, CourseHandicap[[#Headers],[Hole 1]:[Hole 18]], 0)
),"")</f>
        <v>12</v>
      </c>
      <c r="K317" cm="1">
        <f t="array" ref="K317">IFERROR(INDEX(CourseRatings[[Hole 1]:[Hole 18]],
  MATCH(1, (CourseRatings[Course]=C317)*(CourseRatings[Tees]=E317), 0),
  MATCH(G317, CourseRatings[[#Headers],[Hole 1]:[Hole 18]], 0)
),"")</f>
        <v>4</v>
      </c>
      <c r="L317" cm="1">
        <f t="array" ref="L317">IFERROR(
  INDEX('Golf Log'!$E$2:$V$72,
    MATCH(1,
      ('Golf Log'!$A$2:$A$72=$A317)*
      ('Golf Log'!$B$2:$B$72=$B317)*
      ('Golf Log'!$C$2:$C$72=$C317),
    0),
    MATCH($G317,'Golf Log'!$E$1:$V$1,0)
  ),
"")</f>
        <v>6</v>
      </c>
      <c r="M317">
        <f t="shared" si="13"/>
        <v>2</v>
      </c>
      <c r="N317" t="str">
        <f t="shared" si="15"/>
        <v>Double Bogey</v>
      </c>
      <c r="O317" cm="1">
        <f t="array" ref="O317">IFERROR(
  INDEX('Putt Log'!$E$2:$V$72,
    MATCH(1,
      ('Putt Log'!$A$2:$A$72=$A317)*
      ('Putt Log'!$B$2:$B$72=$B317)*
      ('Putt Log'!$C$2:$C$72=$C317),
    0),
    MATCH($G317,'Putt Log'!$E$1:$V$1,0)
  ),
"")</f>
        <v>2</v>
      </c>
      <c r="P317" cm="1">
        <f t="array" ref="P317">IF(K317=3,"",
  IFERROR(
    INDEX('Fairway Log'!$E$2:$V$72,
      MATCH(1,
        ('Fairway Log'!$A$2:$A$72=$A317)*
        ('Fairway Log'!$B$2:$B$72=$B317)*
        ('Fairway Log'!$C$2:$C388=$C317),
      0),
      MATCH($G317,'Fairway Log'!$E$1:$V$1,0)
    ),
  "")
)</f>
        <v>1</v>
      </c>
      <c r="Q317" t="str" cm="1">
        <f t="array" ref="Q317">IFERROR(
  INDEX('GIR Log'!$E$2:$V$72,
    MATCH(1,
      ('GIR Log'!$A$2:$A$72=$A317)*
      ('GIR Log'!$B$2:$B$72=$B317)*
      ('GIR Log'!$C$2:$C$72=$C317),
    0),
    MATCH($G317,'GIR Log'!$E$1:$V$1,0)
  ),
"")</f>
        <v>↑</v>
      </c>
    </row>
    <row r="318" spans="1:17" x14ac:dyDescent="0.25">
      <c r="A318" s="20" t="s">
        <v>126</v>
      </c>
      <c r="B318" s="2">
        <v>45453</v>
      </c>
      <c r="C318" t="s">
        <v>11</v>
      </c>
      <c r="D318" t="s">
        <v>77</v>
      </c>
      <c r="E318" t="s">
        <v>34</v>
      </c>
      <c r="F318">
        <v>95</v>
      </c>
      <c r="G318" t="s">
        <v>57</v>
      </c>
      <c r="H318" s="9">
        <f t="shared" si="14"/>
        <v>11</v>
      </c>
      <c r="I318" cm="1">
        <f t="array" ref="I318">IFERROR(INDEX(CourseYardages[[Hole 1]:[Hole 18]],
  MATCH(1, (CourseYardages[Course]=C318)*(CourseYardages[Tees]=E318), 0),
  MATCH(G318, CourseYardages[[#Headers],[Hole 1]:[Hole 18]], 0)
),"")</f>
        <v>157</v>
      </c>
      <c r="J318" cm="1">
        <f t="array" ref="J318">IFERROR(INDEX(CourseHandicap[[Hole 1]:[Hole 18]],
  MATCH(1, (CourseHandicap[Course]=C318)*(CourseHandicap[Tees]=E318), 0),
  MATCH(G318, CourseHandicap[[#Headers],[Hole 1]:[Hole 18]], 0)
),"")</f>
        <v>18</v>
      </c>
      <c r="K318" cm="1">
        <f t="array" ref="K318">IFERROR(INDEX(CourseRatings[[Hole 1]:[Hole 18]],
  MATCH(1, (CourseRatings[Course]=C318)*(CourseRatings[Tees]=E318), 0),
  MATCH(G318, CourseRatings[[#Headers],[Hole 1]:[Hole 18]], 0)
),"")</f>
        <v>3</v>
      </c>
      <c r="L318" cm="1">
        <f t="array" ref="L318">IFERROR(
  INDEX('Golf Log'!$E$2:$V$72,
    MATCH(1,
      ('Golf Log'!$A$2:$A$72=$A318)*
      ('Golf Log'!$B$2:$B$72=$B318)*
      ('Golf Log'!$C$2:$C$72=$C318),
    0),
    MATCH($G318,'Golf Log'!$E$1:$V$1,0)
  ),
"")</f>
        <v>5</v>
      </c>
      <c r="M318">
        <f t="shared" si="13"/>
        <v>2</v>
      </c>
      <c r="N318" t="str">
        <f t="shared" si="15"/>
        <v>Double Bogey</v>
      </c>
      <c r="O318" cm="1">
        <f t="array" ref="O318">IFERROR(
  INDEX('Putt Log'!$E$2:$V$72,
    MATCH(1,
      ('Putt Log'!$A$2:$A$72=$A318)*
      ('Putt Log'!$B$2:$B$72=$B318)*
      ('Putt Log'!$C$2:$C$72=$C318),
    0),
    MATCH($G318,'Putt Log'!$E$1:$V$1,0)
  ),
"")</f>
        <v>1</v>
      </c>
      <c r="P318" t="str" cm="1">
        <f t="array" ref="P318">IF(K318=3,"",
  IFERROR(
    INDEX('Fairway Log'!$E$2:$V$72,
      MATCH(1,
        ('Fairway Log'!$A$2:$A$72=$A318)*
        ('Fairway Log'!$B$2:$B$72=$B318)*
        ('Fairway Log'!$C$2:$C389=$C318),
      0),
      MATCH($G318,'Fairway Log'!$E$1:$V$1,0)
    ),
  "")
)</f>
        <v/>
      </c>
      <c r="Q318" t="str" cm="1">
        <f t="array" ref="Q318">IFERROR(
  INDEX('GIR Log'!$E$2:$V$72,
    MATCH(1,
      ('GIR Log'!$A$2:$A$72=$A318)*
      ('GIR Log'!$B$2:$B$72=$B318)*
      ('GIR Log'!$C$2:$C$72=$C318),
    0),
    MATCH($G318,'GIR Log'!$E$1:$V$1,0)
  ),
"")</f>
        <v>↓</v>
      </c>
    </row>
    <row r="319" spans="1:17" x14ac:dyDescent="0.25">
      <c r="A319" s="20" t="s">
        <v>126</v>
      </c>
      <c r="B319" s="2">
        <v>45453</v>
      </c>
      <c r="C319" t="s">
        <v>11</v>
      </c>
      <c r="D319" t="s">
        <v>77</v>
      </c>
      <c r="E319" t="s">
        <v>34</v>
      </c>
      <c r="F319">
        <v>95</v>
      </c>
      <c r="G319" t="s">
        <v>58</v>
      </c>
      <c r="H319" s="9">
        <f t="shared" si="14"/>
        <v>12</v>
      </c>
      <c r="I319" cm="1">
        <f t="array" ref="I319">IFERROR(INDEX(CourseYardages[[Hole 1]:[Hole 18]],
  MATCH(1, (CourseYardages[Course]=C319)*(CourseYardages[Tees]=E319), 0),
  MATCH(G319, CourseYardages[[#Headers],[Hole 1]:[Hole 18]], 0)
),"")</f>
        <v>363</v>
      </c>
      <c r="J319" cm="1">
        <f t="array" ref="J319">IFERROR(INDEX(CourseHandicap[[Hole 1]:[Hole 18]],
  MATCH(1, (CourseHandicap[Course]=C319)*(CourseHandicap[Tees]=E319), 0),
  MATCH(G319, CourseHandicap[[#Headers],[Hole 1]:[Hole 18]], 0)
),"")</f>
        <v>6</v>
      </c>
      <c r="K319" cm="1">
        <f t="array" ref="K319">IFERROR(INDEX(CourseRatings[[Hole 1]:[Hole 18]],
  MATCH(1, (CourseRatings[Course]=C319)*(CourseRatings[Tees]=E319), 0),
  MATCH(G319, CourseRatings[[#Headers],[Hole 1]:[Hole 18]], 0)
),"")</f>
        <v>4</v>
      </c>
      <c r="L319" cm="1">
        <f t="array" ref="L319">IFERROR(
  INDEX('Golf Log'!$E$2:$V$72,
    MATCH(1,
      ('Golf Log'!$A$2:$A$72=$A319)*
      ('Golf Log'!$B$2:$B$72=$B319)*
      ('Golf Log'!$C$2:$C$72=$C319),
    0),
    MATCH($G319,'Golf Log'!$E$1:$V$1,0)
  ),
"")</f>
        <v>5</v>
      </c>
      <c r="M319">
        <f t="shared" si="13"/>
        <v>1</v>
      </c>
      <c r="N319" t="str">
        <f t="shared" si="15"/>
        <v>Bogey</v>
      </c>
      <c r="O319" cm="1">
        <f t="array" ref="O319">IFERROR(
  INDEX('Putt Log'!$E$2:$V$72,
    MATCH(1,
      ('Putt Log'!$A$2:$A$72=$A319)*
      ('Putt Log'!$B$2:$B$72=$B319)*
      ('Putt Log'!$C$2:$C$72=$C319),
    0),
    MATCH($G319,'Putt Log'!$E$1:$V$1,0)
  ),
"")</f>
        <v>2</v>
      </c>
      <c r="P319" t="str" cm="1">
        <f t="array" ref="P319">IF(K319=3,"",
  IFERROR(
    INDEX('Fairway Log'!$E$2:$V$72,
      MATCH(1,
        ('Fairway Log'!$A$2:$A$72=$A319)*
        ('Fairway Log'!$B$2:$B$72=$B319)*
        ('Fairway Log'!$C$2:$C390=$C319),
      0),
      MATCH($G319,'Fairway Log'!$E$1:$V$1,0)
    ),
  "")
)</f>
        <v>→</v>
      </c>
      <c r="Q319" cm="1">
        <f t="array" ref="Q319">IFERROR(
  INDEX('GIR Log'!$E$2:$V$72,
    MATCH(1,
      ('GIR Log'!$A$2:$A$72=$A319)*
      ('GIR Log'!$B$2:$B$72=$B319)*
      ('GIR Log'!$C$2:$C$72=$C319),
    0),
    MATCH($G319,'GIR Log'!$E$1:$V$1,0)
  ),
"")</f>
        <v>1</v>
      </c>
    </row>
    <row r="320" spans="1:17" x14ac:dyDescent="0.25">
      <c r="A320" s="20" t="s">
        <v>126</v>
      </c>
      <c r="B320" s="2">
        <v>45453</v>
      </c>
      <c r="C320" t="s">
        <v>11</v>
      </c>
      <c r="D320" t="s">
        <v>77</v>
      </c>
      <c r="E320" t="s">
        <v>34</v>
      </c>
      <c r="F320">
        <v>95</v>
      </c>
      <c r="G320" t="s">
        <v>59</v>
      </c>
      <c r="H320" s="9">
        <f t="shared" si="14"/>
        <v>13</v>
      </c>
      <c r="I320" cm="1">
        <f t="array" ref="I320">IFERROR(INDEX(CourseYardages[[Hole 1]:[Hole 18]],
  MATCH(1, (CourseYardages[Course]=C320)*(CourseYardages[Tees]=E320), 0),
  MATCH(G320, CourseYardages[[#Headers],[Hole 1]:[Hole 18]], 0)
),"")</f>
        <v>555</v>
      </c>
      <c r="J320" cm="1">
        <f t="array" ref="J320">IFERROR(INDEX(CourseHandicap[[Hole 1]:[Hole 18]],
  MATCH(1, (CourseHandicap[Course]=C320)*(CourseHandicap[Tees]=E320), 0),
  MATCH(G320, CourseHandicap[[#Headers],[Hole 1]:[Hole 18]], 0)
),"")</f>
        <v>4</v>
      </c>
      <c r="K320" cm="1">
        <f t="array" ref="K320">IFERROR(INDEX(CourseRatings[[Hole 1]:[Hole 18]],
  MATCH(1, (CourseRatings[Course]=C320)*(CourseRatings[Tees]=E320), 0),
  MATCH(G320, CourseRatings[[#Headers],[Hole 1]:[Hole 18]], 0)
),"")</f>
        <v>5</v>
      </c>
      <c r="L320" cm="1">
        <f t="array" ref="L320">IFERROR(
  INDEX('Golf Log'!$E$2:$V$72,
    MATCH(1,
      ('Golf Log'!$A$2:$A$72=$A320)*
      ('Golf Log'!$B$2:$B$72=$B320)*
      ('Golf Log'!$C$2:$C$72=$C320),
    0),
    MATCH($G320,'Golf Log'!$E$1:$V$1,0)
  ),
"")</f>
        <v>5</v>
      </c>
      <c r="M320">
        <f t="shared" si="13"/>
        <v>0</v>
      </c>
      <c r="N320" t="str">
        <f t="shared" si="15"/>
        <v>Par</v>
      </c>
      <c r="O320" cm="1">
        <f t="array" ref="O320">IFERROR(
  INDEX('Putt Log'!$E$2:$V$72,
    MATCH(1,
      ('Putt Log'!$A$2:$A$72=$A320)*
      ('Putt Log'!$B$2:$B$72=$B320)*
      ('Putt Log'!$C$2:$C$72=$C320),
    0),
    MATCH($G320,'Putt Log'!$E$1:$V$1,0)
  ),
"")</f>
        <v>2</v>
      </c>
      <c r="P320" t="str" cm="1">
        <f t="array" ref="P320">IF(K320=3,"",
  IFERROR(
    INDEX('Fairway Log'!$E$2:$V$72,
      MATCH(1,
        ('Fairway Log'!$A$2:$A$72=$A320)*
        ('Fairway Log'!$B$2:$B$72=$B320)*
        ('Fairway Log'!$C$2:$C391=$C320),
      0),
      MATCH($G320,'Fairway Log'!$E$1:$V$1,0)
    ),
  "")
)</f>
        <v>↓</v>
      </c>
      <c r="Q320" cm="1">
        <f t="array" ref="Q320">IFERROR(
  INDEX('GIR Log'!$E$2:$V$72,
    MATCH(1,
      ('GIR Log'!$A$2:$A$72=$A320)*
      ('GIR Log'!$B$2:$B$72=$B320)*
      ('GIR Log'!$C$2:$C$72=$C320),
    0),
    MATCH($G320,'GIR Log'!$E$1:$V$1,0)
  ),
"")</f>
        <v>1</v>
      </c>
    </row>
    <row r="321" spans="1:17" x14ac:dyDescent="0.25">
      <c r="A321" s="20" t="s">
        <v>126</v>
      </c>
      <c r="B321" s="2">
        <v>45453</v>
      </c>
      <c r="C321" t="s">
        <v>11</v>
      </c>
      <c r="D321" t="s">
        <v>77</v>
      </c>
      <c r="E321" t="s">
        <v>34</v>
      </c>
      <c r="F321">
        <v>95</v>
      </c>
      <c r="G321" t="s">
        <v>60</v>
      </c>
      <c r="H321" s="9">
        <f t="shared" si="14"/>
        <v>14</v>
      </c>
      <c r="I321" cm="1">
        <f t="array" ref="I321">IFERROR(INDEX(CourseYardages[[Hole 1]:[Hole 18]],
  MATCH(1, (CourseYardages[Course]=C321)*(CourseYardages[Tees]=E321), 0),
  MATCH(G321, CourseYardages[[#Headers],[Hole 1]:[Hole 18]], 0)
),"")</f>
        <v>172</v>
      </c>
      <c r="J321" cm="1">
        <f t="array" ref="J321">IFERROR(INDEX(CourseHandicap[[Hole 1]:[Hole 18]],
  MATCH(1, (CourseHandicap[Course]=C321)*(CourseHandicap[Tees]=E321), 0),
  MATCH(G321, CourseHandicap[[#Headers],[Hole 1]:[Hole 18]], 0)
),"")</f>
        <v>14</v>
      </c>
      <c r="K321" cm="1">
        <f t="array" ref="K321">IFERROR(INDEX(CourseRatings[[Hole 1]:[Hole 18]],
  MATCH(1, (CourseRatings[Course]=C321)*(CourseRatings[Tees]=E321), 0),
  MATCH(G321, CourseRatings[[#Headers],[Hole 1]:[Hole 18]], 0)
),"")</f>
        <v>3</v>
      </c>
      <c r="L321" cm="1">
        <f t="array" ref="L321">IFERROR(
  INDEX('Golf Log'!$E$2:$V$72,
    MATCH(1,
      ('Golf Log'!$A$2:$A$72=$A321)*
      ('Golf Log'!$B$2:$B$72=$B321)*
      ('Golf Log'!$C$2:$C$72=$C321),
    0),
    MATCH($G321,'Golf Log'!$E$1:$V$1,0)
  ),
"")</f>
        <v>3</v>
      </c>
      <c r="M321">
        <f t="shared" ref="M321:M384" si="16">IFERROR(L321-K321,"")</f>
        <v>0</v>
      </c>
      <c r="N321" t="str">
        <f t="shared" si="15"/>
        <v>Par</v>
      </c>
      <c r="O321" cm="1">
        <f t="array" ref="O321">IFERROR(
  INDEX('Putt Log'!$E$2:$V$72,
    MATCH(1,
      ('Putt Log'!$A$2:$A$72=$A321)*
      ('Putt Log'!$B$2:$B$72=$B321)*
      ('Putt Log'!$C$2:$C$72=$C321),
    0),
    MATCH($G321,'Putt Log'!$E$1:$V$1,0)
  ),
"")</f>
        <v>1</v>
      </c>
      <c r="P321" t="str" cm="1">
        <f t="array" ref="P321">IF(K321=3,"",
  IFERROR(
    INDEX('Fairway Log'!$E$2:$V$72,
      MATCH(1,
        ('Fairway Log'!$A$2:$A$72=$A321)*
        ('Fairway Log'!$B$2:$B$72=$B321)*
        ('Fairway Log'!$C$2:$C392=$C321),
      0),
      MATCH($G321,'Fairway Log'!$E$1:$V$1,0)
    ),
  "")
)</f>
        <v/>
      </c>
      <c r="Q321" t="str" cm="1">
        <f t="array" ref="Q321">IFERROR(
  INDEX('GIR Log'!$E$2:$V$72,
    MATCH(1,
      ('GIR Log'!$A$2:$A$72=$A321)*
      ('GIR Log'!$B$2:$B$72=$B321)*
      ('GIR Log'!$C$2:$C$72=$C321),
    0),
    MATCH($G321,'GIR Log'!$E$1:$V$1,0)
  ),
"")</f>
        <v>↓</v>
      </c>
    </row>
    <row r="322" spans="1:17" x14ac:dyDescent="0.25">
      <c r="A322" s="20" t="s">
        <v>126</v>
      </c>
      <c r="B322" s="2">
        <v>45453</v>
      </c>
      <c r="C322" t="s">
        <v>11</v>
      </c>
      <c r="D322" t="s">
        <v>77</v>
      </c>
      <c r="E322" t="s">
        <v>34</v>
      </c>
      <c r="F322">
        <v>95</v>
      </c>
      <c r="G322" t="s">
        <v>61</v>
      </c>
      <c r="H322" s="9">
        <f t="shared" si="14"/>
        <v>15</v>
      </c>
      <c r="I322" cm="1">
        <f t="array" ref="I322">IFERROR(INDEX(CourseYardages[[Hole 1]:[Hole 18]],
  MATCH(1, (CourseYardages[Course]=C322)*(CourseYardages[Tees]=E322), 0),
  MATCH(G322, CourseYardages[[#Headers],[Hole 1]:[Hole 18]], 0)
),"")</f>
        <v>527</v>
      </c>
      <c r="J322" cm="1">
        <f t="array" ref="J322">IFERROR(INDEX(CourseHandicap[[Hole 1]:[Hole 18]],
  MATCH(1, (CourseHandicap[Course]=C322)*(CourseHandicap[Tees]=E322), 0),
  MATCH(G322, CourseHandicap[[#Headers],[Hole 1]:[Hole 18]], 0)
),"")</f>
        <v>2</v>
      </c>
      <c r="K322" cm="1">
        <f t="array" ref="K322">IFERROR(INDEX(CourseRatings[[Hole 1]:[Hole 18]],
  MATCH(1, (CourseRatings[Course]=C322)*(CourseRatings[Tees]=E322), 0),
  MATCH(G322, CourseRatings[[#Headers],[Hole 1]:[Hole 18]], 0)
),"")</f>
        <v>5</v>
      </c>
      <c r="L322" cm="1">
        <f t="array" ref="L322">IFERROR(
  INDEX('Golf Log'!$E$2:$V$72,
    MATCH(1,
      ('Golf Log'!$A$2:$A$72=$A322)*
      ('Golf Log'!$B$2:$B$72=$B322)*
      ('Golf Log'!$C$2:$C$72=$C322),
    0),
    MATCH($G322,'Golf Log'!$E$1:$V$1,0)
  ),
"")</f>
        <v>7</v>
      </c>
      <c r="M322">
        <f t="shared" si="16"/>
        <v>2</v>
      </c>
      <c r="N322" t="str">
        <f t="shared" si="15"/>
        <v>Double Bogey</v>
      </c>
      <c r="O322" cm="1">
        <f t="array" ref="O322">IFERROR(
  INDEX('Putt Log'!$E$2:$V$72,
    MATCH(1,
      ('Putt Log'!$A$2:$A$72=$A322)*
      ('Putt Log'!$B$2:$B$72=$B322)*
      ('Putt Log'!$C$2:$C$72=$C322),
    0),
    MATCH($G322,'Putt Log'!$E$1:$V$1,0)
  ),
"")</f>
        <v>2</v>
      </c>
      <c r="P322" t="str" cm="1">
        <f t="array" ref="P322">IF(K322=3,"",
  IFERROR(
    INDEX('Fairway Log'!$E$2:$V$72,
      MATCH(1,
        ('Fairway Log'!$A$2:$A$72=$A322)*
        ('Fairway Log'!$B$2:$B$72=$B322)*
        ('Fairway Log'!$C$2:$C393=$C322),
      0),
      MATCH($G322,'Fairway Log'!$E$1:$V$1,0)
    ),
  "")
)</f>
        <v>→</v>
      </c>
      <c r="Q322" t="str" cm="1">
        <f t="array" ref="Q322">IFERROR(
  INDEX('GIR Log'!$E$2:$V$72,
    MATCH(1,
      ('GIR Log'!$A$2:$A$72=$A322)*
      ('GIR Log'!$B$2:$B$72=$B322)*
      ('GIR Log'!$C$2:$C$72=$C322),
    0),
    MATCH($G322,'GIR Log'!$E$1:$V$1,0)
  ),
"")</f>
        <v>↓</v>
      </c>
    </row>
    <row r="323" spans="1:17" x14ac:dyDescent="0.25">
      <c r="A323" s="20" t="s">
        <v>126</v>
      </c>
      <c r="B323" s="2">
        <v>45453</v>
      </c>
      <c r="C323" t="s">
        <v>11</v>
      </c>
      <c r="D323" t="s">
        <v>77</v>
      </c>
      <c r="E323" t="s">
        <v>34</v>
      </c>
      <c r="F323">
        <v>95</v>
      </c>
      <c r="G323" t="s">
        <v>62</v>
      </c>
      <c r="H323" s="9">
        <f t="shared" ref="H323:H386" si="17">VALUE(RIGHT(G323, LEN(G323) - 5))</f>
        <v>16</v>
      </c>
      <c r="I323" cm="1">
        <f t="array" ref="I323">IFERROR(INDEX(CourseYardages[[Hole 1]:[Hole 18]],
  MATCH(1, (CourseYardages[Course]=C323)*(CourseYardages[Tees]=E323), 0),
  MATCH(G323, CourseYardages[[#Headers],[Hole 1]:[Hole 18]], 0)
),"")</f>
        <v>137</v>
      </c>
      <c r="J323" cm="1">
        <f t="array" ref="J323">IFERROR(INDEX(CourseHandicap[[Hole 1]:[Hole 18]],
  MATCH(1, (CourseHandicap[Course]=C323)*(CourseHandicap[Tees]=E323), 0),
  MATCH(G323, CourseHandicap[[#Headers],[Hole 1]:[Hole 18]], 0)
),"")</f>
        <v>16</v>
      </c>
      <c r="K323" cm="1">
        <f t="array" ref="K323">IFERROR(INDEX(CourseRatings[[Hole 1]:[Hole 18]],
  MATCH(1, (CourseRatings[Course]=C323)*(CourseRatings[Tees]=E323), 0),
  MATCH(G323, CourseRatings[[#Headers],[Hole 1]:[Hole 18]], 0)
),"")</f>
        <v>3</v>
      </c>
      <c r="L323" cm="1">
        <f t="array" ref="L323">IFERROR(
  INDEX('Golf Log'!$E$2:$V$72,
    MATCH(1,
      ('Golf Log'!$A$2:$A$72=$A323)*
      ('Golf Log'!$B$2:$B$72=$B323)*
      ('Golf Log'!$C$2:$C$72=$C323),
    0),
    MATCH($G323,'Golf Log'!$E$1:$V$1,0)
  ),
"")</f>
        <v>4</v>
      </c>
      <c r="M323">
        <f t="shared" si="16"/>
        <v>1</v>
      </c>
      <c r="N323" t="str">
        <f t="shared" si="15"/>
        <v>Bogey</v>
      </c>
      <c r="O323" cm="1">
        <f t="array" ref="O323">IFERROR(
  INDEX('Putt Log'!$E$2:$V$72,
    MATCH(1,
      ('Putt Log'!$A$2:$A$72=$A323)*
      ('Putt Log'!$B$2:$B$72=$B323)*
      ('Putt Log'!$C$2:$C$72=$C323),
    0),
    MATCH($G323,'Putt Log'!$E$1:$V$1,0)
  ),
"")</f>
        <v>2</v>
      </c>
      <c r="P323" t="str" cm="1">
        <f t="array" ref="P323">IF(K323=3,"",
  IFERROR(
    INDEX('Fairway Log'!$E$2:$V$72,
      MATCH(1,
        ('Fairway Log'!$A$2:$A$72=$A323)*
        ('Fairway Log'!$B$2:$B$72=$B323)*
        ('Fairway Log'!$C$2:$C394=$C323),
      0),
      MATCH($G323,'Fairway Log'!$E$1:$V$1,0)
    ),
  "")
)</f>
        <v/>
      </c>
      <c r="Q323" t="str" cm="1">
        <f t="array" ref="Q323">IFERROR(
  INDEX('GIR Log'!$E$2:$V$72,
    MATCH(1,
      ('GIR Log'!$A$2:$A$72=$A323)*
      ('GIR Log'!$B$2:$B$72=$B323)*
      ('GIR Log'!$C$2:$C$72=$C323),
    0),
    MATCH($G323,'GIR Log'!$E$1:$V$1,0)
  ),
"")</f>
        <v>↑</v>
      </c>
    </row>
    <row r="324" spans="1:17" x14ac:dyDescent="0.25">
      <c r="A324" s="20" t="s">
        <v>126</v>
      </c>
      <c r="B324" s="2">
        <v>45453</v>
      </c>
      <c r="C324" t="s">
        <v>11</v>
      </c>
      <c r="D324" t="s">
        <v>77</v>
      </c>
      <c r="E324" t="s">
        <v>34</v>
      </c>
      <c r="F324">
        <v>95</v>
      </c>
      <c r="G324" t="s">
        <v>63</v>
      </c>
      <c r="H324" s="9">
        <f t="shared" si="17"/>
        <v>17</v>
      </c>
      <c r="I324" cm="1">
        <f t="array" ref="I324">IFERROR(INDEX(CourseYardages[[Hole 1]:[Hole 18]],
  MATCH(1, (CourseYardages[Course]=C324)*(CourseYardages[Tees]=E324), 0),
  MATCH(G324, CourseYardages[[#Headers],[Hole 1]:[Hole 18]], 0)
),"")</f>
        <v>394</v>
      </c>
      <c r="J324" cm="1">
        <f t="array" ref="J324">IFERROR(INDEX(CourseHandicap[[Hole 1]:[Hole 18]],
  MATCH(1, (CourseHandicap[Course]=C324)*(CourseHandicap[Tees]=E324), 0),
  MATCH(G324, CourseHandicap[[#Headers],[Hole 1]:[Hole 18]], 0)
),"")</f>
        <v>8</v>
      </c>
      <c r="K324" cm="1">
        <f t="array" ref="K324">IFERROR(INDEX(CourseRatings[[Hole 1]:[Hole 18]],
  MATCH(1, (CourseRatings[Course]=C324)*(CourseRatings[Tees]=E324), 0),
  MATCH(G324, CourseRatings[[#Headers],[Hole 1]:[Hole 18]], 0)
),"")</f>
        <v>4</v>
      </c>
      <c r="L324" cm="1">
        <f t="array" ref="L324">IFERROR(
  INDEX('Golf Log'!$E$2:$V$72,
    MATCH(1,
      ('Golf Log'!$A$2:$A$72=$A324)*
      ('Golf Log'!$B$2:$B$72=$B324)*
      ('Golf Log'!$C$2:$C$72=$C324),
    0),
    MATCH($G324,'Golf Log'!$E$1:$V$1,0)
  ),
"")</f>
        <v>5</v>
      </c>
      <c r="M324">
        <f t="shared" si="16"/>
        <v>1</v>
      </c>
      <c r="N324" t="str">
        <f t="shared" si="15"/>
        <v>Bogey</v>
      </c>
      <c r="O324" cm="1">
        <f t="array" ref="O324">IFERROR(
  INDEX('Putt Log'!$E$2:$V$72,
    MATCH(1,
      ('Putt Log'!$A$2:$A$72=$A324)*
      ('Putt Log'!$B$2:$B$72=$B324)*
      ('Putt Log'!$C$2:$C$72=$C324),
    0),
    MATCH($G324,'Putt Log'!$E$1:$V$1,0)
  ),
"")</f>
        <v>2</v>
      </c>
      <c r="P324" cm="1">
        <f t="array" ref="P324">IF(K324=3,"",
  IFERROR(
    INDEX('Fairway Log'!$E$2:$V$72,
      MATCH(1,
        ('Fairway Log'!$A$2:$A$72=$A324)*
        ('Fairway Log'!$B$2:$B$72=$B324)*
        ('Fairway Log'!$C$2:$C395=$C324),
      0),
      MATCH($G324,'Fairway Log'!$E$1:$V$1,0)
    ),
  "")
)</f>
        <v>1</v>
      </c>
      <c r="Q324" t="str" cm="1">
        <f t="array" ref="Q324">IFERROR(
  INDEX('GIR Log'!$E$2:$V$72,
    MATCH(1,
      ('GIR Log'!$A$2:$A$72=$A324)*
      ('GIR Log'!$B$2:$B$72=$B324)*
      ('GIR Log'!$C$2:$C$72=$C324),
    0),
    MATCH($G324,'GIR Log'!$E$1:$V$1,0)
  ),
"")</f>
        <v>↑</v>
      </c>
    </row>
    <row r="325" spans="1:17" x14ac:dyDescent="0.25">
      <c r="A325" s="20" t="s">
        <v>126</v>
      </c>
      <c r="B325" s="2">
        <v>45453</v>
      </c>
      <c r="C325" t="s">
        <v>11</v>
      </c>
      <c r="D325" t="s">
        <v>77</v>
      </c>
      <c r="E325" t="s">
        <v>34</v>
      </c>
      <c r="F325">
        <v>95</v>
      </c>
      <c r="G325" t="s">
        <v>64</v>
      </c>
      <c r="H325" s="9">
        <f t="shared" si="17"/>
        <v>18</v>
      </c>
      <c r="I325" cm="1">
        <f t="array" ref="I325">IFERROR(INDEX(CourseYardages[[Hole 1]:[Hole 18]],
  MATCH(1, (CourseYardages[Course]=C325)*(CourseYardages[Tees]=E325), 0),
  MATCH(G325, CourseYardages[[#Headers],[Hole 1]:[Hole 18]], 0)
),"")</f>
        <v>385</v>
      </c>
      <c r="J325" cm="1">
        <f t="array" ref="J325">IFERROR(INDEX(CourseHandicap[[Hole 1]:[Hole 18]],
  MATCH(1, (CourseHandicap[Course]=C325)*(CourseHandicap[Tees]=E325), 0),
  MATCH(G325, CourseHandicap[[#Headers],[Hole 1]:[Hole 18]], 0)
),"")</f>
        <v>10</v>
      </c>
      <c r="K325" cm="1">
        <f t="array" ref="K325">IFERROR(INDEX(CourseRatings[[Hole 1]:[Hole 18]],
  MATCH(1, (CourseRatings[Course]=C325)*(CourseRatings[Tees]=E325), 0),
  MATCH(G325, CourseRatings[[#Headers],[Hole 1]:[Hole 18]], 0)
),"")</f>
        <v>4</v>
      </c>
      <c r="L325" cm="1">
        <f t="array" ref="L325">IFERROR(
  INDEX('Golf Log'!$E$2:$V$72,
    MATCH(1,
      ('Golf Log'!$A$2:$A$72=$A325)*
      ('Golf Log'!$B$2:$B$72=$B325)*
      ('Golf Log'!$C$2:$C$72=$C325),
    0),
    MATCH($G325,'Golf Log'!$E$1:$V$1,0)
  ),
"")</f>
        <v>6</v>
      </c>
      <c r="M325">
        <f t="shared" si="16"/>
        <v>2</v>
      </c>
      <c r="N325" t="str">
        <f t="shared" si="15"/>
        <v>Double Bogey</v>
      </c>
      <c r="O325" cm="1">
        <f t="array" ref="O325">IFERROR(
  INDEX('Putt Log'!$E$2:$V$72,
    MATCH(1,
      ('Putt Log'!$A$2:$A$72=$A325)*
      ('Putt Log'!$B$2:$B$72=$B325)*
      ('Putt Log'!$C$2:$C$72=$C325),
    0),
    MATCH($G325,'Putt Log'!$E$1:$V$1,0)
  ),
"")</f>
        <v>3</v>
      </c>
      <c r="P325" t="str" cm="1">
        <f t="array" ref="P325">IF(K325=3,"",
  IFERROR(
    INDEX('Fairway Log'!$E$2:$V$72,
      MATCH(1,
        ('Fairway Log'!$A$2:$A$72=$A325)*
        ('Fairway Log'!$B$2:$B$72=$B325)*
        ('Fairway Log'!$C$2:$C396=$C325),
      0),
      MATCH($G325,'Fairway Log'!$E$1:$V$1,0)
    ),
  "")
)</f>
        <v>→</v>
      </c>
      <c r="Q325" t="str" cm="1">
        <f t="array" ref="Q325">IFERROR(
  INDEX('GIR Log'!$E$2:$V$72,
    MATCH(1,
      ('GIR Log'!$A$2:$A$72=$A325)*
      ('GIR Log'!$B$2:$B$72=$B325)*
      ('GIR Log'!$C$2:$C$72=$C325),
    0),
    MATCH($G325,'GIR Log'!$E$1:$V$1,0)
  ),
"")</f>
        <v>↓</v>
      </c>
    </row>
    <row r="326" spans="1:17" x14ac:dyDescent="0.25">
      <c r="A326" s="20" t="s">
        <v>126</v>
      </c>
      <c r="B326" s="2">
        <v>45443</v>
      </c>
      <c r="C326" t="s">
        <v>3</v>
      </c>
      <c r="D326" t="s">
        <v>3</v>
      </c>
      <c r="E326" t="s">
        <v>34</v>
      </c>
      <c r="F326">
        <v>88</v>
      </c>
      <c r="G326" t="s">
        <v>47</v>
      </c>
      <c r="H326" s="9">
        <f t="shared" si="17"/>
        <v>1</v>
      </c>
      <c r="I326" cm="1">
        <f t="array" ref="I326">IFERROR(INDEX(CourseYardages[[Hole 1]:[Hole 18]],
  MATCH(1, (CourseYardages[Course]=C326)*(CourseYardages[Tees]=E326), 0),
  MATCH(G326, CourseYardages[[#Headers],[Hole 1]:[Hole 18]], 0)
),"")</f>
        <v>354</v>
      </c>
      <c r="J326" cm="1">
        <f t="array" ref="J326">IFERROR(INDEX(CourseHandicap[[Hole 1]:[Hole 18]],
  MATCH(1, (CourseHandicap[Course]=C326)*(CourseHandicap[Tees]=E326), 0),
  MATCH(G326, CourseHandicap[[#Headers],[Hole 1]:[Hole 18]], 0)
),"")</f>
        <v>15</v>
      </c>
      <c r="K326" cm="1">
        <f t="array" ref="K326">IFERROR(INDEX(CourseRatings[[Hole 1]:[Hole 18]],
  MATCH(1, (CourseRatings[Course]=C326)*(CourseRatings[Tees]=E326), 0),
  MATCH(G326, CourseRatings[[#Headers],[Hole 1]:[Hole 18]], 0)
),"")</f>
        <v>4</v>
      </c>
      <c r="L326" cm="1">
        <f t="array" ref="L326">IFERROR(
  INDEX('Golf Log'!$E$2:$V$72,
    MATCH(1,
      ('Golf Log'!$A$2:$A$72=$A326)*
      ('Golf Log'!$B$2:$B$72=$B326)*
      ('Golf Log'!$C$2:$C$72=$C326),
    0),
    MATCH($G326,'Golf Log'!$E$1:$V$1,0)
  ),
"")</f>
        <v>5</v>
      </c>
      <c r="M326">
        <f t="shared" si="16"/>
        <v>1</v>
      </c>
      <c r="N326" t="str">
        <f t="shared" si="15"/>
        <v>Bogey</v>
      </c>
      <c r="O326" cm="1">
        <f t="array" ref="O326">IFERROR(
  INDEX('Putt Log'!$E$2:$V$72,
    MATCH(1,
      ('Putt Log'!$A$2:$A$72=$A326)*
      ('Putt Log'!$B$2:$B$72=$B326)*
      ('Putt Log'!$C$2:$C$72=$C326),
    0),
    MATCH($G326,'Putt Log'!$E$1:$V$1,0)
  ),
"")</f>
        <v>2</v>
      </c>
      <c r="P326" cm="1">
        <f t="array" ref="P326">IF(K326=3,"",
  IFERROR(
    INDEX('Fairway Log'!$E$2:$V$72,
      MATCH(1,
        ('Fairway Log'!$A$2:$A$72=$A326)*
        ('Fairway Log'!$B$2:$B$72=$B326)*
        ('Fairway Log'!$C$2:$C397=$C326),
      0),
      MATCH($G326,'Fairway Log'!$E$1:$V$1,0)
    ),
  "")
)</f>
        <v>1</v>
      </c>
      <c r="Q326" t="str" cm="1">
        <f t="array" ref="Q326">IFERROR(
  INDEX('GIR Log'!$E$2:$V$72,
    MATCH(1,
      ('GIR Log'!$A$2:$A$72=$A326)*
      ('GIR Log'!$B$2:$B$72=$B326)*
      ('GIR Log'!$C$2:$C$72=$C326),
    0),
    MATCH($G326,'GIR Log'!$E$1:$V$1,0)
  ),
"")</f>
        <v>↓</v>
      </c>
    </row>
    <row r="327" spans="1:17" x14ac:dyDescent="0.25">
      <c r="A327" s="20" t="s">
        <v>126</v>
      </c>
      <c r="B327" s="2">
        <v>45443</v>
      </c>
      <c r="C327" t="s">
        <v>3</v>
      </c>
      <c r="D327" t="s">
        <v>3</v>
      </c>
      <c r="E327" t="s">
        <v>34</v>
      </c>
      <c r="F327">
        <v>88</v>
      </c>
      <c r="G327" t="s">
        <v>48</v>
      </c>
      <c r="H327" s="9">
        <f t="shared" si="17"/>
        <v>2</v>
      </c>
      <c r="I327" cm="1">
        <f t="array" ref="I327">IFERROR(INDEX(CourseYardages[[Hole 1]:[Hole 18]],
  MATCH(1, (CourseYardages[Course]=C327)*(CourseYardages[Tees]=E327), 0),
  MATCH(G327, CourseYardages[[#Headers],[Hole 1]:[Hole 18]], 0)
),"")</f>
        <v>380</v>
      </c>
      <c r="J327" cm="1">
        <f t="array" ref="J327">IFERROR(INDEX(CourseHandicap[[Hole 1]:[Hole 18]],
  MATCH(1, (CourseHandicap[Course]=C327)*(CourseHandicap[Tees]=E327), 0),
  MATCH(G327, CourseHandicap[[#Headers],[Hole 1]:[Hole 18]], 0)
),"")</f>
        <v>3</v>
      </c>
      <c r="K327" cm="1">
        <f t="array" ref="K327">IFERROR(INDEX(CourseRatings[[Hole 1]:[Hole 18]],
  MATCH(1, (CourseRatings[Course]=C327)*(CourseRatings[Tees]=E327), 0),
  MATCH(G327, CourseRatings[[#Headers],[Hole 1]:[Hole 18]], 0)
),"")</f>
        <v>4</v>
      </c>
      <c r="L327" cm="1">
        <f t="array" ref="L327">IFERROR(
  INDEX('Golf Log'!$E$2:$V$72,
    MATCH(1,
      ('Golf Log'!$A$2:$A$72=$A327)*
      ('Golf Log'!$B$2:$B$72=$B327)*
      ('Golf Log'!$C$2:$C$72=$C327),
    0),
    MATCH($G327,'Golf Log'!$E$1:$V$1,0)
  ),
"")</f>
        <v>6</v>
      </c>
      <c r="M327">
        <f t="shared" si="16"/>
        <v>2</v>
      </c>
      <c r="N327" t="str">
        <f t="shared" si="15"/>
        <v>Double Bogey</v>
      </c>
      <c r="O327" cm="1">
        <f t="array" ref="O327">IFERROR(
  INDEX('Putt Log'!$E$2:$V$72,
    MATCH(1,
      ('Putt Log'!$A$2:$A$72=$A327)*
      ('Putt Log'!$B$2:$B$72=$B327)*
      ('Putt Log'!$C$2:$C$72=$C327),
    0),
    MATCH($G327,'Putt Log'!$E$1:$V$1,0)
  ),
"")</f>
        <v>2</v>
      </c>
      <c r="P327" t="str" cm="1">
        <f t="array" ref="P327">IF(K327=3,"",
  IFERROR(
    INDEX('Fairway Log'!$E$2:$V$72,
      MATCH(1,
        ('Fairway Log'!$A$2:$A$72=$A327)*
        ('Fairway Log'!$B$2:$B$72=$B327)*
        ('Fairway Log'!$C$2:$C398=$C327),
      0),
      MATCH($G327,'Fairway Log'!$E$1:$V$1,0)
    ),
  "")
)</f>
        <v>→</v>
      </c>
      <c r="Q327" t="str" cm="1">
        <f t="array" ref="Q327">IFERROR(
  INDEX('GIR Log'!$E$2:$V$72,
    MATCH(1,
      ('GIR Log'!$A$2:$A$72=$A327)*
      ('GIR Log'!$B$2:$B$72=$B327)*
      ('GIR Log'!$C$2:$C$72=$C327),
    0),
    MATCH($G327,'GIR Log'!$E$1:$V$1,0)
  ),
"")</f>
        <v>↑</v>
      </c>
    </row>
    <row r="328" spans="1:17" x14ac:dyDescent="0.25">
      <c r="A328" s="20" t="s">
        <v>126</v>
      </c>
      <c r="B328" s="2">
        <v>45443</v>
      </c>
      <c r="C328" t="s">
        <v>3</v>
      </c>
      <c r="D328" t="s">
        <v>3</v>
      </c>
      <c r="E328" t="s">
        <v>34</v>
      </c>
      <c r="F328">
        <v>88</v>
      </c>
      <c r="G328" t="s">
        <v>49</v>
      </c>
      <c r="H328" s="9">
        <f t="shared" si="17"/>
        <v>3</v>
      </c>
      <c r="I328" cm="1">
        <f t="array" ref="I328">IFERROR(INDEX(CourseYardages[[Hole 1]:[Hole 18]],
  MATCH(1, (CourseYardages[Course]=C328)*(CourseYardages[Tees]=E328), 0),
  MATCH(G328, CourseYardages[[#Headers],[Hole 1]:[Hole 18]], 0)
),"")</f>
        <v>153</v>
      </c>
      <c r="J328" cm="1">
        <f t="array" ref="J328">IFERROR(INDEX(CourseHandicap[[Hole 1]:[Hole 18]],
  MATCH(1, (CourseHandicap[Course]=C328)*(CourseHandicap[Tees]=E328), 0),
  MATCH(G328, CourseHandicap[[#Headers],[Hole 1]:[Hole 18]], 0)
),"")</f>
        <v>17</v>
      </c>
      <c r="K328" cm="1">
        <f t="array" ref="K328">IFERROR(INDEX(CourseRatings[[Hole 1]:[Hole 18]],
  MATCH(1, (CourseRatings[Course]=C328)*(CourseRatings[Tees]=E328), 0),
  MATCH(G328, CourseRatings[[#Headers],[Hole 1]:[Hole 18]], 0)
),"")</f>
        <v>3</v>
      </c>
      <c r="L328" cm="1">
        <f t="array" ref="L328">IFERROR(
  INDEX('Golf Log'!$E$2:$V$72,
    MATCH(1,
      ('Golf Log'!$A$2:$A$72=$A328)*
      ('Golf Log'!$B$2:$B$72=$B328)*
      ('Golf Log'!$C$2:$C$72=$C328),
    0),
    MATCH($G328,'Golf Log'!$E$1:$V$1,0)
  ),
"")</f>
        <v>4</v>
      </c>
      <c r="M328">
        <f t="shared" si="16"/>
        <v>1</v>
      </c>
      <c r="N328" t="str">
        <f t="shared" si="15"/>
        <v>Bogey</v>
      </c>
      <c r="O328" cm="1">
        <f t="array" ref="O328">IFERROR(
  INDEX('Putt Log'!$E$2:$V$72,
    MATCH(1,
      ('Putt Log'!$A$2:$A$72=$A328)*
      ('Putt Log'!$B$2:$B$72=$B328)*
      ('Putt Log'!$C$2:$C$72=$C328),
    0),
    MATCH($G328,'Putt Log'!$E$1:$V$1,0)
  ),
"")</f>
        <v>2</v>
      </c>
      <c r="P328" t="str" cm="1">
        <f t="array" ref="P328">IF(K328=3,"",
  IFERROR(
    INDEX('Fairway Log'!$E$2:$V$72,
      MATCH(1,
        ('Fairway Log'!$A$2:$A$72=$A328)*
        ('Fairway Log'!$B$2:$B$72=$B328)*
        ('Fairway Log'!$C$2:$C399=$C328),
      0),
      MATCH($G328,'Fairway Log'!$E$1:$V$1,0)
    ),
  "")
)</f>
        <v/>
      </c>
      <c r="Q328" t="str" cm="1">
        <f t="array" ref="Q328">IFERROR(
  INDEX('GIR Log'!$E$2:$V$72,
    MATCH(1,
      ('GIR Log'!$A$2:$A$72=$A328)*
      ('GIR Log'!$B$2:$B$72=$B328)*
      ('GIR Log'!$C$2:$C$72=$C328),
    0),
    MATCH($G328,'GIR Log'!$E$1:$V$1,0)
  ),
"")</f>
        <v>→</v>
      </c>
    </row>
    <row r="329" spans="1:17" x14ac:dyDescent="0.25">
      <c r="A329" s="20" t="s">
        <v>126</v>
      </c>
      <c r="B329" s="2">
        <v>45443</v>
      </c>
      <c r="C329" t="s">
        <v>3</v>
      </c>
      <c r="D329" t="s">
        <v>3</v>
      </c>
      <c r="E329" t="s">
        <v>34</v>
      </c>
      <c r="F329">
        <v>88</v>
      </c>
      <c r="G329" t="s">
        <v>50</v>
      </c>
      <c r="H329" s="9">
        <f t="shared" si="17"/>
        <v>4</v>
      </c>
      <c r="I329" cm="1">
        <f t="array" ref="I329">IFERROR(INDEX(CourseYardages[[Hole 1]:[Hole 18]],
  MATCH(1, (CourseYardages[Course]=C329)*(CourseYardages[Tees]=E329), 0),
  MATCH(G329, CourseYardages[[#Headers],[Hole 1]:[Hole 18]], 0)
),"")</f>
        <v>363</v>
      </c>
      <c r="J329" cm="1">
        <f t="array" ref="J329">IFERROR(INDEX(CourseHandicap[[Hole 1]:[Hole 18]],
  MATCH(1, (CourseHandicap[Course]=C329)*(CourseHandicap[Tees]=E329), 0),
  MATCH(G329, CourseHandicap[[#Headers],[Hole 1]:[Hole 18]], 0)
),"")</f>
        <v>11</v>
      </c>
      <c r="K329" cm="1">
        <f t="array" ref="K329">IFERROR(INDEX(CourseRatings[[Hole 1]:[Hole 18]],
  MATCH(1, (CourseRatings[Course]=C329)*(CourseRatings[Tees]=E329), 0),
  MATCH(G329, CourseRatings[[#Headers],[Hole 1]:[Hole 18]], 0)
),"")</f>
        <v>4</v>
      </c>
      <c r="L329" cm="1">
        <f t="array" ref="L329">IFERROR(
  INDEX('Golf Log'!$E$2:$V$72,
    MATCH(1,
      ('Golf Log'!$A$2:$A$72=$A329)*
      ('Golf Log'!$B$2:$B$72=$B329)*
      ('Golf Log'!$C$2:$C$72=$C329),
    0),
    MATCH($G329,'Golf Log'!$E$1:$V$1,0)
  ),
"")</f>
        <v>5</v>
      </c>
      <c r="M329">
        <f t="shared" si="16"/>
        <v>1</v>
      </c>
      <c r="N329" t="str">
        <f t="shared" si="15"/>
        <v>Bogey</v>
      </c>
      <c r="O329" cm="1">
        <f t="array" ref="O329">IFERROR(
  INDEX('Putt Log'!$E$2:$V$72,
    MATCH(1,
      ('Putt Log'!$A$2:$A$72=$A329)*
      ('Putt Log'!$B$2:$B$72=$B329)*
      ('Putt Log'!$C$2:$C$72=$C329),
    0),
    MATCH($G329,'Putt Log'!$E$1:$V$1,0)
  ),
"")</f>
        <v>3</v>
      </c>
      <c r="P329" t="str" cm="1">
        <f t="array" ref="P329">IF(K329=3,"",
  IFERROR(
    INDEX('Fairway Log'!$E$2:$V$72,
      MATCH(1,
        ('Fairway Log'!$A$2:$A$72=$A329)*
        ('Fairway Log'!$B$2:$B$72=$B329)*
        ('Fairway Log'!$C$2:$C400=$C329),
      0),
      MATCH($G329,'Fairway Log'!$E$1:$V$1,0)
    ),
  "")
)</f>
        <v>→</v>
      </c>
      <c r="Q329" cm="1">
        <f t="array" ref="Q329">IFERROR(
  INDEX('GIR Log'!$E$2:$V$72,
    MATCH(1,
      ('GIR Log'!$A$2:$A$72=$A329)*
      ('GIR Log'!$B$2:$B$72=$B329)*
      ('GIR Log'!$C$2:$C$72=$C329),
    0),
    MATCH($G329,'GIR Log'!$E$1:$V$1,0)
  ),
"")</f>
        <v>1</v>
      </c>
    </row>
    <row r="330" spans="1:17" x14ac:dyDescent="0.25">
      <c r="A330" s="20" t="s">
        <v>126</v>
      </c>
      <c r="B330" s="2">
        <v>45443</v>
      </c>
      <c r="C330" t="s">
        <v>3</v>
      </c>
      <c r="D330" t="s">
        <v>3</v>
      </c>
      <c r="E330" t="s">
        <v>34</v>
      </c>
      <c r="F330">
        <v>88</v>
      </c>
      <c r="G330" t="s">
        <v>51</v>
      </c>
      <c r="H330" s="9">
        <f t="shared" si="17"/>
        <v>5</v>
      </c>
      <c r="I330" cm="1">
        <f t="array" ref="I330">IFERROR(INDEX(CourseYardages[[Hole 1]:[Hole 18]],
  MATCH(1, (CourseYardages[Course]=C330)*(CourseYardages[Tees]=E330), 0),
  MATCH(G330, CourseYardages[[#Headers],[Hole 1]:[Hole 18]], 0)
),"")</f>
        <v>400</v>
      </c>
      <c r="J330" cm="1">
        <f t="array" ref="J330">IFERROR(INDEX(CourseHandicap[[Hole 1]:[Hole 18]],
  MATCH(1, (CourseHandicap[Course]=C330)*(CourseHandicap[Tees]=E330), 0),
  MATCH(G330, CourseHandicap[[#Headers],[Hole 1]:[Hole 18]], 0)
),"")</f>
        <v>7</v>
      </c>
      <c r="K330" cm="1">
        <f t="array" ref="K330">IFERROR(INDEX(CourseRatings[[Hole 1]:[Hole 18]],
  MATCH(1, (CourseRatings[Course]=C330)*(CourseRatings[Tees]=E330), 0),
  MATCH(G330, CourseRatings[[#Headers],[Hole 1]:[Hole 18]], 0)
),"")</f>
        <v>4</v>
      </c>
      <c r="L330" cm="1">
        <f t="array" ref="L330">IFERROR(
  INDEX('Golf Log'!$E$2:$V$72,
    MATCH(1,
      ('Golf Log'!$A$2:$A$72=$A330)*
      ('Golf Log'!$B$2:$B$72=$B330)*
      ('Golf Log'!$C$2:$C$72=$C330),
    0),
    MATCH($G330,'Golf Log'!$E$1:$V$1,0)
  ),
"")</f>
        <v>6</v>
      </c>
      <c r="M330">
        <f t="shared" si="16"/>
        <v>2</v>
      </c>
      <c r="N330" t="str">
        <f t="shared" si="15"/>
        <v>Double Bogey</v>
      </c>
      <c r="O330" cm="1">
        <f t="array" ref="O330">IFERROR(
  INDEX('Putt Log'!$E$2:$V$72,
    MATCH(1,
      ('Putt Log'!$A$2:$A$72=$A330)*
      ('Putt Log'!$B$2:$B$72=$B330)*
      ('Putt Log'!$C$2:$C$72=$C330),
    0),
    MATCH($G330,'Putt Log'!$E$1:$V$1,0)
  ),
"")</f>
        <v>1</v>
      </c>
      <c r="P330" t="str" cm="1">
        <f t="array" ref="P330">IF(K330=3,"",
  IFERROR(
    INDEX('Fairway Log'!$E$2:$V$72,
      MATCH(1,
        ('Fairway Log'!$A$2:$A$72=$A330)*
        ('Fairway Log'!$B$2:$B$72=$B330)*
        ('Fairway Log'!$C$2:$C401=$C330),
      0),
      MATCH($G330,'Fairway Log'!$E$1:$V$1,0)
    ),
  "")
)</f>
        <v>↑</v>
      </c>
      <c r="Q330" t="str" cm="1">
        <f t="array" ref="Q330">IFERROR(
  INDEX('GIR Log'!$E$2:$V$72,
    MATCH(1,
      ('GIR Log'!$A$2:$A$72=$A330)*
      ('GIR Log'!$B$2:$B$72=$B330)*
      ('GIR Log'!$C$2:$C$72=$C330),
    0),
    MATCH($G330,'GIR Log'!$E$1:$V$1,0)
  ),
"")</f>
        <v>↓</v>
      </c>
    </row>
    <row r="331" spans="1:17" x14ac:dyDescent="0.25">
      <c r="A331" s="20" t="s">
        <v>126</v>
      </c>
      <c r="B331" s="2">
        <v>45443</v>
      </c>
      <c r="C331" t="s">
        <v>3</v>
      </c>
      <c r="D331" t="s">
        <v>3</v>
      </c>
      <c r="E331" t="s">
        <v>34</v>
      </c>
      <c r="F331">
        <v>88</v>
      </c>
      <c r="G331" t="s">
        <v>52</v>
      </c>
      <c r="H331" s="9">
        <f t="shared" si="17"/>
        <v>6</v>
      </c>
      <c r="I331" cm="1">
        <f t="array" ref="I331">IFERROR(INDEX(CourseYardages[[Hole 1]:[Hole 18]],
  MATCH(1, (CourseYardages[Course]=C331)*(CourseYardages[Tees]=E331), 0),
  MATCH(G331, CourseYardages[[#Headers],[Hole 1]:[Hole 18]], 0)
),"")</f>
        <v>190</v>
      </c>
      <c r="J331" cm="1">
        <f t="array" ref="J331">IFERROR(INDEX(CourseHandicap[[Hole 1]:[Hole 18]],
  MATCH(1, (CourseHandicap[Course]=C331)*(CourseHandicap[Tees]=E331), 0),
  MATCH(G331, CourseHandicap[[#Headers],[Hole 1]:[Hole 18]], 0)
),"")</f>
        <v>5</v>
      </c>
      <c r="K331" cm="1">
        <f t="array" ref="K331">IFERROR(INDEX(CourseRatings[[Hole 1]:[Hole 18]],
  MATCH(1, (CourseRatings[Course]=C331)*(CourseRatings[Tees]=E331), 0),
  MATCH(G331, CourseRatings[[#Headers],[Hole 1]:[Hole 18]], 0)
),"")</f>
        <v>3</v>
      </c>
      <c r="L331" cm="1">
        <f t="array" ref="L331">IFERROR(
  INDEX('Golf Log'!$E$2:$V$72,
    MATCH(1,
      ('Golf Log'!$A$2:$A$72=$A331)*
      ('Golf Log'!$B$2:$B$72=$B331)*
      ('Golf Log'!$C$2:$C$72=$C331),
    0),
    MATCH($G331,'Golf Log'!$E$1:$V$1,0)
  ),
"")</f>
        <v>4</v>
      </c>
      <c r="M331">
        <f t="shared" si="16"/>
        <v>1</v>
      </c>
      <c r="N331" t="str">
        <f t="shared" si="15"/>
        <v>Bogey</v>
      </c>
      <c r="O331" cm="1">
        <f t="array" ref="O331">IFERROR(
  INDEX('Putt Log'!$E$2:$V$72,
    MATCH(1,
      ('Putt Log'!$A$2:$A$72=$A331)*
      ('Putt Log'!$B$2:$B$72=$B331)*
      ('Putt Log'!$C$2:$C$72=$C331),
    0),
    MATCH($G331,'Putt Log'!$E$1:$V$1,0)
  ),
"")</f>
        <v>2</v>
      </c>
      <c r="P331" t="str" cm="1">
        <f t="array" ref="P331">IF(K331=3,"",
  IFERROR(
    INDEX('Fairway Log'!$E$2:$V$72,
      MATCH(1,
        ('Fairway Log'!$A$2:$A$72=$A331)*
        ('Fairway Log'!$B$2:$B$72=$B331)*
        ('Fairway Log'!$C$2:$C402=$C331),
      0),
      MATCH($G331,'Fairway Log'!$E$1:$V$1,0)
    ),
  "")
)</f>
        <v/>
      </c>
      <c r="Q331" t="str" cm="1">
        <f t="array" ref="Q331">IFERROR(
  INDEX('GIR Log'!$E$2:$V$72,
    MATCH(1,
      ('GIR Log'!$A$2:$A$72=$A331)*
      ('GIR Log'!$B$2:$B$72=$B331)*
      ('GIR Log'!$C$2:$C$72=$C331),
    0),
    MATCH($G331,'GIR Log'!$E$1:$V$1,0)
  ),
"")</f>
        <v>↓</v>
      </c>
    </row>
    <row r="332" spans="1:17" x14ac:dyDescent="0.25">
      <c r="A332" s="20" t="s">
        <v>126</v>
      </c>
      <c r="B332" s="2">
        <v>45443</v>
      </c>
      <c r="C332" t="s">
        <v>3</v>
      </c>
      <c r="D332" t="s">
        <v>3</v>
      </c>
      <c r="E332" t="s">
        <v>34</v>
      </c>
      <c r="F332">
        <v>88</v>
      </c>
      <c r="G332" t="s">
        <v>53</v>
      </c>
      <c r="H332" s="9">
        <f t="shared" si="17"/>
        <v>7</v>
      </c>
      <c r="I332" cm="1">
        <f t="array" ref="I332">IFERROR(INDEX(CourseYardages[[Hole 1]:[Hole 18]],
  MATCH(1, (CourseYardages[Course]=C332)*(CourseYardages[Tees]=E332), 0),
  MATCH(G332, CourseYardages[[#Headers],[Hole 1]:[Hole 18]], 0)
),"")</f>
        <v>507</v>
      </c>
      <c r="J332" cm="1">
        <f t="array" ref="J332">IFERROR(INDEX(CourseHandicap[[Hole 1]:[Hole 18]],
  MATCH(1, (CourseHandicap[Course]=C332)*(CourseHandicap[Tees]=E332), 0),
  MATCH(G332, CourseHandicap[[#Headers],[Hole 1]:[Hole 18]], 0)
),"")</f>
        <v>9</v>
      </c>
      <c r="K332" cm="1">
        <f t="array" ref="K332">IFERROR(INDEX(CourseRatings[[Hole 1]:[Hole 18]],
  MATCH(1, (CourseRatings[Course]=C332)*(CourseRatings[Tees]=E332), 0),
  MATCH(G332, CourseRatings[[#Headers],[Hole 1]:[Hole 18]], 0)
),"")</f>
        <v>5</v>
      </c>
      <c r="L332" cm="1">
        <f t="array" ref="L332">IFERROR(
  INDEX('Golf Log'!$E$2:$V$72,
    MATCH(1,
      ('Golf Log'!$A$2:$A$72=$A332)*
      ('Golf Log'!$B$2:$B$72=$B332)*
      ('Golf Log'!$C$2:$C$72=$C332),
    0),
    MATCH($G332,'Golf Log'!$E$1:$V$1,0)
  ),
"")</f>
        <v>5</v>
      </c>
      <c r="M332">
        <f t="shared" si="16"/>
        <v>0</v>
      </c>
      <c r="N332" t="str">
        <f t="shared" si="15"/>
        <v>Par</v>
      </c>
      <c r="O332" cm="1">
        <f t="array" ref="O332">IFERROR(
  INDEX('Putt Log'!$E$2:$V$72,
    MATCH(1,
      ('Putt Log'!$A$2:$A$72=$A332)*
      ('Putt Log'!$B$2:$B$72=$B332)*
      ('Putt Log'!$C$2:$C$72=$C332),
    0),
    MATCH($G332,'Putt Log'!$E$1:$V$1,0)
  ),
"")</f>
        <v>2</v>
      </c>
      <c r="P332" t="str" cm="1">
        <f t="array" ref="P332">IF(K332=3,"",
  IFERROR(
    INDEX('Fairway Log'!$E$2:$V$72,
      MATCH(1,
        ('Fairway Log'!$A$2:$A$72=$A332)*
        ('Fairway Log'!$B$2:$B$72=$B332)*
        ('Fairway Log'!$C$2:$C403=$C332),
      0),
      MATCH($G332,'Fairway Log'!$E$1:$V$1,0)
    ),
  "")
)</f>
        <v>→</v>
      </c>
      <c r="Q332" cm="1">
        <f t="array" ref="Q332">IFERROR(
  INDEX('GIR Log'!$E$2:$V$72,
    MATCH(1,
      ('GIR Log'!$A$2:$A$72=$A332)*
      ('GIR Log'!$B$2:$B$72=$B332)*
      ('GIR Log'!$C$2:$C$72=$C332),
    0),
    MATCH($G332,'GIR Log'!$E$1:$V$1,0)
  ),
"")</f>
        <v>1</v>
      </c>
    </row>
    <row r="333" spans="1:17" x14ac:dyDescent="0.25">
      <c r="A333" s="20" t="s">
        <v>126</v>
      </c>
      <c r="B333" s="2">
        <v>45443</v>
      </c>
      <c r="C333" t="s">
        <v>3</v>
      </c>
      <c r="D333" t="s">
        <v>3</v>
      </c>
      <c r="E333" t="s">
        <v>34</v>
      </c>
      <c r="F333">
        <v>88</v>
      </c>
      <c r="G333" t="s">
        <v>54</v>
      </c>
      <c r="H333" s="9">
        <f t="shared" si="17"/>
        <v>8</v>
      </c>
      <c r="I333" cm="1">
        <f t="array" ref="I333">IFERROR(INDEX(CourseYardages[[Hole 1]:[Hole 18]],
  MATCH(1, (CourseYardages[Course]=C333)*(CourseYardages[Tees]=E333), 0),
  MATCH(G333, CourseYardages[[#Headers],[Hole 1]:[Hole 18]], 0)
),"")</f>
        <v>347</v>
      </c>
      <c r="J333" cm="1">
        <f t="array" ref="J333">IFERROR(INDEX(CourseHandicap[[Hole 1]:[Hole 18]],
  MATCH(1, (CourseHandicap[Course]=C333)*(CourseHandicap[Tees]=E333), 0),
  MATCH(G333, CourseHandicap[[#Headers],[Hole 1]:[Hole 18]], 0)
),"")</f>
        <v>13</v>
      </c>
      <c r="K333" cm="1">
        <f t="array" ref="K333">IFERROR(INDEX(CourseRatings[[Hole 1]:[Hole 18]],
  MATCH(1, (CourseRatings[Course]=C333)*(CourseRatings[Tees]=E333), 0),
  MATCH(G333, CourseRatings[[#Headers],[Hole 1]:[Hole 18]], 0)
),"")</f>
        <v>4</v>
      </c>
      <c r="L333" cm="1">
        <f t="array" ref="L333">IFERROR(
  INDEX('Golf Log'!$E$2:$V$72,
    MATCH(1,
      ('Golf Log'!$A$2:$A$72=$A333)*
      ('Golf Log'!$B$2:$B$72=$B333)*
      ('Golf Log'!$C$2:$C$72=$C333),
    0),
    MATCH($G333,'Golf Log'!$E$1:$V$1,0)
  ),
"")</f>
        <v>6</v>
      </c>
      <c r="M333">
        <f t="shared" si="16"/>
        <v>2</v>
      </c>
      <c r="N333" t="str">
        <f t="shared" si="15"/>
        <v>Double Bogey</v>
      </c>
      <c r="O333" cm="1">
        <f t="array" ref="O333">IFERROR(
  INDEX('Putt Log'!$E$2:$V$72,
    MATCH(1,
      ('Putt Log'!$A$2:$A$72=$A333)*
      ('Putt Log'!$B$2:$B$72=$B333)*
      ('Putt Log'!$C$2:$C$72=$C333),
    0),
    MATCH($G333,'Putt Log'!$E$1:$V$1,0)
  ),
"")</f>
        <v>2</v>
      </c>
      <c r="P333" t="str" cm="1">
        <f t="array" ref="P333">IF(K333=3,"",
  IFERROR(
    INDEX('Fairway Log'!$E$2:$V$72,
      MATCH(1,
        ('Fairway Log'!$A$2:$A$72=$A333)*
        ('Fairway Log'!$B$2:$B$72=$B333)*
        ('Fairway Log'!$C$2:$C404=$C333),
      0),
      MATCH($G333,'Fairway Log'!$E$1:$V$1,0)
    ),
  "")
)</f>
        <v>→</v>
      </c>
      <c r="Q333" t="str" cm="1">
        <f t="array" ref="Q333">IFERROR(
  INDEX('GIR Log'!$E$2:$V$72,
    MATCH(1,
      ('GIR Log'!$A$2:$A$72=$A333)*
      ('GIR Log'!$B$2:$B$72=$B333)*
      ('GIR Log'!$C$2:$C$72=$C333),
    0),
    MATCH($G333,'GIR Log'!$E$1:$V$1,0)
  ),
"")</f>
        <v>↓</v>
      </c>
    </row>
    <row r="334" spans="1:17" x14ac:dyDescent="0.25">
      <c r="A334" s="20" t="s">
        <v>126</v>
      </c>
      <c r="B334" s="2">
        <v>45443</v>
      </c>
      <c r="C334" t="s">
        <v>3</v>
      </c>
      <c r="D334" t="s">
        <v>3</v>
      </c>
      <c r="E334" t="s">
        <v>34</v>
      </c>
      <c r="F334">
        <v>88</v>
      </c>
      <c r="G334" t="s">
        <v>55</v>
      </c>
      <c r="H334" s="9">
        <f t="shared" si="17"/>
        <v>9</v>
      </c>
      <c r="I334" cm="1">
        <f t="array" ref="I334">IFERROR(INDEX(CourseYardages[[Hole 1]:[Hole 18]],
  MATCH(1, (CourseYardages[Course]=C334)*(CourseYardages[Tees]=E334), 0),
  MATCH(G334, CourseYardages[[#Headers],[Hole 1]:[Hole 18]], 0)
),"")</f>
        <v>560</v>
      </c>
      <c r="J334" cm="1">
        <f t="array" ref="J334">IFERROR(INDEX(CourseHandicap[[Hole 1]:[Hole 18]],
  MATCH(1, (CourseHandicap[Course]=C334)*(CourseHandicap[Tees]=E334), 0),
  MATCH(G334, CourseHandicap[[#Headers],[Hole 1]:[Hole 18]], 0)
),"")</f>
        <v>1</v>
      </c>
      <c r="K334" cm="1">
        <f t="array" ref="K334">IFERROR(INDEX(CourseRatings[[Hole 1]:[Hole 18]],
  MATCH(1, (CourseRatings[Course]=C334)*(CourseRatings[Tees]=E334), 0),
  MATCH(G334, CourseRatings[[#Headers],[Hole 1]:[Hole 18]], 0)
),"")</f>
        <v>5</v>
      </c>
      <c r="L334" cm="1">
        <f t="array" ref="L334">IFERROR(
  INDEX('Golf Log'!$E$2:$V$72,
    MATCH(1,
      ('Golf Log'!$A$2:$A$72=$A334)*
      ('Golf Log'!$B$2:$B$72=$B334)*
      ('Golf Log'!$C$2:$C$72=$C334),
    0),
    MATCH($G334,'Golf Log'!$E$1:$V$1,0)
  ),
"")</f>
        <v>8</v>
      </c>
      <c r="M334">
        <f t="shared" si="16"/>
        <v>3</v>
      </c>
      <c r="N334" t="str">
        <f t="shared" si="15"/>
        <v>Triple Bogey</v>
      </c>
      <c r="O334" cm="1">
        <f t="array" ref="O334">IFERROR(
  INDEX('Putt Log'!$E$2:$V$72,
    MATCH(1,
      ('Putt Log'!$A$2:$A$72=$A334)*
      ('Putt Log'!$B$2:$B$72=$B334)*
      ('Putt Log'!$C$2:$C$72=$C334),
    0),
    MATCH($G334,'Putt Log'!$E$1:$V$1,0)
  ),
"")</f>
        <v>2</v>
      </c>
      <c r="P334" cm="1">
        <f t="array" ref="P334">IF(K334=3,"",
  IFERROR(
    INDEX('Fairway Log'!$E$2:$V$72,
      MATCH(1,
        ('Fairway Log'!$A$2:$A$72=$A334)*
        ('Fairway Log'!$B$2:$B$72=$B334)*
        ('Fairway Log'!$C$2:$C405=$C334),
      0),
      MATCH($G334,'Fairway Log'!$E$1:$V$1,0)
    ),
  "")
)</f>
        <v>1</v>
      </c>
      <c r="Q334" t="str" cm="1">
        <f t="array" ref="Q334">IFERROR(
  INDEX('GIR Log'!$E$2:$V$72,
    MATCH(1,
      ('GIR Log'!$A$2:$A$72=$A334)*
      ('GIR Log'!$B$2:$B$72=$B334)*
      ('GIR Log'!$C$2:$C$72=$C334),
    0),
    MATCH($G334,'GIR Log'!$E$1:$V$1,0)
  ),
"")</f>
        <v>↓</v>
      </c>
    </row>
    <row r="335" spans="1:17" x14ac:dyDescent="0.25">
      <c r="A335" s="20" t="s">
        <v>126</v>
      </c>
      <c r="B335" s="2">
        <v>45443</v>
      </c>
      <c r="C335" t="s">
        <v>3</v>
      </c>
      <c r="D335" t="s">
        <v>3</v>
      </c>
      <c r="E335" t="s">
        <v>34</v>
      </c>
      <c r="F335">
        <v>88</v>
      </c>
      <c r="G335" t="s">
        <v>56</v>
      </c>
      <c r="H335" s="9">
        <f t="shared" si="17"/>
        <v>10</v>
      </c>
      <c r="I335" cm="1">
        <f t="array" ref="I335">IFERROR(INDEX(CourseYardages[[Hole 1]:[Hole 18]],
  MATCH(1, (CourseYardages[Course]=C335)*(CourseYardages[Tees]=E335), 0),
  MATCH(G335, CourseYardages[[#Headers],[Hole 1]:[Hole 18]], 0)
),"")</f>
        <v>343</v>
      </c>
      <c r="J335" cm="1">
        <f t="array" ref="J335">IFERROR(INDEX(CourseHandicap[[Hole 1]:[Hole 18]],
  MATCH(1, (CourseHandicap[Course]=C335)*(CourseHandicap[Tees]=E335), 0),
  MATCH(G335, CourseHandicap[[#Headers],[Hole 1]:[Hole 18]], 0)
),"")</f>
        <v>12</v>
      </c>
      <c r="K335" cm="1">
        <f t="array" ref="K335">IFERROR(INDEX(CourseRatings[[Hole 1]:[Hole 18]],
  MATCH(1, (CourseRatings[Course]=C335)*(CourseRatings[Tees]=E335), 0),
  MATCH(G335, CourseRatings[[#Headers],[Hole 1]:[Hole 18]], 0)
),"")</f>
        <v>4</v>
      </c>
      <c r="L335" cm="1">
        <f t="array" ref="L335">IFERROR(
  INDEX('Golf Log'!$E$2:$V$72,
    MATCH(1,
      ('Golf Log'!$A$2:$A$72=$A335)*
      ('Golf Log'!$B$2:$B$72=$B335)*
      ('Golf Log'!$C$2:$C$72=$C335),
    0),
    MATCH($G335,'Golf Log'!$E$1:$V$1,0)
  ),
"")</f>
        <v>5</v>
      </c>
      <c r="M335">
        <f t="shared" si="16"/>
        <v>1</v>
      </c>
      <c r="N335" t="str">
        <f t="shared" si="15"/>
        <v>Bogey</v>
      </c>
      <c r="O335" cm="1">
        <f t="array" ref="O335">IFERROR(
  INDEX('Putt Log'!$E$2:$V$72,
    MATCH(1,
      ('Putt Log'!$A$2:$A$72=$A335)*
      ('Putt Log'!$B$2:$B$72=$B335)*
      ('Putt Log'!$C$2:$C$72=$C335),
    0),
    MATCH($G335,'Putt Log'!$E$1:$V$1,0)
  ),
"")</f>
        <v>2</v>
      </c>
      <c r="P335" t="str" cm="1">
        <f t="array" ref="P335">IF(K335=3,"",
  IFERROR(
    INDEX('Fairway Log'!$E$2:$V$72,
      MATCH(1,
        ('Fairway Log'!$A$2:$A$72=$A335)*
        ('Fairway Log'!$B$2:$B$72=$B335)*
        ('Fairway Log'!$C$2:$C406=$C335),
      0),
      MATCH($G335,'Fairway Log'!$E$1:$V$1,0)
    ),
  "")
)</f>
        <v>→</v>
      </c>
      <c r="Q335" t="str" cm="1">
        <f t="array" ref="Q335">IFERROR(
  INDEX('GIR Log'!$E$2:$V$72,
    MATCH(1,
      ('GIR Log'!$A$2:$A$72=$A335)*
      ('GIR Log'!$B$2:$B$72=$B335)*
      ('GIR Log'!$C$2:$C$72=$C335),
    0),
    MATCH($G335,'GIR Log'!$E$1:$V$1,0)
  ),
"")</f>
        <v>↓</v>
      </c>
    </row>
    <row r="336" spans="1:17" x14ac:dyDescent="0.25">
      <c r="A336" s="20" t="s">
        <v>126</v>
      </c>
      <c r="B336" s="2">
        <v>45443</v>
      </c>
      <c r="C336" t="s">
        <v>3</v>
      </c>
      <c r="D336" t="s">
        <v>3</v>
      </c>
      <c r="E336" t="s">
        <v>34</v>
      </c>
      <c r="F336">
        <v>88</v>
      </c>
      <c r="G336" t="s">
        <v>57</v>
      </c>
      <c r="H336" s="9">
        <f t="shared" si="17"/>
        <v>11</v>
      </c>
      <c r="I336" cm="1">
        <f t="array" ref="I336">IFERROR(INDEX(CourseYardages[[Hole 1]:[Hole 18]],
  MATCH(1, (CourseYardages[Course]=C336)*(CourseYardages[Tees]=E336), 0),
  MATCH(G336, CourseYardages[[#Headers],[Hole 1]:[Hole 18]], 0)
),"")</f>
        <v>171</v>
      </c>
      <c r="J336" cm="1">
        <f t="array" ref="J336">IFERROR(INDEX(CourseHandicap[[Hole 1]:[Hole 18]],
  MATCH(1, (CourseHandicap[Course]=C336)*(CourseHandicap[Tees]=E336), 0),
  MATCH(G336, CourseHandicap[[#Headers],[Hole 1]:[Hole 18]], 0)
),"")</f>
        <v>16</v>
      </c>
      <c r="K336" cm="1">
        <f t="array" ref="K336">IFERROR(INDEX(CourseRatings[[Hole 1]:[Hole 18]],
  MATCH(1, (CourseRatings[Course]=C336)*(CourseRatings[Tees]=E336), 0),
  MATCH(G336, CourseRatings[[#Headers],[Hole 1]:[Hole 18]], 0)
),"")</f>
        <v>3</v>
      </c>
      <c r="L336" cm="1">
        <f t="array" ref="L336">IFERROR(
  INDEX('Golf Log'!$E$2:$V$72,
    MATCH(1,
      ('Golf Log'!$A$2:$A$72=$A336)*
      ('Golf Log'!$B$2:$B$72=$B336)*
      ('Golf Log'!$C$2:$C$72=$C336),
    0),
    MATCH($G336,'Golf Log'!$E$1:$V$1,0)
  ),
"")</f>
        <v>4</v>
      </c>
      <c r="M336">
        <f t="shared" si="16"/>
        <v>1</v>
      </c>
      <c r="N336" t="str">
        <f t="shared" si="15"/>
        <v>Bogey</v>
      </c>
      <c r="O336" cm="1">
        <f t="array" ref="O336">IFERROR(
  INDEX('Putt Log'!$E$2:$V$72,
    MATCH(1,
      ('Putt Log'!$A$2:$A$72=$A336)*
      ('Putt Log'!$B$2:$B$72=$B336)*
      ('Putt Log'!$C$2:$C$72=$C336),
    0),
    MATCH($G336,'Putt Log'!$E$1:$V$1,0)
  ),
"")</f>
        <v>2</v>
      </c>
      <c r="P336" t="str" cm="1">
        <f t="array" ref="P336">IF(K336=3,"",
  IFERROR(
    INDEX('Fairway Log'!$E$2:$V$72,
      MATCH(1,
        ('Fairway Log'!$A$2:$A$72=$A336)*
        ('Fairway Log'!$B$2:$B$72=$B336)*
        ('Fairway Log'!$C$2:$C407=$C336),
      0),
      MATCH($G336,'Fairway Log'!$E$1:$V$1,0)
    ),
  "")
)</f>
        <v/>
      </c>
      <c r="Q336" t="str" cm="1">
        <f t="array" ref="Q336">IFERROR(
  INDEX('GIR Log'!$E$2:$V$72,
    MATCH(1,
      ('GIR Log'!$A$2:$A$72=$A336)*
      ('GIR Log'!$B$2:$B$72=$B336)*
      ('GIR Log'!$C$2:$C$72=$C336),
    0),
    MATCH($G336,'GIR Log'!$E$1:$V$1,0)
  ),
"")</f>
        <v>↓</v>
      </c>
    </row>
    <row r="337" spans="1:17" x14ac:dyDescent="0.25">
      <c r="A337" s="20" t="s">
        <v>126</v>
      </c>
      <c r="B337" s="2">
        <v>45443</v>
      </c>
      <c r="C337" t="s">
        <v>3</v>
      </c>
      <c r="D337" t="s">
        <v>3</v>
      </c>
      <c r="E337" t="s">
        <v>34</v>
      </c>
      <c r="F337">
        <v>88</v>
      </c>
      <c r="G337" t="s">
        <v>58</v>
      </c>
      <c r="H337" s="9">
        <f t="shared" si="17"/>
        <v>12</v>
      </c>
      <c r="I337" cm="1">
        <f t="array" ref="I337">IFERROR(INDEX(CourseYardages[[Hole 1]:[Hole 18]],
  MATCH(1, (CourseYardages[Course]=C337)*(CourseYardages[Tees]=E337), 0),
  MATCH(G337, CourseYardages[[#Headers],[Hole 1]:[Hole 18]], 0)
),"")</f>
        <v>291</v>
      </c>
      <c r="J337" cm="1">
        <f t="array" ref="J337">IFERROR(INDEX(CourseHandicap[[Hole 1]:[Hole 18]],
  MATCH(1, (CourseHandicap[Course]=C337)*(CourseHandicap[Tees]=E337), 0),
  MATCH(G337, CourseHandicap[[#Headers],[Hole 1]:[Hole 18]], 0)
),"")</f>
        <v>18</v>
      </c>
      <c r="K337" cm="1">
        <f t="array" ref="K337">IFERROR(INDEX(CourseRatings[[Hole 1]:[Hole 18]],
  MATCH(1, (CourseRatings[Course]=C337)*(CourseRatings[Tees]=E337), 0),
  MATCH(G337, CourseRatings[[#Headers],[Hole 1]:[Hole 18]], 0)
),"")</f>
        <v>4</v>
      </c>
      <c r="L337" cm="1">
        <f t="array" ref="L337">IFERROR(
  INDEX('Golf Log'!$E$2:$V$72,
    MATCH(1,
      ('Golf Log'!$A$2:$A$72=$A337)*
      ('Golf Log'!$B$2:$B$72=$B337)*
      ('Golf Log'!$C$2:$C$72=$C337),
    0),
    MATCH($G337,'Golf Log'!$E$1:$V$1,0)
  ),
"")</f>
        <v>5</v>
      </c>
      <c r="M337">
        <f t="shared" si="16"/>
        <v>1</v>
      </c>
      <c r="N337" t="str">
        <f t="shared" si="15"/>
        <v>Bogey</v>
      </c>
      <c r="O337" cm="1">
        <f t="array" ref="O337">IFERROR(
  INDEX('Putt Log'!$E$2:$V$72,
    MATCH(1,
      ('Putt Log'!$A$2:$A$72=$A337)*
      ('Putt Log'!$B$2:$B$72=$B337)*
      ('Putt Log'!$C$2:$C$72=$C337),
    0),
    MATCH($G337,'Putt Log'!$E$1:$V$1,0)
  ),
"")</f>
        <v>3</v>
      </c>
      <c r="P337" t="str" cm="1">
        <f t="array" ref="P337">IF(K337=3,"",
  IFERROR(
    INDEX('Fairway Log'!$E$2:$V$72,
      MATCH(1,
        ('Fairway Log'!$A$2:$A$72=$A337)*
        ('Fairway Log'!$B$2:$B$72=$B337)*
        ('Fairway Log'!$C$2:$C408=$C337),
      0),
      MATCH($G337,'Fairway Log'!$E$1:$V$1,0)
    ),
  "")
)</f>
        <v>↑</v>
      </c>
      <c r="Q337" cm="1">
        <f t="array" ref="Q337">IFERROR(
  INDEX('GIR Log'!$E$2:$V$72,
    MATCH(1,
      ('GIR Log'!$A$2:$A$72=$A337)*
      ('GIR Log'!$B$2:$B$72=$B337)*
      ('GIR Log'!$C$2:$C$72=$C337),
    0),
    MATCH($G337,'GIR Log'!$E$1:$V$1,0)
  ),
"")</f>
        <v>1</v>
      </c>
    </row>
    <row r="338" spans="1:17" x14ac:dyDescent="0.25">
      <c r="A338" s="20" t="s">
        <v>126</v>
      </c>
      <c r="B338" s="2">
        <v>45443</v>
      </c>
      <c r="C338" t="s">
        <v>3</v>
      </c>
      <c r="D338" t="s">
        <v>3</v>
      </c>
      <c r="E338" t="s">
        <v>34</v>
      </c>
      <c r="F338">
        <v>88</v>
      </c>
      <c r="G338" t="s">
        <v>59</v>
      </c>
      <c r="H338" s="9">
        <f t="shared" si="17"/>
        <v>13</v>
      </c>
      <c r="I338" cm="1">
        <f t="array" ref="I338">IFERROR(INDEX(CourseYardages[[Hole 1]:[Hole 18]],
  MATCH(1, (CourseYardages[Course]=C338)*(CourseYardages[Tees]=E338), 0),
  MATCH(G338, CourseYardages[[#Headers],[Hole 1]:[Hole 18]], 0)
),"")</f>
        <v>572</v>
      </c>
      <c r="J338" cm="1">
        <f t="array" ref="J338">IFERROR(INDEX(CourseHandicap[[Hole 1]:[Hole 18]],
  MATCH(1, (CourseHandicap[Course]=C338)*(CourseHandicap[Tees]=E338), 0),
  MATCH(G338, CourseHandicap[[#Headers],[Hole 1]:[Hole 18]], 0)
),"")</f>
        <v>2</v>
      </c>
      <c r="K338" cm="1">
        <f t="array" ref="K338">IFERROR(INDEX(CourseRatings[[Hole 1]:[Hole 18]],
  MATCH(1, (CourseRatings[Course]=C338)*(CourseRatings[Tees]=E338), 0),
  MATCH(G338, CourseRatings[[#Headers],[Hole 1]:[Hole 18]], 0)
),"")</f>
        <v>5</v>
      </c>
      <c r="L338" cm="1">
        <f t="array" ref="L338">IFERROR(
  INDEX('Golf Log'!$E$2:$V$72,
    MATCH(1,
      ('Golf Log'!$A$2:$A$72=$A338)*
      ('Golf Log'!$B$2:$B$72=$B338)*
      ('Golf Log'!$C$2:$C$72=$C338),
    0),
    MATCH($G338,'Golf Log'!$E$1:$V$1,0)
  ),
"")</f>
        <v>6</v>
      </c>
      <c r="M338">
        <f t="shared" si="16"/>
        <v>1</v>
      </c>
      <c r="N338" t="str">
        <f t="shared" si="15"/>
        <v>Bogey</v>
      </c>
      <c r="O338" cm="1">
        <f t="array" ref="O338">IFERROR(
  INDEX('Putt Log'!$E$2:$V$72,
    MATCH(1,
      ('Putt Log'!$A$2:$A$72=$A338)*
      ('Putt Log'!$B$2:$B$72=$B338)*
      ('Putt Log'!$C$2:$C$72=$C338),
    0),
    MATCH($G338,'Putt Log'!$E$1:$V$1,0)
  ),
"")</f>
        <v>2</v>
      </c>
      <c r="P338" t="str" cm="1">
        <f t="array" ref="P338">IF(K338=3,"",
  IFERROR(
    INDEX('Fairway Log'!$E$2:$V$72,
      MATCH(1,
        ('Fairway Log'!$A$2:$A$72=$A338)*
        ('Fairway Log'!$B$2:$B$72=$B338)*
        ('Fairway Log'!$C$2:$C409=$C338),
      0),
      MATCH($G338,'Fairway Log'!$E$1:$V$1,0)
    ),
  "")
)</f>
        <v>→</v>
      </c>
      <c r="Q338" t="str" cm="1">
        <f t="array" ref="Q338">IFERROR(
  INDEX('GIR Log'!$E$2:$V$72,
    MATCH(1,
      ('GIR Log'!$A$2:$A$72=$A338)*
      ('GIR Log'!$B$2:$B$72=$B338)*
      ('GIR Log'!$C$2:$C$72=$C338),
    0),
    MATCH($G338,'GIR Log'!$E$1:$V$1,0)
  ),
"")</f>
        <v>NC</v>
      </c>
    </row>
    <row r="339" spans="1:17" x14ac:dyDescent="0.25">
      <c r="A339" s="20" t="s">
        <v>126</v>
      </c>
      <c r="B339" s="2">
        <v>45443</v>
      </c>
      <c r="C339" t="s">
        <v>3</v>
      </c>
      <c r="D339" t="s">
        <v>3</v>
      </c>
      <c r="E339" t="s">
        <v>34</v>
      </c>
      <c r="F339">
        <v>88</v>
      </c>
      <c r="G339" t="s">
        <v>60</v>
      </c>
      <c r="H339" s="9">
        <f t="shared" si="17"/>
        <v>14</v>
      </c>
      <c r="I339" cm="1">
        <f t="array" ref="I339">IFERROR(INDEX(CourseYardages[[Hole 1]:[Hole 18]],
  MATCH(1, (CourseYardages[Course]=C339)*(CourseYardages[Tees]=E339), 0),
  MATCH(G339, CourseYardages[[#Headers],[Hole 1]:[Hole 18]], 0)
),"")</f>
        <v>366</v>
      </c>
      <c r="J339" cm="1">
        <f t="array" ref="J339">IFERROR(INDEX(CourseHandicap[[Hole 1]:[Hole 18]],
  MATCH(1, (CourseHandicap[Course]=C339)*(CourseHandicap[Tees]=E339), 0),
  MATCH(G339, CourseHandicap[[#Headers],[Hole 1]:[Hole 18]], 0)
),"")</f>
        <v>14</v>
      </c>
      <c r="K339" cm="1">
        <f t="array" ref="K339">IFERROR(INDEX(CourseRatings[[Hole 1]:[Hole 18]],
  MATCH(1, (CourseRatings[Course]=C339)*(CourseRatings[Tees]=E339), 0),
  MATCH(G339, CourseRatings[[#Headers],[Hole 1]:[Hole 18]], 0)
),"")</f>
        <v>4</v>
      </c>
      <c r="L339" cm="1">
        <f t="array" ref="L339">IFERROR(
  INDEX('Golf Log'!$E$2:$V$72,
    MATCH(1,
      ('Golf Log'!$A$2:$A$72=$A339)*
      ('Golf Log'!$B$2:$B$72=$B339)*
      ('Golf Log'!$C$2:$C$72=$C339),
    0),
    MATCH($G339,'Golf Log'!$E$1:$V$1,0)
  ),
"")</f>
        <v>4</v>
      </c>
      <c r="M339">
        <f t="shared" si="16"/>
        <v>0</v>
      </c>
      <c r="N339" t="str">
        <f t="shared" si="15"/>
        <v>Par</v>
      </c>
      <c r="O339" cm="1">
        <f t="array" ref="O339">IFERROR(
  INDEX('Putt Log'!$E$2:$V$72,
    MATCH(1,
      ('Putt Log'!$A$2:$A$72=$A339)*
      ('Putt Log'!$B$2:$B$72=$B339)*
      ('Putt Log'!$C$2:$C$72=$C339),
    0),
    MATCH($G339,'Putt Log'!$E$1:$V$1,0)
  ),
"")</f>
        <v>1</v>
      </c>
      <c r="P339" t="str" cm="1">
        <f t="array" ref="P339">IF(K339=3,"",
  IFERROR(
    INDEX('Fairway Log'!$E$2:$V$72,
      MATCH(1,
        ('Fairway Log'!$A$2:$A$72=$A339)*
        ('Fairway Log'!$B$2:$B$72=$B339)*
        ('Fairway Log'!$C$2:$C410=$C339),
      0),
      MATCH($G339,'Fairway Log'!$E$1:$V$1,0)
    ),
  "")
)</f>
        <v>←</v>
      </c>
      <c r="Q339" t="str" cm="1">
        <f t="array" ref="Q339">IFERROR(
  INDEX('GIR Log'!$E$2:$V$72,
    MATCH(1,
      ('GIR Log'!$A$2:$A$72=$A339)*
      ('GIR Log'!$B$2:$B$72=$B339)*
      ('GIR Log'!$C$2:$C$72=$C339),
    0),
    MATCH($G339,'GIR Log'!$E$1:$V$1,0)
  ),
"")</f>
        <v>→</v>
      </c>
    </row>
    <row r="340" spans="1:17" x14ac:dyDescent="0.25">
      <c r="A340" s="20" t="s">
        <v>126</v>
      </c>
      <c r="B340" s="2">
        <v>45443</v>
      </c>
      <c r="C340" t="s">
        <v>3</v>
      </c>
      <c r="D340" t="s">
        <v>3</v>
      </c>
      <c r="E340" t="s">
        <v>34</v>
      </c>
      <c r="F340">
        <v>88</v>
      </c>
      <c r="G340" t="s">
        <v>61</v>
      </c>
      <c r="H340" s="9">
        <f t="shared" si="17"/>
        <v>15</v>
      </c>
      <c r="I340" cm="1">
        <f t="array" ref="I340">IFERROR(INDEX(CourseYardages[[Hole 1]:[Hole 18]],
  MATCH(1, (CourseYardages[Course]=C340)*(CourseYardages[Tees]=E340), 0),
  MATCH(G340, CourseYardages[[#Headers],[Hole 1]:[Hole 18]], 0)
),"")</f>
        <v>207</v>
      </c>
      <c r="J340" cm="1">
        <f t="array" ref="J340">IFERROR(INDEX(CourseHandicap[[Hole 1]:[Hole 18]],
  MATCH(1, (CourseHandicap[Course]=C340)*(CourseHandicap[Tees]=E340), 0),
  MATCH(G340, CourseHandicap[[#Headers],[Hole 1]:[Hole 18]], 0)
),"")</f>
        <v>8</v>
      </c>
      <c r="K340" cm="1">
        <f t="array" ref="K340">IFERROR(INDEX(CourseRatings[[Hole 1]:[Hole 18]],
  MATCH(1, (CourseRatings[Course]=C340)*(CourseRatings[Tees]=E340), 0),
  MATCH(G340, CourseRatings[[#Headers],[Hole 1]:[Hole 18]], 0)
),"")</f>
        <v>3</v>
      </c>
      <c r="L340" cm="1">
        <f t="array" ref="L340">IFERROR(
  INDEX('Golf Log'!$E$2:$V$72,
    MATCH(1,
      ('Golf Log'!$A$2:$A$72=$A340)*
      ('Golf Log'!$B$2:$B$72=$B340)*
      ('Golf Log'!$C$2:$C$72=$C340),
    0),
    MATCH($G340,'Golf Log'!$E$1:$V$1,0)
  ),
"")</f>
        <v>3</v>
      </c>
      <c r="M340">
        <f t="shared" si="16"/>
        <v>0</v>
      </c>
      <c r="N340" t="str">
        <f t="shared" si="15"/>
        <v>Par</v>
      </c>
      <c r="O340" cm="1">
        <f t="array" ref="O340">IFERROR(
  INDEX('Putt Log'!$E$2:$V$72,
    MATCH(1,
      ('Putt Log'!$A$2:$A$72=$A340)*
      ('Putt Log'!$B$2:$B$72=$B340)*
      ('Putt Log'!$C$2:$C$72=$C340),
    0),
    MATCH($G340,'Putt Log'!$E$1:$V$1,0)
  ),
"")</f>
        <v>2</v>
      </c>
      <c r="P340" t="str" cm="1">
        <f t="array" ref="P340">IF(K340=3,"",
  IFERROR(
    INDEX('Fairway Log'!$E$2:$V$72,
      MATCH(1,
        ('Fairway Log'!$A$2:$A$72=$A340)*
        ('Fairway Log'!$B$2:$B$72=$B340)*
        ('Fairway Log'!$C$2:$C411=$C340),
      0),
      MATCH($G340,'Fairway Log'!$E$1:$V$1,0)
    ),
  "")
)</f>
        <v/>
      </c>
      <c r="Q340" cm="1">
        <f t="array" ref="Q340">IFERROR(
  INDEX('GIR Log'!$E$2:$V$72,
    MATCH(1,
      ('GIR Log'!$A$2:$A$72=$A340)*
      ('GIR Log'!$B$2:$B$72=$B340)*
      ('GIR Log'!$C$2:$C$72=$C340),
    0),
    MATCH($G340,'GIR Log'!$E$1:$V$1,0)
  ),
"")</f>
        <v>1</v>
      </c>
    </row>
    <row r="341" spans="1:17" x14ac:dyDescent="0.25">
      <c r="A341" s="20" t="s">
        <v>126</v>
      </c>
      <c r="B341" s="2">
        <v>45443</v>
      </c>
      <c r="C341" t="s">
        <v>3</v>
      </c>
      <c r="D341" t="s">
        <v>3</v>
      </c>
      <c r="E341" t="s">
        <v>34</v>
      </c>
      <c r="F341">
        <v>88</v>
      </c>
      <c r="G341" t="s">
        <v>62</v>
      </c>
      <c r="H341" s="9">
        <f t="shared" si="17"/>
        <v>16</v>
      </c>
      <c r="I341" cm="1">
        <f t="array" ref="I341">IFERROR(INDEX(CourseYardages[[Hole 1]:[Hole 18]],
  MATCH(1, (CourseYardages[Course]=C341)*(CourseYardages[Tees]=E341), 0),
  MATCH(G341, CourseYardages[[#Headers],[Hole 1]:[Hole 18]], 0)
),"")</f>
        <v>358</v>
      </c>
      <c r="J341" cm="1">
        <f t="array" ref="J341">IFERROR(INDEX(CourseHandicap[[Hole 1]:[Hole 18]],
  MATCH(1, (CourseHandicap[Course]=C341)*(CourseHandicap[Tees]=E341), 0),
  MATCH(G341, CourseHandicap[[#Headers],[Hole 1]:[Hole 18]], 0)
),"")</f>
        <v>10</v>
      </c>
      <c r="K341" cm="1">
        <f t="array" ref="K341">IFERROR(INDEX(CourseRatings[[Hole 1]:[Hole 18]],
  MATCH(1, (CourseRatings[Course]=C341)*(CourseRatings[Tees]=E341), 0),
  MATCH(G341, CourseRatings[[#Headers],[Hole 1]:[Hole 18]], 0)
),"")</f>
        <v>4</v>
      </c>
      <c r="L341" cm="1">
        <f t="array" ref="L341">IFERROR(
  INDEX('Golf Log'!$E$2:$V$72,
    MATCH(1,
      ('Golf Log'!$A$2:$A$72=$A341)*
      ('Golf Log'!$B$2:$B$72=$B341)*
      ('Golf Log'!$C$2:$C$72=$C341),
    0),
    MATCH($G341,'Golf Log'!$E$1:$V$1,0)
  ),
"")</f>
        <v>3</v>
      </c>
      <c r="M341">
        <f t="shared" si="16"/>
        <v>-1</v>
      </c>
      <c r="N341" t="str">
        <f t="shared" si="15"/>
        <v>Birdie</v>
      </c>
      <c r="O341" cm="1">
        <f t="array" ref="O341">IFERROR(
  INDEX('Putt Log'!$E$2:$V$72,
    MATCH(1,
      ('Putt Log'!$A$2:$A$72=$A341)*
      ('Putt Log'!$B$2:$B$72=$B341)*
      ('Putt Log'!$C$2:$C$72=$C341),
    0),
    MATCH($G341,'Putt Log'!$E$1:$V$1,0)
  ),
"")</f>
        <v>1</v>
      </c>
      <c r="P341" cm="1">
        <f t="array" ref="P341">IF(K341=3,"",
  IFERROR(
    INDEX('Fairway Log'!$E$2:$V$72,
      MATCH(1,
        ('Fairway Log'!$A$2:$A$72=$A341)*
        ('Fairway Log'!$B$2:$B$72=$B341)*
        ('Fairway Log'!$C$2:$C412=$C341),
      0),
      MATCH($G341,'Fairway Log'!$E$1:$V$1,0)
    ),
  "")
)</f>
        <v>1</v>
      </c>
      <c r="Q341" cm="1">
        <f t="array" ref="Q341">IFERROR(
  INDEX('GIR Log'!$E$2:$V$72,
    MATCH(1,
      ('GIR Log'!$A$2:$A$72=$A341)*
      ('GIR Log'!$B$2:$B$72=$B341)*
      ('GIR Log'!$C$2:$C$72=$C341),
    0),
    MATCH($G341,'GIR Log'!$E$1:$V$1,0)
  ),
"")</f>
        <v>1</v>
      </c>
    </row>
    <row r="342" spans="1:17" x14ac:dyDescent="0.25">
      <c r="A342" s="20" t="s">
        <v>126</v>
      </c>
      <c r="B342" s="2">
        <v>45443</v>
      </c>
      <c r="C342" t="s">
        <v>3</v>
      </c>
      <c r="D342" t="s">
        <v>3</v>
      </c>
      <c r="E342" t="s">
        <v>34</v>
      </c>
      <c r="F342">
        <v>88</v>
      </c>
      <c r="G342" t="s">
        <v>63</v>
      </c>
      <c r="H342" s="9">
        <f t="shared" si="17"/>
        <v>17</v>
      </c>
      <c r="I342" cm="1">
        <f t="array" ref="I342">IFERROR(INDEX(CourseYardages[[Hole 1]:[Hole 18]],
  MATCH(1, (CourseYardages[Course]=C342)*(CourseYardages[Tees]=E342), 0),
  MATCH(G342, CourseYardages[[#Headers],[Hole 1]:[Hole 18]], 0)
),"")</f>
        <v>418</v>
      </c>
      <c r="J342" cm="1">
        <f t="array" ref="J342">IFERROR(INDEX(CourseHandicap[[Hole 1]:[Hole 18]],
  MATCH(1, (CourseHandicap[Course]=C342)*(CourseHandicap[Tees]=E342), 0),
  MATCH(G342, CourseHandicap[[#Headers],[Hole 1]:[Hole 18]], 0)
),"")</f>
        <v>4</v>
      </c>
      <c r="K342" cm="1">
        <f t="array" ref="K342">IFERROR(INDEX(CourseRatings[[Hole 1]:[Hole 18]],
  MATCH(1, (CourseRatings[Course]=C342)*(CourseRatings[Tees]=E342), 0),
  MATCH(G342, CourseRatings[[#Headers],[Hole 1]:[Hole 18]], 0)
),"")</f>
        <v>4</v>
      </c>
      <c r="L342" cm="1">
        <f t="array" ref="L342">IFERROR(
  INDEX('Golf Log'!$E$2:$V$72,
    MATCH(1,
      ('Golf Log'!$A$2:$A$72=$A342)*
      ('Golf Log'!$B$2:$B$72=$B342)*
      ('Golf Log'!$C$2:$C$72=$C342),
    0),
    MATCH($G342,'Golf Log'!$E$1:$V$1,0)
  ),
"")</f>
        <v>5</v>
      </c>
      <c r="M342">
        <f t="shared" si="16"/>
        <v>1</v>
      </c>
      <c r="N342" t="str">
        <f t="shared" si="15"/>
        <v>Bogey</v>
      </c>
      <c r="O342" cm="1">
        <f t="array" ref="O342">IFERROR(
  INDEX('Putt Log'!$E$2:$V$72,
    MATCH(1,
      ('Putt Log'!$A$2:$A$72=$A342)*
      ('Putt Log'!$B$2:$B$72=$B342)*
      ('Putt Log'!$C$2:$C$72=$C342),
    0),
    MATCH($G342,'Putt Log'!$E$1:$V$1,0)
  ),
"")</f>
        <v>2</v>
      </c>
      <c r="P342" t="str" cm="1">
        <f t="array" ref="P342">IF(K342=3,"",
  IFERROR(
    INDEX('Fairway Log'!$E$2:$V$72,
      MATCH(1,
        ('Fairway Log'!$A$2:$A$72=$A342)*
        ('Fairway Log'!$B$2:$B$72=$B342)*
        ('Fairway Log'!$C$2:$C413=$C342),
      0),
      MATCH($G342,'Fairway Log'!$E$1:$V$1,0)
    ),
  "")
)</f>
        <v>→</v>
      </c>
      <c r="Q342" t="str" cm="1">
        <f t="array" ref="Q342">IFERROR(
  INDEX('GIR Log'!$E$2:$V$72,
    MATCH(1,
      ('GIR Log'!$A$2:$A$72=$A342)*
      ('GIR Log'!$B$2:$B$72=$B342)*
      ('GIR Log'!$C$2:$C$72=$C342),
    0),
    MATCH($G342,'GIR Log'!$E$1:$V$1,0)
  ),
"")</f>
        <v>NC</v>
      </c>
    </row>
    <row r="343" spans="1:17" x14ac:dyDescent="0.25">
      <c r="A343" s="20" t="s">
        <v>126</v>
      </c>
      <c r="B343" s="2">
        <v>45443</v>
      </c>
      <c r="C343" t="s">
        <v>3</v>
      </c>
      <c r="D343" t="s">
        <v>3</v>
      </c>
      <c r="E343" t="s">
        <v>34</v>
      </c>
      <c r="F343">
        <v>88</v>
      </c>
      <c r="G343" t="s">
        <v>64</v>
      </c>
      <c r="H343" s="9">
        <f t="shared" si="17"/>
        <v>18</v>
      </c>
      <c r="I343" cm="1">
        <f t="array" ref="I343">IFERROR(INDEX(CourseYardages[[Hole 1]:[Hole 18]],
  MATCH(1, (CourseYardages[Course]=C343)*(CourseYardages[Tees]=E343), 0),
  MATCH(G343, CourseYardages[[#Headers],[Hole 1]:[Hole 18]], 0)
),"")</f>
        <v>398</v>
      </c>
      <c r="J343" cm="1">
        <f t="array" ref="J343">IFERROR(INDEX(CourseHandicap[[Hole 1]:[Hole 18]],
  MATCH(1, (CourseHandicap[Course]=C343)*(CourseHandicap[Tees]=E343), 0),
  MATCH(G343, CourseHandicap[[#Headers],[Hole 1]:[Hole 18]], 0)
),"")</f>
        <v>6</v>
      </c>
      <c r="K343" cm="1">
        <f t="array" ref="K343">IFERROR(INDEX(CourseRatings[[Hole 1]:[Hole 18]],
  MATCH(1, (CourseRatings[Course]=C343)*(CourseRatings[Tees]=E343), 0),
  MATCH(G343, CourseRatings[[#Headers],[Hole 1]:[Hole 18]], 0)
),"")</f>
        <v>4</v>
      </c>
      <c r="L343" cm="1">
        <f t="array" ref="L343">IFERROR(
  INDEX('Golf Log'!$E$2:$V$72,
    MATCH(1,
      ('Golf Log'!$A$2:$A$72=$A343)*
      ('Golf Log'!$B$2:$B$72=$B343)*
      ('Golf Log'!$C$2:$C$72=$C343),
    0),
    MATCH($G343,'Golf Log'!$E$1:$V$1,0)
  ),
"")</f>
        <v>4</v>
      </c>
      <c r="M343">
        <f t="shared" si="16"/>
        <v>0</v>
      </c>
      <c r="N343" t="str">
        <f t="shared" si="15"/>
        <v>Par</v>
      </c>
      <c r="O343" cm="1">
        <f t="array" ref="O343">IFERROR(
  INDEX('Putt Log'!$E$2:$V$72,
    MATCH(1,
      ('Putt Log'!$A$2:$A$72=$A343)*
      ('Putt Log'!$B$2:$B$72=$B343)*
      ('Putt Log'!$C$2:$C$72=$C343),
    0),
    MATCH($G343,'Putt Log'!$E$1:$V$1,0)
  ),
"")</f>
        <v>2</v>
      </c>
      <c r="P343" cm="1">
        <f t="array" ref="P343">IF(K343=3,"",
  IFERROR(
    INDEX('Fairway Log'!$E$2:$V$72,
      MATCH(1,
        ('Fairway Log'!$A$2:$A$72=$A343)*
        ('Fairway Log'!$B$2:$B$72=$B343)*
        ('Fairway Log'!$C$2:$C414=$C343),
      0),
      MATCH($G343,'Fairway Log'!$E$1:$V$1,0)
    ),
  "")
)</f>
        <v>1</v>
      </c>
      <c r="Q343" cm="1">
        <f t="array" ref="Q343">IFERROR(
  INDEX('GIR Log'!$E$2:$V$72,
    MATCH(1,
      ('GIR Log'!$A$2:$A$72=$A343)*
      ('GIR Log'!$B$2:$B$72=$B343)*
      ('GIR Log'!$C$2:$C$72=$C343),
    0),
    MATCH($G343,'GIR Log'!$E$1:$V$1,0)
  ),
"")</f>
        <v>1</v>
      </c>
    </row>
    <row r="344" spans="1:17" x14ac:dyDescent="0.25">
      <c r="A344" s="20" t="s">
        <v>126</v>
      </c>
      <c r="B344" s="2">
        <v>45440</v>
      </c>
      <c r="C344" t="s">
        <v>9</v>
      </c>
      <c r="D344" t="s">
        <v>9</v>
      </c>
      <c r="E344" t="s">
        <v>34</v>
      </c>
      <c r="F344">
        <v>88</v>
      </c>
      <c r="G344" t="s">
        <v>47</v>
      </c>
      <c r="H344" s="9">
        <f t="shared" si="17"/>
        <v>1</v>
      </c>
      <c r="I344" cm="1">
        <f t="array" ref="I344">IFERROR(INDEX(CourseYardages[[Hole 1]:[Hole 18]],
  MATCH(1, (CourseYardages[Course]=C344)*(CourseYardages[Tees]=E344), 0),
  MATCH(G344, CourseYardages[[#Headers],[Hole 1]:[Hole 18]], 0)
),"")</f>
        <v>393</v>
      </c>
      <c r="J344" cm="1">
        <f t="array" ref="J344">IFERROR(INDEX(CourseHandicap[[Hole 1]:[Hole 18]],
  MATCH(1, (CourseHandicap[Course]=C344)*(CourseHandicap[Tees]=E344), 0),
  MATCH(G344, CourseHandicap[[#Headers],[Hole 1]:[Hole 18]], 0)
),"")</f>
        <v>2</v>
      </c>
      <c r="K344" cm="1">
        <f t="array" ref="K344">IFERROR(INDEX(CourseRatings[[Hole 1]:[Hole 18]],
  MATCH(1, (CourseRatings[Course]=C344)*(CourseRatings[Tees]=E344), 0),
  MATCH(G344, CourseRatings[[#Headers],[Hole 1]:[Hole 18]], 0)
),"")</f>
        <v>4</v>
      </c>
      <c r="L344" cm="1">
        <f t="array" ref="L344">IFERROR(
  INDEX('Golf Log'!$E$2:$V$72,
    MATCH(1,
      ('Golf Log'!$A$2:$A$72=$A344)*
      ('Golf Log'!$B$2:$B$72=$B344)*
      ('Golf Log'!$C$2:$C$72=$C344),
    0),
    MATCH($G344,'Golf Log'!$E$1:$V$1,0)
  ),
"")</f>
        <v>6</v>
      </c>
      <c r="M344">
        <f t="shared" si="16"/>
        <v>2</v>
      </c>
      <c r="N344" t="str">
        <f t="shared" si="15"/>
        <v>Double Bogey</v>
      </c>
      <c r="O344" cm="1">
        <f t="array" ref="O344">IFERROR(
  INDEX('Putt Log'!$E$2:$V$72,
    MATCH(1,
      ('Putt Log'!$A$2:$A$72=$A344)*
      ('Putt Log'!$B$2:$B$72=$B344)*
      ('Putt Log'!$C$2:$C$72=$C344),
    0),
    MATCH($G344,'Putt Log'!$E$1:$V$1,0)
  ),
"")</f>
        <v>3</v>
      </c>
      <c r="P344" cm="1">
        <f t="array" ref="P344">IF(K344=3,"",
  IFERROR(
    INDEX('Fairway Log'!$E$2:$V$72,
      MATCH(1,
        ('Fairway Log'!$A$2:$A$72=$A344)*
        ('Fairway Log'!$B$2:$B$72=$B344)*
        ('Fairway Log'!$C$2:$C415=$C344),
      0),
      MATCH($G344,'Fairway Log'!$E$1:$V$1,0)
    ),
  "")
)</f>
        <v>1</v>
      </c>
      <c r="Q344" cm="1">
        <f t="array" ref="Q344">IFERROR(
  INDEX('GIR Log'!$E$2:$V$72,
    MATCH(1,
      ('GIR Log'!$A$2:$A$72=$A344)*
      ('GIR Log'!$B$2:$B$72=$B344)*
      ('GIR Log'!$C$2:$C$72=$C344),
    0),
    MATCH($G344,'GIR Log'!$E$1:$V$1,0)
  ),
"")</f>
        <v>0</v>
      </c>
    </row>
    <row r="345" spans="1:17" x14ac:dyDescent="0.25">
      <c r="A345" s="20" t="s">
        <v>126</v>
      </c>
      <c r="B345" s="2">
        <v>45440</v>
      </c>
      <c r="C345" t="s">
        <v>9</v>
      </c>
      <c r="D345" t="s">
        <v>9</v>
      </c>
      <c r="E345" t="s">
        <v>34</v>
      </c>
      <c r="F345">
        <v>88</v>
      </c>
      <c r="G345" t="s">
        <v>48</v>
      </c>
      <c r="H345" s="9">
        <f t="shared" si="17"/>
        <v>2</v>
      </c>
      <c r="I345" cm="1">
        <f t="array" ref="I345">IFERROR(INDEX(CourseYardages[[Hole 1]:[Hole 18]],
  MATCH(1, (CourseYardages[Course]=C345)*(CourseYardages[Tees]=E345), 0),
  MATCH(G345, CourseYardages[[#Headers],[Hole 1]:[Hole 18]], 0)
),"")</f>
        <v>398</v>
      </c>
      <c r="J345" cm="1">
        <f t="array" ref="J345">IFERROR(INDEX(CourseHandicap[[Hole 1]:[Hole 18]],
  MATCH(1, (CourseHandicap[Course]=C345)*(CourseHandicap[Tees]=E345), 0),
  MATCH(G345, CourseHandicap[[#Headers],[Hole 1]:[Hole 18]], 0)
),"")</f>
        <v>4</v>
      </c>
      <c r="K345" cm="1">
        <f t="array" ref="K345">IFERROR(INDEX(CourseRatings[[Hole 1]:[Hole 18]],
  MATCH(1, (CourseRatings[Course]=C345)*(CourseRatings[Tees]=E345), 0),
  MATCH(G345, CourseRatings[[#Headers],[Hole 1]:[Hole 18]], 0)
),"")</f>
        <v>4</v>
      </c>
      <c r="L345" cm="1">
        <f t="array" ref="L345">IFERROR(
  INDEX('Golf Log'!$E$2:$V$72,
    MATCH(1,
      ('Golf Log'!$A$2:$A$72=$A345)*
      ('Golf Log'!$B$2:$B$72=$B345)*
      ('Golf Log'!$C$2:$C$72=$C345),
    0),
    MATCH($G345,'Golf Log'!$E$1:$V$1,0)
  ),
"")</f>
        <v>5</v>
      </c>
      <c r="M345">
        <f t="shared" si="16"/>
        <v>1</v>
      </c>
      <c r="N345" t="str">
        <f t="shared" si="15"/>
        <v>Bogey</v>
      </c>
      <c r="O345" cm="1">
        <f t="array" ref="O345">IFERROR(
  INDEX('Putt Log'!$E$2:$V$72,
    MATCH(1,
      ('Putt Log'!$A$2:$A$72=$A345)*
      ('Putt Log'!$B$2:$B$72=$B345)*
      ('Putt Log'!$C$2:$C$72=$C345),
    0),
    MATCH($G345,'Putt Log'!$E$1:$V$1,0)
  ),
"")</f>
        <v>2</v>
      </c>
      <c r="P345" cm="1">
        <f t="array" ref="P345">IF(K345=3,"",
  IFERROR(
    INDEX('Fairway Log'!$E$2:$V$72,
      MATCH(1,
        ('Fairway Log'!$A$2:$A$72=$A345)*
        ('Fairway Log'!$B$2:$B$72=$B345)*
        ('Fairway Log'!$C$2:$C416=$C345),
      0),
      MATCH($G345,'Fairway Log'!$E$1:$V$1,0)
    ),
  "")
)</f>
        <v>1</v>
      </c>
      <c r="Q345" cm="1">
        <f t="array" ref="Q345">IFERROR(
  INDEX('GIR Log'!$E$2:$V$72,
    MATCH(1,
      ('GIR Log'!$A$2:$A$72=$A345)*
      ('GIR Log'!$B$2:$B$72=$B345)*
      ('GIR Log'!$C$2:$C$72=$C345),
    0),
    MATCH($G345,'GIR Log'!$E$1:$V$1,0)
  ),
"")</f>
        <v>0</v>
      </c>
    </row>
    <row r="346" spans="1:17" x14ac:dyDescent="0.25">
      <c r="A346" s="20" t="s">
        <v>126</v>
      </c>
      <c r="B346" s="2">
        <v>45440</v>
      </c>
      <c r="C346" t="s">
        <v>9</v>
      </c>
      <c r="D346" t="s">
        <v>9</v>
      </c>
      <c r="E346" t="s">
        <v>34</v>
      </c>
      <c r="F346">
        <v>88</v>
      </c>
      <c r="G346" t="s">
        <v>49</v>
      </c>
      <c r="H346" s="9">
        <f t="shared" si="17"/>
        <v>3</v>
      </c>
      <c r="I346" cm="1">
        <f t="array" ref="I346">IFERROR(INDEX(CourseYardages[[Hole 1]:[Hole 18]],
  MATCH(1, (CourseYardages[Course]=C346)*(CourseYardages[Tees]=E346), 0),
  MATCH(G346, CourseYardages[[#Headers],[Hole 1]:[Hole 18]], 0)
),"")</f>
        <v>390</v>
      </c>
      <c r="J346" cm="1">
        <f t="array" ref="J346">IFERROR(INDEX(CourseHandicap[[Hole 1]:[Hole 18]],
  MATCH(1, (CourseHandicap[Course]=C346)*(CourseHandicap[Tees]=E346), 0),
  MATCH(G346, CourseHandicap[[#Headers],[Hole 1]:[Hole 18]], 0)
),"")</f>
        <v>6</v>
      </c>
      <c r="K346" cm="1">
        <f t="array" ref="K346">IFERROR(INDEX(CourseRatings[[Hole 1]:[Hole 18]],
  MATCH(1, (CourseRatings[Course]=C346)*(CourseRatings[Tees]=E346), 0),
  MATCH(G346, CourseRatings[[#Headers],[Hole 1]:[Hole 18]], 0)
),"")</f>
        <v>4</v>
      </c>
      <c r="L346" cm="1">
        <f t="array" ref="L346">IFERROR(
  INDEX('Golf Log'!$E$2:$V$72,
    MATCH(1,
      ('Golf Log'!$A$2:$A$72=$A346)*
      ('Golf Log'!$B$2:$B$72=$B346)*
      ('Golf Log'!$C$2:$C$72=$C346),
    0),
    MATCH($G346,'Golf Log'!$E$1:$V$1,0)
  ),
"")</f>
        <v>6</v>
      </c>
      <c r="M346">
        <f t="shared" si="16"/>
        <v>2</v>
      </c>
      <c r="N346" t="str">
        <f t="shared" si="15"/>
        <v>Double Bogey</v>
      </c>
      <c r="O346" cm="1">
        <f t="array" ref="O346">IFERROR(
  INDEX('Putt Log'!$E$2:$V$72,
    MATCH(1,
      ('Putt Log'!$A$2:$A$72=$A346)*
      ('Putt Log'!$B$2:$B$72=$B346)*
      ('Putt Log'!$C$2:$C$72=$C346),
    0),
    MATCH($G346,'Putt Log'!$E$1:$V$1,0)
  ),
"")</f>
        <v>2</v>
      </c>
      <c r="P346" t="str" cm="1">
        <f t="array" ref="P346">IF(K346=3,"",
  IFERROR(
    INDEX('Fairway Log'!$E$2:$V$72,
      MATCH(1,
        ('Fairway Log'!$A$2:$A$72=$A346)*
        ('Fairway Log'!$B$2:$B$72=$B346)*
        ('Fairway Log'!$C$2:$C417=$C346),
      0),
      MATCH($G346,'Fairway Log'!$E$1:$V$1,0)
    ),
  "")
)</f>
        <v>↑</v>
      </c>
      <c r="Q346" cm="1">
        <f t="array" ref="Q346">IFERROR(
  INDEX('GIR Log'!$E$2:$V$72,
    MATCH(1,
      ('GIR Log'!$A$2:$A$72=$A346)*
      ('GIR Log'!$B$2:$B$72=$B346)*
      ('GIR Log'!$C$2:$C$72=$C346),
    0),
    MATCH($G346,'GIR Log'!$E$1:$V$1,0)
  ),
"")</f>
        <v>0</v>
      </c>
    </row>
    <row r="347" spans="1:17" x14ac:dyDescent="0.25">
      <c r="A347" s="20" t="s">
        <v>126</v>
      </c>
      <c r="B347" s="2">
        <v>45440</v>
      </c>
      <c r="C347" t="s">
        <v>9</v>
      </c>
      <c r="D347" t="s">
        <v>9</v>
      </c>
      <c r="E347" t="s">
        <v>34</v>
      </c>
      <c r="F347">
        <v>88</v>
      </c>
      <c r="G347" t="s">
        <v>50</v>
      </c>
      <c r="H347" s="9">
        <f t="shared" si="17"/>
        <v>4</v>
      </c>
      <c r="I347" cm="1">
        <f t="array" ref="I347">IFERROR(INDEX(CourseYardages[[Hole 1]:[Hole 18]],
  MATCH(1, (CourseYardages[Course]=C347)*(CourseYardages[Tees]=E347), 0),
  MATCH(G347, CourseYardages[[#Headers],[Hole 1]:[Hole 18]], 0)
),"")</f>
        <v>166</v>
      </c>
      <c r="J347" cm="1">
        <f t="array" ref="J347">IFERROR(INDEX(CourseHandicap[[Hole 1]:[Hole 18]],
  MATCH(1, (CourseHandicap[Course]=C347)*(CourseHandicap[Tees]=E347), 0),
  MATCH(G347, CourseHandicap[[#Headers],[Hole 1]:[Hole 18]], 0)
),"")</f>
        <v>14</v>
      </c>
      <c r="K347" cm="1">
        <f t="array" ref="K347">IFERROR(INDEX(CourseRatings[[Hole 1]:[Hole 18]],
  MATCH(1, (CourseRatings[Course]=C347)*(CourseRatings[Tees]=E347), 0),
  MATCH(G347, CourseRatings[[#Headers],[Hole 1]:[Hole 18]], 0)
),"")</f>
        <v>3</v>
      </c>
      <c r="L347" cm="1">
        <f t="array" ref="L347">IFERROR(
  INDEX('Golf Log'!$E$2:$V$72,
    MATCH(1,
      ('Golf Log'!$A$2:$A$72=$A347)*
      ('Golf Log'!$B$2:$B$72=$B347)*
      ('Golf Log'!$C$2:$C$72=$C347),
    0),
    MATCH($G347,'Golf Log'!$E$1:$V$1,0)
  ),
"")</f>
        <v>3</v>
      </c>
      <c r="M347">
        <f t="shared" si="16"/>
        <v>0</v>
      </c>
      <c r="N347" t="str">
        <f t="shared" si="15"/>
        <v>Par</v>
      </c>
      <c r="O347" cm="1">
        <f t="array" ref="O347">IFERROR(
  INDEX('Putt Log'!$E$2:$V$72,
    MATCH(1,
      ('Putt Log'!$A$2:$A$72=$A347)*
      ('Putt Log'!$B$2:$B$72=$B347)*
      ('Putt Log'!$C$2:$C$72=$C347),
    0),
    MATCH($G347,'Putt Log'!$E$1:$V$1,0)
  ),
"")</f>
        <v>1</v>
      </c>
      <c r="P347" t="str" cm="1">
        <f t="array" ref="P347">IF(K347=3,"",
  IFERROR(
    INDEX('Fairway Log'!$E$2:$V$72,
      MATCH(1,
        ('Fairway Log'!$A$2:$A$72=$A347)*
        ('Fairway Log'!$B$2:$B$72=$B347)*
        ('Fairway Log'!$C$2:$C418=$C347),
      0),
      MATCH($G347,'Fairway Log'!$E$1:$V$1,0)
    ),
  "")
)</f>
        <v/>
      </c>
      <c r="Q347" cm="1">
        <f t="array" ref="Q347">IFERROR(
  INDEX('GIR Log'!$E$2:$V$72,
    MATCH(1,
      ('GIR Log'!$A$2:$A$72=$A347)*
      ('GIR Log'!$B$2:$B$72=$B347)*
      ('GIR Log'!$C$2:$C$72=$C347),
    0),
    MATCH($G347,'GIR Log'!$E$1:$V$1,0)
  ),
"")</f>
        <v>0</v>
      </c>
    </row>
    <row r="348" spans="1:17" x14ac:dyDescent="0.25">
      <c r="A348" s="20" t="s">
        <v>126</v>
      </c>
      <c r="B348" s="2">
        <v>45440</v>
      </c>
      <c r="C348" t="s">
        <v>9</v>
      </c>
      <c r="D348" t="s">
        <v>9</v>
      </c>
      <c r="E348" t="s">
        <v>34</v>
      </c>
      <c r="F348">
        <v>88</v>
      </c>
      <c r="G348" t="s">
        <v>51</v>
      </c>
      <c r="H348" s="9">
        <f t="shared" si="17"/>
        <v>5</v>
      </c>
      <c r="I348" cm="1">
        <f t="array" ref="I348">IFERROR(INDEX(CourseYardages[[Hole 1]:[Hole 18]],
  MATCH(1, (CourseYardages[Course]=C348)*(CourseYardages[Tees]=E348), 0),
  MATCH(G348, CourseYardages[[#Headers],[Hole 1]:[Hole 18]], 0)
),"")</f>
        <v>347</v>
      </c>
      <c r="J348" cm="1">
        <f t="array" ref="J348">IFERROR(INDEX(CourseHandicap[[Hole 1]:[Hole 18]],
  MATCH(1, (CourseHandicap[Course]=C348)*(CourseHandicap[Tees]=E348), 0),
  MATCH(G348, CourseHandicap[[#Headers],[Hole 1]:[Hole 18]], 0)
),"")</f>
        <v>10</v>
      </c>
      <c r="K348" cm="1">
        <f t="array" ref="K348">IFERROR(INDEX(CourseRatings[[Hole 1]:[Hole 18]],
  MATCH(1, (CourseRatings[Course]=C348)*(CourseRatings[Tees]=E348), 0),
  MATCH(G348, CourseRatings[[#Headers],[Hole 1]:[Hole 18]], 0)
),"")</f>
        <v>4</v>
      </c>
      <c r="L348" cm="1">
        <f t="array" ref="L348">IFERROR(
  INDEX('Golf Log'!$E$2:$V$72,
    MATCH(1,
      ('Golf Log'!$A$2:$A$72=$A348)*
      ('Golf Log'!$B$2:$B$72=$B348)*
      ('Golf Log'!$C$2:$C$72=$C348),
    0),
    MATCH($G348,'Golf Log'!$E$1:$V$1,0)
  ),
"")</f>
        <v>5</v>
      </c>
      <c r="M348">
        <f t="shared" si="16"/>
        <v>1</v>
      </c>
      <c r="N348" t="str">
        <f t="shared" si="15"/>
        <v>Bogey</v>
      </c>
      <c r="O348" cm="1">
        <f t="array" ref="O348">IFERROR(
  INDEX('Putt Log'!$E$2:$V$72,
    MATCH(1,
      ('Putt Log'!$A$2:$A$72=$A348)*
      ('Putt Log'!$B$2:$B$72=$B348)*
      ('Putt Log'!$C$2:$C$72=$C348),
    0),
    MATCH($G348,'Putt Log'!$E$1:$V$1,0)
  ),
"")</f>
        <v>2</v>
      </c>
      <c r="P348" cm="1">
        <f t="array" ref="P348">IF(K348=3,"",
  IFERROR(
    INDEX('Fairway Log'!$E$2:$V$72,
      MATCH(1,
        ('Fairway Log'!$A$2:$A$72=$A348)*
        ('Fairway Log'!$B$2:$B$72=$B348)*
        ('Fairway Log'!$C$2:$C419=$C348),
      0),
      MATCH($G348,'Fairway Log'!$E$1:$V$1,0)
    ),
  "")
)</f>
        <v>1</v>
      </c>
      <c r="Q348" cm="1">
        <f t="array" ref="Q348">IFERROR(
  INDEX('GIR Log'!$E$2:$V$72,
    MATCH(1,
      ('GIR Log'!$A$2:$A$72=$A348)*
      ('GIR Log'!$B$2:$B$72=$B348)*
      ('GIR Log'!$C$2:$C$72=$C348),
    0),
    MATCH($G348,'GIR Log'!$E$1:$V$1,0)
  ),
"")</f>
        <v>0</v>
      </c>
    </row>
    <row r="349" spans="1:17" x14ac:dyDescent="0.25">
      <c r="A349" s="20" t="s">
        <v>126</v>
      </c>
      <c r="B349" s="2">
        <v>45440</v>
      </c>
      <c r="C349" t="s">
        <v>9</v>
      </c>
      <c r="D349" t="s">
        <v>9</v>
      </c>
      <c r="E349" t="s">
        <v>34</v>
      </c>
      <c r="F349">
        <v>88</v>
      </c>
      <c r="G349" t="s">
        <v>52</v>
      </c>
      <c r="H349" s="9">
        <f t="shared" si="17"/>
        <v>6</v>
      </c>
      <c r="I349" cm="1">
        <f t="array" ref="I349">IFERROR(INDEX(CourseYardages[[Hole 1]:[Hole 18]],
  MATCH(1, (CourseYardages[Course]=C349)*(CourseYardages[Tees]=E349), 0),
  MATCH(G349, CourseYardages[[#Headers],[Hole 1]:[Hole 18]], 0)
),"")</f>
        <v>487</v>
      </c>
      <c r="J349" cm="1">
        <f t="array" ref="J349">IFERROR(INDEX(CourseHandicap[[Hole 1]:[Hole 18]],
  MATCH(1, (CourseHandicap[Course]=C349)*(CourseHandicap[Tees]=E349), 0),
  MATCH(G349, CourseHandicap[[#Headers],[Hole 1]:[Hole 18]], 0)
),"")</f>
        <v>8</v>
      </c>
      <c r="K349" cm="1">
        <f t="array" ref="K349">IFERROR(INDEX(CourseRatings[[Hole 1]:[Hole 18]],
  MATCH(1, (CourseRatings[Course]=C349)*(CourseRatings[Tees]=E349), 0),
  MATCH(G349, CourseRatings[[#Headers],[Hole 1]:[Hole 18]], 0)
),"")</f>
        <v>5</v>
      </c>
      <c r="L349" cm="1">
        <f t="array" ref="L349">IFERROR(
  INDEX('Golf Log'!$E$2:$V$72,
    MATCH(1,
      ('Golf Log'!$A$2:$A$72=$A349)*
      ('Golf Log'!$B$2:$B$72=$B349)*
      ('Golf Log'!$C$2:$C$72=$C349),
    0),
    MATCH($G349,'Golf Log'!$E$1:$V$1,0)
  ),
"")</f>
        <v>5</v>
      </c>
      <c r="M349">
        <f t="shared" si="16"/>
        <v>0</v>
      </c>
      <c r="N349" t="str">
        <f t="shared" si="15"/>
        <v>Par</v>
      </c>
      <c r="O349" cm="1">
        <f t="array" ref="O349">IFERROR(
  INDEX('Putt Log'!$E$2:$V$72,
    MATCH(1,
      ('Putt Log'!$A$2:$A$72=$A349)*
      ('Putt Log'!$B$2:$B$72=$B349)*
      ('Putt Log'!$C$2:$C$72=$C349),
    0),
    MATCH($G349,'Putt Log'!$E$1:$V$1,0)
  ),
"")</f>
        <v>1</v>
      </c>
      <c r="P349" cm="1">
        <f t="array" ref="P349">IF(K349=3,"",
  IFERROR(
    INDEX('Fairway Log'!$E$2:$V$72,
      MATCH(1,
        ('Fairway Log'!$A$2:$A$72=$A349)*
        ('Fairway Log'!$B$2:$B$72=$B349)*
        ('Fairway Log'!$C$2:$C420=$C349),
      0),
      MATCH($G349,'Fairway Log'!$E$1:$V$1,0)
    ),
  "")
)</f>
        <v>1</v>
      </c>
      <c r="Q349" cm="1">
        <f t="array" ref="Q349">IFERROR(
  INDEX('GIR Log'!$E$2:$V$72,
    MATCH(1,
      ('GIR Log'!$A$2:$A$72=$A349)*
      ('GIR Log'!$B$2:$B$72=$B349)*
      ('GIR Log'!$C$2:$C$72=$C349),
    0),
    MATCH($G349,'GIR Log'!$E$1:$V$1,0)
  ),
"")</f>
        <v>0</v>
      </c>
    </row>
    <row r="350" spans="1:17" x14ac:dyDescent="0.25">
      <c r="A350" s="20" t="s">
        <v>126</v>
      </c>
      <c r="B350" s="2">
        <v>45440</v>
      </c>
      <c r="C350" t="s">
        <v>9</v>
      </c>
      <c r="D350" t="s">
        <v>9</v>
      </c>
      <c r="E350" t="s">
        <v>34</v>
      </c>
      <c r="F350">
        <v>88</v>
      </c>
      <c r="G350" t="s">
        <v>53</v>
      </c>
      <c r="H350" s="9">
        <f t="shared" si="17"/>
        <v>7</v>
      </c>
      <c r="I350" cm="1">
        <f t="array" ref="I350">IFERROR(INDEX(CourseYardages[[Hole 1]:[Hole 18]],
  MATCH(1, (CourseYardages[Course]=C350)*(CourseYardages[Tees]=E350), 0),
  MATCH(G350, CourseYardages[[#Headers],[Hole 1]:[Hole 18]], 0)
),"")</f>
        <v>174</v>
      </c>
      <c r="J350" cm="1">
        <f t="array" ref="J350">IFERROR(INDEX(CourseHandicap[[Hole 1]:[Hole 18]],
  MATCH(1, (CourseHandicap[Course]=C350)*(CourseHandicap[Tees]=E350), 0),
  MATCH(G350, CourseHandicap[[#Headers],[Hole 1]:[Hole 18]], 0)
),"")</f>
        <v>16</v>
      </c>
      <c r="K350" cm="1">
        <f t="array" ref="K350">IFERROR(INDEX(CourseRatings[[Hole 1]:[Hole 18]],
  MATCH(1, (CourseRatings[Course]=C350)*(CourseRatings[Tees]=E350), 0),
  MATCH(G350, CourseRatings[[#Headers],[Hole 1]:[Hole 18]], 0)
),"")</f>
        <v>3</v>
      </c>
      <c r="L350" cm="1">
        <f t="array" ref="L350">IFERROR(
  INDEX('Golf Log'!$E$2:$V$72,
    MATCH(1,
      ('Golf Log'!$A$2:$A$72=$A350)*
      ('Golf Log'!$B$2:$B$72=$B350)*
      ('Golf Log'!$C$2:$C$72=$C350),
    0),
    MATCH($G350,'Golf Log'!$E$1:$V$1,0)
  ),
"")</f>
        <v>5</v>
      </c>
      <c r="M350">
        <f t="shared" si="16"/>
        <v>2</v>
      </c>
      <c r="N350" t="str">
        <f t="shared" si="15"/>
        <v>Double Bogey</v>
      </c>
      <c r="O350" cm="1">
        <f t="array" ref="O350">IFERROR(
  INDEX('Putt Log'!$E$2:$V$72,
    MATCH(1,
      ('Putt Log'!$A$2:$A$72=$A350)*
      ('Putt Log'!$B$2:$B$72=$B350)*
      ('Putt Log'!$C$2:$C$72=$C350),
    0),
    MATCH($G350,'Putt Log'!$E$1:$V$1,0)
  ),
"")</f>
        <v>2</v>
      </c>
      <c r="P350" t="str" cm="1">
        <f t="array" ref="P350">IF(K350=3,"",
  IFERROR(
    INDEX('Fairway Log'!$E$2:$V$72,
      MATCH(1,
        ('Fairway Log'!$A$2:$A$72=$A350)*
        ('Fairway Log'!$B$2:$B$72=$B350)*
        ('Fairway Log'!$C$2:$C421=$C350),
      0),
      MATCH($G350,'Fairway Log'!$E$1:$V$1,0)
    ),
  "")
)</f>
        <v/>
      </c>
      <c r="Q350" cm="1">
        <f t="array" ref="Q350">IFERROR(
  INDEX('GIR Log'!$E$2:$V$72,
    MATCH(1,
      ('GIR Log'!$A$2:$A$72=$A350)*
      ('GIR Log'!$B$2:$B$72=$B350)*
      ('GIR Log'!$C$2:$C$72=$C350),
    0),
    MATCH($G350,'GIR Log'!$E$1:$V$1,0)
  ),
"")</f>
        <v>0</v>
      </c>
    </row>
    <row r="351" spans="1:17" x14ac:dyDescent="0.25">
      <c r="A351" s="20" t="s">
        <v>126</v>
      </c>
      <c r="B351" s="2">
        <v>45440</v>
      </c>
      <c r="C351" t="s">
        <v>9</v>
      </c>
      <c r="D351" t="s">
        <v>9</v>
      </c>
      <c r="E351" t="s">
        <v>34</v>
      </c>
      <c r="F351">
        <v>88</v>
      </c>
      <c r="G351" t="s">
        <v>54</v>
      </c>
      <c r="H351" s="9">
        <f t="shared" si="17"/>
        <v>8</v>
      </c>
      <c r="I351" cm="1">
        <f t="array" ref="I351">IFERROR(INDEX(CourseYardages[[Hole 1]:[Hole 18]],
  MATCH(1, (CourseYardages[Course]=C351)*(CourseYardages[Tees]=E351), 0),
  MATCH(G351, CourseYardages[[#Headers],[Hole 1]:[Hole 18]], 0)
),"")</f>
        <v>360</v>
      </c>
      <c r="J351" cm="1">
        <f t="array" ref="J351">IFERROR(INDEX(CourseHandicap[[Hole 1]:[Hole 18]],
  MATCH(1, (CourseHandicap[Course]=C351)*(CourseHandicap[Tees]=E351), 0),
  MATCH(G351, CourseHandicap[[#Headers],[Hole 1]:[Hole 18]], 0)
),"")</f>
        <v>12</v>
      </c>
      <c r="K351" cm="1">
        <f t="array" ref="K351">IFERROR(INDEX(CourseRatings[[Hole 1]:[Hole 18]],
  MATCH(1, (CourseRatings[Course]=C351)*(CourseRatings[Tees]=E351), 0),
  MATCH(G351, CourseRatings[[#Headers],[Hole 1]:[Hole 18]], 0)
),"")</f>
        <v>4</v>
      </c>
      <c r="L351" cm="1">
        <f t="array" ref="L351">IFERROR(
  INDEX('Golf Log'!$E$2:$V$72,
    MATCH(1,
      ('Golf Log'!$A$2:$A$72=$A351)*
      ('Golf Log'!$B$2:$B$72=$B351)*
      ('Golf Log'!$C$2:$C$72=$C351),
    0),
    MATCH($G351,'Golf Log'!$E$1:$V$1,0)
  ),
"")</f>
        <v>5</v>
      </c>
      <c r="M351">
        <f t="shared" si="16"/>
        <v>1</v>
      </c>
      <c r="N351" t="str">
        <f t="shared" si="15"/>
        <v>Bogey</v>
      </c>
      <c r="O351" cm="1">
        <f t="array" ref="O351">IFERROR(
  INDEX('Putt Log'!$E$2:$V$72,
    MATCH(1,
      ('Putt Log'!$A$2:$A$72=$A351)*
      ('Putt Log'!$B$2:$B$72=$B351)*
      ('Putt Log'!$C$2:$C$72=$C351),
    0),
    MATCH($G351,'Putt Log'!$E$1:$V$1,0)
  ),
"")</f>
        <v>2</v>
      </c>
      <c r="P351" t="str" cm="1">
        <f t="array" ref="P351">IF(K351=3,"",
  IFERROR(
    INDEX('Fairway Log'!$E$2:$V$72,
      MATCH(1,
        ('Fairway Log'!$A$2:$A$72=$A351)*
        ('Fairway Log'!$B$2:$B$72=$B351)*
        ('Fairway Log'!$C$2:$C422=$C351),
      0),
      MATCH($G351,'Fairway Log'!$E$1:$V$1,0)
    ),
  "")
)</f>
        <v>↓</v>
      </c>
      <c r="Q351" cm="1">
        <f t="array" ref="Q351">IFERROR(
  INDEX('GIR Log'!$E$2:$V$72,
    MATCH(1,
      ('GIR Log'!$A$2:$A$72=$A351)*
      ('GIR Log'!$B$2:$B$72=$B351)*
      ('GIR Log'!$C$2:$C$72=$C351),
    0),
    MATCH($G351,'GIR Log'!$E$1:$V$1,0)
  ),
"")</f>
        <v>0</v>
      </c>
    </row>
    <row r="352" spans="1:17" x14ac:dyDescent="0.25">
      <c r="A352" s="20" t="s">
        <v>126</v>
      </c>
      <c r="B352" s="2">
        <v>45440</v>
      </c>
      <c r="C352" t="s">
        <v>9</v>
      </c>
      <c r="D352" t="s">
        <v>9</v>
      </c>
      <c r="E352" t="s">
        <v>34</v>
      </c>
      <c r="F352">
        <v>88</v>
      </c>
      <c r="G352" t="s">
        <v>55</v>
      </c>
      <c r="H352" s="9">
        <f t="shared" si="17"/>
        <v>9</v>
      </c>
      <c r="I352" cm="1">
        <f t="array" ref="I352">IFERROR(INDEX(CourseYardages[[Hole 1]:[Hole 18]],
  MATCH(1, (CourseYardages[Course]=C352)*(CourseYardages[Tees]=E352), 0),
  MATCH(G352, CourseYardages[[#Headers],[Hole 1]:[Hole 18]], 0)
),"")</f>
        <v>386</v>
      </c>
      <c r="J352" cm="1">
        <f t="array" ref="J352">IFERROR(INDEX(CourseHandicap[[Hole 1]:[Hole 18]],
  MATCH(1, (CourseHandicap[Course]=C352)*(CourseHandicap[Tees]=E352), 0),
  MATCH(G352, CourseHandicap[[#Headers],[Hole 1]:[Hole 18]], 0)
),"")</f>
        <v>18</v>
      </c>
      <c r="K352" cm="1">
        <f t="array" ref="K352">IFERROR(INDEX(CourseRatings[[Hole 1]:[Hole 18]],
  MATCH(1, (CourseRatings[Course]=C352)*(CourseRatings[Tees]=E352), 0),
  MATCH(G352, CourseRatings[[#Headers],[Hole 1]:[Hole 18]], 0)
),"")</f>
        <v>4</v>
      </c>
      <c r="L352" cm="1">
        <f t="array" ref="L352">IFERROR(
  INDEX('Golf Log'!$E$2:$V$72,
    MATCH(1,
      ('Golf Log'!$A$2:$A$72=$A352)*
      ('Golf Log'!$B$2:$B$72=$B352)*
      ('Golf Log'!$C$2:$C$72=$C352),
    0),
    MATCH($G352,'Golf Log'!$E$1:$V$1,0)
  ),
"")</f>
        <v>5</v>
      </c>
      <c r="M352">
        <f t="shared" si="16"/>
        <v>1</v>
      </c>
      <c r="N352" t="str">
        <f t="shared" si="15"/>
        <v>Bogey</v>
      </c>
      <c r="O352" cm="1">
        <f t="array" ref="O352">IFERROR(
  INDEX('Putt Log'!$E$2:$V$72,
    MATCH(1,
      ('Putt Log'!$A$2:$A$72=$A352)*
      ('Putt Log'!$B$2:$B$72=$B352)*
      ('Putt Log'!$C$2:$C$72=$C352),
    0),
    MATCH($G352,'Putt Log'!$E$1:$V$1,0)
  ),
"")</f>
        <v>2</v>
      </c>
      <c r="P352" t="str" cm="1">
        <f t="array" ref="P352">IF(K352=3,"",
  IFERROR(
    INDEX('Fairway Log'!$E$2:$V$72,
      MATCH(1,
        ('Fairway Log'!$A$2:$A$72=$A352)*
        ('Fairway Log'!$B$2:$B$72=$B352)*
        ('Fairway Log'!$C$2:$C423=$C352),
      0),
      MATCH($G352,'Fairway Log'!$E$1:$V$1,0)
    ),
  "")
)</f>
        <v>↓</v>
      </c>
      <c r="Q352" cm="1">
        <f t="array" ref="Q352">IFERROR(
  INDEX('GIR Log'!$E$2:$V$72,
    MATCH(1,
      ('GIR Log'!$A$2:$A$72=$A352)*
      ('GIR Log'!$B$2:$B$72=$B352)*
      ('GIR Log'!$C$2:$C$72=$C352),
    0),
    MATCH($G352,'GIR Log'!$E$1:$V$1,0)
  ),
"")</f>
        <v>0</v>
      </c>
    </row>
    <row r="353" spans="1:17" x14ac:dyDescent="0.25">
      <c r="A353" s="20" t="s">
        <v>126</v>
      </c>
      <c r="B353" s="2">
        <v>45440</v>
      </c>
      <c r="C353" t="s">
        <v>9</v>
      </c>
      <c r="D353" t="s">
        <v>9</v>
      </c>
      <c r="E353" t="s">
        <v>34</v>
      </c>
      <c r="F353">
        <v>88</v>
      </c>
      <c r="G353" t="s">
        <v>56</v>
      </c>
      <c r="H353" s="9">
        <f t="shared" si="17"/>
        <v>10</v>
      </c>
      <c r="I353" cm="1">
        <f t="array" ref="I353">IFERROR(INDEX(CourseYardages[[Hole 1]:[Hole 18]],
  MATCH(1, (CourseYardages[Course]=C353)*(CourseYardages[Tees]=E353), 0),
  MATCH(G353, CourseYardages[[#Headers],[Hole 1]:[Hole 18]], 0)
),"")</f>
        <v>524</v>
      </c>
      <c r="J353" cm="1">
        <f t="array" ref="J353">IFERROR(INDEX(CourseHandicap[[Hole 1]:[Hole 18]],
  MATCH(1, (CourseHandicap[Course]=C353)*(CourseHandicap[Tees]=E353), 0),
  MATCH(G353, CourseHandicap[[#Headers],[Hole 1]:[Hole 18]], 0)
),"")</f>
        <v>3</v>
      </c>
      <c r="K353" cm="1">
        <f t="array" ref="K353">IFERROR(INDEX(CourseRatings[[Hole 1]:[Hole 18]],
  MATCH(1, (CourseRatings[Course]=C353)*(CourseRatings[Tees]=E353), 0),
  MATCH(G353, CourseRatings[[#Headers],[Hole 1]:[Hole 18]], 0)
),"")</f>
        <v>5</v>
      </c>
      <c r="L353" cm="1">
        <f t="array" ref="L353">IFERROR(
  INDEX('Golf Log'!$E$2:$V$72,
    MATCH(1,
      ('Golf Log'!$A$2:$A$72=$A353)*
      ('Golf Log'!$B$2:$B$72=$B353)*
      ('Golf Log'!$C$2:$C$72=$C353),
    0),
    MATCH($G353,'Golf Log'!$E$1:$V$1,0)
  ),
"")</f>
        <v>5</v>
      </c>
      <c r="M353">
        <f t="shared" si="16"/>
        <v>0</v>
      </c>
      <c r="N353" t="str">
        <f t="shared" si="15"/>
        <v>Par</v>
      </c>
      <c r="O353" cm="1">
        <f t="array" ref="O353">IFERROR(
  INDEX('Putt Log'!$E$2:$V$72,
    MATCH(1,
      ('Putt Log'!$A$2:$A$72=$A353)*
      ('Putt Log'!$B$2:$B$72=$B353)*
      ('Putt Log'!$C$2:$C$72=$C353),
    0),
    MATCH($G353,'Putt Log'!$E$1:$V$1,0)
  ),
"")</f>
        <v>1</v>
      </c>
      <c r="P353" cm="1">
        <f t="array" ref="P353">IF(K353=3,"",
  IFERROR(
    INDEX('Fairway Log'!$E$2:$V$72,
      MATCH(1,
        ('Fairway Log'!$A$2:$A$72=$A353)*
        ('Fairway Log'!$B$2:$B$72=$B353)*
        ('Fairway Log'!$C$2:$C424=$C353),
      0),
      MATCH($G353,'Fairway Log'!$E$1:$V$1,0)
    ),
  "")
)</f>
        <v>1</v>
      </c>
      <c r="Q353" cm="1">
        <f t="array" ref="Q353">IFERROR(
  INDEX('GIR Log'!$E$2:$V$72,
    MATCH(1,
      ('GIR Log'!$A$2:$A$72=$A353)*
      ('GIR Log'!$B$2:$B$72=$B353)*
      ('GIR Log'!$C$2:$C$72=$C353),
    0),
    MATCH($G353,'GIR Log'!$E$1:$V$1,0)
  ),
"")</f>
        <v>0</v>
      </c>
    </row>
    <row r="354" spans="1:17" x14ac:dyDescent="0.25">
      <c r="A354" s="20" t="s">
        <v>126</v>
      </c>
      <c r="B354" s="2">
        <v>45440</v>
      </c>
      <c r="C354" t="s">
        <v>9</v>
      </c>
      <c r="D354" t="s">
        <v>9</v>
      </c>
      <c r="E354" t="s">
        <v>34</v>
      </c>
      <c r="F354">
        <v>88</v>
      </c>
      <c r="G354" t="s">
        <v>57</v>
      </c>
      <c r="H354" s="9">
        <f t="shared" si="17"/>
        <v>11</v>
      </c>
      <c r="I354" cm="1">
        <f t="array" ref="I354">IFERROR(INDEX(CourseYardages[[Hole 1]:[Hole 18]],
  MATCH(1, (CourseYardages[Course]=C354)*(CourseYardages[Tees]=E354), 0),
  MATCH(G354, CourseYardages[[#Headers],[Hole 1]:[Hole 18]], 0)
),"")</f>
        <v>188</v>
      </c>
      <c r="J354" cm="1">
        <f t="array" ref="J354">IFERROR(INDEX(CourseHandicap[[Hole 1]:[Hole 18]],
  MATCH(1, (CourseHandicap[Course]=C354)*(CourseHandicap[Tees]=E354), 0),
  MATCH(G354, CourseHandicap[[#Headers],[Hole 1]:[Hole 18]], 0)
),"")</f>
        <v>11</v>
      </c>
      <c r="K354" cm="1">
        <f t="array" ref="K354">IFERROR(INDEX(CourseRatings[[Hole 1]:[Hole 18]],
  MATCH(1, (CourseRatings[Course]=C354)*(CourseRatings[Tees]=E354), 0),
  MATCH(G354, CourseRatings[[#Headers],[Hole 1]:[Hole 18]], 0)
),"")</f>
        <v>3</v>
      </c>
      <c r="L354" cm="1">
        <f t="array" ref="L354">IFERROR(
  INDEX('Golf Log'!$E$2:$V$72,
    MATCH(1,
      ('Golf Log'!$A$2:$A$72=$A354)*
      ('Golf Log'!$B$2:$B$72=$B354)*
      ('Golf Log'!$C$2:$C$72=$C354),
    0),
    MATCH($G354,'Golf Log'!$E$1:$V$1,0)
  ),
"")</f>
        <v>4</v>
      </c>
      <c r="M354">
        <f t="shared" si="16"/>
        <v>1</v>
      </c>
      <c r="N354" t="str">
        <f t="shared" si="15"/>
        <v>Bogey</v>
      </c>
      <c r="O354" cm="1">
        <f t="array" ref="O354">IFERROR(
  INDEX('Putt Log'!$E$2:$V$72,
    MATCH(1,
      ('Putt Log'!$A$2:$A$72=$A354)*
      ('Putt Log'!$B$2:$B$72=$B354)*
      ('Putt Log'!$C$2:$C$72=$C354),
    0),
    MATCH($G354,'Putt Log'!$E$1:$V$1,0)
  ),
"")</f>
        <v>2</v>
      </c>
      <c r="P354" t="str" cm="1">
        <f t="array" ref="P354">IF(K354=3,"",
  IFERROR(
    INDEX('Fairway Log'!$E$2:$V$72,
      MATCH(1,
        ('Fairway Log'!$A$2:$A$72=$A354)*
        ('Fairway Log'!$B$2:$B$72=$B354)*
        ('Fairway Log'!$C$2:$C425=$C354),
      0),
      MATCH($G354,'Fairway Log'!$E$1:$V$1,0)
    ),
  "")
)</f>
        <v/>
      </c>
      <c r="Q354" cm="1">
        <f t="array" ref="Q354">IFERROR(
  INDEX('GIR Log'!$E$2:$V$72,
    MATCH(1,
      ('GIR Log'!$A$2:$A$72=$A354)*
      ('GIR Log'!$B$2:$B$72=$B354)*
      ('GIR Log'!$C$2:$C$72=$C354),
    0),
    MATCH($G354,'GIR Log'!$E$1:$V$1,0)
  ),
"")</f>
        <v>0</v>
      </c>
    </row>
    <row r="355" spans="1:17" x14ac:dyDescent="0.25">
      <c r="A355" s="20" t="s">
        <v>126</v>
      </c>
      <c r="B355" s="2">
        <v>45440</v>
      </c>
      <c r="C355" t="s">
        <v>9</v>
      </c>
      <c r="D355" t="s">
        <v>9</v>
      </c>
      <c r="E355" t="s">
        <v>34</v>
      </c>
      <c r="F355">
        <v>88</v>
      </c>
      <c r="G355" t="s">
        <v>58</v>
      </c>
      <c r="H355" s="9">
        <f t="shared" si="17"/>
        <v>12</v>
      </c>
      <c r="I355" cm="1">
        <f t="array" ref="I355">IFERROR(INDEX(CourseYardages[[Hole 1]:[Hole 18]],
  MATCH(1, (CourseYardages[Course]=C355)*(CourseYardages[Tees]=E355), 0),
  MATCH(G355, CourseYardages[[#Headers],[Hole 1]:[Hole 18]], 0)
),"")</f>
        <v>313</v>
      </c>
      <c r="J355" cm="1">
        <f t="array" ref="J355">IFERROR(INDEX(CourseHandicap[[Hole 1]:[Hole 18]],
  MATCH(1, (CourseHandicap[Course]=C355)*(CourseHandicap[Tees]=E355), 0),
  MATCH(G355, CourseHandicap[[#Headers],[Hole 1]:[Hole 18]], 0)
),"")</f>
        <v>17</v>
      </c>
      <c r="K355" cm="1">
        <f t="array" ref="K355">IFERROR(INDEX(CourseRatings[[Hole 1]:[Hole 18]],
  MATCH(1, (CourseRatings[Course]=C355)*(CourseRatings[Tees]=E355), 0),
  MATCH(G355, CourseRatings[[#Headers],[Hole 1]:[Hole 18]], 0)
),"")</f>
        <v>4</v>
      </c>
      <c r="L355" cm="1">
        <f t="array" ref="L355">IFERROR(
  INDEX('Golf Log'!$E$2:$V$72,
    MATCH(1,
      ('Golf Log'!$A$2:$A$72=$A355)*
      ('Golf Log'!$B$2:$B$72=$B355)*
      ('Golf Log'!$C$2:$C$72=$C355),
    0),
    MATCH($G355,'Golf Log'!$E$1:$V$1,0)
  ),
"")</f>
        <v>4</v>
      </c>
      <c r="M355">
        <f t="shared" si="16"/>
        <v>0</v>
      </c>
      <c r="N355" t="str">
        <f t="shared" si="15"/>
        <v>Par</v>
      </c>
      <c r="O355" cm="1">
        <f t="array" ref="O355">IFERROR(
  INDEX('Putt Log'!$E$2:$V$72,
    MATCH(1,
      ('Putt Log'!$A$2:$A$72=$A355)*
      ('Putt Log'!$B$2:$B$72=$B355)*
      ('Putt Log'!$C$2:$C$72=$C355),
    0),
    MATCH($G355,'Putt Log'!$E$1:$V$1,0)
  ),
"")</f>
        <v>1</v>
      </c>
      <c r="P355" t="str" cm="1">
        <f t="array" ref="P355">IF(K355=3,"",
  IFERROR(
    INDEX('Fairway Log'!$E$2:$V$72,
      MATCH(1,
        ('Fairway Log'!$A$2:$A$72=$A355)*
        ('Fairway Log'!$B$2:$B$72=$B355)*
        ('Fairway Log'!$C$2:$C426=$C355),
      0),
      MATCH($G355,'Fairway Log'!$E$1:$V$1,0)
    ),
  "")
)</f>
        <v>→</v>
      </c>
      <c r="Q355" cm="1">
        <f t="array" ref="Q355">IFERROR(
  INDEX('GIR Log'!$E$2:$V$72,
    MATCH(1,
      ('GIR Log'!$A$2:$A$72=$A355)*
      ('GIR Log'!$B$2:$B$72=$B355)*
      ('GIR Log'!$C$2:$C$72=$C355),
    0),
    MATCH($G355,'GIR Log'!$E$1:$V$1,0)
  ),
"")</f>
        <v>0</v>
      </c>
    </row>
    <row r="356" spans="1:17" x14ac:dyDescent="0.25">
      <c r="A356" s="20" t="s">
        <v>126</v>
      </c>
      <c r="B356" s="2">
        <v>45440</v>
      </c>
      <c r="C356" t="s">
        <v>9</v>
      </c>
      <c r="D356" t="s">
        <v>9</v>
      </c>
      <c r="E356" t="s">
        <v>34</v>
      </c>
      <c r="F356">
        <v>88</v>
      </c>
      <c r="G356" t="s">
        <v>59</v>
      </c>
      <c r="H356" s="9">
        <f t="shared" si="17"/>
        <v>13</v>
      </c>
      <c r="I356" cm="1">
        <f t="array" ref="I356">IFERROR(INDEX(CourseYardages[[Hole 1]:[Hole 18]],
  MATCH(1, (CourseYardages[Course]=C356)*(CourseYardages[Tees]=E356), 0),
  MATCH(G356, CourseYardages[[#Headers],[Hole 1]:[Hole 18]], 0)
),"")</f>
        <v>429</v>
      </c>
      <c r="J356" cm="1">
        <f t="array" ref="J356">IFERROR(INDEX(CourseHandicap[[Hole 1]:[Hole 18]],
  MATCH(1, (CourseHandicap[Course]=C356)*(CourseHandicap[Tees]=E356), 0),
  MATCH(G356, CourseHandicap[[#Headers],[Hole 1]:[Hole 18]], 0)
),"")</f>
        <v>1</v>
      </c>
      <c r="K356" cm="1">
        <f t="array" ref="K356">IFERROR(INDEX(CourseRatings[[Hole 1]:[Hole 18]],
  MATCH(1, (CourseRatings[Course]=C356)*(CourseRatings[Tees]=E356), 0),
  MATCH(G356, CourseRatings[[#Headers],[Hole 1]:[Hole 18]], 0)
),"")</f>
        <v>4</v>
      </c>
      <c r="L356" cm="1">
        <f t="array" ref="L356">IFERROR(
  INDEX('Golf Log'!$E$2:$V$72,
    MATCH(1,
      ('Golf Log'!$A$2:$A$72=$A356)*
      ('Golf Log'!$B$2:$B$72=$B356)*
      ('Golf Log'!$C$2:$C$72=$C356),
    0),
    MATCH($G356,'Golf Log'!$E$1:$V$1,0)
  ),
"")</f>
        <v>6</v>
      </c>
      <c r="M356">
        <f t="shared" si="16"/>
        <v>2</v>
      </c>
      <c r="N356" t="str">
        <f t="shared" ref="N356:N419" si="18">IF(M356="","",(IF(M356=-2,"Eagle",IF(M356=-1,"Birdie",IF(M356=0,"Par",IF(M356=1,"Bogey",IF(M356=2,"Double Bogey",IF(M356=3,"Triple Bogey",IF(M356&gt;3,"Quad Bogey+")))))))))</f>
        <v>Double Bogey</v>
      </c>
      <c r="O356" cm="1">
        <f t="array" ref="O356">IFERROR(
  INDEX('Putt Log'!$E$2:$V$72,
    MATCH(1,
      ('Putt Log'!$A$2:$A$72=$A356)*
      ('Putt Log'!$B$2:$B$72=$B356)*
      ('Putt Log'!$C$2:$C$72=$C356),
    0),
    MATCH($G356,'Putt Log'!$E$1:$V$1,0)
  ),
"")</f>
        <v>2</v>
      </c>
      <c r="P356" t="str" cm="1">
        <f t="array" ref="P356">IF(K356=3,"",
  IFERROR(
    INDEX('Fairway Log'!$E$2:$V$72,
      MATCH(1,
        ('Fairway Log'!$A$2:$A$72=$A356)*
        ('Fairway Log'!$B$2:$B$72=$B356)*
        ('Fairway Log'!$C$2:$C427=$C356),
      0),
      MATCH($G356,'Fairway Log'!$E$1:$V$1,0)
    ),
  "")
)</f>
        <v>←</v>
      </c>
      <c r="Q356" cm="1">
        <f t="array" ref="Q356">IFERROR(
  INDEX('GIR Log'!$E$2:$V$72,
    MATCH(1,
      ('GIR Log'!$A$2:$A$72=$A356)*
      ('GIR Log'!$B$2:$B$72=$B356)*
      ('GIR Log'!$C$2:$C$72=$C356),
    0),
    MATCH($G356,'GIR Log'!$E$1:$V$1,0)
  ),
"")</f>
        <v>0</v>
      </c>
    </row>
    <row r="357" spans="1:17" x14ac:dyDescent="0.25">
      <c r="A357" s="20" t="s">
        <v>126</v>
      </c>
      <c r="B357" s="2">
        <v>45440</v>
      </c>
      <c r="C357" t="s">
        <v>9</v>
      </c>
      <c r="D357" t="s">
        <v>9</v>
      </c>
      <c r="E357" t="s">
        <v>34</v>
      </c>
      <c r="F357">
        <v>88</v>
      </c>
      <c r="G357" t="s">
        <v>60</v>
      </c>
      <c r="H357" s="9">
        <f t="shared" si="17"/>
        <v>14</v>
      </c>
      <c r="I357" cm="1">
        <f t="array" ref="I357">IFERROR(INDEX(CourseYardages[[Hole 1]:[Hole 18]],
  MATCH(1, (CourseYardages[Course]=C357)*(CourseYardages[Tees]=E357), 0),
  MATCH(G357, CourseYardages[[#Headers],[Hole 1]:[Hole 18]], 0)
),"")</f>
        <v>188</v>
      </c>
      <c r="J357" cm="1">
        <f t="array" ref="J357">IFERROR(INDEX(CourseHandicap[[Hole 1]:[Hole 18]],
  MATCH(1, (CourseHandicap[Course]=C357)*(CourseHandicap[Tees]=E357), 0),
  MATCH(G357, CourseHandicap[[#Headers],[Hole 1]:[Hole 18]], 0)
),"")</f>
        <v>9</v>
      </c>
      <c r="K357" cm="1">
        <f t="array" ref="K357">IFERROR(INDEX(CourseRatings[[Hole 1]:[Hole 18]],
  MATCH(1, (CourseRatings[Course]=C357)*(CourseRatings[Tees]=E357), 0),
  MATCH(G357, CourseRatings[[#Headers],[Hole 1]:[Hole 18]], 0)
),"")</f>
        <v>3</v>
      </c>
      <c r="L357" cm="1">
        <f t="array" ref="L357">IFERROR(
  INDEX('Golf Log'!$E$2:$V$72,
    MATCH(1,
      ('Golf Log'!$A$2:$A$72=$A357)*
      ('Golf Log'!$B$2:$B$72=$B357)*
      ('Golf Log'!$C$2:$C$72=$C357),
    0),
    MATCH($G357,'Golf Log'!$E$1:$V$1,0)
  ),
"")</f>
        <v>5</v>
      </c>
      <c r="M357">
        <f t="shared" si="16"/>
        <v>2</v>
      </c>
      <c r="N357" t="str">
        <f t="shared" si="18"/>
        <v>Double Bogey</v>
      </c>
      <c r="O357" cm="1">
        <f t="array" ref="O357">IFERROR(
  INDEX('Putt Log'!$E$2:$V$72,
    MATCH(1,
      ('Putt Log'!$A$2:$A$72=$A357)*
      ('Putt Log'!$B$2:$B$72=$B357)*
      ('Putt Log'!$C$2:$C$72=$C357),
    0),
    MATCH($G357,'Putt Log'!$E$1:$V$1,0)
  ),
"")</f>
        <v>2</v>
      </c>
      <c r="P357" t="str" cm="1">
        <f t="array" ref="P357">IF(K357=3,"",
  IFERROR(
    INDEX('Fairway Log'!$E$2:$V$72,
      MATCH(1,
        ('Fairway Log'!$A$2:$A$72=$A357)*
        ('Fairway Log'!$B$2:$B$72=$B357)*
        ('Fairway Log'!$C$2:$C428=$C357),
      0),
      MATCH($G357,'Fairway Log'!$E$1:$V$1,0)
    ),
  "")
)</f>
        <v/>
      </c>
      <c r="Q357" cm="1">
        <f t="array" ref="Q357">IFERROR(
  INDEX('GIR Log'!$E$2:$V$72,
    MATCH(1,
      ('GIR Log'!$A$2:$A$72=$A357)*
      ('GIR Log'!$B$2:$B$72=$B357)*
      ('GIR Log'!$C$2:$C$72=$C357),
    0),
    MATCH($G357,'GIR Log'!$E$1:$V$1,0)
  ),
"")</f>
        <v>0</v>
      </c>
    </row>
    <row r="358" spans="1:17" x14ac:dyDescent="0.25">
      <c r="A358" s="20" t="s">
        <v>126</v>
      </c>
      <c r="B358" s="2">
        <v>45440</v>
      </c>
      <c r="C358" t="s">
        <v>9</v>
      </c>
      <c r="D358" t="s">
        <v>9</v>
      </c>
      <c r="E358" t="s">
        <v>34</v>
      </c>
      <c r="F358">
        <v>88</v>
      </c>
      <c r="G358" t="s">
        <v>61</v>
      </c>
      <c r="H358" s="9">
        <f t="shared" si="17"/>
        <v>15</v>
      </c>
      <c r="I358" cm="1">
        <f t="array" ref="I358">IFERROR(INDEX(CourseYardages[[Hole 1]:[Hole 18]],
  MATCH(1, (CourseYardages[Course]=C358)*(CourseYardages[Tees]=E358), 0),
  MATCH(G358, CourseYardages[[#Headers],[Hole 1]:[Hole 18]], 0)
),"")</f>
        <v>363</v>
      </c>
      <c r="J358" cm="1">
        <f t="array" ref="J358">IFERROR(INDEX(CourseHandicap[[Hole 1]:[Hole 18]],
  MATCH(1, (CourseHandicap[Course]=C358)*(CourseHandicap[Tees]=E358), 0),
  MATCH(G358, CourseHandicap[[#Headers],[Hole 1]:[Hole 18]], 0)
),"")</f>
        <v>7</v>
      </c>
      <c r="K358" cm="1">
        <f t="array" ref="K358">IFERROR(INDEX(CourseRatings[[Hole 1]:[Hole 18]],
  MATCH(1, (CourseRatings[Course]=C358)*(CourseRatings[Tees]=E358), 0),
  MATCH(G358, CourseRatings[[#Headers],[Hole 1]:[Hole 18]], 0)
),"")</f>
        <v>4</v>
      </c>
      <c r="L358" cm="1">
        <f t="array" ref="L358">IFERROR(
  INDEX('Golf Log'!$E$2:$V$72,
    MATCH(1,
      ('Golf Log'!$A$2:$A$72=$A358)*
      ('Golf Log'!$B$2:$B$72=$B358)*
      ('Golf Log'!$C$2:$C$72=$C358),
    0),
    MATCH($G358,'Golf Log'!$E$1:$V$1,0)
  ),
"")</f>
        <v>5</v>
      </c>
      <c r="M358">
        <f t="shared" si="16"/>
        <v>1</v>
      </c>
      <c r="N358" t="str">
        <f t="shared" si="18"/>
        <v>Bogey</v>
      </c>
      <c r="O358" cm="1">
        <f t="array" ref="O358">IFERROR(
  INDEX('Putt Log'!$E$2:$V$72,
    MATCH(1,
      ('Putt Log'!$A$2:$A$72=$A358)*
      ('Putt Log'!$B$2:$B$72=$B358)*
      ('Putt Log'!$C$2:$C$72=$C358),
    0),
    MATCH($G358,'Putt Log'!$E$1:$V$1,0)
  ),
"")</f>
        <v>2</v>
      </c>
      <c r="P358" t="str" cm="1">
        <f t="array" ref="P358">IF(K358=3,"",
  IFERROR(
    INDEX('Fairway Log'!$E$2:$V$72,
      MATCH(1,
        ('Fairway Log'!$A$2:$A$72=$A358)*
        ('Fairway Log'!$B$2:$B$72=$B358)*
        ('Fairway Log'!$C$2:$C429=$C358),
      0),
      MATCH($G358,'Fairway Log'!$E$1:$V$1,0)
    ),
  "")
)</f>
        <v>→</v>
      </c>
      <c r="Q358" cm="1">
        <f t="array" ref="Q358">IFERROR(
  INDEX('GIR Log'!$E$2:$V$72,
    MATCH(1,
      ('GIR Log'!$A$2:$A$72=$A358)*
      ('GIR Log'!$B$2:$B$72=$B358)*
      ('GIR Log'!$C$2:$C$72=$C358),
    0),
    MATCH($G358,'GIR Log'!$E$1:$V$1,0)
  ),
"")</f>
        <v>0</v>
      </c>
    </row>
    <row r="359" spans="1:17" x14ac:dyDescent="0.25">
      <c r="A359" s="20" t="s">
        <v>126</v>
      </c>
      <c r="B359" s="2">
        <v>45440</v>
      </c>
      <c r="C359" t="s">
        <v>9</v>
      </c>
      <c r="D359" t="s">
        <v>9</v>
      </c>
      <c r="E359" t="s">
        <v>34</v>
      </c>
      <c r="F359">
        <v>88</v>
      </c>
      <c r="G359" t="s">
        <v>62</v>
      </c>
      <c r="H359" s="9">
        <f t="shared" si="17"/>
        <v>16</v>
      </c>
      <c r="I359" cm="1">
        <f t="array" ref="I359">IFERROR(INDEX(CourseYardages[[Hole 1]:[Hole 18]],
  MATCH(1, (CourseYardages[Course]=C359)*(CourseYardages[Tees]=E359), 0),
  MATCH(G359, CourseYardages[[#Headers],[Hole 1]:[Hole 18]], 0)
),"")</f>
        <v>353</v>
      </c>
      <c r="J359" cm="1">
        <f t="array" ref="J359">IFERROR(INDEX(CourseHandicap[[Hole 1]:[Hole 18]],
  MATCH(1, (CourseHandicap[Course]=C359)*(CourseHandicap[Tees]=E359), 0),
  MATCH(G359, CourseHandicap[[#Headers],[Hole 1]:[Hole 18]], 0)
),"")</f>
        <v>13</v>
      </c>
      <c r="K359" cm="1">
        <f t="array" ref="K359">IFERROR(INDEX(CourseRatings[[Hole 1]:[Hole 18]],
  MATCH(1, (CourseRatings[Course]=C359)*(CourseRatings[Tees]=E359), 0),
  MATCH(G359, CourseRatings[[#Headers],[Hole 1]:[Hole 18]], 0)
),"")</f>
        <v>4</v>
      </c>
      <c r="L359" cm="1">
        <f t="array" ref="L359">IFERROR(
  INDEX('Golf Log'!$E$2:$V$72,
    MATCH(1,
      ('Golf Log'!$A$2:$A$72=$A359)*
      ('Golf Log'!$B$2:$B$72=$B359)*
      ('Golf Log'!$C$2:$C$72=$C359),
    0),
    MATCH($G359,'Golf Log'!$E$1:$V$1,0)
  ),
"")</f>
        <v>5</v>
      </c>
      <c r="M359">
        <f t="shared" si="16"/>
        <v>1</v>
      </c>
      <c r="N359" t="str">
        <f t="shared" si="18"/>
        <v>Bogey</v>
      </c>
      <c r="O359" cm="1">
        <f t="array" ref="O359">IFERROR(
  INDEX('Putt Log'!$E$2:$V$72,
    MATCH(1,
      ('Putt Log'!$A$2:$A$72=$A359)*
      ('Putt Log'!$B$2:$B$72=$B359)*
      ('Putt Log'!$C$2:$C$72=$C359),
    0),
    MATCH($G359,'Putt Log'!$E$1:$V$1,0)
  ),
"")</f>
        <v>2</v>
      </c>
      <c r="P359" cm="1">
        <f t="array" ref="P359">IF(K359=3,"",
  IFERROR(
    INDEX('Fairway Log'!$E$2:$V$72,
      MATCH(1,
        ('Fairway Log'!$A$2:$A$72=$A359)*
        ('Fairway Log'!$B$2:$B$72=$B359)*
        ('Fairway Log'!$C$2:$C430=$C359),
      0),
      MATCH($G359,'Fairway Log'!$E$1:$V$1,0)
    ),
  "")
)</f>
        <v>1</v>
      </c>
      <c r="Q359" cm="1">
        <f t="array" ref="Q359">IFERROR(
  INDEX('GIR Log'!$E$2:$V$72,
    MATCH(1,
      ('GIR Log'!$A$2:$A$72=$A359)*
      ('GIR Log'!$B$2:$B$72=$B359)*
      ('GIR Log'!$C$2:$C$72=$C359),
    0),
    MATCH($G359,'GIR Log'!$E$1:$V$1,0)
  ),
"")</f>
        <v>0</v>
      </c>
    </row>
    <row r="360" spans="1:17" x14ac:dyDescent="0.25">
      <c r="A360" s="20" t="s">
        <v>126</v>
      </c>
      <c r="B360" s="2">
        <v>45440</v>
      </c>
      <c r="C360" t="s">
        <v>9</v>
      </c>
      <c r="D360" t="s">
        <v>9</v>
      </c>
      <c r="E360" t="s">
        <v>34</v>
      </c>
      <c r="F360">
        <v>88</v>
      </c>
      <c r="G360" t="s">
        <v>63</v>
      </c>
      <c r="H360" s="9">
        <f t="shared" si="17"/>
        <v>17</v>
      </c>
      <c r="I360" cm="1">
        <f t="array" ref="I360">IFERROR(INDEX(CourseYardages[[Hole 1]:[Hole 18]],
  MATCH(1, (CourseYardages[Course]=C360)*(CourseYardages[Tees]=E360), 0),
  MATCH(G360, CourseYardages[[#Headers],[Hole 1]:[Hole 18]], 0)
),"")</f>
        <v>485</v>
      </c>
      <c r="J360" cm="1">
        <f t="array" ref="J360">IFERROR(INDEX(CourseHandicap[[Hole 1]:[Hole 18]],
  MATCH(1, (CourseHandicap[Course]=C360)*(CourseHandicap[Tees]=E360), 0),
  MATCH(G360, CourseHandicap[[#Headers],[Hole 1]:[Hole 18]], 0)
),"")</f>
        <v>5</v>
      </c>
      <c r="K360" cm="1">
        <f t="array" ref="K360">IFERROR(INDEX(CourseRatings[[Hole 1]:[Hole 18]],
  MATCH(1, (CourseRatings[Course]=C360)*(CourseRatings[Tees]=E360), 0),
  MATCH(G360, CourseRatings[[#Headers],[Hole 1]:[Hole 18]], 0)
),"")</f>
        <v>5</v>
      </c>
      <c r="L360" cm="1">
        <f t="array" ref="L360">IFERROR(
  INDEX('Golf Log'!$E$2:$V$72,
    MATCH(1,
      ('Golf Log'!$A$2:$A$72=$A360)*
      ('Golf Log'!$B$2:$B$72=$B360)*
      ('Golf Log'!$C$2:$C$72=$C360),
    0),
    MATCH($G360,'Golf Log'!$E$1:$V$1,0)
  ),
"")</f>
        <v>5</v>
      </c>
      <c r="M360">
        <f t="shared" si="16"/>
        <v>0</v>
      </c>
      <c r="N360" t="str">
        <f t="shared" si="18"/>
        <v>Par</v>
      </c>
      <c r="O360" cm="1">
        <f t="array" ref="O360">IFERROR(
  INDEX('Putt Log'!$E$2:$V$72,
    MATCH(1,
      ('Putt Log'!$A$2:$A$72=$A360)*
      ('Putt Log'!$B$2:$B$72=$B360)*
      ('Putt Log'!$C$2:$C$72=$C360),
    0),
    MATCH($G360,'Putt Log'!$E$1:$V$1,0)
  ),
"")</f>
        <v>2</v>
      </c>
      <c r="P360" cm="1">
        <f t="array" ref="P360">IF(K360=3,"",
  IFERROR(
    INDEX('Fairway Log'!$E$2:$V$72,
      MATCH(1,
        ('Fairway Log'!$A$2:$A$72=$A360)*
        ('Fairway Log'!$B$2:$B$72=$B360)*
        ('Fairway Log'!$C$2:$C431=$C360),
      0),
      MATCH($G360,'Fairway Log'!$E$1:$V$1,0)
    ),
  "")
)</f>
        <v>1</v>
      </c>
      <c r="Q360" cm="1">
        <f t="array" ref="Q360">IFERROR(
  INDEX('GIR Log'!$E$2:$V$72,
    MATCH(1,
      ('GIR Log'!$A$2:$A$72=$A360)*
      ('GIR Log'!$B$2:$B$72=$B360)*
      ('GIR Log'!$C$2:$C$72=$C360),
    0),
    MATCH($G360,'GIR Log'!$E$1:$V$1,0)
  ),
"")</f>
        <v>1</v>
      </c>
    </row>
    <row r="361" spans="1:17" x14ac:dyDescent="0.25">
      <c r="A361" s="20" t="s">
        <v>126</v>
      </c>
      <c r="B361" s="2">
        <v>45440</v>
      </c>
      <c r="C361" t="s">
        <v>9</v>
      </c>
      <c r="D361" t="s">
        <v>9</v>
      </c>
      <c r="E361" t="s">
        <v>34</v>
      </c>
      <c r="F361">
        <v>88</v>
      </c>
      <c r="G361" t="s">
        <v>64</v>
      </c>
      <c r="H361" s="9">
        <f t="shared" si="17"/>
        <v>18</v>
      </c>
      <c r="I361" cm="1">
        <f t="array" ref="I361">IFERROR(INDEX(CourseYardages[[Hole 1]:[Hole 18]],
  MATCH(1, (CourseYardages[Course]=C361)*(CourseYardages[Tees]=E361), 0),
  MATCH(G361, CourseYardages[[#Headers],[Hole 1]:[Hole 18]], 0)
),"")</f>
        <v>366</v>
      </c>
      <c r="J361" cm="1">
        <f t="array" ref="J361">IFERROR(INDEX(CourseHandicap[[Hole 1]:[Hole 18]],
  MATCH(1, (CourseHandicap[Course]=C361)*(CourseHandicap[Tees]=E361), 0),
  MATCH(G361, CourseHandicap[[#Headers],[Hole 1]:[Hole 18]], 0)
),"")</f>
        <v>15</v>
      </c>
      <c r="K361" cm="1">
        <f t="array" ref="K361">IFERROR(INDEX(CourseRatings[[Hole 1]:[Hole 18]],
  MATCH(1, (CourseRatings[Course]=C361)*(CourseRatings[Tees]=E361), 0),
  MATCH(G361, CourseRatings[[#Headers],[Hole 1]:[Hole 18]], 0)
),"")</f>
        <v>4</v>
      </c>
      <c r="L361" cm="1">
        <f t="array" ref="L361">IFERROR(
  INDEX('Golf Log'!$E$2:$V$72,
    MATCH(1,
      ('Golf Log'!$A$2:$A$72=$A361)*
      ('Golf Log'!$B$2:$B$72=$B361)*
      ('Golf Log'!$C$2:$C$72=$C361),
    0),
    MATCH($G361,'Golf Log'!$E$1:$V$1,0)
  ),
"")</f>
        <v>4</v>
      </c>
      <c r="M361">
        <f t="shared" si="16"/>
        <v>0</v>
      </c>
      <c r="N361" t="str">
        <f t="shared" si="18"/>
        <v>Par</v>
      </c>
      <c r="O361" cm="1">
        <f t="array" ref="O361">IFERROR(
  INDEX('Putt Log'!$E$2:$V$72,
    MATCH(1,
      ('Putt Log'!$A$2:$A$72=$A361)*
      ('Putt Log'!$B$2:$B$72=$B361)*
      ('Putt Log'!$C$2:$C$72=$C361),
    0),
    MATCH($G361,'Putt Log'!$E$1:$V$1,0)
  ),
"")</f>
        <v>2</v>
      </c>
      <c r="P361" t="str" cm="1">
        <f t="array" ref="P361">IF(K361=3,"",
  IFERROR(
    INDEX('Fairway Log'!$E$2:$V$72,
      MATCH(1,
        ('Fairway Log'!$A$2:$A$72=$A361)*
        ('Fairway Log'!$B$2:$B$72=$B361)*
        ('Fairway Log'!$C$2:$C432=$C361),
      0),
      MATCH($G361,'Fairway Log'!$E$1:$V$1,0)
    ),
  "")
)</f>
        <v>→</v>
      </c>
      <c r="Q361" cm="1">
        <f t="array" ref="Q361">IFERROR(
  INDEX('GIR Log'!$E$2:$V$72,
    MATCH(1,
      ('GIR Log'!$A$2:$A$72=$A361)*
      ('GIR Log'!$B$2:$B$72=$B361)*
      ('GIR Log'!$C$2:$C$72=$C361),
    0),
    MATCH($G361,'GIR Log'!$E$1:$V$1,0)
  ),
"")</f>
        <v>1</v>
      </c>
    </row>
    <row r="362" spans="1:17" x14ac:dyDescent="0.25">
      <c r="A362" s="20" t="s">
        <v>126</v>
      </c>
      <c r="B362" s="2">
        <v>45434</v>
      </c>
      <c r="C362" t="s">
        <v>9</v>
      </c>
      <c r="D362" t="s">
        <v>9</v>
      </c>
      <c r="E362" t="s">
        <v>34</v>
      </c>
      <c r="F362">
        <v>89</v>
      </c>
      <c r="G362" t="s">
        <v>47</v>
      </c>
      <c r="H362" s="9">
        <f t="shared" si="17"/>
        <v>1</v>
      </c>
      <c r="I362" cm="1">
        <f t="array" ref="I362">IFERROR(INDEX(CourseYardages[[Hole 1]:[Hole 18]],
  MATCH(1, (CourseYardages[Course]=C362)*(CourseYardages[Tees]=E362), 0),
  MATCH(G362, CourseYardages[[#Headers],[Hole 1]:[Hole 18]], 0)
),"")</f>
        <v>393</v>
      </c>
      <c r="J362" cm="1">
        <f t="array" ref="J362">IFERROR(INDEX(CourseHandicap[[Hole 1]:[Hole 18]],
  MATCH(1, (CourseHandicap[Course]=C362)*(CourseHandicap[Tees]=E362), 0),
  MATCH(G362, CourseHandicap[[#Headers],[Hole 1]:[Hole 18]], 0)
),"")</f>
        <v>2</v>
      </c>
      <c r="K362" cm="1">
        <f t="array" ref="K362">IFERROR(INDEX(CourseRatings[[Hole 1]:[Hole 18]],
  MATCH(1, (CourseRatings[Course]=C362)*(CourseRatings[Tees]=E362), 0),
  MATCH(G362, CourseRatings[[#Headers],[Hole 1]:[Hole 18]], 0)
),"")</f>
        <v>4</v>
      </c>
      <c r="L362" cm="1">
        <f t="array" ref="L362">IFERROR(
  INDEX('Golf Log'!$E$2:$V$72,
    MATCH(1,
      ('Golf Log'!$A$2:$A$72=$A362)*
      ('Golf Log'!$B$2:$B$72=$B362)*
      ('Golf Log'!$C$2:$C$72=$C362),
    0),
    MATCH($G362,'Golf Log'!$E$1:$V$1,0)
  ),
"")</f>
        <v>7</v>
      </c>
      <c r="M362">
        <f t="shared" si="16"/>
        <v>3</v>
      </c>
      <c r="N362" t="str">
        <f t="shared" si="18"/>
        <v>Triple Bogey</v>
      </c>
      <c r="O362" cm="1">
        <f t="array" ref="O362">IFERROR(
  INDEX('Putt Log'!$E$2:$V$72,
    MATCH(1,
      ('Putt Log'!$A$2:$A$72=$A362)*
      ('Putt Log'!$B$2:$B$72=$B362)*
      ('Putt Log'!$C$2:$C$72=$C362),
    0),
    MATCH($G362,'Putt Log'!$E$1:$V$1,0)
  ),
"")</f>
        <v>3</v>
      </c>
      <c r="P362" t="str" cm="1">
        <f t="array" ref="P362">IF(K362=3,"",
  IFERROR(
    INDEX('Fairway Log'!$E$2:$V$72,
      MATCH(1,
        ('Fairway Log'!$A$2:$A$72=$A362)*
        ('Fairway Log'!$B$2:$B$72=$B362)*
        ('Fairway Log'!$C$2:$C433=$C362),
      0),
      MATCH($G362,'Fairway Log'!$E$1:$V$1,0)
    ),
  "")
)</f>
        <v>↑</v>
      </c>
      <c r="Q362" cm="1">
        <f t="array" ref="Q362">IFERROR(
  INDEX('GIR Log'!$E$2:$V$72,
    MATCH(1,
      ('GIR Log'!$A$2:$A$72=$A362)*
      ('GIR Log'!$B$2:$B$72=$B362)*
      ('GIR Log'!$C$2:$C$72=$C362),
    0),
    MATCH($G362,'GIR Log'!$E$1:$V$1,0)
  ),
"")</f>
        <v>0</v>
      </c>
    </row>
    <row r="363" spans="1:17" x14ac:dyDescent="0.25">
      <c r="A363" s="20" t="s">
        <v>126</v>
      </c>
      <c r="B363" s="2">
        <v>45434</v>
      </c>
      <c r="C363" t="s">
        <v>9</v>
      </c>
      <c r="D363" t="s">
        <v>9</v>
      </c>
      <c r="E363" t="s">
        <v>34</v>
      </c>
      <c r="F363">
        <v>89</v>
      </c>
      <c r="G363" t="s">
        <v>48</v>
      </c>
      <c r="H363" s="9">
        <f t="shared" si="17"/>
        <v>2</v>
      </c>
      <c r="I363" cm="1">
        <f t="array" ref="I363">IFERROR(INDEX(CourseYardages[[Hole 1]:[Hole 18]],
  MATCH(1, (CourseYardages[Course]=C363)*(CourseYardages[Tees]=E363), 0),
  MATCH(G363, CourseYardages[[#Headers],[Hole 1]:[Hole 18]], 0)
),"")</f>
        <v>398</v>
      </c>
      <c r="J363" cm="1">
        <f t="array" ref="J363">IFERROR(INDEX(CourseHandicap[[Hole 1]:[Hole 18]],
  MATCH(1, (CourseHandicap[Course]=C363)*(CourseHandicap[Tees]=E363), 0),
  MATCH(G363, CourseHandicap[[#Headers],[Hole 1]:[Hole 18]], 0)
),"")</f>
        <v>4</v>
      </c>
      <c r="K363" cm="1">
        <f t="array" ref="K363">IFERROR(INDEX(CourseRatings[[Hole 1]:[Hole 18]],
  MATCH(1, (CourseRatings[Course]=C363)*(CourseRatings[Tees]=E363), 0),
  MATCH(G363, CourseRatings[[#Headers],[Hole 1]:[Hole 18]], 0)
),"")</f>
        <v>4</v>
      </c>
      <c r="L363" cm="1">
        <f t="array" ref="L363">IFERROR(
  INDEX('Golf Log'!$E$2:$V$72,
    MATCH(1,
      ('Golf Log'!$A$2:$A$72=$A363)*
      ('Golf Log'!$B$2:$B$72=$B363)*
      ('Golf Log'!$C$2:$C$72=$C363),
    0),
    MATCH($G363,'Golf Log'!$E$1:$V$1,0)
  ),
"")</f>
        <v>5</v>
      </c>
      <c r="M363">
        <f t="shared" si="16"/>
        <v>1</v>
      </c>
      <c r="N363" t="str">
        <f t="shared" si="18"/>
        <v>Bogey</v>
      </c>
      <c r="O363" cm="1">
        <f t="array" ref="O363">IFERROR(
  INDEX('Putt Log'!$E$2:$V$72,
    MATCH(1,
      ('Putt Log'!$A$2:$A$72=$A363)*
      ('Putt Log'!$B$2:$B$72=$B363)*
      ('Putt Log'!$C$2:$C$72=$C363),
    0),
    MATCH($G363,'Putt Log'!$E$1:$V$1,0)
  ),
"")</f>
        <v>2</v>
      </c>
      <c r="P363" t="str" cm="1">
        <f t="array" ref="P363">IF(K363=3,"",
  IFERROR(
    INDEX('Fairway Log'!$E$2:$V$72,
      MATCH(1,
        ('Fairway Log'!$A$2:$A$72=$A363)*
        ('Fairway Log'!$B$2:$B$72=$B363)*
        ('Fairway Log'!$C$2:$C434=$C363),
      0),
      MATCH($G363,'Fairway Log'!$E$1:$V$1,0)
    ),
  "")
)</f>
        <v>←</v>
      </c>
      <c r="Q363" cm="1">
        <f t="array" ref="Q363">IFERROR(
  INDEX('GIR Log'!$E$2:$V$72,
    MATCH(1,
      ('GIR Log'!$A$2:$A$72=$A363)*
      ('GIR Log'!$B$2:$B$72=$B363)*
      ('GIR Log'!$C$2:$C$72=$C363),
    0),
    MATCH($G363,'GIR Log'!$E$1:$V$1,0)
  ),
"")</f>
        <v>0</v>
      </c>
    </row>
    <row r="364" spans="1:17" x14ac:dyDescent="0.25">
      <c r="A364" s="20" t="s">
        <v>126</v>
      </c>
      <c r="B364" s="2">
        <v>45434</v>
      </c>
      <c r="C364" t="s">
        <v>9</v>
      </c>
      <c r="D364" t="s">
        <v>9</v>
      </c>
      <c r="E364" t="s">
        <v>34</v>
      </c>
      <c r="F364">
        <v>89</v>
      </c>
      <c r="G364" t="s">
        <v>49</v>
      </c>
      <c r="H364" s="9">
        <f t="shared" si="17"/>
        <v>3</v>
      </c>
      <c r="I364" cm="1">
        <f t="array" ref="I364">IFERROR(INDEX(CourseYardages[[Hole 1]:[Hole 18]],
  MATCH(1, (CourseYardages[Course]=C364)*(CourseYardages[Tees]=E364), 0),
  MATCH(G364, CourseYardages[[#Headers],[Hole 1]:[Hole 18]], 0)
),"")</f>
        <v>390</v>
      </c>
      <c r="J364" cm="1">
        <f t="array" ref="J364">IFERROR(INDEX(CourseHandicap[[Hole 1]:[Hole 18]],
  MATCH(1, (CourseHandicap[Course]=C364)*(CourseHandicap[Tees]=E364), 0),
  MATCH(G364, CourseHandicap[[#Headers],[Hole 1]:[Hole 18]], 0)
),"")</f>
        <v>6</v>
      </c>
      <c r="K364" cm="1">
        <f t="array" ref="K364">IFERROR(INDEX(CourseRatings[[Hole 1]:[Hole 18]],
  MATCH(1, (CourseRatings[Course]=C364)*(CourseRatings[Tees]=E364), 0),
  MATCH(G364, CourseRatings[[#Headers],[Hole 1]:[Hole 18]], 0)
),"")</f>
        <v>4</v>
      </c>
      <c r="L364" cm="1">
        <f t="array" ref="L364">IFERROR(
  INDEX('Golf Log'!$E$2:$V$72,
    MATCH(1,
      ('Golf Log'!$A$2:$A$72=$A364)*
      ('Golf Log'!$B$2:$B$72=$B364)*
      ('Golf Log'!$C$2:$C$72=$C364),
    0),
    MATCH($G364,'Golf Log'!$E$1:$V$1,0)
  ),
"")</f>
        <v>5</v>
      </c>
      <c r="M364">
        <f t="shared" si="16"/>
        <v>1</v>
      </c>
      <c r="N364" t="str">
        <f t="shared" si="18"/>
        <v>Bogey</v>
      </c>
      <c r="O364" cm="1">
        <f t="array" ref="O364">IFERROR(
  INDEX('Putt Log'!$E$2:$V$72,
    MATCH(1,
      ('Putt Log'!$A$2:$A$72=$A364)*
      ('Putt Log'!$B$2:$B$72=$B364)*
      ('Putt Log'!$C$2:$C$72=$C364),
    0),
    MATCH($G364,'Putt Log'!$E$1:$V$1,0)
  ),
"")</f>
        <v>2</v>
      </c>
      <c r="P364" t="str" cm="1">
        <f t="array" ref="P364">IF(K364=3,"",
  IFERROR(
    INDEX('Fairway Log'!$E$2:$V$72,
      MATCH(1,
        ('Fairway Log'!$A$2:$A$72=$A364)*
        ('Fairway Log'!$B$2:$B$72=$B364)*
        ('Fairway Log'!$C$2:$C435=$C364),
      0),
      MATCH($G364,'Fairway Log'!$E$1:$V$1,0)
    ),
  "")
)</f>
        <v>←</v>
      </c>
      <c r="Q364" cm="1">
        <f t="array" ref="Q364">IFERROR(
  INDEX('GIR Log'!$E$2:$V$72,
    MATCH(1,
      ('GIR Log'!$A$2:$A$72=$A364)*
      ('GIR Log'!$B$2:$B$72=$B364)*
      ('GIR Log'!$C$2:$C$72=$C364),
    0),
    MATCH($G364,'GIR Log'!$E$1:$V$1,0)
  ),
"")</f>
        <v>0</v>
      </c>
    </row>
    <row r="365" spans="1:17" x14ac:dyDescent="0.25">
      <c r="A365" s="20" t="s">
        <v>126</v>
      </c>
      <c r="B365" s="2">
        <v>45434</v>
      </c>
      <c r="C365" t="s">
        <v>9</v>
      </c>
      <c r="D365" t="s">
        <v>9</v>
      </c>
      <c r="E365" t="s">
        <v>34</v>
      </c>
      <c r="F365">
        <v>89</v>
      </c>
      <c r="G365" t="s">
        <v>50</v>
      </c>
      <c r="H365" s="9">
        <f t="shared" si="17"/>
        <v>4</v>
      </c>
      <c r="I365" cm="1">
        <f t="array" ref="I365">IFERROR(INDEX(CourseYardages[[Hole 1]:[Hole 18]],
  MATCH(1, (CourseYardages[Course]=C365)*(CourseYardages[Tees]=E365), 0),
  MATCH(G365, CourseYardages[[#Headers],[Hole 1]:[Hole 18]], 0)
),"")</f>
        <v>166</v>
      </c>
      <c r="J365" cm="1">
        <f t="array" ref="J365">IFERROR(INDEX(CourseHandicap[[Hole 1]:[Hole 18]],
  MATCH(1, (CourseHandicap[Course]=C365)*(CourseHandicap[Tees]=E365), 0),
  MATCH(G365, CourseHandicap[[#Headers],[Hole 1]:[Hole 18]], 0)
),"")</f>
        <v>14</v>
      </c>
      <c r="K365" cm="1">
        <f t="array" ref="K365">IFERROR(INDEX(CourseRatings[[Hole 1]:[Hole 18]],
  MATCH(1, (CourseRatings[Course]=C365)*(CourseRatings[Tees]=E365), 0),
  MATCH(G365, CourseRatings[[#Headers],[Hole 1]:[Hole 18]], 0)
),"")</f>
        <v>3</v>
      </c>
      <c r="L365" cm="1">
        <f t="array" ref="L365">IFERROR(
  INDEX('Golf Log'!$E$2:$V$72,
    MATCH(1,
      ('Golf Log'!$A$2:$A$72=$A365)*
      ('Golf Log'!$B$2:$B$72=$B365)*
      ('Golf Log'!$C$2:$C$72=$C365),
    0),
    MATCH($G365,'Golf Log'!$E$1:$V$1,0)
  ),
"")</f>
        <v>4</v>
      </c>
      <c r="M365">
        <f t="shared" si="16"/>
        <v>1</v>
      </c>
      <c r="N365" t="str">
        <f t="shared" si="18"/>
        <v>Bogey</v>
      </c>
      <c r="O365" cm="1">
        <f t="array" ref="O365">IFERROR(
  INDEX('Putt Log'!$E$2:$V$72,
    MATCH(1,
      ('Putt Log'!$A$2:$A$72=$A365)*
      ('Putt Log'!$B$2:$B$72=$B365)*
      ('Putt Log'!$C$2:$C$72=$C365),
    0),
    MATCH($G365,'Putt Log'!$E$1:$V$1,0)
  ),
"")</f>
        <v>3</v>
      </c>
      <c r="P365" t="str" cm="1">
        <f t="array" ref="P365">IF(K365=3,"",
  IFERROR(
    INDEX('Fairway Log'!$E$2:$V$72,
      MATCH(1,
        ('Fairway Log'!$A$2:$A$72=$A365)*
        ('Fairway Log'!$B$2:$B$72=$B365)*
        ('Fairway Log'!$C$2:$C436=$C365),
      0),
      MATCH($G365,'Fairway Log'!$E$1:$V$1,0)
    ),
  "")
)</f>
        <v/>
      </c>
      <c r="Q365" cm="1">
        <f t="array" ref="Q365">IFERROR(
  INDEX('GIR Log'!$E$2:$V$72,
    MATCH(1,
      ('GIR Log'!$A$2:$A$72=$A365)*
      ('GIR Log'!$B$2:$B$72=$B365)*
      ('GIR Log'!$C$2:$C$72=$C365),
    0),
    MATCH($G365,'GIR Log'!$E$1:$V$1,0)
  ),
"")</f>
        <v>1</v>
      </c>
    </row>
    <row r="366" spans="1:17" x14ac:dyDescent="0.25">
      <c r="A366" s="20" t="s">
        <v>126</v>
      </c>
      <c r="B366" s="2">
        <v>45434</v>
      </c>
      <c r="C366" t="s">
        <v>9</v>
      </c>
      <c r="D366" t="s">
        <v>9</v>
      </c>
      <c r="E366" t="s">
        <v>34</v>
      </c>
      <c r="F366">
        <v>89</v>
      </c>
      <c r="G366" t="s">
        <v>51</v>
      </c>
      <c r="H366" s="9">
        <f t="shared" si="17"/>
        <v>5</v>
      </c>
      <c r="I366" cm="1">
        <f t="array" ref="I366">IFERROR(INDEX(CourseYardages[[Hole 1]:[Hole 18]],
  MATCH(1, (CourseYardages[Course]=C366)*(CourseYardages[Tees]=E366), 0),
  MATCH(G366, CourseYardages[[#Headers],[Hole 1]:[Hole 18]], 0)
),"")</f>
        <v>347</v>
      </c>
      <c r="J366" cm="1">
        <f t="array" ref="J366">IFERROR(INDEX(CourseHandicap[[Hole 1]:[Hole 18]],
  MATCH(1, (CourseHandicap[Course]=C366)*(CourseHandicap[Tees]=E366), 0),
  MATCH(G366, CourseHandicap[[#Headers],[Hole 1]:[Hole 18]], 0)
),"")</f>
        <v>10</v>
      </c>
      <c r="K366" cm="1">
        <f t="array" ref="K366">IFERROR(INDEX(CourseRatings[[Hole 1]:[Hole 18]],
  MATCH(1, (CourseRatings[Course]=C366)*(CourseRatings[Tees]=E366), 0),
  MATCH(G366, CourseRatings[[#Headers],[Hole 1]:[Hole 18]], 0)
),"")</f>
        <v>4</v>
      </c>
      <c r="L366" cm="1">
        <f t="array" ref="L366">IFERROR(
  INDEX('Golf Log'!$E$2:$V$72,
    MATCH(1,
      ('Golf Log'!$A$2:$A$72=$A366)*
      ('Golf Log'!$B$2:$B$72=$B366)*
      ('Golf Log'!$C$2:$C$72=$C366),
    0),
    MATCH($G366,'Golf Log'!$E$1:$V$1,0)
  ),
"")</f>
        <v>6</v>
      </c>
      <c r="M366">
        <f t="shared" si="16"/>
        <v>2</v>
      </c>
      <c r="N366" t="str">
        <f t="shared" si="18"/>
        <v>Double Bogey</v>
      </c>
      <c r="O366" cm="1">
        <f t="array" ref="O366">IFERROR(
  INDEX('Putt Log'!$E$2:$V$72,
    MATCH(1,
      ('Putt Log'!$A$2:$A$72=$A366)*
      ('Putt Log'!$B$2:$B$72=$B366)*
      ('Putt Log'!$C$2:$C$72=$C366),
    0),
    MATCH($G366,'Putt Log'!$E$1:$V$1,0)
  ),
"")</f>
        <v>2</v>
      </c>
      <c r="P366" t="str" cm="1">
        <f t="array" ref="P366">IF(K366=3,"",
  IFERROR(
    INDEX('Fairway Log'!$E$2:$V$72,
      MATCH(1,
        ('Fairway Log'!$A$2:$A$72=$A366)*
        ('Fairway Log'!$B$2:$B$72=$B366)*
        ('Fairway Log'!$C$2:$C437=$C366),
      0),
      MATCH($G366,'Fairway Log'!$E$1:$V$1,0)
    ),
  "")
)</f>
        <v>→</v>
      </c>
      <c r="Q366" cm="1">
        <f t="array" ref="Q366">IFERROR(
  INDEX('GIR Log'!$E$2:$V$72,
    MATCH(1,
      ('GIR Log'!$A$2:$A$72=$A366)*
      ('GIR Log'!$B$2:$B$72=$B366)*
      ('GIR Log'!$C$2:$C$72=$C366),
    0),
    MATCH($G366,'GIR Log'!$E$1:$V$1,0)
  ),
"")</f>
        <v>0</v>
      </c>
    </row>
    <row r="367" spans="1:17" x14ac:dyDescent="0.25">
      <c r="A367" s="20" t="s">
        <v>126</v>
      </c>
      <c r="B367" s="2">
        <v>45434</v>
      </c>
      <c r="C367" t="s">
        <v>9</v>
      </c>
      <c r="D367" t="s">
        <v>9</v>
      </c>
      <c r="E367" t="s">
        <v>34</v>
      </c>
      <c r="F367">
        <v>89</v>
      </c>
      <c r="G367" t="s">
        <v>52</v>
      </c>
      <c r="H367" s="9">
        <f t="shared" si="17"/>
        <v>6</v>
      </c>
      <c r="I367" cm="1">
        <f t="array" ref="I367">IFERROR(INDEX(CourseYardages[[Hole 1]:[Hole 18]],
  MATCH(1, (CourseYardages[Course]=C367)*(CourseYardages[Tees]=E367), 0),
  MATCH(G367, CourseYardages[[#Headers],[Hole 1]:[Hole 18]], 0)
),"")</f>
        <v>487</v>
      </c>
      <c r="J367" cm="1">
        <f t="array" ref="J367">IFERROR(INDEX(CourseHandicap[[Hole 1]:[Hole 18]],
  MATCH(1, (CourseHandicap[Course]=C367)*(CourseHandicap[Tees]=E367), 0),
  MATCH(G367, CourseHandicap[[#Headers],[Hole 1]:[Hole 18]], 0)
),"")</f>
        <v>8</v>
      </c>
      <c r="K367" cm="1">
        <f t="array" ref="K367">IFERROR(INDEX(CourseRatings[[Hole 1]:[Hole 18]],
  MATCH(1, (CourseRatings[Course]=C367)*(CourseRatings[Tees]=E367), 0),
  MATCH(G367, CourseRatings[[#Headers],[Hole 1]:[Hole 18]], 0)
),"")</f>
        <v>5</v>
      </c>
      <c r="L367" cm="1">
        <f t="array" ref="L367">IFERROR(
  INDEX('Golf Log'!$E$2:$V$72,
    MATCH(1,
      ('Golf Log'!$A$2:$A$72=$A367)*
      ('Golf Log'!$B$2:$B$72=$B367)*
      ('Golf Log'!$C$2:$C$72=$C367),
    0),
    MATCH($G367,'Golf Log'!$E$1:$V$1,0)
  ),
"")</f>
        <v>7</v>
      </c>
      <c r="M367">
        <f t="shared" si="16"/>
        <v>2</v>
      </c>
      <c r="N367" t="str">
        <f t="shared" si="18"/>
        <v>Double Bogey</v>
      </c>
      <c r="O367" cm="1">
        <f t="array" ref="O367">IFERROR(
  INDEX('Putt Log'!$E$2:$V$72,
    MATCH(1,
      ('Putt Log'!$A$2:$A$72=$A367)*
      ('Putt Log'!$B$2:$B$72=$B367)*
      ('Putt Log'!$C$2:$C$72=$C367),
    0),
    MATCH($G367,'Putt Log'!$E$1:$V$1,0)
  ),
"")</f>
        <v>2</v>
      </c>
      <c r="P367" t="str" cm="1">
        <f t="array" ref="P367">IF(K367=3,"",
  IFERROR(
    INDEX('Fairway Log'!$E$2:$V$72,
      MATCH(1,
        ('Fairway Log'!$A$2:$A$72=$A367)*
        ('Fairway Log'!$B$2:$B$72=$B367)*
        ('Fairway Log'!$C$2:$C438=$C367),
      0),
      MATCH($G367,'Fairway Log'!$E$1:$V$1,0)
    ),
  "")
)</f>
        <v>→</v>
      </c>
      <c r="Q367" cm="1">
        <f t="array" ref="Q367">IFERROR(
  INDEX('GIR Log'!$E$2:$V$72,
    MATCH(1,
      ('GIR Log'!$A$2:$A$72=$A367)*
      ('GIR Log'!$B$2:$B$72=$B367)*
      ('GIR Log'!$C$2:$C$72=$C367),
    0),
    MATCH($G367,'GIR Log'!$E$1:$V$1,0)
  ),
"")</f>
        <v>0</v>
      </c>
    </row>
    <row r="368" spans="1:17" x14ac:dyDescent="0.25">
      <c r="A368" s="20" t="s">
        <v>126</v>
      </c>
      <c r="B368" s="2">
        <v>45434</v>
      </c>
      <c r="C368" t="s">
        <v>9</v>
      </c>
      <c r="D368" t="s">
        <v>9</v>
      </c>
      <c r="E368" t="s">
        <v>34</v>
      </c>
      <c r="F368">
        <v>89</v>
      </c>
      <c r="G368" t="s">
        <v>53</v>
      </c>
      <c r="H368" s="9">
        <f t="shared" si="17"/>
        <v>7</v>
      </c>
      <c r="I368" cm="1">
        <f t="array" ref="I368">IFERROR(INDEX(CourseYardages[[Hole 1]:[Hole 18]],
  MATCH(1, (CourseYardages[Course]=C368)*(CourseYardages[Tees]=E368), 0),
  MATCH(G368, CourseYardages[[#Headers],[Hole 1]:[Hole 18]], 0)
),"")</f>
        <v>174</v>
      </c>
      <c r="J368" cm="1">
        <f t="array" ref="J368">IFERROR(INDEX(CourseHandicap[[Hole 1]:[Hole 18]],
  MATCH(1, (CourseHandicap[Course]=C368)*(CourseHandicap[Tees]=E368), 0),
  MATCH(G368, CourseHandicap[[#Headers],[Hole 1]:[Hole 18]], 0)
),"")</f>
        <v>16</v>
      </c>
      <c r="K368" cm="1">
        <f t="array" ref="K368">IFERROR(INDEX(CourseRatings[[Hole 1]:[Hole 18]],
  MATCH(1, (CourseRatings[Course]=C368)*(CourseRatings[Tees]=E368), 0),
  MATCH(G368, CourseRatings[[#Headers],[Hole 1]:[Hole 18]], 0)
),"")</f>
        <v>3</v>
      </c>
      <c r="L368" cm="1">
        <f t="array" ref="L368">IFERROR(
  INDEX('Golf Log'!$E$2:$V$72,
    MATCH(1,
      ('Golf Log'!$A$2:$A$72=$A368)*
      ('Golf Log'!$B$2:$B$72=$B368)*
      ('Golf Log'!$C$2:$C$72=$C368),
    0),
    MATCH($G368,'Golf Log'!$E$1:$V$1,0)
  ),
"")</f>
        <v>5</v>
      </c>
      <c r="M368">
        <f t="shared" si="16"/>
        <v>2</v>
      </c>
      <c r="N368" t="str">
        <f t="shared" si="18"/>
        <v>Double Bogey</v>
      </c>
      <c r="O368" cm="1">
        <f t="array" ref="O368">IFERROR(
  INDEX('Putt Log'!$E$2:$V$72,
    MATCH(1,
      ('Putt Log'!$A$2:$A$72=$A368)*
      ('Putt Log'!$B$2:$B$72=$B368)*
      ('Putt Log'!$C$2:$C$72=$C368),
    0),
    MATCH($G368,'Putt Log'!$E$1:$V$1,0)
  ),
"")</f>
        <v>2</v>
      </c>
      <c r="P368" t="str" cm="1">
        <f t="array" ref="P368">IF(K368=3,"",
  IFERROR(
    INDEX('Fairway Log'!$E$2:$V$72,
      MATCH(1,
        ('Fairway Log'!$A$2:$A$72=$A368)*
        ('Fairway Log'!$B$2:$B$72=$B368)*
        ('Fairway Log'!$C$2:$C439=$C368),
      0),
      MATCH($G368,'Fairway Log'!$E$1:$V$1,0)
    ),
  "")
)</f>
        <v/>
      </c>
      <c r="Q368" cm="1">
        <f t="array" ref="Q368">IFERROR(
  INDEX('GIR Log'!$E$2:$V$72,
    MATCH(1,
      ('GIR Log'!$A$2:$A$72=$A368)*
      ('GIR Log'!$B$2:$B$72=$B368)*
      ('GIR Log'!$C$2:$C$72=$C368),
    0),
    MATCH($G368,'GIR Log'!$E$1:$V$1,0)
  ),
"")</f>
        <v>0</v>
      </c>
    </row>
    <row r="369" spans="1:17" x14ac:dyDescent="0.25">
      <c r="A369" s="20" t="s">
        <v>126</v>
      </c>
      <c r="B369" s="2">
        <v>45434</v>
      </c>
      <c r="C369" t="s">
        <v>9</v>
      </c>
      <c r="D369" t="s">
        <v>9</v>
      </c>
      <c r="E369" t="s">
        <v>34</v>
      </c>
      <c r="F369">
        <v>89</v>
      </c>
      <c r="G369" t="s">
        <v>54</v>
      </c>
      <c r="H369" s="9">
        <f t="shared" si="17"/>
        <v>8</v>
      </c>
      <c r="I369" cm="1">
        <f t="array" ref="I369">IFERROR(INDEX(CourseYardages[[Hole 1]:[Hole 18]],
  MATCH(1, (CourseYardages[Course]=C369)*(CourseYardages[Tees]=E369), 0),
  MATCH(G369, CourseYardages[[#Headers],[Hole 1]:[Hole 18]], 0)
),"")</f>
        <v>360</v>
      </c>
      <c r="J369" cm="1">
        <f t="array" ref="J369">IFERROR(INDEX(CourseHandicap[[Hole 1]:[Hole 18]],
  MATCH(1, (CourseHandicap[Course]=C369)*(CourseHandicap[Tees]=E369), 0),
  MATCH(G369, CourseHandicap[[#Headers],[Hole 1]:[Hole 18]], 0)
),"")</f>
        <v>12</v>
      </c>
      <c r="K369" cm="1">
        <f t="array" ref="K369">IFERROR(INDEX(CourseRatings[[Hole 1]:[Hole 18]],
  MATCH(1, (CourseRatings[Course]=C369)*(CourseRatings[Tees]=E369), 0),
  MATCH(G369, CourseRatings[[#Headers],[Hole 1]:[Hole 18]], 0)
),"")</f>
        <v>4</v>
      </c>
      <c r="L369" cm="1">
        <f t="array" ref="L369">IFERROR(
  INDEX('Golf Log'!$E$2:$V$72,
    MATCH(1,
      ('Golf Log'!$A$2:$A$72=$A369)*
      ('Golf Log'!$B$2:$B$72=$B369)*
      ('Golf Log'!$C$2:$C$72=$C369),
    0),
    MATCH($G369,'Golf Log'!$E$1:$V$1,0)
  ),
"")</f>
        <v>4</v>
      </c>
      <c r="M369">
        <f t="shared" si="16"/>
        <v>0</v>
      </c>
      <c r="N369" t="str">
        <f t="shared" si="18"/>
        <v>Par</v>
      </c>
      <c r="O369" cm="1">
        <f t="array" ref="O369">IFERROR(
  INDEX('Putt Log'!$E$2:$V$72,
    MATCH(1,
      ('Putt Log'!$A$2:$A$72=$A369)*
      ('Putt Log'!$B$2:$B$72=$B369)*
      ('Putt Log'!$C$2:$C$72=$C369),
    0),
    MATCH($G369,'Putt Log'!$E$1:$V$1,0)
  ),
"")</f>
        <v>2</v>
      </c>
      <c r="P369" cm="1">
        <f t="array" ref="P369">IF(K369=3,"",
  IFERROR(
    INDEX('Fairway Log'!$E$2:$V$72,
      MATCH(1,
        ('Fairway Log'!$A$2:$A$72=$A369)*
        ('Fairway Log'!$B$2:$B$72=$B369)*
        ('Fairway Log'!$C$2:$C440=$C369),
      0),
      MATCH($G369,'Fairway Log'!$E$1:$V$1,0)
    ),
  "")
)</f>
        <v>1</v>
      </c>
      <c r="Q369" cm="1">
        <f t="array" ref="Q369">IFERROR(
  INDEX('GIR Log'!$E$2:$V$72,
    MATCH(1,
      ('GIR Log'!$A$2:$A$72=$A369)*
      ('GIR Log'!$B$2:$B$72=$B369)*
      ('GIR Log'!$C$2:$C$72=$C369),
    0),
    MATCH($G369,'GIR Log'!$E$1:$V$1,0)
  ),
"")</f>
        <v>1</v>
      </c>
    </row>
    <row r="370" spans="1:17" x14ac:dyDescent="0.25">
      <c r="A370" s="20" t="s">
        <v>126</v>
      </c>
      <c r="B370" s="2">
        <v>45434</v>
      </c>
      <c r="C370" t="s">
        <v>9</v>
      </c>
      <c r="D370" t="s">
        <v>9</v>
      </c>
      <c r="E370" t="s">
        <v>34</v>
      </c>
      <c r="F370">
        <v>89</v>
      </c>
      <c r="G370" t="s">
        <v>55</v>
      </c>
      <c r="H370" s="9">
        <f t="shared" si="17"/>
        <v>9</v>
      </c>
      <c r="I370" cm="1">
        <f t="array" ref="I370">IFERROR(INDEX(CourseYardages[[Hole 1]:[Hole 18]],
  MATCH(1, (CourseYardages[Course]=C370)*(CourseYardages[Tees]=E370), 0),
  MATCH(G370, CourseYardages[[#Headers],[Hole 1]:[Hole 18]], 0)
),"")</f>
        <v>386</v>
      </c>
      <c r="J370" cm="1">
        <f t="array" ref="J370">IFERROR(INDEX(CourseHandicap[[Hole 1]:[Hole 18]],
  MATCH(1, (CourseHandicap[Course]=C370)*(CourseHandicap[Tees]=E370), 0),
  MATCH(G370, CourseHandicap[[#Headers],[Hole 1]:[Hole 18]], 0)
),"")</f>
        <v>18</v>
      </c>
      <c r="K370" cm="1">
        <f t="array" ref="K370">IFERROR(INDEX(CourseRatings[[Hole 1]:[Hole 18]],
  MATCH(1, (CourseRatings[Course]=C370)*(CourseRatings[Tees]=E370), 0),
  MATCH(G370, CourseRatings[[#Headers],[Hole 1]:[Hole 18]], 0)
),"")</f>
        <v>4</v>
      </c>
      <c r="L370" cm="1">
        <f t="array" ref="L370">IFERROR(
  INDEX('Golf Log'!$E$2:$V$72,
    MATCH(1,
      ('Golf Log'!$A$2:$A$72=$A370)*
      ('Golf Log'!$B$2:$B$72=$B370)*
      ('Golf Log'!$C$2:$C$72=$C370),
    0),
    MATCH($G370,'Golf Log'!$E$1:$V$1,0)
  ),
"")</f>
        <v>5</v>
      </c>
      <c r="M370">
        <f t="shared" si="16"/>
        <v>1</v>
      </c>
      <c r="N370" t="str">
        <f t="shared" si="18"/>
        <v>Bogey</v>
      </c>
      <c r="O370" cm="1">
        <f t="array" ref="O370">IFERROR(
  INDEX('Putt Log'!$E$2:$V$72,
    MATCH(1,
      ('Putt Log'!$A$2:$A$72=$A370)*
      ('Putt Log'!$B$2:$B$72=$B370)*
      ('Putt Log'!$C$2:$C$72=$C370),
    0),
    MATCH($G370,'Putt Log'!$E$1:$V$1,0)
  ),
"")</f>
        <v>2</v>
      </c>
      <c r="P370" t="str" cm="1">
        <f t="array" ref="P370">IF(K370=3,"",
  IFERROR(
    INDEX('Fairway Log'!$E$2:$V$72,
      MATCH(1,
        ('Fairway Log'!$A$2:$A$72=$A370)*
        ('Fairway Log'!$B$2:$B$72=$B370)*
        ('Fairway Log'!$C$2:$C441=$C370),
      0),
      MATCH($G370,'Fairway Log'!$E$1:$V$1,0)
    ),
  "")
)</f>
        <v>↑</v>
      </c>
      <c r="Q370" cm="1">
        <f t="array" ref="Q370">IFERROR(
  INDEX('GIR Log'!$E$2:$V$72,
    MATCH(1,
      ('GIR Log'!$A$2:$A$72=$A370)*
      ('GIR Log'!$B$2:$B$72=$B370)*
      ('GIR Log'!$C$2:$C$72=$C370),
    0),
    MATCH($G370,'GIR Log'!$E$1:$V$1,0)
  ),
"")</f>
        <v>0</v>
      </c>
    </row>
    <row r="371" spans="1:17" x14ac:dyDescent="0.25">
      <c r="A371" s="20" t="s">
        <v>126</v>
      </c>
      <c r="B371" s="2">
        <v>45434</v>
      </c>
      <c r="C371" t="s">
        <v>9</v>
      </c>
      <c r="D371" t="s">
        <v>9</v>
      </c>
      <c r="E371" t="s">
        <v>34</v>
      </c>
      <c r="F371">
        <v>89</v>
      </c>
      <c r="G371" t="s">
        <v>56</v>
      </c>
      <c r="H371" s="9">
        <f t="shared" si="17"/>
        <v>10</v>
      </c>
      <c r="I371" cm="1">
        <f t="array" ref="I371">IFERROR(INDEX(CourseYardages[[Hole 1]:[Hole 18]],
  MATCH(1, (CourseYardages[Course]=C371)*(CourseYardages[Tees]=E371), 0),
  MATCH(G371, CourseYardages[[#Headers],[Hole 1]:[Hole 18]], 0)
),"")</f>
        <v>524</v>
      </c>
      <c r="J371" cm="1">
        <f t="array" ref="J371">IFERROR(INDEX(CourseHandicap[[Hole 1]:[Hole 18]],
  MATCH(1, (CourseHandicap[Course]=C371)*(CourseHandicap[Tees]=E371), 0),
  MATCH(G371, CourseHandicap[[#Headers],[Hole 1]:[Hole 18]], 0)
),"")</f>
        <v>3</v>
      </c>
      <c r="K371" cm="1">
        <f t="array" ref="K371">IFERROR(INDEX(CourseRatings[[Hole 1]:[Hole 18]],
  MATCH(1, (CourseRatings[Course]=C371)*(CourseRatings[Tees]=E371), 0),
  MATCH(G371, CourseRatings[[#Headers],[Hole 1]:[Hole 18]], 0)
),"")</f>
        <v>5</v>
      </c>
      <c r="L371" cm="1">
        <f t="array" ref="L371">IFERROR(
  INDEX('Golf Log'!$E$2:$V$72,
    MATCH(1,
      ('Golf Log'!$A$2:$A$72=$A371)*
      ('Golf Log'!$B$2:$B$72=$B371)*
      ('Golf Log'!$C$2:$C$72=$C371),
    0),
    MATCH($G371,'Golf Log'!$E$1:$V$1,0)
  ),
"")</f>
        <v>6</v>
      </c>
      <c r="M371">
        <f t="shared" si="16"/>
        <v>1</v>
      </c>
      <c r="N371" t="str">
        <f t="shared" si="18"/>
        <v>Bogey</v>
      </c>
      <c r="O371" cm="1">
        <f t="array" ref="O371">IFERROR(
  INDEX('Putt Log'!$E$2:$V$72,
    MATCH(1,
      ('Putt Log'!$A$2:$A$72=$A371)*
      ('Putt Log'!$B$2:$B$72=$B371)*
      ('Putt Log'!$C$2:$C$72=$C371),
    0),
    MATCH($G371,'Putt Log'!$E$1:$V$1,0)
  ),
"")</f>
        <v>2</v>
      </c>
      <c r="P371" cm="1">
        <f t="array" ref="P371">IF(K371=3,"",
  IFERROR(
    INDEX('Fairway Log'!$E$2:$V$72,
      MATCH(1,
        ('Fairway Log'!$A$2:$A$72=$A371)*
        ('Fairway Log'!$B$2:$B$72=$B371)*
        ('Fairway Log'!$C$2:$C442=$C371),
      0),
      MATCH($G371,'Fairway Log'!$E$1:$V$1,0)
    ),
  "")
)</f>
        <v>1</v>
      </c>
      <c r="Q371" cm="1">
        <f t="array" ref="Q371">IFERROR(
  INDEX('GIR Log'!$E$2:$V$72,
    MATCH(1,
      ('GIR Log'!$A$2:$A$72=$A371)*
      ('GIR Log'!$B$2:$B$72=$B371)*
      ('GIR Log'!$C$2:$C$72=$C371),
    0),
    MATCH($G371,'GIR Log'!$E$1:$V$1,0)
  ),
"")</f>
        <v>0</v>
      </c>
    </row>
    <row r="372" spans="1:17" x14ac:dyDescent="0.25">
      <c r="A372" s="20" t="s">
        <v>126</v>
      </c>
      <c r="B372" s="2">
        <v>45434</v>
      </c>
      <c r="C372" t="s">
        <v>9</v>
      </c>
      <c r="D372" t="s">
        <v>9</v>
      </c>
      <c r="E372" t="s">
        <v>34</v>
      </c>
      <c r="F372">
        <v>89</v>
      </c>
      <c r="G372" t="s">
        <v>57</v>
      </c>
      <c r="H372" s="9">
        <f t="shared" si="17"/>
        <v>11</v>
      </c>
      <c r="I372" cm="1">
        <f t="array" ref="I372">IFERROR(INDEX(CourseYardages[[Hole 1]:[Hole 18]],
  MATCH(1, (CourseYardages[Course]=C372)*(CourseYardages[Tees]=E372), 0),
  MATCH(G372, CourseYardages[[#Headers],[Hole 1]:[Hole 18]], 0)
),"")</f>
        <v>188</v>
      </c>
      <c r="J372" cm="1">
        <f t="array" ref="J372">IFERROR(INDEX(CourseHandicap[[Hole 1]:[Hole 18]],
  MATCH(1, (CourseHandicap[Course]=C372)*(CourseHandicap[Tees]=E372), 0),
  MATCH(G372, CourseHandicap[[#Headers],[Hole 1]:[Hole 18]], 0)
),"")</f>
        <v>11</v>
      </c>
      <c r="K372" cm="1">
        <f t="array" ref="K372">IFERROR(INDEX(CourseRatings[[Hole 1]:[Hole 18]],
  MATCH(1, (CourseRatings[Course]=C372)*(CourseRatings[Tees]=E372), 0),
  MATCH(G372, CourseRatings[[#Headers],[Hole 1]:[Hole 18]], 0)
),"")</f>
        <v>3</v>
      </c>
      <c r="L372" cm="1">
        <f t="array" ref="L372">IFERROR(
  INDEX('Golf Log'!$E$2:$V$72,
    MATCH(1,
      ('Golf Log'!$A$2:$A$72=$A372)*
      ('Golf Log'!$B$2:$B$72=$B372)*
      ('Golf Log'!$C$2:$C$72=$C372),
    0),
    MATCH($G372,'Golf Log'!$E$1:$V$1,0)
  ),
"")</f>
        <v>3</v>
      </c>
      <c r="M372">
        <f t="shared" si="16"/>
        <v>0</v>
      </c>
      <c r="N372" t="str">
        <f t="shared" si="18"/>
        <v>Par</v>
      </c>
      <c r="O372" cm="1">
        <f t="array" ref="O372">IFERROR(
  INDEX('Putt Log'!$E$2:$V$72,
    MATCH(1,
      ('Putt Log'!$A$2:$A$72=$A372)*
      ('Putt Log'!$B$2:$B$72=$B372)*
      ('Putt Log'!$C$2:$C$72=$C372),
    0),
    MATCH($G372,'Putt Log'!$E$1:$V$1,0)
  ),
"")</f>
        <v>2</v>
      </c>
      <c r="P372" t="str" cm="1">
        <f t="array" ref="P372">IF(K372=3,"",
  IFERROR(
    INDEX('Fairway Log'!$E$2:$V$72,
      MATCH(1,
        ('Fairway Log'!$A$2:$A$72=$A372)*
        ('Fairway Log'!$B$2:$B$72=$B372)*
        ('Fairway Log'!$C$2:$C443=$C372),
      0),
      MATCH($G372,'Fairway Log'!$E$1:$V$1,0)
    ),
  "")
)</f>
        <v/>
      </c>
      <c r="Q372" cm="1">
        <f t="array" ref="Q372">IFERROR(
  INDEX('GIR Log'!$E$2:$V$72,
    MATCH(1,
      ('GIR Log'!$A$2:$A$72=$A372)*
      ('GIR Log'!$B$2:$B$72=$B372)*
      ('GIR Log'!$C$2:$C$72=$C372),
    0),
    MATCH($G372,'GIR Log'!$E$1:$V$1,0)
  ),
"")</f>
        <v>1</v>
      </c>
    </row>
    <row r="373" spans="1:17" x14ac:dyDescent="0.25">
      <c r="A373" s="20" t="s">
        <v>126</v>
      </c>
      <c r="B373" s="2">
        <v>45434</v>
      </c>
      <c r="C373" t="s">
        <v>9</v>
      </c>
      <c r="D373" t="s">
        <v>9</v>
      </c>
      <c r="E373" t="s">
        <v>34</v>
      </c>
      <c r="F373">
        <v>89</v>
      </c>
      <c r="G373" t="s">
        <v>58</v>
      </c>
      <c r="H373" s="9">
        <f t="shared" si="17"/>
        <v>12</v>
      </c>
      <c r="I373" cm="1">
        <f t="array" ref="I373">IFERROR(INDEX(CourseYardages[[Hole 1]:[Hole 18]],
  MATCH(1, (CourseYardages[Course]=C373)*(CourseYardages[Tees]=E373), 0),
  MATCH(G373, CourseYardages[[#Headers],[Hole 1]:[Hole 18]], 0)
),"")</f>
        <v>313</v>
      </c>
      <c r="J373" cm="1">
        <f t="array" ref="J373">IFERROR(INDEX(CourseHandicap[[Hole 1]:[Hole 18]],
  MATCH(1, (CourseHandicap[Course]=C373)*(CourseHandicap[Tees]=E373), 0),
  MATCH(G373, CourseHandicap[[#Headers],[Hole 1]:[Hole 18]], 0)
),"")</f>
        <v>17</v>
      </c>
      <c r="K373" cm="1">
        <f t="array" ref="K373">IFERROR(INDEX(CourseRatings[[Hole 1]:[Hole 18]],
  MATCH(1, (CourseRatings[Course]=C373)*(CourseRatings[Tees]=E373), 0),
  MATCH(G373, CourseRatings[[#Headers],[Hole 1]:[Hole 18]], 0)
),"")</f>
        <v>4</v>
      </c>
      <c r="L373" cm="1">
        <f t="array" ref="L373">IFERROR(
  INDEX('Golf Log'!$E$2:$V$72,
    MATCH(1,
      ('Golf Log'!$A$2:$A$72=$A373)*
      ('Golf Log'!$B$2:$B$72=$B373)*
      ('Golf Log'!$C$2:$C$72=$C373),
    0),
    MATCH($G373,'Golf Log'!$E$1:$V$1,0)
  ),
"")</f>
        <v>5</v>
      </c>
      <c r="M373">
        <f t="shared" si="16"/>
        <v>1</v>
      </c>
      <c r="N373" t="str">
        <f t="shared" si="18"/>
        <v>Bogey</v>
      </c>
      <c r="O373" cm="1">
        <f t="array" ref="O373">IFERROR(
  INDEX('Putt Log'!$E$2:$V$72,
    MATCH(1,
      ('Putt Log'!$A$2:$A$72=$A373)*
      ('Putt Log'!$B$2:$B$72=$B373)*
      ('Putt Log'!$C$2:$C$72=$C373),
    0),
    MATCH($G373,'Putt Log'!$E$1:$V$1,0)
  ),
"")</f>
        <v>3</v>
      </c>
      <c r="P373" t="str" cm="1">
        <f t="array" ref="P373">IF(K373=3,"",
  IFERROR(
    INDEX('Fairway Log'!$E$2:$V$72,
      MATCH(1,
        ('Fairway Log'!$A$2:$A$72=$A373)*
        ('Fairway Log'!$B$2:$B$72=$B373)*
        ('Fairway Log'!$C$2:$C444=$C373),
      0),
      MATCH($G373,'Fairway Log'!$E$1:$V$1,0)
    ),
  "")
)</f>
        <v>→</v>
      </c>
      <c r="Q373" cm="1">
        <f t="array" ref="Q373">IFERROR(
  INDEX('GIR Log'!$E$2:$V$72,
    MATCH(1,
      ('GIR Log'!$A$2:$A$72=$A373)*
      ('GIR Log'!$B$2:$B$72=$B373)*
      ('GIR Log'!$C$2:$C$72=$C373),
    0),
    MATCH($G373,'GIR Log'!$E$1:$V$1,0)
  ),
"")</f>
        <v>1</v>
      </c>
    </row>
    <row r="374" spans="1:17" x14ac:dyDescent="0.25">
      <c r="A374" s="20" t="s">
        <v>126</v>
      </c>
      <c r="B374" s="2">
        <v>45434</v>
      </c>
      <c r="C374" t="s">
        <v>9</v>
      </c>
      <c r="D374" t="s">
        <v>9</v>
      </c>
      <c r="E374" t="s">
        <v>34</v>
      </c>
      <c r="F374">
        <v>89</v>
      </c>
      <c r="G374" t="s">
        <v>59</v>
      </c>
      <c r="H374" s="9">
        <f t="shared" si="17"/>
        <v>13</v>
      </c>
      <c r="I374" cm="1">
        <f t="array" ref="I374">IFERROR(INDEX(CourseYardages[[Hole 1]:[Hole 18]],
  MATCH(1, (CourseYardages[Course]=C374)*(CourseYardages[Tees]=E374), 0),
  MATCH(G374, CourseYardages[[#Headers],[Hole 1]:[Hole 18]], 0)
),"")</f>
        <v>429</v>
      </c>
      <c r="J374" cm="1">
        <f t="array" ref="J374">IFERROR(INDEX(CourseHandicap[[Hole 1]:[Hole 18]],
  MATCH(1, (CourseHandicap[Course]=C374)*(CourseHandicap[Tees]=E374), 0),
  MATCH(G374, CourseHandicap[[#Headers],[Hole 1]:[Hole 18]], 0)
),"")</f>
        <v>1</v>
      </c>
      <c r="K374" cm="1">
        <f t="array" ref="K374">IFERROR(INDEX(CourseRatings[[Hole 1]:[Hole 18]],
  MATCH(1, (CourseRatings[Course]=C374)*(CourseRatings[Tees]=E374), 0),
  MATCH(G374, CourseRatings[[#Headers],[Hole 1]:[Hole 18]], 0)
),"")</f>
        <v>4</v>
      </c>
      <c r="L374" cm="1">
        <f t="array" ref="L374">IFERROR(
  INDEX('Golf Log'!$E$2:$V$72,
    MATCH(1,
      ('Golf Log'!$A$2:$A$72=$A374)*
      ('Golf Log'!$B$2:$B$72=$B374)*
      ('Golf Log'!$C$2:$C$72=$C374),
    0),
    MATCH($G374,'Golf Log'!$E$1:$V$1,0)
  ),
"")</f>
        <v>4</v>
      </c>
      <c r="M374">
        <f t="shared" si="16"/>
        <v>0</v>
      </c>
      <c r="N374" t="str">
        <f t="shared" si="18"/>
        <v>Par</v>
      </c>
      <c r="O374" cm="1">
        <f t="array" ref="O374">IFERROR(
  INDEX('Putt Log'!$E$2:$V$72,
    MATCH(1,
      ('Putt Log'!$A$2:$A$72=$A374)*
      ('Putt Log'!$B$2:$B$72=$B374)*
      ('Putt Log'!$C$2:$C$72=$C374),
    0),
    MATCH($G374,'Putt Log'!$E$1:$V$1,0)
  ),
"")</f>
        <v>1</v>
      </c>
      <c r="P374" t="str" cm="1">
        <f t="array" ref="P374">IF(K374=3,"",
  IFERROR(
    INDEX('Fairway Log'!$E$2:$V$72,
      MATCH(1,
        ('Fairway Log'!$A$2:$A$72=$A374)*
        ('Fairway Log'!$B$2:$B$72=$B374)*
        ('Fairway Log'!$C$2:$C445=$C374),
      0),
      MATCH($G374,'Fairway Log'!$E$1:$V$1,0)
    ),
  "")
)</f>
        <v>←</v>
      </c>
      <c r="Q374" cm="1">
        <f t="array" ref="Q374">IFERROR(
  INDEX('GIR Log'!$E$2:$V$72,
    MATCH(1,
      ('GIR Log'!$A$2:$A$72=$A374)*
      ('GIR Log'!$B$2:$B$72=$B374)*
      ('GIR Log'!$C$2:$C$72=$C374),
    0),
    MATCH($G374,'GIR Log'!$E$1:$V$1,0)
  ),
"")</f>
        <v>0</v>
      </c>
    </row>
    <row r="375" spans="1:17" x14ac:dyDescent="0.25">
      <c r="A375" s="20" t="s">
        <v>126</v>
      </c>
      <c r="B375" s="2">
        <v>45434</v>
      </c>
      <c r="C375" t="s">
        <v>9</v>
      </c>
      <c r="D375" t="s">
        <v>9</v>
      </c>
      <c r="E375" t="s">
        <v>34</v>
      </c>
      <c r="F375">
        <v>89</v>
      </c>
      <c r="G375" t="s">
        <v>60</v>
      </c>
      <c r="H375" s="9">
        <f t="shared" si="17"/>
        <v>14</v>
      </c>
      <c r="I375" cm="1">
        <f t="array" ref="I375">IFERROR(INDEX(CourseYardages[[Hole 1]:[Hole 18]],
  MATCH(1, (CourseYardages[Course]=C375)*(CourseYardages[Tees]=E375), 0),
  MATCH(G375, CourseYardages[[#Headers],[Hole 1]:[Hole 18]], 0)
),"")</f>
        <v>188</v>
      </c>
      <c r="J375" cm="1">
        <f t="array" ref="J375">IFERROR(INDEX(CourseHandicap[[Hole 1]:[Hole 18]],
  MATCH(1, (CourseHandicap[Course]=C375)*(CourseHandicap[Tees]=E375), 0),
  MATCH(G375, CourseHandicap[[#Headers],[Hole 1]:[Hole 18]], 0)
),"")</f>
        <v>9</v>
      </c>
      <c r="K375" cm="1">
        <f t="array" ref="K375">IFERROR(INDEX(CourseRatings[[Hole 1]:[Hole 18]],
  MATCH(1, (CourseRatings[Course]=C375)*(CourseRatings[Tees]=E375), 0),
  MATCH(G375, CourseRatings[[#Headers],[Hole 1]:[Hole 18]], 0)
),"")</f>
        <v>3</v>
      </c>
      <c r="L375" cm="1">
        <f t="array" ref="L375">IFERROR(
  INDEX('Golf Log'!$E$2:$V$72,
    MATCH(1,
      ('Golf Log'!$A$2:$A$72=$A375)*
      ('Golf Log'!$B$2:$B$72=$B375)*
      ('Golf Log'!$C$2:$C$72=$C375),
    0),
    MATCH($G375,'Golf Log'!$E$1:$V$1,0)
  ),
"")</f>
        <v>3</v>
      </c>
      <c r="M375">
        <f t="shared" si="16"/>
        <v>0</v>
      </c>
      <c r="N375" t="str">
        <f t="shared" si="18"/>
        <v>Par</v>
      </c>
      <c r="O375" cm="1">
        <f t="array" ref="O375">IFERROR(
  INDEX('Putt Log'!$E$2:$V$72,
    MATCH(1,
      ('Putt Log'!$A$2:$A$72=$A375)*
      ('Putt Log'!$B$2:$B$72=$B375)*
      ('Putt Log'!$C$2:$C$72=$C375),
    0),
    MATCH($G375,'Putt Log'!$E$1:$V$1,0)
  ),
"")</f>
        <v>2</v>
      </c>
      <c r="P375" t="str" cm="1">
        <f t="array" ref="P375">IF(K375=3,"",
  IFERROR(
    INDEX('Fairway Log'!$E$2:$V$72,
      MATCH(1,
        ('Fairway Log'!$A$2:$A$72=$A375)*
        ('Fairway Log'!$B$2:$B$72=$B375)*
        ('Fairway Log'!$C$2:$C446=$C375),
      0),
      MATCH($G375,'Fairway Log'!$E$1:$V$1,0)
    ),
  "")
)</f>
        <v/>
      </c>
      <c r="Q375" cm="1">
        <f t="array" ref="Q375">IFERROR(
  INDEX('GIR Log'!$E$2:$V$72,
    MATCH(1,
      ('GIR Log'!$A$2:$A$72=$A375)*
      ('GIR Log'!$B$2:$B$72=$B375)*
      ('GIR Log'!$C$2:$C$72=$C375),
    0),
    MATCH($G375,'GIR Log'!$E$1:$V$1,0)
  ),
"")</f>
        <v>1</v>
      </c>
    </row>
    <row r="376" spans="1:17" x14ac:dyDescent="0.25">
      <c r="A376" s="20" t="s">
        <v>126</v>
      </c>
      <c r="B376" s="2">
        <v>45434</v>
      </c>
      <c r="C376" t="s">
        <v>9</v>
      </c>
      <c r="D376" t="s">
        <v>9</v>
      </c>
      <c r="E376" t="s">
        <v>34</v>
      </c>
      <c r="F376">
        <v>89</v>
      </c>
      <c r="G376" t="s">
        <v>61</v>
      </c>
      <c r="H376" s="9">
        <f t="shared" si="17"/>
        <v>15</v>
      </c>
      <c r="I376" cm="1">
        <f t="array" ref="I376">IFERROR(INDEX(CourseYardages[[Hole 1]:[Hole 18]],
  MATCH(1, (CourseYardages[Course]=C376)*(CourseYardages[Tees]=E376), 0),
  MATCH(G376, CourseYardages[[#Headers],[Hole 1]:[Hole 18]], 0)
),"")</f>
        <v>363</v>
      </c>
      <c r="J376" cm="1">
        <f t="array" ref="J376">IFERROR(INDEX(CourseHandicap[[Hole 1]:[Hole 18]],
  MATCH(1, (CourseHandicap[Course]=C376)*(CourseHandicap[Tees]=E376), 0),
  MATCH(G376, CourseHandicap[[#Headers],[Hole 1]:[Hole 18]], 0)
),"")</f>
        <v>7</v>
      </c>
      <c r="K376" cm="1">
        <f t="array" ref="K376">IFERROR(INDEX(CourseRatings[[Hole 1]:[Hole 18]],
  MATCH(1, (CourseRatings[Course]=C376)*(CourseRatings[Tees]=E376), 0),
  MATCH(G376, CourseRatings[[#Headers],[Hole 1]:[Hole 18]], 0)
),"")</f>
        <v>4</v>
      </c>
      <c r="L376" cm="1">
        <f t="array" ref="L376">IFERROR(
  INDEX('Golf Log'!$E$2:$V$72,
    MATCH(1,
      ('Golf Log'!$A$2:$A$72=$A376)*
      ('Golf Log'!$B$2:$B$72=$B376)*
      ('Golf Log'!$C$2:$C$72=$C376),
    0),
    MATCH($G376,'Golf Log'!$E$1:$V$1,0)
  ),
"")</f>
        <v>4</v>
      </c>
      <c r="M376">
        <f t="shared" si="16"/>
        <v>0</v>
      </c>
      <c r="N376" t="str">
        <f t="shared" si="18"/>
        <v>Par</v>
      </c>
      <c r="O376" cm="1">
        <f t="array" ref="O376">IFERROR(
  INDEX('Putt Log'!$E$2:$V$72,
    MATCH(1,
      ('Putt Log'!$A$2:$A$72=$A376)*
      ('Putt Log'!$B$2:$B$72=$B376)*
      ('Putt Log'!$C$2:$C$72=$C376),
    0),
    MATCH($G376,'Putt Log'!$E$1:$V$1,0)
  ),
"")</f>
        <v>2</v>
      </c>
      <c r="P376" t="str" cm="1">
        <f t="array" ref="P376">IF(K376=3,"",
  IFERROR(
    INDEX('Fairway Log'!$E$2:$V$72,
      MATCH(1,
        ('Fairway Log'!$A$2:$A$72=$A376)*
        ('Fairway Log'!$B$2:$B$72=$B376)*
        ('Fairway Log'!$C$2:$C447=$C376),
      0),
      MATCH($G376,'Fairway Log'!$E$1:$V$1,0)
    ),
  "")
)</f>
        <v>→</v>
      </c>
      <c r="Q376" cm="1">
        <f t="array" ref="Q376">IFERROR(
  INDEX('GIR Log'!$E$2:$V$72,
    MATCH(1,
      ('GIR Log'!$A$2:$A$72=$A376)*
      ('GIR Log'!$B$2:$B$72=$B376)*
      ('GIR Log'!$C$2:$C$72=$C376),
    0),
    MATCH($G376,'GIR Log'!$E$1:$V$1,0)
  ),
"")</f>
        <v>1</v>
      </c>
    </row>
    <row r="377" spans="1:17" x14ac:dyDescent="0.25">
      <c r="A377" s="20" t="s">
        <v>126</v>
      </c>
      <c r="B377" s="2">
        <v>45434</v>
      </c>
      <c r="C377" t="s">
        <v>9</v>
      </c>
      <c r="D377" t="s">
        <v>9</v>
      </c>
      <c r="E377" t="s">
        <v>34</v>
      </c>
      <c r="F377">
        <v>89</v>
      </c>
      <c r="G377" t="s">
        <v>62</v>
      </c>
      <c r="H377" s="9">
        <f t="shared" si="17"/>
        <v>16</v>
      </c>
      <c r="I377" cm="1">
        <f t="array" ref="I377">IFERROR(INDEX(CourseYardages[[Hole 1]:[Hole 18]],
  MATCH(1, (CourseYardages[Course]=C377)*(CourseYardages[Tees]=E377), 0),
  MATCH(G377, CourseYardages[[#Headers],[Hole 1]:[Hole 18]], 0)
),"")</f>
        <v>353</v>
      </c>
      <c r="J377" cm="1">
        <f t="array" ref="J377">IFERROR(INDEX(CourseHandicap[[Hole 1]:[Hole 18]],
  MATCH(1, (CourseHandicap[Course]=C377)*(CourseHandicap[Tees]=E377), 0),
  MATCH(G377, CourseHandicap[[#Headers],[Hole 1]:[Hole 18]], 0)
),"")</f>
        <v>13</v>
      </c>
      <c r="K377" cm="1">
        <f t="array" ref="K377">IFERROR(INDEX(CourseRatings[[Hole 1]:[Hole 18]],
  MATCH(1, (CourseRatings[Course]=C377)*(CourseRatings[Tees]=E377), 0),
  MATCH(G377, CourseRatings[[#Headers],[Hole 1]:[Hole 18]], 0)
),"")</f>
        <v>4</v>
      </c>
      <c r="L377" cm="1">
        <f t="array" ref="L377">IFERROR(
  INDEX('Golf Log'!$E$2:$V$72,
    MATCH(1,
      ('Golf Log'!$A$2:$A$72=$A377)*
      ('Golf Log'!$B$2:$B$72=$B377)*
      ('Golf Log'!$C$2:$C$72=$C377),
    0),
    MATCH($G377,'Golf Log'!$E$1:$V$1,0)
  ),
"")</f>
        <v>5</v>
      </c>
      <c r="M377">
        <f t="shared" si="16"/>
        <v>1</v>
      </c>
      <c r="N377" t="str">
        <f t="shared" si="18"/>
        <v>Bogey</v>
      </c>
      <c r="O377" cm="1">
        <f t="array" ref="O377">IFERROR(
  INDEX('Putt Log'!$E$2:$V$72,
    MATCH(1,
      ('Putt Log'!$A$2:$A$72=$A377)*
      ('Putt Log'!$B$2:$B$72=$B377)*
      ('Putt Log'!$C$2:$C$72=$C377),
    0),
    MATCH($G377,'Putt Log'!$E$1:$V$1,0)
  ),
"")</f>
        <v>2</v>
      </c>
      <c r="P377" t="str" cm="1">
        <f t="array" ref="P377">IF(K377=3,"",
  IFERROR(
    INDEX('Fairway Log'!$E$2:$V$72,
      MATCH(1,
        ('Fairway Log'!$A$2:$A$72=$A377)*
        ('Fairway Log'!$B$2:$B$72=$B377)*
        ('Fairway Log'!$C$2:$C448=$C377),
      0),
      MATCH($G377,'Fairway Log'!$E$1:$V$1,0)
    ),
  "")
)</f>
        <v>←</v>
      </c>
      <c r="Q377" cm="1">
        <f t="array" ref="Q377">IFERROR(
  INDEX('GIR Log'!$E$2:$V$72,
    MATCH(1,
      ('GIR Log'!$A$2:$A$72=$A377)*
      ('GIR Log'!$B$2:$B$72=$B377)*
      ('GIR Log'!$C$2:$C$72=$C377),
    0),
    MATCH($G377,'GIR Log'!$E$1:$V$1,0)
  ),
"")</f>
        <v>0</v>
      </c>
    </row>
    <row r="378" spans="1:17" x14ac:dyDescent="0.25">
      <c r="A378" s="20" t="s">
        <v>126</v>
      </c>
      <c r="B378" s="2">
        <v>45434</v>
      </c>
      <c r="C378" t="s">
        <v>9</v>
      </c>
      <c r="D378" t="s">
        <v>9</v>
      </c>
      <c r="E378" t="s">
        <v>34</v>
      </c>
      <c r="F378">
        <v>89</v>
      </c>
      <c r="G378" t="s">
        <v>63</v>
      </c>
      <c r="H378" s="9">
        <f t="shared" si="17"/>
        <v>17</v>
      </c>
      <c r="I378" cm="1">
        <f t="array" ref="I378">IFERROR(INDEX(CourseYardages[[Hole 1]:[Hole 18]],
  MATCH(1, (CourseYardages[Course]=C378)*(CourseYardages[Tees]=E378), 0),
  MATCH(G378, CourseYardages[[#Headers],[Hole 1]:[Hole 18]], 0)
),"")</f>
        <v>485</v>
      </c>
      <c r="J378" cm="1">
        <f t="array" ref="J378">IFERROR(INDEX(CourseHandicap[[Hole 1]:[Hole 18]],
  MATCH(1, (CourseHandicap[Course]=C378)*(CourseHandicap[Tees]=E378), 0),
  MATCH(G378, CourseHandicap[[#Headers],[Hole 1]:[Hole 18]], 0)
),"")</f>
        <v>5</v>
      </c>
      <c r="K378" cm="1">
        <f t="array" ref="K378">IFERROR(INDEX(CourseRatings[[Hole 1]:[Hole 18]],
  MATCH(1, (CourseRatings[Course]=C378)*(CourseRatings[Tees]=E378), 0),
  MATCH(G378, CourseRatings[[#Headers],[Hole 1]:[Hole 18]], 0)
),"")</f>
        <v>5</v>
      </c>
      <c r="L378" cm="1">
        <f t="array" ref="L378">IFERROR(
  INDEX('Golf Log'!$E$2:$V$72,
    MATCH(1,
      ('Golf Log'!$A$2:$A$72=$A378)*
      ('Golf Log'!$B$2:$B$72=$B378)*
      ('Golf Log'!$C$2:$C$72=$C378),
    0),
    MATCH($G378,'Golf Log'!$E$1:$V$1,0)
  ),
"")</f>
        <v>6</v>
      </c>
      <c r="M378">
        <f t="shared" si="16"/>
        <v>1</v>
      </c>
      <c r="N378" t="str">
        <f t="shared" si="18"/>
        <v>Bogey</v>
      </c>
      <c r="O378" cm="1">
        <f t="array" ref="O378">IFERROR(
  INDEX('Putt Log'!$E$2:$V$72,
    MATCH(1,
      ('Putt Log'!$A$2:$A$72=$A378)*
      ('Putt Log'!$B$2:$B$72=$B378)*
      ('Putt Log'!$C$2:$C$72=$C378),
    0),
    MATCH($G378,'Putt Log'!$E$1:$V$1,0)
  ),
"")</f>
        <v>2</v>
      </c>
      <c r="P378" t="str" cm="1">
        <f t="array" ref="P378">IF(K378=3,"",
  IFERROR(
    INDEX('Fairway Log'!$E$2:$V$72,
      MATCH(1,
        ('Fairway Log'!$A$2:$A$72=$A378)*
        ('Fairway Log'!$B$2:$B$72=$B378)*
        ('Fairway Log'!$C$2:$C449=$C378),
      0),
      MATCH($G378,'Fairway Log'!$E$1:$V$1,0)
    ),
  "")
)</f>
        <v>←</v>
      </c>
      <c r="Q378" cm="1">
        <f t="array" ref="Q378">IFERROR(
  INDEX('GIR Log'!$E$2:$V$72,
    MATCH(1,
      ('GIR Log'!$A$2:$A$72=$A378)*
      ('GIR Log'!$B$2:$B$72=$B378)*
      ('GIR Log'!$C$2:$C$72=$C378),
    0),
    MATCH($G378,'GIR Log'!$E$1:$V$1,0)
  ),
"")</f>
        <v>0</v>
      </c>
    </row>
    <row r="379" spans="1:17" x14ac:dyDescent="0.25">
      <c r="A379" s="20" t="s">
        <v>126</v>
      </c>
      <c r="B379" s="2">
        <v>45434</v>
      </c>
      <c r="C379" t="s">
        <v>9</v>
      </c>
      <c r="D379" t="s">
        <v>9</v>
      </c>
      <c r="E379" t="s">
        <v>34</v>
      </c>
      <c r="F379">
        <v>89</v>
      </c>
      <c r="G379" t="s">
        <v>64</v>
      </c>
      <c r="H379" s="9">
        <f t="shared" si="17"/>
        <v>18</v>
      </c>
      <c r="I379" cm="1">
        <f t="array" ref="I379">IFERROR(INDEX(CourseYardages[[Hole 1]:[Hole 18]],
  MATCH(1, (CourseYardages[Course]=C379)*(CourseYardages[Tees]=E379), 0),
  MATCH(G379, CourseYardages[[#Headers],[Hole 1]:[Hole 18]], 0)
),"")</f>
        <v>366</v>
      </c>
      <c r="J379" cm="1">
        <f t="array" ref="J379">IFERROR(INDEX(CourseHandicap[[Hole 1]:[Hole 18]],
  MATCH(1, (CourseHandicap[Course]=C379)*(CourseHandicap[Tees]=E379), 0),
  MATCH(G379, CourseHandicap[[#Headers],[Hole 1]:[Hole 18]], 0)
),"")</f>
        <v>15</v>
      </c>
      <c r="K379" cm="1">
        <f t="array" ref="K379">IFERROR(INDEX(CourseRatings[[Hole 1]:[Hole 18]],
  MATCH(1, (CourseRatings[Course]=C379)*(CourseRatings[Tees]=E379), 0),
  MATCH(G379, CourseRatings[[#Headers],[Hole 1]:[Hole 18]], 0)
),"")</f>
        <v>4</v>
      </c>
      <c r="L379" cm="1">
        <f t="array" ref="L379">IFERROR(
  INDEX('Golf Log'!$E$2:$V$72,
    MATCH(1,
      ('Golf Log'!$A$2:$A$72=$A379)*
      ('Golf Log'!$B$2:$B$72=$B379)*
      ('Golf Log'!$C$2:$C$72=$C379),
    0),
    MATCH($G379,'Golf Log'!$E$1:$V$1,0)
  ),
"")</f>
        <v>5</v>
      </c>
      <c r="M379">
        <f t="shared" si="16"/>
        <v>1</v>
      </c>
      <c r="N379" t="str">
        <f t="shared" si="18"/>
        <v>Bogey</v>
      </c>
      <c r="O379" cm="1">
        <f t="array" ref="O379">IFERROR(
  INDEX('Putt Log'!$E$2:$V$72,
    MATCH(1,
      ('Putt Log'!$A$2:$A$72=$A379)*
      ('Putt Log'!$B$2:$B$72=$B379)*
      ('Putt Log'!$C$2:$C$72=$C379),
    0),
    MATCH($G379,'Putt Log'!$E$1:$V$1,0)
  ),
"")</f>
        <v>2</v>
      </c>
      <c r="P379" cm="1">
        <f t="array" ref="P379">IF(K379=3,"",
  IFERROR(
    INDEX('Fairway Log'!$E$2:$V$72,
      MATCH(1,
        ('Fairway Log'!$A$2:$A$72=$A379)*
        ('Fairway Log'!$B$2:$B$72=$B379)*
        ('Fairway Log'!$C$2:$C450=$C379),
      0),
      MATCH($G379,'Fairway Log'!$E$1:$V$1,0)
    ),
  "")
)</f>
        <v>1</v>
      </c>
      <c r="Q379" cm="1">
        <f t="array" ref="Q379">IFERROR(
  INDEX('GIR Log'!$E$2:$V$72,
    MATCH(1,
      ('GIR Log'!$A$2:$A$72=$A379)*
      ('GIR Log'!$B$2:$B$72=$B379)*
      ('GIR Log'!$C$2:$C$72=$C379),
    0),
    MATCH($G379,'GIR Log'!$E$1:$V$1,0)
  ),
"")</f>
        <v>0</v>
      </c>
    </row>
    <row r="380" spans="1:17" x14ac:dyDescent="0.25">
      <c r="A380" s="20" t="s">
        <v>126</v>
      </c>
      <c r="B380" s="2">
        <v>45172</v>
      </c>
      <c r="C380" t="s">
        <v>3</v>
      </c>
      <c r="D380" t="s">
        <v>3</v>
      </c>
      <c r="E380" t="s">
        <v>34</v>
      </c>
      <c r="F380">
        <v>87</v>
      </c>
      <c r="G380" t="s">
        <v>47</v>
      </c>
      <c r="H380" s="9">
        <f t="shared" si="17"/>
        <v>1</v>
      </c>
      <c r="I380" cm="1">
        <f t="array" ref="I380">IFERROR(INDEX(CourseYardages[[Hole 1]:[Hole 18]],
  MATCH(1, (CourseYardages[Course]=C380)*(CourseYardages[Tees]=E380), 0),
  MATCH(G380, CourseYardages[[#Headers],[Hole 1]:[Hole 18]], 0)
),"")</f>
        <v>354</v>
      </c>
      <c r="J380" cm="1">
        <f t="array" ref="J380">IFERROR(INDEX(CourseHandicap[[Hole 1]:[Hole 18]],
  MATCH(1, (CourseHandicap[Course]=C380)*(CourseHandicap[Tees]=E380), 0),
  MATCH(G380, CourseHandicap[[#Headers],[Hole 1]:[Hole 18]], 0)
),"")</f>
        <v>15</v>
      </c>
      <c r="K380" cm="1">
        <f t="array" ref="K380">IFERROR(INDEX(CourseRatings[[Hole 1]:[Hole 18]],
  MATCH(1, (CourseRatings[Course]=C380)*(CourseRatings[Tees]=E380), 0),
  MATCH(G380, CourseRatings[[#Headers],[Hole 1]:[Hole 18]], 0)
),"")</f>
        <v>4</v>
      </c>
      <c r="L380" cm="1">
        <f t="array" ref="L380">IFERROR(
  INDEX('Golf Log'!$E$2:$V$72,
    MATCH(1,
      ('Golf Log'!$A$2:$A$72=$A380)*
      ('Golf Log'!$B$2:$B$72=$B380)*
      ('Golf Log'!$C$2:$C$72=$C380),
    0),
    MATCH($G380,'Golf Log'!$E$1:$V$1,0)
  ),
"")</f>
        <v>5</v>
      </c>
      <c r="M380">
        <f t="shared" si="16"/>
        <v>1</v>
      </c>
      <c r="N380" t="str">
        <f t="shared" si="18"/>
        <v>Bogey</v>
      </c>
      <c r="O380" cm="1">
        <f t="array" ref="O380">IFERROR(
  INDEX('Putt Log'!$E$2:$V$72,
    MATCH(1,
      ('Putt Log'!$A$2:$A$72=$A380)*
      ('Putt Log'!$B$2:$B$72=$B380)*
      ('Putt Log'!$C$2:$C$72=$C380),
    0),
    MATCH($G380,'Putt Log'!$E$1:$V$1,0)
  ),
"")</f>
        <v>2</v>
      </c>
      <c r="P380" t="str" cm="1">
        <f t="array" ref="P380">IF(K380=3,"",
  IFERROR(
    INDEX('Fairway Log'!$E$2:$V$72,
      MATCH(1,
        ('Fairway Log'!$A$2:$A$72=$A380)*
        ('Fairway Log'!$B$2:$B$72=$B380)*
        ('Fairway Log'!$C$2:$C451=$C380),
      0),
      MATCH($G380,'Fairway Log'!$E$1:$V$1,0)
    ),
  "")
)</f>
        <v>←</v>
      </c>
      <c r="Q380" cm="1">
        <f t="array" ref="Q380">IFERROR(
  INDEX('GIR Log'!$E$2:$V$72,
    MATCH(1,
      ('GIR Log'!$A$2:$A$72=$A380)*
      ('GIR Log'!$B$2:$B$72=$B380)*
      ('GIR Log'!$C$2:$C$72=$C380),
    0),
    MATCH($G380,'GIR Log'!$E$1:$V$1,0)
  ),
"")</f>
        <v>0</v>
      </c>
    </row>
    <row r="381" spans="1:17" x14ac:dyDescent="0.25">
      <c r="A381" s="20" t="s">
        <v>126</v>
      </c>
      <c r="B381" s="2">
        <v>45172</v>
      </c>
      <c r="C381" t="s">
        <v>3</v>
      </c>
      <c r="D381" t="s">
        <v>3</v>
      </c>
      <c r="E381" t="s">
        <v>34</v>
      </c>
      <c r="F381">
        <v>87</v>
      </c>
      <c r="G381" t="s">
        <v>48</v>
      </c>
      <c r="H381" s="9">
        <f t="shared" si="17"/>
        <v>2</v>
      </c>
      <c r="I381" cm="1">
        <f t="array" ref="I381">IFERROR(INDEX(CourseYardages[[Hole 1]:[Hole 18]],
  MATCH(1, (CourseYardages[Course]=C381)*(CourseYardages[Tees]=E381), 0),
  MATCH(G381, CourseYardages[[#Headers],[Hole 1]:[Hole 18]], 0)
),"")</f>
        <v>380</v>
      </c>
      <c r="J381" cm="1">
        <f t="array" ref="J381">IFERROR(INDEX(CourseHandicap[[Hole 1]:[Hole 18]],
  MATCH(1, (CourseHandicap[Course]=C381)*(CourseHandicap[Tees]=E381), 0),
  MATCH(G381, CourseHandicap[[#Headers],[Hole 1]:[Hole 18]], 0)
),"")</f>
        <v>3</v>
      </c>
      <c r="K381" cm="1">
        <f t="array" ref="K381">IFERROR(INDEX(CourseRatings[[Hole 1]:[Hole 18]],
  MATCH(1, (CourseRatings[Course]=C381)*(CourseRatings[Tees]=E381), 0),
  MATCH(G381, CourseRatings[[#Headers],[Hole 1]:[Hole 18]], 0)
),"")</f>
        <v>4</v>
      </c>
      <c r="L381" cm="1">
        <f t="array" ref="L381">IFERROR(
  INDEX('Golf Log'!$E$2:$V$72,
    MATCH(1,
      ('Golf Log'!$A$2:$A$72=$A381)*
      ('Golf Log'!$B$2:$B$72=$B381)*
      ('Golf Log'!$C$2:$C$72=$C381),
    0),
    MATCH($G381,'Golf Log'!$E$1:$V$1,0)
  ),
"")</f>
        <v>5</v>
      </c>
      <c r="M381">
        <f t="shared" si="16"/>
        <v>1</v>
      </c>
      <c r="N381" t="str">
        <f t="shared" si="18"/>
        <v>Bogey</v>
      </c>
      <c r="O381" cm="1">
        <f t="array" ref="O381">IFERROR(
  INDEX('Putt Log'!$E$2:$V$72,
    MATCH(1,
      ('Putt Log'!$A$2:$A$72=$A381)*
      ('Putt Log'!$B$2:$B$72=$B381)*
      ('Putt Log'!$C$2:$C$72=$C381),
    0),
    MATCH($G381,'Putt Log'!$E$1:$V$1,0)
  ),
"")</f>
        <v>2</v>
      </c>
      <c r="P381" cm="1">
        <f t="array" ref="P381">IF(K381=3,"",
  IFERROR(
    INDEX('Fairway Log'!$E$2:$V$72,
      MATCH(1,
        ('Fairway Log'!$A$2:$A$72=$A381)*
        ('Fairway Log'!$B$2:$B$72=$B381)*
        ('Fairway Log'!$C$2:$C452=$C381),
      0),
      MATCH($G381,'Fairway Log'!$E$1:$V$1,0)
    ),
  "")
)</f>
        <v>1</v>
      </c>
      <c r="Q381" cm="1">
        <f t="array" ref="Q381">IFERROR(
  INDEX('GIR Log'!$E$2:$V$72,
    MATCH(1,
      ('GIR Log'!$A$2:$A$72=$A381)*
      ('GIR Log'!$B$2:$B$72=$B381)*
      ('GIR Log'!$C$2:$C$72=$C381),
    0),
    MATCH($G381,'GIR Log'!$E$1:$V$1,0)
  ),
"")</f>
        <v>0</v>
      </c>
    </row>
    <row r="382" spans="1:17" x14ac:dyDescent="0.25">
      <c r="A382" s="20" t="s">
        <v>126</v>
      </c>
      <c r="B382" s="2">
        <v>45172</v>
      </c>
      <c r="C382" t="s">
        <v>3</v>
      </c>
      <c r="D382" t="s">
        <v>3</v>
      </c>
      <c r="E382" t="s">
        <v>34</v>
      </c>
      <c r="F382">
        <v>87</v>
      </c>
      <c r="G382" t="s">
        <v>49</v>
      </c>
      <c r="H382" s="9">
        <f t="shared" si="17"/>
        <v>3</v>
      </c>
      <c r="I382" cm="1">
        <f t="array" ref="I382">IFERROR(INDEX(CourseYardages[[Hole 1]:[Hole 18]],
  MATCH(1, (CourseYardages[Course]=C382)*(CourseYardages[Tees]=E382), 0),
  MATCH(G382, CourseYardages[[#Headers],[Hole 1]:[Hole 18]], 0)
),"")</f>
        <v>153</v>
      </c>
      <c r="J382" cm="1">
        <f t="array" ref="J382">IFERROR(INDEX(CourseHandicap[[Hole 1]:[Hole 18]],
  MATCH(1, (CourseHandicap[Course]=C382)*(CourseHandicap[Tees]=E382), 0),
  MATCH(G382, CourseHandicap[[#Headers],[Hole 1]:[Hole 18]], 0)
),"")</f>
        <v>17</v>
      </c>
      <c r="K382" cm="1">
        <f t="array" ref="K382">IFERROR(INDEX(CourseRatings[[Hole 1]:[Hole 18]],
  MATCH(1, (CourseRatings[Course]=C382)*(CourseRatings[Tees]=E382), 0),
  MATCH(G382, CourseRatings[[#Headers],[Hole 1]:[Hole 18]], 0)
),"")</f>
        <v>3</v>
      </c>
      <c r="L382" cm="1">
        <f t="array" ref="L382">IFERROR(
  INDEX('Golf Log'!$E$2:$V$72,
    MATCH(1,
      ('Golf Log'!$A$2:$A$72=$A382)*
      ('Golf Log'!$B$2:$B$72=$B382)*
      ('Golf Log'!$C$2:$C$72=$C382),
    0),
    MATCH($G382,'Golf Log'!$E$1:$V$1,0)
  ),
"")</f>
        <v>4</v>
      </c>
      <c r="M382">
        <f t="shared" si="16"/>
        <v>1</v>
      </c>
      <c r="N382" t="str">
        <f t="shared" si="18"/>
        <v>Bogey</v>
      </c>
      <c r="O382" cm="1">
        <f t="array" ref="O382">IFERROR(
  INDEX('Putt Log'!$E$2:$V$72,
    MATCH(1,
      ('Putt Log'!$A$2:$A$72=$A382)*
      ('Putt Log'!$B$2:$B$72=$B382)*
      ('Putt Log'!$C$2:$C$72=$C382),
    0),
    MATCH($G382,'Putt Log'!$E$1:$V$1,0)
  ),
"")</f>
        <v>2</v>
      </c>
      <c r="P382" t="str" cm="1">
        <f t="array" ref="P382">IF(K382=3,"",
  IFERROR(
    INDEX('Fairway Log'!$E$2:$V$72,
      MATCH(1,
        ('Fairway Log'!$A$2:$A$72=$A382)*
        ('Fairway Log'!$B$2:$B$72=$B382)*
        ('Fairway Log'!$C$2:$C453=$C382),
      0),
      MATCH($G382,'Fairway Log'!$E$1:$V$1,0)
    ),
  "")
)</f>
        <v/>
      </c>
      <c r="Q382" cm="1">
        <f t="array" ref="Q382">IFERROR(
  INDEX('GIR Log'!$E$2:$V$72,
    MATCH(1,
      ('GIR Log'!$A$2:$A$72=$A382)*
      ('GIR Log'!$B$2:$B$72=$B382)*
      ('GIR Log'!$C$2:$C$72=$C382),
    0),
    MATCH($G382,'GIR Log'!$E$1:$V$1,0)
  ),
"")</f>
        <v>0</v>
      </c>
    </row>
    <row r="383" spans="1:17" x14ac:dyDescent="0.25">
      <c r="A383" s="20" t="s">
        <v>126</v>
      </c>
      <c r="B383" s="2">
        <v>45172</v>
      </c>
      <c r="C383" t="s">
        <v>3</v>
      </c>
      <c r="D383" t="s">
        <v>3</v>
      </c>
      <c r="E383" t="s">
        <v>34</v>
      </c>
      <c r="F383">
        <v>87</v>
      </c>
      <c r="G383" t="s">
        <v>50</v>
      </c>
      <c r="H383" s="9">
        <f t="shared" si="17"/>
        <v>4</v>
      </c>
      <c r="I383" cm="1">
        <f t="array" ref="I383">IFERROR(INDEX(CourseYardages[[Hole 1]:[Hole 18]],
  MATCH(1, (CourseYardages[Course]=C383)*(CourseYardages[Tees]=E383), 0),
  MATCH(G383, CourseYardages[[#Headers],[Hole 1]:[Hole 18]], 0)
),"")</f>
        <v>363</v>
      </c>
      <c r="J383" cm="1">
        <f t="array" ref="J383">IFERROR(INDEX(CourseHandicap[[Hole 1]:[Hole 18]],
  MATCH(1, (CourseHandicap[Course]=C383)*(CourseHandicap[Tees]=E383), 0),
  MATCH(G383, CourseHandicap[[#Headers],[Hole 1]:[Hole 18]], 0)
),"")</f>
        <v>11</v>
      </c>
      <c r="K383" cm="1">
        <f t="array" ref="K383">IFERROR(INDEX(CourseRatings[[Hole 1]:[Hole 18]],
  MATCH(1, (CourseRatings[Course]=C383)*(CourseRatings[Tees]=E383), 0),
  MATCH(G383, CourseRatings[[#Headers],[Hole 1]:[Hole 18]], 0)
),"")</f>
        <v>4</v>
      </c>
      <c r="L383" cm="1">
        <f t="array" ref="L383">IFERROR(
  INDEX('Golf Log'!$E$2:$V$72,
    MATCH(1,
      ('Golf Log'!$A$2:$A$72=$A383)*
      ('Golf Log'!$B$2:$B$72=$B383)*
      ('Golf Log'!$C$2:$C$72=$C383),
    0),
    MATCH($G383,'Golf Log'!$E$1:$V$1,0)
  ),
"")</f>
        <v>6</v>
      </c>
      <c r="M383">
        <f t="shared" si="16"/>
        <v>2</v>
      </c>
      <c r="N383" t="str">
        <f t="shared" si="18"/>
        <v>Double Bogey</v>
      </c>
      <c r="O383" cm="1">
        <f t="array" ref="O383">IFERROR(
  INDEX('Putt Log'!$E$2:$V$72,
    MATCH(1,
      ('Putt Log'!$A$2:$A$72=$A383)*
      ('Putt Log'!$B$2:$B$72=$B383)*
      ('Putt Log'!$C$2:$C$72=$C383),
    0),
    MATCH($G383,'Putt Log'!$E$1:$V$1,0)
  ),
"")</f>
        <v>2</v>
      </c>
      <c r="P383" t="str" cm="1">
        <f t="array" ref="P383">IF(K383=3,"",
  IFERROR(
    INDEX('Fairway Log'!$E$2:$V$72,
      MATCH(1,
        ('Fairway Log'!$A$2:$A$72=$A383)*
        ('Fairway Log'!$B$2:$B$72=$B383)*
        ('Fairway Log'!$C$2:$C454=$C383),
      0),
      MATCH($G383,'Fairway Log'!$E$1:$V$1,0)
    ),
  "")
)</f>
        <v>↑</v>
      </c>
      <c r="Q383" cm="1">
        <f t="array" ref="Q383">IFERROR(
  INDEX('GIR Log'!$E$2:$V$72,
    MATCH(1,
      ('GIR Log'!$A$2:$A$72=$A383)*
      ('GIR Log'!$B$2:$B$72=$B383)*
      ('GIR Log'!$C$2:$C$72=$C383),
    0),
    MATCH($G383,'GIR Log'!$E$1:$V$1,0)
  ),
"")</f>
        <v>0</v>
      </c>
    </row>
    <row r="384" spans="1:17" x14ac:dyDescent="0.25">
      <c r="A384" s="20" t="s">
        <v>126</v>
      </c>
      <c r="B384" s="2">
        <v>45172</v>
      </c>
      <c r="C384" t="s">
        <v>3</v>
      </c>
      <c r="D384" t="s">
        <v>3</v>
      </c>
      <c r="E384" t="s">
        <v>34</v>
      </c>
      <c r="F384">
        <v>87</v>
      </c>
      <c r="G384" t="s">
        <v>51</v>
      </c>
      <c r="H384" s="9">
        <f t="shared" si="17"/>
        <v>5</v>
      </c>
      <c r="I384" cm="1">
        <f t="array" ref="I384">IFERROR(INDEX(CourseYardages[[Hole 1]:[Hole 18]],
  MATCH(1, (CourseYardages[Course]=C384)*(CourseYardages[Tees]=E384), 0),
  MATCH(G384, CourseYardages[[#Headers],[Hole 1]:[Hole 18]], 0)
),"")</f>
        <v>400</v>
      </c>
      <c r="J384" cm="1">
        <f t="array" ref="J384">IFERROR(INDEX(CourseHandicap[[Hole 1]:[Hole 18]],
  MATCH(1, (CourseHandicap[Course]=C384)*(CourseHandicap[Tees]=E384), 0),
  MATCH(G384, CourseHandicap[[#Headers],[Hole 1]:[Hole 18]], 0)
),"")</f>
        <v>7</v>
      </c>
      <c r="K384" cm="1">
        <f t="array" ref="K384">IFERROR(INDEX(CourseRatings[[Hole 1]:[Hole 18]],
  MATCH(1, (CourseRatings[Course]=C384)*(CourseRatings[Tees]=E384), 0),
  MATCH(G384, CourseRatings[[#Headers],[Hole 1]:[Hole 18]], 0)
),"")</f>
        <v>4</v>
      </c>
      <c r="L384" cm="1">
        <f t="array" ref="L384">IFERROR(
  INDEX('Golf Log'!$E$2:$V$72,
    MATCH(1,
      ('Golf Log'!$A$2:$A$72=$A384)*
      ('Golf Log'!$B$2:$B$72=$B384)*
      ('Golf Log'!$C$2:$C$72=$C384),
    0),
    MATCH($G384,'Golf Log'!$E$1:$V$1,0)
  ),
"")</f>
        <v>6</v>
      </c>
      <c r="M384">
        <f t="shared" si="16"/>
        <v>2</v>
      </c>
      <c r="N384" t="str">
        <f t="shared" si="18"/>
        <v>Double Bogey</v>
      </c>
      <c r="O384" cm="1">
        <f t="array" ref="O384">IFERROR(
  INDEX('Putt Log'!$E$2:$V$72,
    MATCH(1,
      ('Putt Log'!$A$2:$A$72=$A384)*
      ('Putt Log'!$B$2:$B$72=$B384)*
      ('Putt Log'!$C$2:$C$72=$C384),
    0),
    MATCH($G384,'Putt Log'!$E$1:$V$1,0)
  ),
"")</f>
        <v>3</v>
      </c>
      <c r="P384" cm="1">
        <f t="array" ref="P384">IF(K384=3,"",
  IFERROR(
    INDEX('Fairway Log'!$E$2:$V$72,
      MATCH(1,
        ('Fairway Log'!$A$2:$A$72=$A384)*
        ('Fairway Log'!$B$2:$B$72=$B384)*
        ('Fairway Log'!$C$2:$C455=$C384),
      0),
      MATCH($G384,'Fairway Log'!$E$1:$V$1,0)
    ),
  "")
)</f>
        <v>1</v>
      </c>
      <c r="Q384" cm="1">
        <f t="array" ref="Q384">IFERROR(
  INDEX('GIR Log'!$E$2:$V$72,
    MATCH(1,
      ('GIR Log'!$A$2:$A$72=$A384)*
      ('GIR Log'!$B$2:$B$72=$B384)*
      ('GIR Log'!$C$2:$C$72=$C384),
    0),
    MATCH($G384,'GIR Log'!$E$1:$V$1,0)
  ),
"")</f>
        <v>0</v>
      </c>
    </row>
    <row r="385" spans="1:17" x14ac:dyDescent="0.25">
      <c r="A385" s="20" t="s">
        <v>126</v>
      </c>
      <c r="B385" s="2">
        <v>45172</v>
      </c>
      <c r="C385" t="s">
        <v>3</v>
      </c>
      <c r="D385" t="s">
        <v>3</v>
      </c>
      <c r="E385" t="s">
        <v>34</v>
      </c>
      <c r="F385">
        <v>87</v>
      </c>
      <c r="G385" t="s">
        <v>52</v>
      </c>
      <c r="H385" s="9">
        <f t="shared" si="17"/>
        <v>6</v>
      </c>
      <c r="I385" cm="1">
        <f t="array" ref="I385">IFERROR(INDEX(CourseYardages[[Hole 1]:[Hole 18]],
  MATCH(1, (CourseYardages[Course]=C385)*(CourseYardages[Tees]=E385), 0),
  MATCH(G385, CourseYardages[[#Headers],[Hole 1]:[Hole 18]], 0)
),"")</f>
        <v>190</v>
      </c>
      <c r="J385" cm="1">
        <f t="array" ref="J385">IFERROR(INDEX(CourseHandicap[[Hole 1]:[Hole 18]],
  MATCH(1, (CourseHandicap[Course]=C385)*(CourseHandicap[Tees]=E385), 0),
  MATCH(G385, CourseHandicap[[#Headers],[Hole 1]:[Hole 18]], 0)
),"")</f>
        <v>5</v>
      </c>
      <c r="K385" cm="1">
        <f t="array" ref="K385">IFERROR(INDEX(CourseRatings[[Hole 1]:[Hole 18]],
  MATCH(1, (CourseRatings[Course]=C385)*(CourseRatings[Tees]=E385), 0),
  MATCH(G385, CourseRatings[[#Headers],[Hole 1]:[Hole 18]], 0)
),"")</f>
        <v>3</v>
      </c>
      <c r="L385" cm="1">
        <f t="array" ref="L385">IFERROR(
  INDEX('Golf Log'!$E$2:$V$72,
    MATCH(1,
      ('Golf Log'!$A$2:$A$72=$A385)*
      ('Golf Log'!$B$2:$B$72=$B385)*
      ('Golf Log'!$C$2:$C$72=$C385),
    0),
    MATCH($G385,'Golf Log'!$E$1:$V$1,0)
  ),
"")</f>
        <v>4</v>
      </c>
      <c r="M385">
        <f t="shared" ref="M385:M448" si="19">IFERROR(L385-K385,"")</f>
        <v>1</v>
      </c>
      <c r="N385" t="str">
        <f t="shared" si="18"/>
        <v>Bogey</v>
      </c>
      <c r="O385" cm="1">
        <f t="array" ref="O385">IFERROR(
  INDEX('Putt Log'!$E$2:$V$72,
    MATCH(1,
      ('Putt Log'!$A$2:$A$72=$A385)*
      ('Putt Log'!$B$2:$B$72=$B385)*
      ('Putt Log'!$C$2:$C$72=$C385),
    0),
    MATCH($G385,'Putt Log'!$E$1:$V$1,0)
  ),
"")</f>
        <v>2</v>
      </c>
      <c r="P385" t="str" cm="1">
        <f t="array" ref="P385">IF(K385=3,"",
  IFERROR(
    INDEX('Fairway Log'!$E$2:$V$72,
      MATCH(1,
        ('Fairway Log'!$A$2:$A$72=$A385)*
        ('Fairway Log'!$B$2:$B$72=$B385)*
        ('Fairway Log'!$C$2:$C456=$C385),
      0),
      MATCH($G385,'Fairway Log'!$E$1:$V$1,0)
    ),
  "")
)</f>
        <v/>
      </c>
      <c r="Q385" cm="1">
        <f t="array" ref="Q385">IFERROR(
  INDEX('GIR Log'!$E$2:$V$72,
    MATCH(1,
      ('GIR Log'!$A$2:$A$72=$A385)*
      ('GIR Log'!$B$2:$B$72=$B385)*
      ('GIR Log'!$C$2:$C$72=$C385),
    0),
    MATCH($G385,'GIR Log'!$E$1:$V$1,0)
  ),
"")</f>
        <v>0</v>
      </c>
    </row>
    <row r="386" spans="1:17" x14ac:dyDescent="0.25">
      <c r="A386" s="20" t="s">
        <v>126</v>
      </c>
      <c r="B386" s="2">
        <v>45172</v>
      </c>
      <c r="C386" t="s">
        <v>3</v>
      </c>
      <c r="D386" t="s">
        <v>3</v>
      </c>
      <c r="E386" t="s">
        <v>34</v>
      </c>
      <c r="F386">
        <v>87</v>
      </c>
      <c r="G386" t="s">
        <v>53</v>
      </c>
      <c r="H386" s="9">
        <f t="shared" si="17"/>
        <v>7</v>
      </c>
      <c r="I386" cm="1">
        <f t="array" ref="I386">IFERROR(INDEX(CourseYardages[[Hole 1]:[Hole 18]],
  MATCH(1, (CourseYardages[Course]=C386)*(CourseYardages[Tees]=E386), 0),
  MATCH(G386, CourseYardages[[#Headers],[Hole 1]:[Hole 18]], 0)
),"")</f>
        <v>507</v>
      </c>
      <c r="J386" cm="1">
        <f t="array" ref="J386">IFERROR(INDEX(CourseHandicap[[Hole 1]:[Hole 18]],
  MATCH(1, (CourseHandicap[Course]=C386)*(CourseHandicap[Tees]=E386), 0),
  MATCH(G386, CourseHandicap[[#Headers],[Hole 1]:[Hole 18]], 0)
),"")</f>
        <v>9</v>
      </c>
      <c r="K386" cm="1">
        <f t="array" ref="K386">IFERROR(INDEX(CourseRatings[[Hole 1]:[Hole 18]],
  MATCH(1, (CourseRatings[Course]=C386)*(CourseRatings[Tees]=E386), 0),
  MATCH(G386, CourseRatings[[#Headers],[Hole 1]:[Hole 18]], 0)
),"")</f>
        <v>5</v>
      </c>
      <c r="L386" cm="1">
        <f t="array" ref="L386">IFERROR(
  INDEX('Golf Log'!$E$2:$V$72,
    MATCH(1,
      ('Golf Log'!$A$2:$A$72=$A386)*
      ('Golf Log'!$B$2:$B$72=$B386)*
      ('Golf Log'!$C$2:$C$72=$C386),
    0),
    MATCH($G386,'Golf Log'!$E$1:$V$1,0)
  ),
"")</f>
        <v>5</v>
      </c>
      <c r="M386">
        <f t="shared" si="19"/>
        <v>0</v>
      </c>
      <c r="N386" t="str">
        <f t="shared" si="18"/>
        <v>Par</v>
      </c>
      <c r="O386" cm="1">
        <f t="array" ref="O386">IFERROR(
  INDEX('Putt Log'!$E$2:$V$72,
    MATCH(1,
      ('Putt Log'!$A$2:$A$72=$A386)*
      ('Putt Log'!$B$2:$B$72=$B386)*
      ('Putt Log'!$C$2:$C$72=$C386),
    0),
    MATCH($G386,'Putt Log'!$E$1:$V$1,0)
  ),
"")</f>
        <v>2</v>
      </c>
      <c r="P386" cm="1">
        <f t="array" ref="P386">IF(K386=3,"",
  IFERROR(
    INDEX('Fairway Log'!$E$2:$V$72,
      MATCH(1,
        ('Fairway Log'!$A$2:$A$72=$A386)*
        ('Fairway Log'!$B$2:$B$72=$B386)*
        ('Fairway Log'!$C$2:$C457=$C386),
      0),
      MATCH($G386,'Fairway Log'!$E$1:$V$1,0)
    ),
  "")
)</f>
        <v>1</v>
      </c>
      <c r="Q386" cm="1">
        <f t="array" ref="Q386">IFERROR(
  INDEX('GIR Log'!$E$2:$V$72,
    MATCH(1,
      ('GIR Log'!$A$2:$A$72=$A386)*
      ('GIR Log'!$B$2:$B$72=$B386)*
      ('GIR Log'!$C$2:$C$72=$C386),
    0),
    MATCH($G386,'GIR Log'!$E$1:$V$1,0)
  ),
"")</f>
        <v>1</v>
      </c>
    </row>
    <row r="387" spans="1:17" x14ac:dyDescent="0.25">
      <c r="A387" s="20" t="s">
        <v>126</v>
      </c>
      <c r="B387" s="2">
        <v>45172</v>
      </c>
      <c r="C387" t="s">
        <v>3</v>
      </c>
      <c r="D387" t="s">
        <v>3</v>
      </c>
      <c r="E387" t="s">
        <v>34</v>
      </c>
      <c r="F387">
        <v>87</v>
      </c>
      <c r="G387" t="s">
        <v>54</v>
      </c>
      <c r="H387" s="9">
        <f t="shared" ref="H387:H450" si="20">VALUE(RIGHT(G387, LEN(G387) - 5))</f>
        <v>8</v>
      </c>
      <c r="I387" cm="1">
        <f t="array" ref="I387">IFERROR(INDEX(CourseYardages[[Hole 1]:[Hole 18]],
  MATCH(1, (CourseYardages[Course]=C387)*(CourseYardages[Tees]=E387), 0),
  MATCH(G387, CourseYardages[[#Headers],[Hole 1]:[Hole 18]], 0)
),"")</f>
        <v>347</v>
      </c>
      <c r="J387" cm="1">
        <f t="array" ref="J387">IFERROR(INDEX(CourseHandicap[[Hole 1]:[Hole 18]],
  MATCH(1, (CourseHandicap[Course]=C387)*(CourseHandicap[Tees]=E387), 0),
  MATCH(G387, CourseHandicap[[#Headers],[Hole 1]:[Hole 18]], 0)
),"")</f>
        <v>13</v>
      </c>
      <c r="K387" cm="1">
        <f t="array" ref="K387">IFERROR(INDEX(CourseRatings[[Hole 1]:[Hole 18]],
  MATCH(1, (CourseRatings[Course]=C387)*(CourseRatings[Tees]=E387), 0),
  MATCH(G387, CourseRatings[[#Headers],[Hole 1]:[Hole 18]], 0)
),"")</f>
        <v>4</v>
      </c>
      <c r="L387" cm="1">
        <f t="array" ref="L387">IFERROR(
  INDEX('Golf Log'!$E$2:$V$72,
    MATCH(1,
      ('Golf Log'!$A$2:$A$72=$A387)*
      ('Golf Log'!$B$2:$B$72=$B387)*
      ('Golf Log'!$C$2:$C$72=$C387),
    0),
    MATCH($G387,'Golf Log'!$E$1:$V$1,0)
  ),
"")</f>
        <v>5</v>
      </c>
      <c r="M387">
        <f t="shared" si="19"/>
        <v>1</v>
      </c>
      <c r="N387" t="str">
        <f t="shared" si="18"/>
        <v>Bogey</v>
      </c>
      <c r="O387" cm="1">
        <f t="array" ref="O387">IFERROR(
  INDEX('Putt Log'!$E$2:$V$72,
    MATCH(1,
      ('Putt Log'!$A$2:$A$72=$A387)*
      ('Putt Log'!$B$2:$B$72=$B387)*
      ('Putt Log'!$C$2:$C$72=$C387),
    0),
    MATCH($G387,'Putt Log'!$E$1:$V$1,0)
  ),
"")</f>
        <v>2</v>
      </c>
      <c r="P387" cm="1">
        <f t="array" ref="P387">IF(K387=3,"",
  IFERROR(
    INDEX('Fairway Log'!$E$2:$V$72,
      MATCH(1,
        ('Fairway Log'!$A$2:$A$72=$A387)*
        ('Fairway Log'!$B$2:$B$72=$B387)*
        ('Fairway Log'!$C$2:$C458=$C387),
      0),
      MATCH($G387,'Fairway Log'!$E$1:$V$1,0)
    ),
  "")
)</f>
        <v>1</v>
      </c>
      <c r="Q387" cm="1">
        <f t="array" ref="Q387">IFERROR(
  INDEX('GIR Log'!$E$2:$V$72,
    MATCH(1,
      ('GIR Log'!$A$2:$A$72=$A387)*
      ('GIR Log'!$B$2:$B$72=$B387)*
      ('GIR Log'!$C$2:$C$72=$C387),
    0),
    MATCH($G387,'GIR Log'!$E$1:$V$1,0)
  ),
"")</f>
        <v>0</v>
      </c>
    </row>
    <row r="388" spans="1:17" x14ac:dyDescent="0.25">
      <c r="A388" s="20" t="s">
        <v>126</v>
      </c>
      <c r="B388" s="2">
        <v>45172</v>
      </c>
      <c r="C388" t="s">
        <v>3</v>
      </c>
      <c r="D388" t="s">
        <v>3</v>
      </c>
      <c r="E388" t="s">
        <v>34</v>
      </c>
      <c r="F388">
        <v>87</v>
      </c>
      <c r="G388" t="s">
        <v>55</v>
      </c>
      <c r="H388" s="9">
        <f t="shared" si="20"/>
        <v>9</v>
      </c>
      <c r="I388" cm="1">
        <f t="array" ref="I388">IFERROR(INDEX(CourseYardages[[Hole 1]:[Hole 18]],
  MATCH(1, (CourseYardages[Course]=C388)*(CourseYardages[Tees]=E388), 0),
  MATCH(G388, CourseYardages[[#Headers],[Hole 1]:[Hole 18]], 0)
),"")</f>
        <v>560</v>
      </c>
      <c r="J388" cm="1">
        <f t="array" ref="J388">IFERROR(INDEX(CourseHandicap[[Hole 1]:[Hole 18]],
  MATCH(1, (CourseHandicap[Course]=C388)*(CourseHandicap[Tees]=E388), 0),
  MATCH(G388, CourseHandicap[[#Headers],[Hole 1]:[Hole 18]], 0)
),"")</f>
        <v>1</v>
      </c>
      <c r="K388" cm="1">
        <f t="array" ref="K388">IFERROR(INDEX(CourseRatings[[Hole 1]:[Hole 18]],
  MATCH(1, (CourseRatings[Course]=C388)*(CourseRatings[Tees]=E388), 0),
  MATCH(G388, CourseRatings[[#Headers],[Hole 1]:[Hole 18]], 0)
),"")</f>
        <v>5</v>
      </c>
      <c r="L388" cm="1">
        <f t="array" ref="L388">IFERROR(
  INDEX('Golf Log'!$E$2:$V$72,
    MATCH(1,
      ('Golf Log'!$A$2:$A$72=$A388)*
      ('Golf Log'!$B$2:$B$72=$B388)*
      ('Golf Log'!$C$2:$C$72=$C388),
    0),
    MATCH($G388,'Golf Log'!$E$1:$V$1,0)
  ),
"")</f>
        <v>6</v>
      </c>
      <c r="M388">
        <f t="shared" si="19"/>
        <v>1</v>
      </c>
      <c r="N388" t="str">
        <f t="shared" si="18"/>
        <v>Bogey</v>
      </c>
      <c r="O388" cm="1">
        <f t="array" ref="O388">IFERROR(
  INDEX('Putt Log'!$E$2:$V$72,
    MATCH(1,
      ('Putt Log'!$A$2:$A$72=$A388)*
      ('Putt Log'!$B$2:$B$72=$B388)*
      ('Putt Log'!$C$2:$C$72=$C388),
    0),
    MATCH($G388,'Putt Log'!$E$1:$V$1,0)
  ),
"")</f>
        <v>2</v>
      </c>
      <c r="P388" cm="1">
        <f t="array" ref="P388">IF(K388=3,"",
  IFERROR(
    INDEX('Fairway Log'!$E$2:$V$72,
      MATCH(1,
        ('Fairway Log'!$A$2:$A$72=$A388)*
        ('Fairway Log'!$B$2:$B$72=$B388)*
        ('Fairway Log'!$C$2:$C459=$C388),
      0),
      MATCH($G388,'Fairway Log'!$E$1:$V$1,0)
    ),
  "")
)</f>
        <v>1</v>
      </c>
      <c r="Q388" cm="1">
        <f t="array" ref="Q388">IFERROR(
  INDEX('GIR Log'!$E$2:$V$72,
    MATCH(1,
      ('GIR Log'!$A$2:$A$72=$A388)*
      ('GIR Log'!$B$2:$B$72=$B388)*
      ('GIR Log'!$C$2:$C$72=$C388),
    0),
    MATCH($G388,'GIR Log'!$E$1:$V$1,0)
  ),
"")</f>
        <v>0</v>
      </c>
    </row>
    <row r="389" spans="1:17" x14ac:dyDescent="0.25">
      <c r="A389" s="20" t="s">
        <v>126</v>
      </c>
      <c r="B389" s="2">
        <v>45172</v>
      </c>
      <c r="C389" t="s">
        <v>3</v>
      </c>
      <c r="D389" t="s">
        <v>3</v>
      </c>
      <c r="E389" t="s">
        <v>34</v>
      </c>
      <c r="F389">
        <v>87</v>
      </c>
      <c r="G389" t="s">
        <v>56</v>
      </c>
      <c r="H389" s="9">
        <f t="shared" si="20"/>
        <v>10</v>
      </c>
      <c r="I389" cm="1">
        <f t="array" ref="I389">IFERROR(INDEX(CourseYardages[[Hole 1]:[Hole 18]],
  MATCH(1, (CourseYardages[Course]=C389)*(CourseYardages[Tees]=E389), 0),
  MATCH(G389, CourseYardages[[#Headers],[Hole 1]:[Hole 18]], 0)
),"")</f>
        <v>343</v>
      </c>
      <c r="J389" cm="1">
        <f t="array" ref="J389">IFERROR(INDEX(CourseHandicap[[Hole 1]:[Hole 18]],
  MATCH(1, (CourseHandicap[Course]=C389)*(CourseHandicap[Tees]=E389), 0),
  MATCH(G389, CourseHandicap[[#Headers],[Hole 1]:[Hole 18]], 0)
),"")</f>
        <v>12</v>
      </c>
      <c r="K389" cm="1">
        <f t="array" ref="K389">IFERROR(INDEX(CourseRatings[[Hole 1]:[Hole 18]],
  MATCH(1, (CourseRatings[Course]=C389)*(CourseRatings[Tees]=E389), 0),
  MATCH(G389, CourseRatings[[#Headers],[Hole 1]:[Hole 18]], 0)
),"")</f>
        <v>4</v>
      </c>
      <c r="L389" cm="1">
        <f t="array" ref="L389">IFERROR(
  INDEX('Golf Log'!$E$2:$V$72,
    MATCH(1,
      ('Golf Log'!$A$2:$A$72=$A389)*
      ('Golf Log'!$B$2:$B$72=$B389)*
      ('Golf Log'!$C$2:$C$72=$C389),
    0),
    MATCH($G389,'Golf Log'!$E$1:$V$1,0)
  ),
"")</f>
        <v>4</v>
      </c>
      <c r="M389">
        <f t="shared" si="19"/>
        <v>0</v>
      </c>
      <c r="N389" t="str">
        <f t="shared" si="18"/>
        <v>Par</v>
      </c>
      <c r="O389" cm="1">
        <f t="array" ref="O389">IFERROR(
  INDEX('Putt Log'!$E$2:$V$72,
    MATCH(1,
      ('Putt Log'!$A$2:$A$72=$A389)*
      ('Putt Log'!$B$2:$B$72=$B389)*
      ('Putt Log'!$C$2:$C$72=$C389),
    0),
    MATCH($G389,'Putt Log'!$E$1:$V$1,0)
  ),
"")</f>
        <v>2</v>
      </c>
      <c r="P389" t="str" cm="1">
        <f t="array" ref="P389">IF(K389=3,"",
  IFERROR(
    INDEX('Fairway Log'!$E$2:$V$72,
      MATCH(1,
        ('Fairway Log'!$A$2:$A$72=$A389)*
        ('Fairway Log'!$B$2:$B$72=$B389)*
        ('Fairway Log'!$C$2:$C460=$C389),
      0),
      MATCH($G389,'Fairway Log'!$E$1:$V$1,0)
    ),
  "")
)</f>
        <v>↑</v>
      </c>
      <c r="Q389" cm="1">
        <f t="array" ref="Q389">IFERROR(
  INDEX('GIR Log'!$E$2:$V$72,
    MATCH(1,
      ('GIR Log'!$A$2:$A$72=$A389)*
      ('GIR Log'!$B$2:$B$72=$B389)*
      ('GIR Log'!$C$2:$C$72=$C389),
    0),
    MATCH($G389,'GIR Log'!$E$1:$V$1,0)
  ),
"")</f>
        <v>1</v>
      </c>
    </row>
    <row r="390" spans="1:17" x14ac:dyDescent="0.25">
      <c r="A390" s="20" t="s">
        <v>126</v>
      </c>
      <c r="B390" s="2">
        <v>45172</v>
      </c>
      <c r="C390" t="s">
        <v>3</v>
      </c>
      <c r="D390" t="s">
        <v>3</v>
      </c>
      <c r="E390" t="s">
        <v>34</v>
      </c>
      <c r="F390">
        <v>87</v>
      </c>
      <c r="G390" t="s">
        <v>57</v>
      </c>
      <c r="H390" s="9">
        <f t="shared" si="20"/>
        <v>11</v>
      </c>
      <c r="I390" cm="1">
        <f t="array" ref="I390">IFERROR(INDEX(CourseYardages[[Hole 1]:[Hole 18]],
  MATCH(1, (CourseYardages[Course]=C390)*(CourseYardages[Tees]=E390), 0),
  MATCH(G390, CourseYardages[[#Headers],[Hole 1]:[Hole 18]], 0)
),"")</f>
        <v>171</v>
      </c>
      <c r="J390" cm="1">
        <f t="array" ref="J390">IFERROR(INDEX(CourseHandicap[[Hole 1]:[Hole 18]],
  MATCH(1, (CourseHandicap[Course]=C390)*(CourseHandicap[Tees]=E390), 0),
  MATCH(G390, CourseHandicap[[#Headers],[Hole 1]:[Hole 18]], 0)
),"")</f>
        <v>16</v>
      </c>
      <c r="K390" cm="1">
        <f t="array" ref="K390">IFERROR(INDEX(CourseRatings[[Hole 1]:[Hole 18]],
  MATCH(1, (CourseRatings[Course]=C390)*(CourseRatings[Tees]=E390), 0),
  MATCH(G390, CourseRatings[[#Headers],[Hole 1]:[Hole 18]], 0)
),"")</f>
        <v>3</v>
      </c>
      <c r="L390" cm="1">
        <f t="array" ref="L390">IFERROR(
  INDEX('Golf Log'!$E$2:$V$72,
    MATCH(1,
      ('Golf Log'!$A$2:$A$72=$A390)*
      ('Golf Log'!$B$2:$B$72=$B390)*
      ('Golf Log'!$C$2:$C$72=$C390),
    0),
    MATCH($G390,'Golf Log'!$E$1:$V$1,0)
  ),
"")</f>
        <v>2</v>
      </c>
      <c r="M390">
        <f t="shared" si="19"/>
        <v>-1</v>
      </c>
      <c r="N390" t="str">
        <f t="shared" si="18"/>
        <v>Birdie</v>
      </c>
      <c r="O390" cm="1">
        <f t="array" ref="O390">IFERROR(
  INDEX('Putt Log'!$E$2:$V$72,
    MATCH(1,
      ('Putt Log'!$A$2:$A$72=$A390)*
      ('Putt Log'!$B$2:$B$72=$B390)*
      ('Putt Log'!$C$2:$C$72=$C390),
    0),
    MATCH($G390,'Putt Log'!$E$1:$V$1,0)
  ),
"")</f>
        <v>1</v>
      </c>
      <c r="P390" t="str" cm="1">
        <f t="array" ref="P390">IF(K390=3,"",
  IFERROR(
    INDEX('Fairway Log'!$E$2:$V$72,
      MATCH(1,
        ('Fairway Log'!$A$2:$A$72=$A390)*
        ('Fairway Log'!$B$2:$B$72=$B390)*
        ('Fairway Log'!$C$2:$C461=$C390),
      0),
      MATCH($G390,'Fairway Log'!$E$1:$V$1,0)
    ),
  "")
)</f>
        <v/>
      </c>
      <c r="Q390" cm="1">
        <f t="array" ref="Q390">IFERROR(
  INDEX('GIR Log'!$E$2:$V$72,
    MATCH(1,
      ('GIR Log'!$A$2:$A$72=$A390)*
      ('GIR Log'!$B$2:$B$72=$B390)*
      ('GIR Log'!$C$2:$C$72=$C390),
    0),
    MATCH($G390,'GIR Log'!$E$1:$V$1,0)
  ),
"")</f>
        <v>1</v>
      </c>
    </row>
    <row r="391" spans="1:17" x14ac:dyDescent="0.25">
      <c r="A391" s="20" t="s">
        <v>126</v>
      </c>
      <c r="B391" s="2">
        <v>45172</v>
      </c>
      <c r="C391" t="s">
        <v>3</v>
      </c>
      <c r="D391" t="s">
        <v>3</v>
      </c>
      <c r="E391" t="s">
        <v>34</v>
      </c>
      <c r="F391">
        <v>87</v>
      </c>
      <c r="G391" t="s">
        <v>58</v>
      </c>
      <c r="H391" s="9">
        <f t="shared" si="20"/>
        <v>12</v>
      </c>
      <c r="I391" cm="1">
        <f t="array" ref="I391">IFERROR(INDEX(CourseYardages[[Hole 1]:[Hole 18]],
  MATCH(1, (CourseYardages[Course]=C391)*(CourseYardages[Tees]=E391), 0),
  MATCH(G391, CourseYardages[[#Headers],[Hole 1]:[Hole 18]], 0)
),"")</f>
        <v>291</v>
      </c>
      <c r="J391" cm="1">
        <f t="array" ref="J391">IFERROR(INDEX(CourseHandicap[[Hole 1]:[Hole 18]],
  MATCH(1, (CourseHandicap[Course]=C391)*(CourseHandicap[Tees]=E391), 0),
  MATCH(G391, CourseHandicap[[#Headers],[Hole 1]:[Hole 18]], 0)
),"")</f>
        <v>18</v>
      </c>
      <c r="K391" cm="1">
        <f t="array" ref="K391">IFERROR(INDEX(CourseRatings[[Hole 1]:[Hole 18]],
  MATCH(1, (CourseRatings[Course]=C391)*(CourseRatings[Tees]=E391), 0),
  MATCH(G391, CourseRatings[[#Headers],[Hole 1]:[Hole 18]], 0)
),"")</f>
        <v>4</v>
      </c>
      <c r="L391" cm="1">
        <f t="array" ref="L391">IFERROR(
  INDEX('Golf Log'!$E$2:$V$72,
    MATCH(1,
      ('Golf Log'!$A$2:$A$72=$A391)*
      ('Golf Log'!$B$2:$B$72=$B391)*
      ('Golf Log'!$C$2:$C$72=$C391),
    0),
    MATCH($G391,'Golf Log'!$E$1:$V$1,0)
  ),
"")</f>
        <v>4</v>
      </c>
      <c r="M391">
        <f t="shared" si="19"/>
        <v>0</v>
      </c>
      <c r="N391" t="str">
        <f t="shared" si="18"/>
        <v>Par</v>
      </c>
      <c r="O391" cm="1">
        <f t="array" ref="O391">IFERROR(
  INDEX('Putt Log'!$E$2:$V$72,
    MATCH(1,
      ('Putt Log'!$A$2:$A$72=$A391)*
      ('Putt Log'!$B$2:$B$72=$B391)*
      ('Putt Log'!$C$2:$C$72=$C391),
    0),
    MATCH($G391,'Putt Log'!$E$1:$V$1,0)
  ),
"")</f>
        <v>2</v>
      </c>
      <c r="P391" cm="1">
        <f t="array" ref="P391">IF(K391=3,"",
  IFERROR(
    INDEX('Fairway Log'!$E$2:$V$72,
      MATCH(1,
        ('Fairway Log'!$A$2:$A$72=$A391)*
        ('Fairway Log'!$B$2:$B$72=$B391)*
        ('Fairway Log'!$C$2:$C462=$C391),
      0),
      MATCH($G391,'Fairway Log'!$E$1:$V$1,0)
    ),
  "")
)</f>
        <v>1</v>
      </c>
      <c r="Q391" cm="1">
        <f t="array" ref="Q391">IFERROR(
  INDEX('GIR Log'!$E$2:$V$72,
    MATCH(1,
      ('GIR Log'!$A$2:$A$72=$A391)*
      ('GIR Log'!$B$2:$B$72=$B391)*
      ('GIR Log'!$C$2:$C$72=$C391),
    0),
    MATCH($G391,'GIR Log'!$E$1:$V$1,0)
  ),
"")</f>
        <v>1</v>
      </c>
    </row>
    <row r="392" spans="1:17" x14ac:dyDescent="0.25">
      <c r="A392" s="20" t="s">
        <v>126</v>
      </c>
      <c r="B392" s="2">
        <v>45172</v>
      </c>
      <c r="C392" t="s">
        <v>3</v>
      </c>
      <c r="D392" t="s">
        <v>3</v>
      </c>
      <c r="E392" t="s">
        <v>34</v>
      </c>
      <c r="F392">
        <v>87</v>
      </c>
      <c r="G392" t="s">
        <v>59</v>
      </c>
      <c r="H392" s="9">
        <f t="shared" si="20"/>
        <v>13</v>
      </c>
      <c r="I392" cm="1">
        <f t="array" ref="I392">IFERROR(INDEX(CourseYardages[[Hole 1]:[Hole 18]],
  MATCH(1, (CourseYardages[Course]=C392)*(CourseYardages[Tees]=E392), 0),
  MATCH(G392, CourseYardages[[#Headers],[Hole 1]:[Hole 18]], 0)
),"")</f>
        <v>572</v>
      </c>
      <c r="J392" cm="1">
        <f t="array" ref="J392">IFERROR(INDEX(CourseHandicap[[Hole 1]:[Hole 18]],
  MATCH(1, (CourseHandicap[Course]=C392)*(CourseHandicap[Tees]=E392), 0),
  MATCH(G392, CourseHandicap[[#Headers],[Hole 1]:[Hole 18]], 0)
),"")</f>
        <v>2</v>
      </c>
      <c r="K392" cm="1">
        <f t="array" ref="K392">IFERROR(INDEX(CourseRatings[[Hole 1]:[Hole 18]],
  MATCH(1, (CourseRatings[Course]=C392)*(CourseRatings[Tees]=E392), 0),
  MATCH(G392, CourseRatings[[#Headers],[Hole 1]:[Hole 18]], 0)
),"")</f>
        <v>5</v>
      </c>
      <c r="L392" cm="1">
        <f t="array" ref="L392">IFERROR(
  INDEX('Golf Log'!$E$2:$V$72,
    MATCH(1,
      ('Golf Log'!$A$2:$A$72=$A392)*
      ('Golf Log'!$B$2:$B$72=$B392)*
      ('Golf Log'!$C$2:$C$72=$C392),
    0),
    MATCH($G392,'Golf Log'!$E$1:$V$1,0)
  ),
"")</f>
        <v>6</v>
      </c>
      <c r="M392">
        <f t="shared" si="19"/>
        <v>1</v>
      </c>
      <c r="N392" t="str">
        <f t="shared" si="18"/>
        <v>Bogey</v>
      </c>
      <c r="O392" cm="1">
        <f t="array" ref="O392">IFERROR(
  INDEX('Putt Log'!$E$2:$V$72,
    MATCH(1,
      ('Putt Log'!$A$2:$A$72=$A392)*
      ('Putt Log'!$B$2:$B$72=$B392)*
      ('Putt Log'!$C$2:$C$72=$C392),
    0),
    MATCH($G392,'Putt Log'!$E$1:$V$1,0)
  ),
"")</f>
        <v>3</v>
      </c>
      <c r="P392" cm="1">
        <f t="array" ref="P392">IF(K392=3,"",
  IFERROR(
    INDEX('Fairway Log'!$E$2:$V$72,
      MATCH(1,
        ('Fairway Log'!$A$2:$A$72=$A392)*
        ('Fairway Log'!$B$2:$B$72=$B392)*
        ('Fairway Log'!$C$2:$C463=$C392),
      0),
      MATCH($G392,'Fairway Log'!$E$1:$V$1,0)
    ),
  "")
)</f>
        <v>1</v>
      </c>
      <c r="Q392" cm="1">
        <f t="array" ref="Q392">IFERROR(
  INDEX('GIR Log'!$E$2:$V$72,
    MATCH(1,
      ('GIR Log'!$A$2:$A$72=$A392)*
      ('GIR Log'!$B$2:$B$72=$B392)*
      ('GIR Log'!$C$2:$C$72=$C392),
    0),
    MATCH($G392,'GIR Log'!$E$1:$V$1,0)
  ),
"")</f>
        <v>1</v>
      </c>
    </row>
    <row r="393" spans="1:17" x14ac:dyDescent="0.25">
      <c r="A393" s="20" t="s">
        <v>126</v>
      </c>
      <c r="B393" s="2">
        <v>45172</v>
      </c>
      <c r="C393" t="s">
        <v>3</v>
      </c>
      <c r="D393" t="s">
        <v>3</v>
      </c>
      <c r="E393" t="s">
        <v>34</v>
      </c>
      <c r="F393">
        <v>87</v>
      </c>
      <c r="G393" t="s">
        <v>60</v>
      </c>
      <c r="H393" s="9">
        <f t="shared" si="20"/>
        <v>14</v>
      </c>
      <c r="I393" cm="1">
        <f t="array" ref="I393">IFERROR(INDEX(CourseYardages[[Hole 1]:[Hole 18]],
  MATCH(1, (CourseYardages[Course]=C393)*(CourseYardages[Tees]=E393), 0),
  MATCH(G393, CourseYardages[[#Headers],[Hole 1]:[Hole 18]], 0)
),"")</f>
        <v>366</v>
      </c>
      <c r="J393" cm="1">
        <f t="array" ref="J393">IFERROR(INDEX(CourseHandicap[[Hole 1]:[Hole 18]],
  MATCH(1, (CourseHandicap[Course]=C393)*(CourseHandicap[Tees]=E393), 0),
  MATCH(G393, CourseHandicap[[#Headers],[Hole 1]:[Hole 18]], 0)
),"")</f>
        <v>14</v>
      </c>
      <c r="K393" cm="1">
        <f t="array" ref="K393">IFERROR(INDEX(CourseRatings[[Hole 1]:[Hole 18]],
  MATCH(1, (CourseRatings[Course]=C393)*(CourseRatings[Tees]=E393), 0),
  MATCH(G393, CourseRatings[[#Headers],[Hole 1]:[Hole 18]], 0)
),"")</f>
        <v>4</v>
      </c>
      <c r="L393" cm="1">
        <f t="array" ref="L393">IFERROR(
  INDEX('Golf Log'!$E$2:$V$72,
    MATCH(1,
      ('Golf Log'!$A$2:$A$72=$A393)*
      ('Golf Log'!$B$2:$B$72=$B393)*
      ('Golf Log'!$C$2:$C$72=$C393),
    0),
    MATCH($G393,'Golf Log'!$E$1:$V$1,0)
  ),
"")</f>
        <v>5</v>
      </c>
      <c r="M393">
        <f t="shared" si="19"/>
        <v>1</v>
      </c>
      <c r="N393" t="str">
        <f t="shared" si="18"/>
        <v>Bogey</v>
      </c>
      <c r="O393" cm="1">
        <f t="array" ref="O393">IFERROR(
  INDEX('Putt Log'!$E$2:$V$72,
    MATCH(1,
      ('Putt Log'!$A$2:$A$72=$A393)*
      ('Putt Log'!$B$2:$B$72=$B393)*
      ('Putt Log'!$C$2:$C$72=$C393),
    0),
    MATCH($G393,'Putt Log'!$E$1:$V$1,0)
  ),
"")</f>
        <v>3</v>
      </c>
      <c r="P393" t="str" cm="1">
        <f t="array" ref="P393">IF(K393=3,"",
  IFERROR(
    INDEX('Fairway Log'!$E$2:$V$72,
      MATCH(1,
        ('Fairway Log'!$A$2:$A$72=$A393)*
        ('Fairway Log'!$B$2:$B$72=$B393)*
        ('Fairway Log'!$C$2:$C464=$C393),
      0),
      MATCH($G393,'Fairway Log'!$E$1:$V$1,0)
    ),
  "")
)</f>
        <v>↑</v>
      </c>
      <c r="Q393" cm="1">
        <f t="array" ref="Q393">IFERROR(
  INDEX('GIR Log'!$E$2:$V$72,
    MATCH(1,
      ('GIR Log'!$A$2:$A$72=$A393)*
      ('GIR Log'!$B$2:$B$72=$B393)*
      ('GIR Log'!$C$2:$C$72=$C393),
    0),
    MATCH($G393,'GIR Log'!$E$1:$V$1,0)
  ),
"")</f>
        <v>1</v>
      </c>
    </row>
    <row r="394" spans="1:17" x14ac:dyDescent="0.25">
      <c r="A394" s="20" t="s">
        <v>126</v>
      </c>
      <c r="B394" s="2">
        <v>45172</v>
      </c>
      <c r="C394" t="s">
        <v>3</v>
      </c>
      <c r="D394" t="s">
        <v>3</v>
      </c>
      <c r="E394" t="s">
        <v>34</v>
      </c>
      <c r="F394">
        <v>87</v>
      </c>
      <c r="G394" t="s">
        <v>61</v>
      </c>
      <c r="H394" s="9">
        <f t="shared" si="20"/>
        <v>15</v>
      </c>
      <c r="I394" cm="1">
        <f t="array" ref="I394">IFERROR(INDEX(CourseYardages[[Hole 1]:[Hole 18]],
  MATCH(1, (CourseYardages[Course]=C394)*(CourseYardages[Tees]=E394), 0),
  MATCH(G394, CourseYardages[[#Headers],[Hole 1]:[Hole 18]], 0)
),"")</f>
        <v>207</v>
      </c>
      <c r="J394" cm="1">
        <f t="array" ref="J394">IFERROR(INDEX(CourseHandicap[[Hole 1]:[Hole 18]],
  MATCH(1, (CourseHandicap[Course]=C394)*(CourseHandicap[Tees]=E394), 0),
  MATCH(G394, CourseHandicap[[#Headers],[Hole 1]:[Hole 18]], 0)
),"")</f>
        <v>8</v>
      </c>
      <c r="K394" cm="1">
        <f t="array" ref="K394">IFERROR(INDEX(CourseRatings[[Hole 1]:[Hole 18]],
  MATCH(1, (CourseRatings[Course]=C394)*(CourseRatings[Tees]=E394), 0),
  MATCH(G394, CourseRatings[[#Headers],[Hole 1]:[Hole 18]], 0)
),"")</f>
        <v>3</v>
      </c>
      <c r="L394" cm="1">
        <f t="array" ref="L394">IFERROR(
  INDEX('Golf Log'!$E$2:$V$72,
    MATCH(1,
      ('Golf Log'!$A$2:$A$72=$A394)*
      ('Golf Log'!$B$2:$B$72=$B394)*
      ('Golf Log'!$C$2:$C$72=$C394),
    0),
    MATCH($G394,'Golf Log'!$E$1:$V$1,0)
  ),
"")</f>
        <v>4</v>
      </c>
      <c r="M394">
        <f t="shared" si="19"/>
        <v>1</v>
      </c>
      <c r="N394" t="str">
        <f t="shared" si="18"/>
        <v>Bogey</v>
      </c>
      <c r="O394" cm="1">
        <f t="array" ref="O394">IFERROR(
  INDEX('Putt Log'!$E$2:$V$72,
    MATCH(1,
      ('Putt Log'!$A$2:$A$72=$A394)*
      ('Putt Log'!$B$2:$B$72=$B394)*
      ('Putt Log'!$C$2:$C$72=$C394),
    0),
    MATCH($G394,'Putt Log'!$E$1:$V$1,0)
  ),
"")</f>
        <v>2</v>
      </c>
      <c r="P394" t="str" cm="1">
        <f t="array" ref="P394">IF(K394=3,"",
  IFERROR(
    INDEX('Fairway Log'!$E$2:$V$72,
      MATCH(1,
        ('Fairway Log'!$A$2:$A$72=$A394)*
        ('Fairway Log'!$B$2:$B$72=$B394)*
        ('Fairway Log'!$C$2:$C465=$C394),
      0),
      MATCH($G394,'Fairway Log'!$E$1:$V$1,0)
    ),
  "")
)</f>
        <v/>
      </c>
      <c r="Q394" cm="1">
        <f t="array" ref="Q394">IFERROR(
  INDEX('GIR Log'!$E$2:$V$72,
    MATCH(1,
      ('GIR Log'!$A$2:$A$72=$A394)*
      ('GIR Log'!$B$2:$B$72=$B394)*
      ('GIR Log'!$C$2:$C$72=$C394),
    0),
    MATCH($G394,'GIR Log'!$E$1:$V$1,0)
  ),
"")</f>
        <v>0</v>
      </c>
    </row>
    <row r="395" spans="1:17" x14ac:dyDescent="0.25">
      <c r="A395" s="20" t="s">
        <v>126</v>
      </c>
      <c r="B395" s="2">
        <v>45172</v>
      </c>
      <c r="C395" t="s">
        <v>3</v>
      </c>
      <c r="D395" t="s">
        <v>3</v>
      </c>
      <c r="E395" t="s">
        <v>34</v>
      </c>
      <c r="F395">
        <v>87</v>
      </c>
      <c r="G395" t="s">
        <v>62</v>
      </c>
      <c r="H395" s="9">
        <f t="shared" si="20"/>
        <v>16</v>
      </c>
      <c r="I395" cm="1">
        <f t="array" ref="I395">IFERROR(INDEX(CourseYardages[[Hole 1]:[Hole 18]],
  MATCH(1, (CourseYardages[Course]=C395)*(CourseYardages[Tees]=E395), 0),
  MATCH(G395, CourseYardages[[#Headers],[Hole 1]:[Hole 18]], 0)
),"")</f>
        <v>358</v>
      </c>
      <c r="J395" cm="1">
        <f t="array" ref="J395">IFERROR(INDEX(CourseHandicap[[Hole 1]:[Hole 18]],
  MATCH(1, (CourseHandicap[Course]=C395)*(CourseHandicap[Tees]=E395), 0),
  MATCH(G395, CourseHandicap[[#Headers],[Hole 1]:[Hole 18]], 0)
),"")</f>
        <v>10</v>
      </c>
      <c r="K395" cm="1">
        <f t="array" ref="K395">IFERROR(INDEX(CourseRatings[[Hole 1]:[Hole 18]],
  MATCH(1, (CourseRatings[Course]=C395)*(CourseRatings[Tees]=E395), 0),
  MATCH(G395, CourseRatings[[#Headers],[Hole 1]:[Hole 18]], 0)
),"")</f>
        <v>4</v>
      </c>
      <c r="L395" cm="1">
        <f t="array" ref="L395">IFERROR(
  INDEX('Golf Log'!$E$2:$V$72,
    MATCH(1,
      ('Golf Log'!$A$2:$A$72=$A395)*
      ('Golf Log'!$B$2:$B$72=$B395)*
      ('Golf Log'!$C$2:$C$72=$C395),
    0),
    MATCH($G395,'Golf Log'!$E$1:$V$1,0)
  ),
"")</f>
        <v>6</v>
      </c>
      <c r="M395">
        <f t="shared" si="19"/>
        <v>2</v>
      </c>
      <c r="N395" t="str">
        <f t="shared" si="18"/>
        <v>Double Bogey</v>
      </c>
      <c r="O395" cm="1">
        <f t="array" ref="O395">IFERROR(
  INDEX('Putt Log'!$E$2:$V$72,
    MATCH(1,
      ('Putt Log'!$A$2:$A$72=$A395)*
      ('Putt Log'!$B$2:$B$72=$B395)*
      ('Putt Log'!$C$2:$C$72=$C395),
    0),
    MATCH($G395,'Putt Log'!$E$1:$V$1,0)
  ),
"")</f>
        <v>2</v>
      </c>
      <c r="P395" t="str" cm="1">
        <f t="array" ref="P395">IF(K395=3,"",
  IFERROR(
    INDEX('Fairway Log'!$E$2:$V$72,
      MATCH(1,
        ('Fairway Log'!$A$2:$A$72=$A395)*
        ('Fairway Log'!$B$2:$B$72=$B395)*
        ('Fairway Log'!$C$2:$C466=$C395),
      0),
      MATCH($G395,'Fairway Log'!$E$1:$V$1,0)
    ),
  "")
)</f>
        <v>→</v>
      </c>
      <c r="Q395" cm="1">
        <f t="array" ref="Q395">IFERROR(
  INDEX('GIR Log'!$E$2:$V$72,
    MATCH(1,
      ('GIR Log'!$A$2:$A$72=$A395)*
      ('GIR Log'!$B$2:$B$72=$B395)*
      ('GIR Log'!$C$2:$C$72=$C395),
    0),
    MATCH($G395,'GIR Log'!$E$1:$V$1,0)
  ),
"")</f>
        <v>0</v>
      </c>
    </row>
    <row r="396" spans="1:17" x14ac:dyDescent="0.25">
      <c r="A396" s="20" t="s">
        <v>126</v>
      </c>
      <c r="B396" s="2">
        <v>45172</v>
      </c>
      <c r="C396" t="s">
        <v>3</v>
      </c>
      <c r="D396" t="s">
        <v>3</v>
      </c>
      <c r="E396" t="s">
        <v>34</v>
      </c>
      <c r="F396">
        <v>87</v>
      </c>
      <c r="G396" t="s">
        <v>63</v>
      </c>
      <c r="H396" s="9">
        <f t="shared" si="20"/>
        <v>17</v>
      </c>
      <c r="I396" cm="1">
        <f t="array" ref="I396">IFERROR(INDEX(CourseYardages[[Hole 1]:[Hole 18]],
  MATCH(1, (CourseYardages[Course]=C396)*(CourseYardages[Tees]=E396), 0),
  MATCH(G396, CourseYardages[[#Headers],[Hole 1]:[Hole 18]], 0)
),"")</f>
        <v>418</v>
      </c>
      <c r="J396" cm="1">
        <f t="array" ref="J396">IFERROR(INDEX(CourseHandicap[[Hole 1]:[Hole 18]],
  MATCH(1, (CourseHandicap[Course]=C396)*(CourseHandicap[Tees]=E396), 0),
  MATCH(G396, CourseHandicap[[#Headers],[Hole 1]:[Hole 18]], 0)
),"")</f>
        <v>4</v>
      </c>
      <c r="K396" cm="1">
        <f t="array" ref="K396">IFERROR(INDEX(CourseRatings[[Hole 1]:[Hole 18]],
  MATCH(1, (CourseRatings[Course]=C396)*(CourseRatings[Tees]=E396), 0),
  MATCH(G396, CourseRatings[[#Headers],[Hole 1]:[Hole 18]], 0)
),"")</f>
        <v>4</v>
      </c>
      <c r="L396" cm="1">
        <f t="array" ref="L396">IFERROR(
  INDEX('Golf Log'!$E$2:$V$72,
    MATCH(1,
      ('Golf Log'!$A$2:$A$72=$A396)*
      ('Golf Log'!$B$2:$B$72=$B396)*
      ('Golf Log'!$C$2:$C$72=$C396),
    0),
    MATCH($G396,'Golf Log'!$E$1:$V$1,0)
  ),
"")</f>
        <v>5</v>
      </c>
      <c r="M396">
        <f t="shared" si="19"/>
        <v>1</v>
      </c>
      <c r="N396" t="str">
        <f t="shared" si="18"/>
        <v>Bogey</v>
      </c>
      <c r="O396" cm="1">
        <f t="array" ref="O396">IFERROR(
  INDEX('Putt Log'!$E$2:$V$72,
    MATCH(1,
      ('Putt Log'!$A$2:$A$72=$A396)*
      ('Putt Log'!$B$2:$B$72=$B396)*
      ('Putt Log'!$C$2:$C$72=$C396),
    0),
    MATCH($G396,'Putt Log'!$E$1:$V$1,0)
  ),
"")</f>
        <v>1</v>
      </c>
      <c r="P396" t="str" cm="1">
        <f t="array" ref="P396">IF(K396=3,"",
  IFERROR(
    INDEX('Fairway Log'!$E$2:$V$72,
      MATCH(1,
        ('Fairway Log'!$A$2:$A$72=$A396)*
        ('Fairway Log'!$B$2:$B$72=$B396)*
        ('Fairway Log'!$C$2:$C467=$C396),
      0),
      MATCH($G396,'Fairway Log'!$E$1:$V$1,0)
    ),
  "")
)</f>
        <v>→</v>
      </c>
      <c r="Q396" cm="1">
        <f t="array" ref="Q396">IFERROR(
  INDEX('GIR Log'!$E$2:$V$72,
    MATCH(1,
      ('GIR Log'!$A$2:$A$72=$A396)*
      ('GIR Log'!$B$2:$B$72=$B396)*
      ('GIR Log'!$C$2:$C$72=$C396),
    0),
    MATCH($G396,'GIR Log'!$E$1:$V$1,0)
  ),
"")</f>
        <v>0</v>
      </c>
    </row>
    <row r="397" spans="1:17" x14ac:dyDescent="0.25">
      <c r="A397" s="20" t="s">
        <v>126</v>
      </c>
      <c r="B397" s="2">
        <v>45172</v>
      </c>
      <c r="C397" t="s">
        <v>3</v>
      </c>
      <c r="D397" t="s">
        <v>3</v>
      </c>
      <c r="E397" t="s">
        <v>34</v>
      </c>
      <c r="F397">
        <v>87</v>
      </c>
      <c r="G397" t="s">
        <v>64</v>
      </c>
      <c r="H397" s="9">
        <f t="shared" si="20"/>
        <v>18</v>
      </c>
      <c r="I397" cm="1">
        <f t="array" ref="I397">IFERROR(INDEX(CourseYardages[[Hole 1]:[Hole 18]],
  MATCH(1, (CourseYardages[Course]=C397)*(CourseYardages[Tees]=E397), 0),
  MATCH(G397, CourseYardages[[#Headers],[Hole 1]:[Hole 18]], 0)
),"")</f>
        <v>398</v>
      </c>
      <c r="J397" cm="1">
        <f t="array" ref="J397">IFERROR(INDEX(CourseHandicap[[Hole 1]:[Hole 18]],
  MATCH(1, (CourseHandicap[Course]=C397)*(CourseHandicap[Tees]=E397), 0),
  MATCH(G397, CourseHandicap[[#Headers],[Hole 1]:[Hole 18]], 0)
),"")</f>
        <v>6</v>
      </c>
      <c r="K397" cm="1">
        <f t="array" ref="K397">IFERROR(INDEX(CourseRatings[[Hole 1]:[Hole 18]],
  MATCH(1, (CourseRatings[Course]=C397)*(CourseRatings[Tees]=E397), 0),
  MATCH(G397, CourseRatings[[#Headers],[Hole 1]:[Hole 18]], 0)
),"")</f>
        <v>4</v>
      </c>
      <c r="L397" cm="1">
        <f t="array" ref="L397">IFERROR(
  INDEX('Golf Log'!$E$2:$V$72,
    MATCH(1,
      ('Golf Log'!$A$2:$A$72=$A397)*
      ('Golf Log'!$B$2:$B$72=$B397)*
      ('Golf Log'!$C$2:$C$72=$C397),
    0),
    MATCH($G397,'Golf Log'!$E$1:$V$1,0)
  ),
"")</f>
        <v>5</v>
      </c>
      <c r="M397">
        <f t="shared" si="19"/>
        <v>1</v>
      </c>
      <c r="N397" t="str">
        <f t="shared" si="18"/>
        <v>Bogey</v>
      </c>
      <c r="O397" cm="1">
        <f t="array" ref="O397">IFERROR(
  INDEX('Putt Log'!$E$2:$V$72,
    MATCH(1,
      ('Putt Log'!$A$2:$A$72=$A397)*
      ('Putt Log'!$B$2:$B$72=$B397)*
      ('Putt Log'!$C$2:$C$72=$C397),
    0),
    MATCH($G397,'Putt Log'!$E$1:$V$1,0)
  ),
"")</f>
        <v>2</v>
      </c>
      <c r="P397" cm="1">
        <f t="array" ref="P397">IF(K397=3,"",
  IFERROR(
    INDEX('Fairway Log'!$E$2:$V$72,
      MATCH(1,
        ('Fairway Log'!$A$2:$A$72=$A397)*
        ('Fairway Log'!$B$2:$B$72=$B397)*
        ('Fairway Log'!$C$2:$C468=$C397),
      0),
      MATCH($G397,'Fairway Log'!$E$1:$V$1,0)
    ),
  "")
)</f>
        <v>1</v>
      </c>
      <c r="Q397" cm="1">
        <f t="array" ref="Q397">IFERROR(
  INDEX('GIR Log'!$E$2:$V$72,
    MATCH(1,
      ('GIR Log'!$A$2:$A$72=$A397)*
      ('GIR Log'!$B$2:$B$72=$B397)*
      ('GIR Log'!$C$2:$C$72=$C397),
    0),
    MATCH($G397,'GIR Log'!$E$1:$V$1,0)
  ),
"")</f>
        <v>0</v>
      </c>
    </row>
    <row r="398" spans="1:17" x14ac:dyDescent="0.25">
      <c r="A398" s="20" t="s">
        <v>126</v>
      </c>
      <c r="B398" s="2">
        <v>45156</v>
      </c>
      <c r="C398" t="s">
        <v>46</v>
      </c>
      <c r="D398" t="s">
        <v>78</v>
      </c>
      <c r="E398" t="s">
        <v>36</v>
      </c>
      <c r="F398">
        <v>91</v>
      </c>
      <c r="G398" t="s">
        <v>47</v>
      </c>
      <c r="H398" s="9">
        <f t="shared" si="20"/>
        <v>1</v>
      </c>
      <c r="I398" cm="1">
        <f t="array" ref="I398">IFERROR(INDEX(CourseYardages[[Hole 1]:[Hole 18]],
  MATCH(1, (CourseYardages[Course]=C398)*(CourseYardages[Tees]=E398), 0),
  MATCH(G398, CourseYardages[[#Headers],[Hole 1]:[Hole 18]], 0)
),"")</f>
        <v>487</v>
      </c>
      <c r="J398" cm="1">
        <f t="array" ref="J398">IFERROR(INDEX(CourseHandicap[[Hole 1]:[Hole 18]],
  MATCH(1, (CourseHandicap[Course]=C398)*(CourseHandicap[Tees]=E398), 0),
  MATCH(G398, CourseHandicap[[#Headers],[Hole 1]:[Hole 18]], 0)
),"")</f>
        <v>3</v>
      </c>
      <c r="K398" cm="1">
        <f t="array" ref="K398">IFERROR(INDEX(CourseRatings[[Hole 1]:[Hole 18]],
  MATCH(1, (CourseRatings[Course]=C398)*(CourseRatings[Tees]=E398), 0),
  MATCH(G398, CourseRatings[[#Headers],[Hole 1]:[Hole 18]], 0)
),"")</f>
        <v>5</v>
      </c>
      <c r="L398" cm="1">
        <f t="array" ref="L398">IFERROR(
  INDEX('Golf Log'!$E$2:$V$72,
    MATCH(1,
      ('Golf Log'!$A$2:$A$72=$A398)*
      ('Golf Log'!$B$2:$B$72=$B398)*
      ('Golf Log'!$C$2:$C$72=$C398),
    0),
    MATCH($G398,'Golf Log'!$E$1:$V$1,0)
  ),
"")</f>
        <v>6</v>
      </c>
      <c r="M398">
        <f t="shared" si="19"/>
        <v>1</v>
      </c>
      <c r="N398" t="str">
        <f t="shared" si="18"/>
        <v>Bogey</v>
      </c>
      <c r="O398" cm="1">
        <f t="array" ref="O398">IFERROR(
  INDEX('Putt Log'!$E$2:$V$72,
    MATCH(1,
      ('Putt Log'!$A$2:$A$72=$A398)*
      ('Putt Log'!$B$2:$B$72=$B398)*
      ('Putt Log'!$C$2:$C$72=$C398),
    0),
    MATCH($G398,'Putt Log'!$E$1:$V$1,0)
  ),
"")</f>
        <v>2</v>
      </c>
      <c r="P398" t="str" cm="1">
        <f t="array" ref="P398">IF(K398=3,"",
  IFERROR(
    INDEX('Fairway Log'!$E$2:$V$72,
      MATCH(1,
        ('Fairway Log'!$A$2:$A$72=$A398)*
        ('Fairway Log'!$B$2:$B$72=$B398)*
        ('Fairway Log'!$C$2:$C469=$C398),
      0),
      MATCH($G398,'Fairway Log'!$E$1:$V$1,0)
    ),
  "")
)</f>
        <v>→</v>
      </c>
      <c r="Q398" cm="1">
        <f t="array" ref="Q398">IFERROR(
  INDEX('GIR Log'!$E$2:$V$72,
    MATCH(1,
      ('GIR Log'!$A$2:$A$72=$A398)*
      ('GIR Log'!$B$2:$B$72=$B398)*
      ('GIR Log'!$C$2:$C$72=$C398),
    0),
    MATCH($G398,'GIR Log'!$E$1:$V$1,0)
  ),
"")</f>
        <v>0</v>
      </c>
    </row>
    <row r="399" spans="1:17" x14ac:dyDescent="0.25">
      <c r="A399" s="20" t="s">
        <v>126</v>
      </c>
      <c r="B399" s="2">
        <v>45156</v>
      </c>
      <c r="C399" t="s">
        <v>46</v>
      </c>
      <c r="D399" t="s">
        <v>78</v>
      </c>
      <c r="E399" t="s">
        <v>36</v>
      </c>
      <c r="F399">
        <v>91</v>
      </c>
      <c r="G399" t="s">
        <v>48</v>
      </c>
      <c r="H399" s="9">
        <f t="shared" si="20"/>
        <v>2</v>
      </c>
      <c r="I399" cm="1">
        <f t="array" ref="I399">IFERROR(INDEX(CourseYardages[[Hole 1]:[Hole 18]],
  MATCH(1, (CourseYardages[Course]=C399)*(CourseYardages[Tees]=E399), 0),
  MATCH(G399, CourseYardages[[#Headers],[Hole 1]:[Hole 18]], 0)
),"")</f>
        <v>470</v>
      </c>
      <c r="J399" cm="1">
        <f t="array" ref="J399">IFERROR(INDEX(CourseHandicap[[Hole 1]:[Hole 18]],
  MATCH(1, (CourseHandicap[Course]=C399)*(CourseHandicap[Tees]=E399), 0),
  MATCH(G399, CourseHandicap[[#Headers],[Hole 1]:[Hole 18]], 0)
),"")</f>
        <v>2</v>
      </c>
      <c r="K399" cm="1">
        <f t="array" ref="K399">IFERROR(INDEX(CourseRatings[[Hole 1]:[Hole 18]],
  MATCH(1, (CourseRatings[Course]=C399)*(CourseRatings[Tees]=E399), 0),
  MATCH(G399, CourseRatings[[#Headers],[Hole 1]:[Hole 18]], 0)
),"")</f>
        <v>4</v>
      </c>
      <c r="L399" cm="1">
        <f t="array" ref="L399">IFERROR(
  INDEX('Golf Log'!$E$2:$V$72,
    MATCH(1,
      ('Golf Log'!$A$2:$A$72=$A399)*
      ('Golf Log'!$B$2:$B$72=$B399)*
      ('Golf Log'!$C$2:$C$72=$C399),
    0),
    MATCH($G399,'Golf Log'!$E$1:$V$1,0)
  ),
"")</f>
        <v>7</v>
      </c>
      <c r="M399">
        <f t="shared" si="19"/>
        <v>3</v>
      </c>
      <c r="N399" t="str">
        <f t="shared" si="18"/>
        <v>Triple Bogey</v>
      </c>
      <c r="O399" cm="1">
        <f t="array" ref="O399">IFERROR(
  INDEX('Putt Log'!$E$2:$V$72,
    MATCH(1,
      ('Putt Log'!$A$2:$A$72=$A399)*
      ('Putt Log'!$B$2:$B$72=$B399)*
      ('Putt Log'!$C$2:$C$72=$C399),
    0),
    MATCH($G399,'Putt Log'!$E$1:$V$1,0)
  ),
"")</f>
        <v>2</v>
      </c>
      <c r="P399" cm="1">
        <f t="array" ref="P399">IF(K399=3,"",
  IFERROR(
    INDEX('Fairway Log'!$E$2:$V$72,
      MATCH(1,
        ('Fairway Log'!$A$2:$A$72=$A399)*
        ('Fairway Log'!$B$2:$B$72=$B399)*
        ('Fairway Log'!$C$2:$C470=$C399),
      0),
      MATCH($G399,'Fairway Log'!$E$1:$V$1,0)
    ),
  "")
)</f>
        <v>1</v>
      </c>
      <c r="Q399" cm="1">
        <f t="array" ref="Q399">IFERROR(
  INDEX('GIR Log'!$E$2:$V$72,
    MATCH(1,
      ('GIR Log'!$A$2:$A$72=$A399)*
      ('GIR Log'!$B$2:$B$72=$B399)*
      ('GIR Log'!$C$2:$C$72=$C399),
    0),
    MATCH($G399,'GIR Log'!$E$1:$V$1,0)
  ),
"")</f>
        <v>0</v>
      </c>
    </row>
    <row r="400" spans="1:17" x14ac:dyDescent="0.25">
      <c r="A400" s="20" t="s">
        <v>126</v>
      </c>
      <c r="B400" s="2">
        <v>45156</v>
      </c>
      <c r="C400" t="s">
        <v>46</v>
      </c>
      <c r="D400" t="s">
        <v>78</v>
      </c>
      <c r="E400" t="s">
        <v>36</v>
      </c>
      <c r="F400">
        <v>91</v>
      </c>
      <c r="G400" t="s">
        <v>49</v>
      </c>
      <c r="H400" s="9">
        <f t="shared" si="20"/>
        <v>3</v>
      </c>
      <c r="I400" cm="1">
        <f t="array" ref="I400">IFERROR(INDEX(CourseYardages[[Hole 1]:[Hole 18]],
  MATCH(1, (CourseYardages[Course]=C400)*(CourseYardages[Tees]=E400), 0),
  MATCH(G400, CourseYardages[[#Headers],[Hole 1]:[Hole 18]], 0)
),"")</f>
        <v>366</v>
      </c>
      <c r="J400" cm="1">
        <f t="array" ref="J400">IFERROR(INDEX(CourseHandicap[[Hole 1]:[Hole 18]],
  MATCH(1, (CourseHandicap[Course]=C400)*(CourseHandicap[Tees]=E400), 0),
  MATCH(G400, CourseHandicap[[#Headers],[Hole 1]:[Hole 18]], 0)
),"")</f>
        <v>6</v>
      </c>
      <c r="K400" cm="1">
        <f t="array" ref="K400">IFERROR(INDEX(CourseRatings[[Hole 1]:[Hole 18]],
  MATCH(1, (CourseRatings[Course]=C400)*(CourseRatings[Tees]=E400), 0),
  MATCH(G400, CourseRatings[[#Headers],[Hole 1]:[Hole 18]], 0)
),"")</f>
        <v>4</v>
      </c>
      <c r="L400" cm="1">
        <f t="array" ref="L400">IFERROR(
  INDEX('Golf Log'!$E$2:$V$72,
    MATCH(1,
      ('Golf Log'!$A$2:$A$72=$A400)*
      ('Golf Log'!$B$2:$B$72=$B400)*
      ('Golf Log'!$C$2:$C$72=$C400),
    0),
    MATCH($G400,'Golf Log'!$E$1:$V$1,0)
  ),
"")</f>
        <v>6</v>
      </c>
      <c r="M400">
        <f t="shared" si="19"/>
        <v>2</v>
      </c>
      <c r="N400" t="str">
        <f t="shared" si="18"/>
        <v>Double Bogey</v>
      </c>
      <c r="O400" cm="1">
        <f t="array" ref="O400">IFERROR(
  INDEX('Putt Log'!$E$2:$V$72,
    MATCH(1,
      ('Putt Log'!$A$2:$A$72=$A400)*
      ('Putt Log'!$B$2:$B$72=$B400)*
      ('Putt Log'!$C$2:$C$72=$C400),
    0),
    MATCH($G400,'Putt Log'!$E$1:$V$1,0)
  ),
"")</f>
        <v>2</v>
      </c>
      <c r="P400" t="str" cm="1">
        <f t="array" ref="P400">IF(K400=3,"",
  IFERROR(
    INDEX('Fairway Log'!$E$2:$V$72,
      MATCH(1,
        ('Fairway Log'!$A$2:$A$72=$A400)*
        ('Fairway Log'!$B$2:$B$72=$B400)*
        ('Fairway Log'!$C$2:$C471=$C400),
      0),
      MATCH($G400,'Fairway Log'!$E$1:$V$1,0)
    ),
  "")
)</f>
        <v>↑</v>
      </c>
      <c r="Q400" cm="1">
        <f t="array" ref="Q400">IFERROR(
  INDEX('GIR Log'!$E$2:$V$72,
    MATCH(1,
      ('GIR Log'!$A$2:$A$72=$A400)*
      ('GIR Log'!$B$2:$B$72=$B400)*
      ('GIR Log'!$C$2:$C$72=$C400),
    0),
    MATCH($G400,'GIR Log'!$E$1:$V$1,0)
  ),
"")</f>
        <v>0</v>
      </c>
    </row>
    <row r="401" spans="1:17" x14ac:dyDescent="0.25">
      <c r="A401" s="20" t="s">
        <v>126</v>
      </c>
      <c r="B401" s="2">
        <v>45156</v>
      </c>
      <c r="C401" t="s">
        <v>46</v>
      </c>
      <c r="D401" t="s">
        <v>78</v>
      </c>
      <c r="E401" t="s">
        <v>36</v>
      </c>
      <c r="F401">
        <v>91</v>
      </c>
      <c r="G401" t="s">
        <v>50</v>
      </c>
      <c r="H401" s="9">
        <f t="shared" si="20"/>
        <v>4</v>
      </c>
      <c r="I401" cm="1">
        <f t="array" ref="I401">IFERROR(INDEX(CourseYardages[[Hole 1]:[Hole 18]],
  MATCH(1, (CourseYardages[Course]=C401)*(CourseYardages[Tees]=E401), 0),
  MATCH(G401, CourseYardages[[#Headers],[Hole 1]:[Hole 18]], 0)
),"")</f>
        <v>198</v>
      </c>
      <c r="J401" cm="1">
        <f t="array" ref="J401">IFERROR(INDEX(CourseHandicap[[Hole 1]:[Hole 18]],
  MATCH(1, (CourseHandicap[Course]=C401)*(CourseHandicap[Tees]=E401), 0),
  MATCH(G401, CourseHandicap[[#Headers],[Hole 1]:[Hole 18]], 0)
),"")</f>
        <v>8</v>
      </c>
      <c r="K401" cm="1">
        <f t="array" ref="K401">IFERROR(INDEX(CourseRatings[[Hole 1]:[Hole 18]],
  MATCH(1, (CourseRatings[Course]=C401)*(CourseRatings[Tees]=E401), 0),
  MATCH(G401, CourseRatings[[#Headers],[Hole 1]:[Hole 18]], 0)
),"")</f>
        <v>3</v>
      </c>
      <c r="L401" cm="1">
        <f t="array" ref="L401">IFERROR(
  INDEX('Golf Log'!$E$2:$V$72,
    MATCH(1,
      ('Golf Log'!$A$2:$A$72=$A401)*
      ('Golf Log'!$B$2:$B$72=$B401)*
      ('Golf Log'!$C$2:$C$72=$C401),
    0),
    MATCH($G401,'Golf Log'!$E$1:$V$1,0)
  ),
"")</f>
        <v>4</v>
      </c>
      <c r="M401">
        <f t="shared" si="19"/>
        <v>1</v>
      </c>
      <c r="N401" t="str">
        <f t="shared" si="18"/>
        <v>Bogey</v>
      </c>
      <c r="O401" cm="1">
        <f t="array" ref="O401">IFERROR(
  INDEX('Putt Log'!$E$2:$V$72,
    MATCH(1,
      ('Putt Log'!$A$2:$A$72=$A401)*
      ('Putt Log'!$B$2:$B$72=$B401)*
      ('Putt Log'!$C$2:$C$72=$C401),
    0),
    MATCH($G401,'Putt Log'!$E$1:$V$1,0)
  ),
"")</f>
        <v>2</v>
      </c>
      <c r="P401" t="str" cm="1">
        <f t="array" ref="P401">IF(K401=3,"",
  IFERROR(
    INDEX('Fairway Log'!$E$2:$V$72,
      MATCH(1,
        ('Fairway Log'!$A$2:$A$72=$A401)*
        ('Fairway Log'!$B$2:$B$72=$B401)*
        ('Fairway Log'!$C$2:$C472=$C401),
      0),
      MATCH($G401,'Fairway Log'!$E$1:$V$1,0)
    ),
  "")
)</f>
        <v/>
      </c>
      <c r="Q401" cm="1">
        <f t="array" ref="Q401">IFERROR(
  INDEX('GIR Log'!$E$2:$V$72,
    MATCH(1,
      ('GIR Log'!$A$2:$A$72=$A401)*
      ('GIR Log'!$B$2:$B$72=$B401)*
      ('GIR Log'!$C$2:$C$72=$C401),
    0),
    MATCH($G401,'GIR Log'!$E$1:$V$1,0)
  ),
"")</f>
        <v>0</v>
      </c>
    </row>
    <row r="402" spans="1:17" x14ac:dyDescent="0.25">
      <c r="A402" s="20" t="s">
        <v>126</v>
      </c>
      <c r="B402" s="2">
        <v>45156</v>
      </c>
      <c r="C402" t="s">
        <v>46</v>
      </c>
      <c r="D402" t="s">
        <v>78</v>
      </c>
      <c r="E402" t="s">
        <v>36</v>
      </c>
      <c r="F402">
        <v>91</v>
      </c>
      <c r="G402" t="s">
        <v>51</v>
      </c>
      <c r="H402" s="9">
        <f t="shared" si="20"/>
        <v>5</v>
      </c>
      <c r="I402" cm="1">
        <f t="array" ref="I402">IFERROR(INDEX(CourseYardages[[Hole 1]:[Hole 18]],
  MATCH(1, (CourseYardages[Course]=C402)*(CourseYardages[Tees]=E402), 0),
  MATCH(G402, CourseYardages[[#Headers],[Hole 1]:[Hole 18]], 0)
),"")</f>
        <v>361</v>
      </c>
      <c r="J402" cm="1">
        <f t="array" ref="J402">IFERROR(INDEX(CourseHandicap[[Hole 1]:[Hole 18]],
  MATCH(1, (CourseHandicap[Course]=C402)*(CourseHandicap[Tees]=E402), 0),
  MATCH(G402, CourseHandicap[[#Headers],[Hole 1]:[Hole 18]], 0)
),"")</f>
        <v>7</v>
      </c>
      <c r="K402" cm="1">
        <f t="array" ref="K402">IFERROR(INDEX(CourseRatings[[Hole 1]:[Hole 18]],
  MATCH(1, (CourseRatings[Course]=C402)*(CourseRatings[Tees]=E402), 0),
  MATCH(G402, CourseRatings[[#Headers],[Hole 1]:[Hole 18]], 0)
),"")</f>
        <v>4</v>
      </c>
      <c r="L402" cm="1">
        <f t="array" ref="L402">IFERROR(
  INDEX('Golf Log'!$E$2:$V$72,
    MATCH(1,
      ('Golf Log'!$A$2:$A$72=$A402)*
      ('Golf Log'!$B$2:$B$72=$B402)*
      ('Golf Log'!$C$2:$C$72=$C402),
    0),
    MATCH($G402,'Golf Log'!$E$1:$V$1,0)
  ),
"")</f>
        <v>5</v>
      </c>
      <c r="M402">
        <f t="shared" si="19"/>
        <v>1</v>
      </c>
      <c r="N402" t="str">
        <f t="shared" si="18"/>
        <v>Bogey</v>
      </c>
      <c r="O402" cm="1">
        <f t="array" ref="O402">IFERROR(
  INDEX('Putt Log'!$E$2:$V$72,
    MATCH(1,
      ('Putt Log'!$A$2:$A$72=$A402)*
      ('Putt Log'!$B$2:$B$72=$B402)*
      ('Putt Log'!$C$2:$C$72=$C402),
    0),
    MATCH($G402,'Putt Log'!$E$1:$V$1,0)
  ),
"")</f>
        <v>2</v>
      </c>
      <c r="P402" t="str" cm="1">
        <f t="array" ref="P402">IF(K402=3,"",
  IFERROR(
    INDEX('Fairway Log'!$E$2:$V$72,
      MATCH(1,
        ('Fairway Log'!$A$2:$A$72=$A402)*
        ('Fairway Log'!$B$2:$B$72=$B402)*
        ('Fairway Log'!$C$2:$C473=$C402),
      0),
      MATCH($G402,'Fairway Log'!$E$1:$V$1,0)
    ),
  "")
)</f>
        <v>→</v>
      </c>
      <c r="Q402" cm="1">
        <f t="array" ref="Q402">IFERROR(
  INDEX('GIR Log'!$E$2:$V$72,
    MATCH(1,
      ('GIR Log'!$A$2:$A$72=$A402)*
      ('GIR Log'!$B$2:$B$72=$B402)*
      ('GIR Log'!$C$2:$C$72=$C402),
    0),
    MATCH($G402,'GIR Log'!$E$1:$V$1,0)
  ),
"")</f>
        <v>0</v>
      </c>
    </row>
    <row r="403" spans="1:17" x14ac:dyDescent="0.25">
      <c r="A403" s="20" t="s">
        <v>126</v>
      </c>
      <c r="B403" s="2">
        <v>45156</v>
      </c>
      <c r="C403" t="s">
        <v>46</v>
      </c>
      <c r="D403" t="s">
        <v>78</v>
      </c>
      <c r="E403" t="s">
        <v>36</v>
      </c>
      <c r="F403">
        <v>91</v>
      </c>
      <c r="G403" t="s">
        <v>52</v>
      </c>
      <c r="H403" s="9">
        <f t="shared" si="20"/>
        <v>6</v>
      </c>
      <c r="I403" cm="1">
        <f t="array" ref="I403">IFERROR(INDEX(CourseYardages[[Hole 1]:[Hole 18]],
  MATCH(1, (CourseYardages[Course]=C403)*(CourseYardages[Tees]=E403), 0),
  MATCH(G403, CourseYardages[[#Headers],[Hole 1]:[Hole 18]], 0)
),"")</f>
        <v>382</v>
      </c>
      <c r="J403" cm="1">
        <f t="array" ref="J403">IFERROR(INDEX(CourseHandicap[[Hole 1]:[Hole 18]],
  MATCH(1, (CourseHandicap[Course]=C403)*(CourseHandicap[Tees]=E403), 0),
  MATCH(G403, CourseHandicap[[#Headers],[Hole 1]:[Hole 18]], 0)
),"")</f>
        <v>5</v>
      </c>
      <c r="K403" cm="1">
        <f t="array" ref="K403">IFERROR(INDEX(CourseRatings[[Hole 1]:[Hole 18]],
  MATCH(1, (CourseRatings[Course]=C403)*(CourseRatings[Tees]=E403), 0),
  MATCH(G403, CourseRatings[[#Headers],[Hole 1]:[Hole 18]], 0)
),"")</f>
        <v>4</v>
      </c>
      <c r="L403" cm="1">
        <f t="array" ref="L403">IFERROR(
  INDEX('Golf Log'!$E$2:$V$72,
    MATCH(1,
      ('Golf Log'!$A$2:$A$72=$A403)*
      ('Golf Log'!$B$2:$B$72=$B403)*
      ('Golf Log'!$C$2:$C$72=$C403),
    0),
    MATCH($G403,'Golf Log'!$E$1:$V$1,0)
  ),
"")</f>
        <v>5</v>
      </c>
      <c r="M403">
        <f t="shared" si="19"/>
        <v>1</v>
      </c>
      <c r="N403" t="str">
        <f t="shared" si="18"/>
        <v>Bogey</v>
      </c>
      <c r="O403" cm="1">
        <f t="array" ref="O403">IFERROR(
  INDEX('Putt Log'!$E$2:$V$72,
    MATCH(1,
      ('Putt Log'!$A$2:$A$72=$A403)*
      ('Putt Log'!$B$2:$B$72=$B403)*
      ('Putt Log'!$C$2:$C$72=$C403),
    0),
    MATCH($G403,'Putt Log'!$E$1:$V$1,0)
  ),
"")</f>
        <v>2</v>
      </c>
      <c r="P403" cm="1">
        <f t="array" ref="P403">IF(K403=3,"",
  IFERROR(
    INDEX('Fairway Log'!$E$2:$V$72,
      MATCH(1,
        ('Fairway Log'!$A$2:$A$72=$A403)*
        ('Fairway Log'!$B$2:$B$72=$B403)*
        ('Fairway Log'!$C$2:$C474=$C403),
      0),
      MATCH($G403,'Fairway Log'!$E$1:$V$1,0)
    ),
  "")
)</f>
        <v>1</v>
      </c>
      <c r="Q403" cm="1">
        <f t="array" ref="Q403">IFERROR(
  INDEX('GIR Log'!$E$2:$V$72,
    MATCH(1,
      ('GIR Log'!$A$2:$A$72=$A403)*
      ('GIR Log'!$B$2:$B$72=$B403)*
      ('GIR Log'!$C$2:$C$72=$C403),
    0),
    MATCH($G403,'GIR Log'!$E$1:$V$1,0)
  ),
"")</f>
        <v>0</v>
      </c>
    </row>
    <row r="404" spans="1:17" x14ac:dyDescent="0.25">
      <c r="A404" s="20" t="s">
        <v>126</v>
      </c>
      <c r="B404" s="2">
        <v>45156</v>
      </c>
      <c r="C404" t="s">
        <v>46</v>
      </c>
      <c r="D404" t="s">
        <v>78</v>
      </c>
      <c r="E404" t="s">
        <v>36</v>
      </c>
      <c r="F404">
        <v>91</v>
      </c>
      <c r="G404" t="s">
        <v>53</v>
      </c>
      <c r="H404" s="9">
        <f t="shared" si="20"/>
        <v>7</v>
      </c>
      <c r="I404" cm="1">
        <f t="array" ref="I404">IFERROR(INDEX(CourseYardages[[Hole 1]:[Hole 18]],
  MATCH(1, (CourseYardages[Course]=C404)*(CourseYardages[Tees]=E404), 0),
  MATCH(G404, CourseYardages[[#Headers],[Hole 1]:[Hole 18]], 0)
),"")</f>
        <v>300</v>
      </c>
      <c r="J404" cm="1">
        <f t="array" ref="J404">IFERROR(INDEX(CourseHandicap[[Hole 1]:[Hole 18]],
  MATCH(1, (CourseHandicap[Course]=C404)*(CourseHandicap[Tees]=E404), 0),
  MATCH(G404, CourseHandicap[[#Headers],[Hole 1]:[Hole 18]], 0)
),"")</f>
        <v>9</v>
      </c>
      <c r="K404" cm="1">
        <f t="array" ref="K404">IFERROR(INDEX(CourseRatings[[Hole 1]:[Hole 18]],
  MATCH(1, (CourseRatings[Course]=C404)*(CourseRatings[Tees]=E404), 0),
  MATCH(G404, CourseRatings[[#Headers],[Hole 1]:[Hole 18]], 0)
),"")</f>
        <v>4</v>
      </c>
      <c r="L404" cm="1">
        <f t="array" ref="L404">IFERROR(
  INDEX('Golf Log'!$E$2:$V$72,
    MATCH(1,
      ('Golf Log'!$A$2:$A$72=$A404)*
      ('Golf Log'!$B$2:$B$72=$B404)*
      ('Golf Log'!$C$2:$C$72=$C404),
    0),
    MATCH($G404,'Golf Log'!$E$1:$V$1,0)
  ),
"")</f>
        <v>4</v>
      </c>
      <c r="M404">
        <f t="shared" si="19"/>
        <v>0</v>
      </c>
      <c r="N404" t="str">
        <f t="shared" si="18"/>
        <v>Par</v>
      </c>
      <c r="O404" cm="1">
        <f t="array" ref="O404">IFERROR(
  INDEX('Putt Log'!$E$2:$V$72,
    MATCH(1,
      ('Putt Log'!$A$2:$A$72=$A404)*
      ('Putt Log'!$B$2:$B$72=$B404)*
      ('Putt Log'!$C$2:$C$72=$C404),
    0),
    MATCH($G404,'Putt Log'!$E$1:$V$1,0)
  ),
"")</f>
        <v>2</v>
      </c>
      <c r="P404" cm="1">
        <f t="array" ref="P404">IF(K404=3,"",
  IFERROR(
    INDEX('Fairway Log'!$E$2:$V$72,
      MATCH(1,
        ('Fairway Log'!$A$2:$A$72=$A404)*
        ('Fairway Log'!$B$2:$B$72=$B404)*
        ('Fairway Log'!$C$2:$C475=$C404),
      0),
      MATCH($G404,'Fairway Log'!$E$1:$V$1,0)
    ),
  "")
)</f>
        <v>1</v>
      </c>
      <c r="Q404" cm="1">
        <f t="array" ref="Q404">IFERROR(
  INDEX('GIR Log'!$E$2:$V$72,
    MATCH(1,
      ('GIR Log'!$A$2:$A$72=$A404)*
      ('GIR Log'!$B$2:$B$72=$B404)*
      ('GIR Log'!$C$2:$C$72=$C404),
    0),
    MATCH($G404,'GIR Log'!$E$1:$V$1,0)
  ),
"")</f>
        <v>1</v>
      </c>
    </row>
    <row r="405" spans="1:17" x14ac:dyDescent="0.25">
      <c r="A405" s="20" t="s">
        <v>126</v>
      </c>
      <c r="B405" s="2">
        <v>45156</v>
      </c>
      <c r="C405" t="s">
        <v>46</v>
      </c>
      <c r="D405" t="s">
        <v>78</v>
      </c>
      <c r="E405" t="s">
        <v>36</v>
      </c>
      <c r="F405">
        <v>91</v>
      </c>
      <c r="G405" t="s">
        <v>54</v>
      </c>
      <c r="H405" s="9">
        <f t="shared" si="20"/>
        <v>8</v>
      </c>
      <c r="I405" cm="1">
        <f t="array" ref="I405">IFERROR(INDEX(CourseYardages[[Hole 1]:[Hole 18]],
  MATCH(1, (CourseYardages[Course]=C405)*(CourseYardages[Tees]=E405), 0),
  MATCH(G405, CourseYardages[[#Headers],[Hole 1]:[Hole 18]], 0)
),"")</f>
        <v>207</v>
      </c>
      <c r="J405" cm="1">
        <f t="array" ref="J405">IFERROR(INDEX(CourseHandicap[[Hole 1]:[Hole 18]],
  MATCH(1, (CourseHandicap[Course]=C405)*(CourseHandicap[Tees]=E405), 0),
  MATCH(G405, CourseHandicap[[#Headers],[Hole 1]:[Hole 18]], 0)
),"")</f>
        <v>4</v>
      </c>
      <c r="K405" cm="1">
        <f t="array" ref="K405">IFERROR(INDEX(CourseRatings[[Hole 1]:[Hole 18]],
  MATCH(1, (CourseRatings[Course]=C405)*(CourseRatings[Tees]=E405), 0),
  MATCH(G405, CourseRatings[[#Headers],[Hole 1]:[Hole 18]], 0)
),"")</f>
        <v>3</v>
      </c>
      <c r="L405" cm="1">
        <f t="array" ref="L405">IFERROR(
  INDEX('Golf Log'!$E$2:$V$72,
    MATCH(1,
      ('Golf Log'!$A$2:$A$72=$A405)*
      ('Golf Log'!$B$2:$B$72=$B405)*
      ('Golf Log'!$C$2:$C$72=$C405),
    0),
    MATCH($G405,'Golf Log'!$E$1:$V$1,0)
  ),
"")</f>
        <v>3</v>
      </c>
      <c r="M405">
        <f t="shared" si="19"/>
        <v>0</v>
      </c>
      <c r="N405" t="str">
        <f t="shared" si="18"/>
        <v>Par</v>
      </c>
      <c r="O405" cm="1">
        <f t="array" ref="O405">IFERROR(
  INDEX('Putt Log'!$E$2:$V$72,
    MATCH(1,
      ('Putt Log'!$A$2:$A$72=$A405)*
      ('Putt Log'!$B$2:$B$72=$B405)*
      ('Putt Log'!$C$2:$C$72=$C405),
    0),
    MATCH($G405,'Putt Log'!$E$1:$V$1,0)
  ),
"")</f>
        <v>2</v>
      </c>
      <c r="P405" t="str" cm="1">
        <f t="array" ref="P405">IF(K405=3,"",
  IFERROR(
    INDEX('Fairway Log'!$E$2:$V$72,
      MATCH(1,
        ('Fairway Log'!$A$2:$A$72=$A405)*
        ('Fairway Log'!$B$2:$B$72=$B405)*
        ('Fairway Log'!$C$2:$C476=$C405),
      0),
      MATCH($G405,'Fairway Log'!$E$1:$V$1,0)
    ),
  "")
)</f>
        <v/>
      </c>
      <c r="Q405" cm="1">
        <f t="array" ref="Q405">IFERROR(
  INDEX('GIR Log'!$E$2:$V$72,
    MATCH(1,
      ('GIR Log'!$A$2:$A$72=$A405)*
      ('GIR Log'!$B$2:$B$72=$B405)*
      ('GIR Log'!$C$2:$C$72=$C405),
    0),
    MATCH($G405,'GIR Log'!$E$1:$V$1,0)
  ),
"")</f>
        <v>1</v>
      </c>
    </row>
    <row r="406" spans="1:17" x14ac:dyDescent="0.25">
      <c r="A406" s="20" t="s">
        <v>126</v>
      </c>
      <c r="B406" s="2">
        <v>45156</v>
      </c>
      <c r="C406" t="s">
        <v>46</v>
      </c>
      <c r="D406" t="s">
        <v>78</v>
      </c>
      <c r="E406" t="s">
        <v>36</v>
      </c>
      <c r="F406">
        <v>91</v>
      </c>
      <c r="G406" t="s">
        <v>55</v>
      </c>
      <c r="H406" s="9">
        <f t="shared" si="20"/>
        <v>9</v>
      </c>
      <c r="I406" cm="1">
        <f t="array" ref="I406">IFERROR(INDEX(CourseYardages[[Hole 1]:[Hole 18]],
  MATCH(1, (CourseYardages[Course]=C406)*(CourseYardages[Tees]=E406), 0),
  MATCH(G406, CourseYardages[[#Headers],[Hole 1]:[Hole 18]], 0)
),"")</f>
        <v>537</v>
      </c>
      <c r="J406" cm="1">
        <f t="array" ref="J406">IFERROR(INDEX(CourseHandicap[[Hole 1]:[Hole 18]],
  MATCH(1, (CourseHandicap[Course]=C406)*(CourseHandicap[Tees]=E406), 0),
  MATCH(G406, CourseHandicap[[#Headers],[Hole 1]:[Hole 18]], 0)
),"")</f>
        <v>1</v>
      </c>
      <c r="K406" cm="1">
        <f t="array" ref="K406">IFERROR(INDEX(CourseRatings[[Hole 1]:[Hole 18]],
  MATCH(1, (CourseRatings[Course]=C406)*(CourseRatings[Tees]=E406), 0),
  MATCH(G406, CourseRatings[[#Headers],[Hole 1]:[Hole 18]], 0)
),"")</f>
        <v>5</v>
      </c>
      <c r="L406" cm="1">
        <f t="array" ref="L406">IFERROR(
  INDEX('Golf Log'!$E$2:$V$72,
    MATCH(1,
      ('Golf Log'!$A$2:$A$72=$A406)*
      ('Golf Log'!$B$2:$B$72=$B406)*
      ('Golf Log'!$C$2:$C$72=$C406),
    0),
    MATCH($G406,'Golf Log'!$E$1:$V$1,0)
  ),
"")</f>
        <v>6</v>
      </c>
      <c r="M406">
        <f t="shared" si="19"/>
        <v>1</v>
      </c>
      <c r="N406" t="str">
        <f t="shared" si="18"/>
        <v>Bogey</v>
      </c>
      <c r="O406" cm="1">
        <f t="array" ref="O406">IFERROR(
  INDEX('Putt Log'!$E$2:$V$72,
    MATCH(1,
      ('Putt Log'!$A$2:$A$72=$A406)*
      ('Putt Log'!$B$2:$B$72=$B406)*
      ('Putt Log'!$C$2:$C$72=$C406),
    0),
    MATCH($G406,'Putt Log'!$E$1:$V$1,0)
  ),
"")</f>
        <v>1</v>
      </c>
      <c r="P406" t="str" cm="1">
        <f t="array" ref="P406">IF(K406=3,"",
  IFERROR(
    INDEX('Fairway Log'!$E$2:$V$72,
      MATCH(1,
        ('Fairway Log'!$A$2:$A$72=$A406)*
        ('Fairway Log'!$B$2:$B$72=$B406)*
        ('Fairway Log'!$C$2:$C477=$C406),
      0),
      MATCH($G406,'Fairway Log'!$E$1:$V$1,0)
    ),
  "")
)</f>
        <v>→</v>
      </c>
      <c r="Q406" cm="1">
        <f t="array" ref="Q406">IFERROR(
  INDEX('GIR Log'!$E$2:$V$72,
    MATCH(1,
      ('GIR Log'!$A$2:$A$72=$A406)*
      ('GIR Log'!$B$2:$B$72=$B406)*
      ('GIR Log'!$C$2:$C$72=$C406),
    0),
    MATCH($G406,'GIR Log'!$E$1:$V$1,0)
  ),
"")</f>
        <v>0</v>
      </c>
    </row>
    <row r="407" spans="1:17" x14ac:dyDescent="0.25">
      <c r="A407" s="20" t="s">
        <v>126</v>
      </c>
      <c r="B407" s="2">
        <v>45156</v>
      </c>
      <c r="C407" t="s">
        <v>46</v>
      </c>
      <c r="D407" t="s">
        <v>78</v>
      </c>
      <c r="E407" t="s">
        <v>36</v>
      </c>
      <c r="F407">
        <v>91</v>
      </c>
      <c r="G407" t="s">
        <v>56</v>
      </c>
      <c r="H407" s="9">
        <f t="shared" si="20"/>
        <v>10</v>
      </c>
      <c r="I407" cm="1">
        <f t="array" ref="I407">IFERROR(INDEX(CourseYardages[[Hole 1]:[Hole 18]],
  MATCH(1, (CourseYardages[Course]=C407)*(CourseYardages[Tees]=E407), 0),
  MATCH(G407, CourseYardages[[#Headers],[Hole 1]:[Hole 18]], 0)
),"")</f>
        <v>449</v>
      </c>
      <c r="J407" cm="1">
        <f t="array" ref="J407">IFERROR(INDEX(CourseHandicap[[Hole 1]:[Hole 18]],
  MATCH(1, (CourseHandicap[Course]=C407)*(CourseHandicap[Tees]=E407), 0),
  MATCH(G407, CourseHandicap[[#Headers],[Hole 1]:[Hole 18]], 0)
),"")</f>
        <v>3</v>
      </c>
      <c r="K407" cm="1">
        <f t="array" ref="K407">IFERROR(INDEX(CourseRatings[[Hole 1]:[Hole 18]],
  MATCH(1, (CourseRatings[Course]=C407)*(CourseRatings[Tees]=E407), 0),
  MATCH(G407, CourseRatings[[#Headers],[Hole 1]:[Hole 18]], 0)
),"")</f>
        <v>4</v>
      </c>
      <c r="L407" cm="1">
        <f t="array" ref="L407">IFERROR(
  INDEX('Golf Log'!$E$2:$V$72,
    MATCH(1,
      ('Golf Log'!$A$2:$A$72=$A407)*
      ('Golf Log'!$B$2:$B$72=$B407)*
      ('Golf Log'!$C$2:$C$72=$C407),
    0),
    MATCH($G407,'Golf Log'!$E$1:$V$1,0)
  ),
"")</f>
        <v>6</v>
      </c>
      <c r="M407">
        <f t="shared" si="19"/>
        <v>2</v>
      </c>
      <c r="N407" t="str">
        <f t="shared" si="18"/>
        <v>Double Bogey</v>
      </c>
      <c r="O407" cm="1">
        <f t="array" ref="O407">IFERROR(
  INDEX('Putt Log'!$E$2:$V$72,
    MATCH(1,
      ('Putt Log'!$A$2:$A$72=$A407)*
      ('Putt Log'!$B$2:$B$72=$B407)*
      ('Putt Log'!$C$2:$C$72=$C407),
    0),
    MATCH($G407,'Putt Log'!$E$1:$V$1,0)
  ),
"")</f>
        <v>2</v>
      </c>
      <c r="P407" t="str" cm="1">
        <f t="array" ref="P407">IF(K407=3,"",
  IFERROR(
    INDEX('Fairway Log'!$E$2:$V$72,
      MATCH(1,
        ('Fairway Log'!$A$2:$A$72=$A407)*
        ('Fairway Log'!$B$2:$B$72=$B407)*
        ('Fairway Log'!$C$2:$C478=$C407),
      0),
      MATCH($G407,'Fairway Log'!$E$1:$V$1,0)
    ),
  "")
)</f>
        <v>↑</v>
      </c>
      <c r="Q407" cm="1">
        <f t="array" ref="Q407">IFERROR(
  INDEX('GIR Log'!$E$2:$V$72,
    MATCH(1,
      ('GIR Log'!$A$2:$A$72=$A407)*
      ('GIR Log'!$B$2:$B$72=$B407)*
      ('GIR Log'!$C$2:$C$72=$C407),
    0),
    MATCH($G407,'GIR Log'!$E$1:$V$1,0)
  ),
"")</f>
        <v>0</v>
      </c>
    </row>
    <row r="408" spans="1:17" x14ac:dyDescent="0.25">
      <c r="A408" s="20" t="s">
        <v>126</v>
      </c>
      <c r="B408" s="2">
        <v>45156</v>
      </c>
      <c r="C408" t="s">
        <v>46</v>
      </c>
      <c r="D408" t="s">
        <v>78</v>
      </c>
      <c r="E408" t="s">
        <v>36</v>
      </c>
      <c r="F408">
        <v>91</v>
      </c>
      <c r="G408" t="s">
        <v>57</v>
      </c>
      <c r="H408" s="9">
        <f t="shared" si="20"/>
        <v>11</v>
      </c>
      <c r="I408" cm="1">
        <f t="array" ref="I408">IFERROR(INDEX(CourseYardages[[Hole 1]:[Hole 18]],
  MATCH(1, (CourseYardages[Course]=C408)*(CourseYardages[Tees]=E408), 0),
  MATCH(G408, CourseYardages[[#Headers],[Hole 1]:[Hole 18]], 0)
),"")</f>
        <v>345</v>
      </c>
      <c r="J408" cm="1">
        <f t="array" ref="J408">IFERROR(INDEX(CourseHandicap[[Hole 1]:[Hole 18]],
  MATCH(1, (CourseHandicap[Course]=C408)*(CourseHandicap[Tees]=E408), 0),
  MATCH(G408, CourseHandicap[[#Headers],[Hole 1]:[Hole 18]], 0)
),"")</f>
        <v>7</v>
      </c>
      <c r="K408" cm="1">
        <f t="array" ref="K408">IFERROR(INDEX(CourseRatings[[Hole 1]:[Hole 18]],
  MATCH(1, (CourseRatings[Course]=C408)*(CourseRatings[Tees]=E408), 0),
  MATCH(G408, CourseRatings[[#Headers],[Hole 1]:[Hole 18]], 0)
),"")</f>
        <v>4</v>
      </c>
      <c r="L408" cm="1">
        <f t="array" ref="L408">IFERROR(
  INDEX('Golf Log'!$E$2:$V$72,
    MATCH(1,
      ('Golf Log'!$A$2:$A$72=$A408)*
      ('Golf Log'!$B$2:$B$72=$B408)*
      ('Golf Log'!$C$2:$C$72=$C408),
    0),
    MATCH($G408,'Golf Log'!$E$1:$V$1,0)
  ),
"")</f>
        <v>7</v>
      </c>
      <c r="M408">
        <f t="shared" si="19"/>
        <v>3</v>
      </c>
      <c r="N408" t="str">
        <f t="shared" si="18"/>
        <v>Triple Bogey</v>
      </c>
      <c r="O408" cm="1">
        <f t="array" ref="O408">IFERROR(
  INDEX('Putt Log'!$E$2:$V$72,
    MATCH(1,
      ('Putt Log'!$A$2:$A$72=$A408)*
      ('Putt Log'!$B$2:$B$72=$B408)*
      ('Putt Log'!$C$2:$C$72=$C408),
    0),
    MATCH($G408,'Putt Log'!$E$1:$V$1,0)
  ),
"")</f>
        <v>2</v>
      </c>
      <c r="P408" cm="1">
        <f t="array" ref="P408">IF(K408=3,"",
  IFERROR(
    INDEX('Fairway Log'!$E$2:$V$72,
      MATCH(1,
        ('Fairway Log'!$A$2:$A$72=$A408)*
        ('Fairway Log'!$B$2:$B$72=$B408)*
        ('Fairway Log'!$C$2:$C479=$C408),
      0),
      MATCH($G408,'Fairway Log'!$E$1:$V$1,0)
    ),
  "")
)</f>
        <v>1</v>
      </c>
      <c r="Q408" cm="1">
        <f t="array" ref="Q408">IFERROR(
  INDEX('GIR Log'!$E$2:$V$72,
    MATCH(1,
      ('GIR Log'!$A$2:$A$72=$A408)*
      ('GIR Log'!$B$2:$B$72=$B408)*
      ('GIR Log'!$C$2:$C$72=$C408),
    0),
    MATCH($G408,'GIR Log'!$E$1:$V$1,0)
  ),
"")</f>
        <v>0</v>
      </c>
    </row>
    <row r="409" spans="1:17" x14ac:dyDescent="0.25">
      <c r="A409" s="20" t="s">
        <v>126</v>
      </c>
      <c r="B409" s="2">
        <v>45156</v>
      </c>
      <c r="C409" t="s">
        <v>46</v>
      </c>
      <c r="D409" t="s">
        <v>78</v>
      </c>
      <c r="E409" t="s">
        <v>36</v>
      </c>
      <c r="F409">
        <v>91</v>
      </c>
      <c r="G409" t="s">
        <v>58</v>
      </c>
      <c r="H409" s="9">
        <f t="shared" si="20"/>
        <v>12</v>
      </c>
      <c r="I409" cm="1">
        <f t="array" ref="I409">IFERROR(INDEX(CourseYardages[[Hole 1]:[Hole 18]],
  MATCH(1, (CourseYardages[Course]=C409)*(CourseYardages[Tees]=E409), 0),
  MATCH(G409, CourseYardages[[#Headers],[Hole 1]:[Hole 18]], 0)
),"")</f>
        <v>529</v>
      </c>
      <c r="J409" cm="1">
        <f t="array" ref="J409">IFERROR(INDEX(CourseHandicap[[Hole 1]:[Hole 18]],
  MATCH(1, (CourseHandicap[Course]=C409)*(CourseHandicap[Tees]=E409), 0),
  MATCH(G409, CourseHandicap[[#Headers],[Hole 1]:[Hole 18]], 0)
),"")</f>
        <v>1</v>
      </c>
      <c r="K409" cm="1">
        <f t="array" ref="K409">IFERROR(INDEX(CourseRatings[[Hole 1]:[Hole 18]],
  MATCH(1, (CourseRatings[Course]=C409)*(CourseRatings[Tees]=E409), 0),
  MATCH(G409, CourseRatings[[#Headers],[Hole 1]:[Hole 18]], 0)
),"")</f>
        <v>5</v>
      </c>
      <c r="L409" cm="1">
        <f t="array" ref="L409">IFERROR(
  INDEX('Golf Log'!$E$2:$V$72,
    MATCH(1,
      ('Golf Log'!$A$2:$A$72=$A409)*
      ('Golf Log'!$B$2:$B$72=$B409)*
      ('Golf Log'!$C$2:$C$72=$C409),
    0),
    MATCH($G409,'Golf Log'!$E$1:$V$1,0)
  ),
"")</f>
        <v>6</v>
      </c>
      <c r="M409">
        <f t="shared" si="19"/>
        <v>1</v>
      </c>
      <c r="N409" t="str">
        <f t="shared" si="18"/>
        <v>Bogey</v>
      </c>
      <c r="O409" cm="1">
        <f t="array" ref="O409">IFERROR(
  INDEX('Putt Log'!$E$2:$V$72,
    MATCH(1,
      ('Putt Log'!$A$2:$A$72=$A409)*
      ('Putt Log'!$B$2:$B$72=$B409)*
      ('Putt Log'!$C$2:$C$72=$C409),
    0),
    MATCH($G409,'Putt Log'!$E$1:$V$1,0)
  ),
"")</f>
        <v>2</v>
      </c>
      <c r="P409" t="str" cm="1">
        <f t="array" ref="P409">IF(K409=3,"",
  IFERROR(
    INDEX('Fairway Log'!$E$2:$V$72,
      MATCH(1,
        ('Fairway Log'!$A$2:$A$72=$A409)*
        ('Fairway Log'!$B$2:$B$72=$B409)*
        ('Fairway Log'!$C$2:$C480=$C409),
      0),
      MATCH($G409,'Fairway Log'!$E$1:$V$1,0)
    ),
  "")
)</f>
        <v>→</v>
      </c>
      <c r="Q409" cm="1">
        <f t="array" ref="Q409">IFERROR(
  INDEX('GIR Log'!$E$2:$V$72,
    MATCH(1,
      ('GIR Log'!$A$2:$A$72=$A409)*
      ('GIR Log'!$B$2:$B$72=$B409)*
      ('GIR Log'!$C$2:$C$72=$C409),
    0),
    MATCH($G409,'GIR Log'!$E$1:$V$1,0)
  ),
"")</f>
        <v>0</v>
      </c>
    </row>
    <row r="410" spans="1:17" x14ac:dyDescent="0.25">
      <c r="A410" s="20" t="s">
        <v>126</v>
      </c>
      <c r="B410" s="2">
        <v>45156</v>
      </c>
      <c r="C410" t="s">
        <v>46</v>
      </c>
      <c r="D410" t="s">
        <v>78</v>
      </c>
      <c r="E410" t="s">
        <v>36</v>
      </c>
      <c r="F410">
        <v>91</v>
      </c>
      <c r="G410" t="s">
        <v>59</v>
      </c>
      <c r="H410" s="9">
        <f t="shared" si="20"/>
        <v>13</v>
      </c>
      <c r="I410" cm="1">
        <f t="array" ref="I410">IFERROR(INDEX(CourseYardages[[Hole 1]:[Hole 18]],
  MATCH(1, (CourseYardages[Course]=C410)*(CourseYardages[Tees]=E410), 0),
  MATCH(G410, CourseYardages[[#Headers],[Hole 1]:[Hole 18]], 0)
),"")</f>
        <v>189</v>
      </c>
      <c r="J410" cm="1">
        <f t="array" ref="J410">IFERROR(INDEX(CourseHandicap[[Hole 1]:[Hole 18]],
  MATCH(1, (CourseHandicap[Course]=C410)*(CourseHandicap[Tees]=E410), 0),
  MATCH(G410, CourseHandicap[[#Headers],[Hole 1]:[Hole 18]], 0)
),"")</f>
        <v>8</v>
      </c>
      <c r="K410" cm="1">
        <f t="array" ref="K410">IFERROR(INDEX(CourseRatings[[Hole 1]:[Hole 18]],
  MATCH(1, (CourseRatings[Course]=C410)*(CourseRatings[Tees]=E410), 0),
  MATCH(G410, CourseRatings[[#Headers],[Hole 1]:[Hole 18]], 0)
),"")</f>
        <v>3</v>
      </c>
      <c r="L410" cm="1">
        <f t="array" ref="L410">IFERROR(
  INDEX('Golf Log'!$E$2:$V$72,
    MATCH(1,
      ('Golf Log'!$A$2:$A$72=$A410)*
      ('Golf Log'!$B$2:$B$72=$B410)*
      ('Golf Log'!$C$2:$C$72=$C410),
    0),
    MATCH($G410,'Golf Log'!$E$1:$V$1,0)
  ),
"")</f>
        <v>4</v>
      </c>
      <c r="M410">
        <f t="shared" si="19"/>
        <v>1</v>
      </c>
      <c r="N410" t="str">
        <f t="shared" si="18"/>
        <v>Bogey</v>
      </c>
      <c r="O410" cm="1">
        <f t="array" ref="O410">IFERROR(
  INDEX('Putt Log'!$E$2:$V$72,
    MATCH(1,
      ('Putt Log'!$A$2:$A$72=$A410)*
      ('Putt Log'!$B$2:$B$72=$B410)*
      ('Putt Log'!$C$2:$C$72=$C410),
    0),
    MATCH($G410,'Putt Log'!$E$1:$V$1,0)
  ),
"")</f>
        <v>2</v>
      </c>
      <c r="P410" t="str" cm="1">
        <f t="array" ref="P410">IF(K410=3,"",
  IFERROR(
    INDEX('Fairway Log'!$E$2:$V$72,
      MATCH(1,
        ('Fairway Log'!$A$2:$A$72=$A410)*
        ('Fairway Log'!$B$2:$B$72=$B410)*
        ('Fairway Log'!$C$2:$C481=$C410),
      0),
      MATCH($G410,'Fairway Log'!$E$1:$V$1,0)
    ),
  "")
)</f>
        <v/>
      </c>
      <c r="Q410" cm="1">
        <f t="array" ref="Q410">IFERROR(
  INDEX('GIR Log'!$E$2:$V$72,
    MATCH(1,
      ('GIR Log'!$A$2:$A$72=$A410)*
      ('GIR Log'!$B$2:$B$72=$B410)*
      ('GIR Log'!$C$2:$C$72=$C410),
    0),
    MATCH($G410,'GIR Log'!$E$1:$V$1,0)
  ),
"")</f>
        <v>0</v>
      </c>
    </row>
    <row r="411" spans="1:17" x14ac:dyDescent="0.25">
      <c r="A411" s="20" t="s">
        <v>126</v>
      </c>
      <c r="B411" s="2">
        <v>45156</v>
      </c>
      <c r="C411" t="s">
        <v>46</v>
      </c>
      <c r="D411" t="s">
        <v>78</v>
      </c>
      <c r="E411" t="s">
        <v>36</v>
      </c>
      <c r="F411">
        <v>91</v>
      </c>
      <c r="G411" t="s">
        <v>60</v>
      </c>
      <c r="H411" s="9">
        <f t="shared" si="20"/>
        <v>14</v>
      </c>
      <c r="I411" cm="1">
        <f t="array" ref="I411">IFERROR(INDEX(CourseYardages[[Hole 1]:[Hole 18]],
  MATCH(1, (CourseYardages[Course]=C411)*(CourseYardages[Tees]=E411), 0),
  MATCH(G411, CourseYardages[[#Headers],[Hole 1]:[Hole 18]], 0)
),"")</f>
        <v>389</v>
      </c>
      <c r="J411" cm="1">
        <f t="array" ref="J411">IFERROR(INDEX(CourseHandicap[[Hole 1]:[Hole 18]],
  MATCH(1, (CourseHandicap[Course]=C411)*(CourseHandicap[Tees]=E411), 0),
  MATCH(G411, CourseHandicap[[#Headers],[Hole 1]:[Hole 18]], 0)
),"")</f>
        <v>4</v>
      </c>
      <c r="K411" cm="1">
        <f t="array" ref="K411">IFERROR(INDEX(CourseRatings[[Hole 1]:[Hole 18]],
  MATCH(1, (CourseRatings[Course]=C411)*(CourseRatings[Tees]=E411), 0),
  MATCH(G411, CourseRatings[[#Headers],[Hole 1]:[Hole 18]], 0)
),"")</f>
        <v>4</v>
      </c>
      <c r="L411" cm="1">
        <f t="array" ref="L411">IFERROR(
  INDEX('Golf Log'!$E$2:$V$72,
    MATCH(1,
      ('Golf Log'!$A$2:$A$72=$A411)*
      ('Golf Log'!$B$2:$B$72=$B411)*
      ('Golf Log'!$C$2:$C$72=$C411),
    0),
    MATCH($G411,'Golf Log'!$E$1:$V$1,0)
  ),
"")</f>
        <v>6</v>
      </c>
      <c r="M411">
        <f t="shared" si="19"/>
        <v>2</v>
      </c>
      <c r="N411" t="str">
        <f t="shared" si="18"/>
        <v>Double Bogey</v>
      </c>
      <c r="O411" cm="1">
        <f t="array" ref="O411">IFERROR(
  INDEX('Putt Log'!$E$2:$V$72,
    MATCH(1,
      ('Putt Log'!$A$2:$A$72=$A411)*
      ('Putt Log'!$B$2:$B$72=$B411)*
      ('Putt Log'!$C$2:$C$72=$C411),
    0),
    MATCH($G411,'Putt Log'!$E$1:$V$1,0)
  ),
"")</f>
        <v>2</v>
      </c>
      <c r="P411" t="str" cm="1">
        <f t="array" ref="P411">IF(K411=3,"",
  IFERROR(
    INDEX('Fairway Log'!$E$2:$V$72,
      MATCH(1,
        ('Fairway Log'!$A$2:$A$72=$A411)*
        ('Fairway Log'!$B$2:$B$72=$B411)*
        ('Fairway Log'!$C$2:$C482=$C411),
      0),
      MATCH($G411,'Fairway Log'!$E$1:$V$1,0)
    ),
  "")
)</f>
        <v>→</v>
      </c>
      <c r="Q411" cm="1">
        <f t="array" ref="Q411">IFERROR(
  INDEX('GIR Log'!$E$2:$V$72,
    MATCH(1,
      ('GIR Log'!$A$2:$A$72=$A411)*
      ('GIR Log'!$B$2:$B$72=$B411)*
      ('GIR Log'!$C$2:$C$72=$C411),
    0),
    MATCH($G411,'GIR Log'!$E$1:$V$1,0)
  ),
"")</f>
        <v>0</v>
      </c>
    </row>
    <row r="412" spans="1:17" x14ac:dyDescent="0.25">
      <c r="A412" s="20" t="s">
        <v>126</v>
      </c>
      <c r="B412" s="2">
        <v>45156</v>
      </c>
      <c r="C412" t="s">
        <v>46</v>
      </c>
      <c r="D412" t="s">
        <v>78</v>
      </c>
      <c r="E412" t="s">
        <v>36</v>
      </c>
      <c r="F412">
        <v>91</v>
      </c>
      <c r="G412" t="s">
        <v>61</v>
      </c>
      <c r="H412" s="9">
        <f t="shared" si="20"/>
        <v>15</v>
      </c>
      <c r="I412" cm="1">
        <f t="array" ref="I412">IFERROR(INDEX(CourseYardages[[Hole 1]:[Hole 18]],
  MATCH(1, (CourseYardages[Course]=C412)*(CourseYardages[Tees]=E412), 0),
  MATCH(G412, CourseYardages[[#Headers],[Hole 1]:[Hole 18]], 0)
),"")</f>
        <v>390</v>
      </c>
      <c r="J412" cm="1">
        <f t="array" ref="J412">IFERROR(INDEX(CourseHandicap[[Hole 1]:[Hole 18]],
  MATCH(1, (CourseHandicap[Course]=C412)*(CourseHandicap[Tees]=E412), 0),
  MATCH(G412, CourseHandicap[[#Headers],[Hole 1]:[Hole 18]], 0)
),"")</f>
        <v>2</v>
      </c>
      <c r="K412" cm="1">
        <f t="array" ref="K412">IFERROR(INDEX(CourseRatings[[Hole 1]:[Hole 18]],
  MATCH(1, (CourseRatings[Course]=C412)*(CourseRatings[Tees]=E412), 0),
  MATCH(G412, CourseRatings[[#Headers],[Hole 1]:[Hole 18]], 0)
),"")</f>
        <v>4</v>
      </c>
      <c r="L412" cm="1">
        <f t="array" ref="L412">IFERROR(
  INDEX('Golf Log'!$E$2:$V$72,
    MATCH(1,
      ('Golf Log'!$A$2:$A$72=$A412)*
      ('Golf Log'!$B$2:$B$72=$B412)*
      ('Golf Log'!$C$2:$C$72=$C412),
    0),
    MATCH($G412,'Golf Log'!$E$1:$V$1,0)
  ),
"")</f>
        <v>4</v>
      </c>
      <c r="M412">
        <f t="shared" si="19"/>
        <v>0</v>
      </c>
      <c r="N412" t="str">
        <f t="shared" si="18"/>
        <v>Par</v>
      </c>
      <c r="O412" cm="1">
        <f t="array" ref="O412">IFERROR(
  INDEX('Putt Log'!$E$2:$V$72,
    MATCH(1,
      ('Putt Log'!$A$2:$A$72=$A412)*
      ('Putt Log'!$B$2:$B$72=$B412)*
      ('Putt Log'!$C$2:$C$72=$C412),
    0),
    MATCH($G412,'Putt Log'!$E$1:$V$1,0)
  ),
"")</f>
        <v>2</v>
      </c>
      <c r="P412" t="str" cm="1">
        <f t="array" ref="P412">IF(K412=3,"",
  IFERROR(
    INDEX('Fairway Log'!$E$2:$V$72,
      MATCH(1,
        ('Fairway Log'!$A$2:$A$72=$A412)*
        ('Fairway Log'!$B$2:$B$72=$B412)*
        ('Fairway Log'!$C$2:$C483=$C412),
      0),
      MATCH($G412,'Fairway Log'!$E$1:$V$1,0)
    ),
  "")
)</f>
        <v>→</v>
      </c>
      <c r="Q412" cm="1">
        <f t="array" ref="Q412">IFERROR(
  INDEX('GIR Log'!$E$2:$V$72,
    MATCH(1,
      ('GIR Log'!$A$2:$A$72=$A412)*
      ('GIR Log'!$B$2:$B$72=$B412)*
      ('GIR Log'!$C$2:$C$72=$C412),
    0),
    MATCH($G412,'GIR Log'!$E$1:$V$1,0)
  ),
"")</f>
        <v>0</v>
      </c>
    </row>
    <row r="413" spans="1:17" x14ac:dyDescent="0.25">
      <c r="A413" s="20" t="s">
        <v>126</v>
      </c>
      <c r="B413" s="2">
        <v>45156</v>
      </c>
      <c r="C413" t="s">
        <v>46</v>
      </c>
      <c r="D413" t="s">
        <v>78</v>
      </c>
      <c r="E413" t="s">
        <v>36</v>
      </c>
      <c r="F413">
        <v>91</v>
      </c>
      <c r="G413" t="s">
        <v>62</v>
      </c>
      <c r="H413" s="9">
        <f t="shared" si="20"/>
        <v>16</v>
      </c>
      <c r="I413" cm="1">
        <f t="array" ref="I413">IFERROR(INDEX(CourseYardages[[Hole 1]:[Hole 18]],
  MATCH(1, (CourseYardages[Course]=C413)*(CourseYardages[Tees]=E413), 0),
  MATCH(G413, CourseYardages[[#Headers],[Hole 1]:[Hole 18]], 0)
),"")</f>
        <v>405</v>
      </c>
      <c r="J413" cm="1">
        <f t="array" ref="J413">IFERROR(INDEX(CourseHandicap[[Hole 1]:[Hole 18]],
  MATCH(1, (CourseHandicap[Course]=C413)*(CourseHandicap[Tees]=E413), 0),
  MATCH(G413, CourseHandicap[[#Headers],[Hole 1]:[Hole 18]], 0)
),"")</f>
        <v>5</v>
      </c>
      <c r="K413" cm="1">
        <f t="array" ref="K413">IFERROR(INDEX(CourseRatings[[Hole 1]:[Hole 18]],
  MATCH(1, (CourseRatings[Course]=C413)*(CourseRatings[Tees]=E413), 0),
  MATCH(G413, CourseRatings[[#Headers],[Hole 1]:[Hole 18]], 0)
),"")</f>
        <v>4</v>
      </c>
      <c r="L413" cm="1">
        <f t="array" ref="L413">IFERROR(
  INDEX('Golf Log'!$E$2:$V$72,
    MATCH(1,
      ('Golf Log'!$A$2:$A$72=$A413)*
      ('Golf Log'!$B$2:$B$72=$B413)*
      ('Golf Log'!$C$2:$C$72=$C413),
    0),
    MATCH($G413,'Golf Log'!$E$1:$V$1,0)
  ),
"")</f>
        <v>4</v>
      </c>
      <c r="M413">
        <f t="shared" si="19"/>
        <v>0</v>
      </c>
      <c r="N413" t="str">
        <f t="shared" si="18"/>
        <v>Par</v>
      </c>
      <c r="O413" cm="1">
        <f t="array" ref="O413">IFERROR(
  INDEX('Putt Log'!$E$2:$V$72,
    MATCH(1,
      ('Putt Log'!$A$2:$A$72=$A413)*
      ('Putt Log'!$B$2:$B$72=$B413)*
      ('Putt Log'!$C$2:$C$72=$C413),
    0),
    MATCH($G413,'Putt Log'!$E$1:$V$1,0)
  ),
"")</f>
        <v>2</v>
      </c>
      <c r="P413" cm="1">
        <f t="array" ref="P413">IF(K413=3,"",
  IFERROR(
    INDEX('Fairway Log'!$E$2:$V$72,
      MATCH(1,
        ('Fairway Log'!$A$2:$A$72=$A413)*
        ('Fairway Log'!$B$2:$B$72=$B413)*
        ('Fairway Log'!$C$2:$C484=$C413),
      0),
      MATCH($G413,'Fairway Log'!$E$1:$V$1,0)
    ),
  "")
)</f>
        <v>1</v>
      </c>
      <c r="Q413" cm="1">
        <f t="array" ref="Q413">IFERROR(
  INDEX('GIR Log'!$E$2:$V$72,
    MATCH(1,
      ('GIR Log'!$A$2:$A$72=$A413)*
      ('GIR Log'!$B$2:$B$72=$B413)*
      ('GIR Log'!$C$2:$C$72=$C413),
    0),
    MATCH($G413,'GIR Log'!$E$1:$V$1,0)
  ),
"")</f>
        <v>1</v>
      </c>
    </row>
    <row r="414" spans="1:17" x14ac:dyDescent="0.25">
      <c r="A414" s="20" t="s">
        <v>126</v>
      </c>
      <c r="B414" s="2">
        <v>45156</v>
      </c>
      <c r="C414" t="s">
        <v>46</v>
      </c>
      <c r="D414" t="s">
        <v>78</v>
      </c>
      <c r="E414" t="s">
        <v>36</v>
      </c>
      <c r="F414">
        <v>91</v>
      </c>
      <c r="G414" t="s">
        <v>63</v>
      </c>
      <c r="H414" s="9">
        <f t="shared" si="20"/>
        <v>17</v>
      </c>
      <c r="I414" cm="1">
        <f t="array" ref="I414">IFERROR(INDEX(CourseYardages[[Hole 1]:[Hole 18]],
  MATCH(1, (CourseYardages[Course]=C414)*(CourseYardages[Tees]=E414), 0),
  MATCH(G414, CourseYardages[[#Headers],[Hole 1]:[Hole 18]], 0)
),"")</f>
        <v>140</v>
      </c>
      <c r="J414" cm="1">
        <f t="array" ref="J414">IFERROR(INDEX(CourseHandicap[[Hole 1]:[Hole 18]],
  MATCH(1, (CourseHandicap[Course]=C414)*(CourseHandicap[Tees]=E414), 0),
  MATCH(G414, CourseHandicap[[#Headers],[Hole 1]:[Hole 18]], 0)
),"")</f>
        <v>9</v>
      </c>
      <c r="K414" cm="1">
        <f t="array" ref="K414">IFERROR(INDEX(CourseRatings[[Hole 1]:[Hole 18]],
  MATCH(1, (CourseRatings[Course]=C414)*(CourseRatings[Tees]=E414), 0),
  MATCH(G414, CourseRatings[[#Headers],[Hole 1]:[Hole 18]], 0)
),"")</f>
        <v>3</v>
      </c>
      <c r="L414" cm="1">
        <f t="array" ref="L414">IFERROR(
  INDEX('Golf Log'!$E$2:$V$72,
    MATCH(1,
      ('Golf Log'!$A$2:$A$72=$A414)*
      ('Golf Log'!$B$2:$B$72=$B414)*
      ('Golf Log'!$C$2:$C$72=$C414),
    0),
    MATCH($G414,'Golf Log'!$E$1:$V$1,0)
  ),
"")</f>
        <v>4</v>
      </c>
      <c r="M414">
        <f t="shared" si="19"/>
        <v>1</v>
      </c>
      <c r="N414" t="str">
        <f t="shared" si="18"/>
        <v>Bogey</v>
      </c>
      <c r="O414" cm="1">
        <f t="array" ref="O414">IFERROR(
  INDEX('Putt Log'!$E$2:$V$72,
    MATCH(1,
      ('Putt Log'!$A$2:$A$72=$A414)*
      ('Putt Log'!$B$2:$B$72=$B414)*
      ('Putt Log'!$C$2:$C$72=$C414),
    0),
    MATCH($G414,'Putt Log'!$E$1:$V$1,0)
  ),
"")</f>
        <v>2</v>
      </c>
      <c r="P414" t="str" cm="1">
        <f t="array" ref="P414">IF(K414=3,"",
  IFERROR(
    INDEX('Fairway Log'!$E$2:$V$72,
      MATCH(1,
        ('Fairway Log'!$A$2:$A$72=$A414)*
        ('Fairway Log'!$B$2:$B$72=$B414)*
        ('Fairway Log'!$C$2:$C485=$C414),
      0),
      MATCH($G414,'Fairway Log'!$E$1:$V$1,0)
    ),
  "")
)</f>
        <v/>
      </c>
      <c r="Q414" cm="1">
        <f t="array" ref="Q414">IFERROR(
  INDEX('GIR Log'!$E$2:$V$72,
    MATCH(1,
      ('GIR Log'!$A$2:$A$72=$A414)*
      ('GIR Log'!$B$2:$B$72=$B414)*
      ('GIR Log'!$C$2:$C$72=$C414),
    0),
    MATCH($G414,'GIR Log'!$E$1:$V$1,0)
  ),
"")</f>
        <v>0</v>
      </c>
    </row>
    <row r="415" spans="1:17" x14ac:dyDescent="0.25">
      <c r="A415" s="20" t="s">
        <v>126</v>
      </c>
      <c r="B415" s="2">
        <v>45156</v>
      </c>
      <c r="C415" t="s">
        <v>46</v>
      </c>
      <c r="D415" t="s">
        <v>78</v>
      </c>
      <c r="E415" t="s">
        <v>36</v>
      </c>
      <c r="F415">
        <v>91</v>
      </c>
      <c r="G415" t="s">
        <v>64</v>
      </c>
      <c r="H415" s="9">
        <f t="shared" si="20"/>
        <v>18</v>
      </c>
      <c r="I415" cm="1">
        <f t="array" ref="I415">IFERROR(INDEX(CourseYardages[[Hole 1]:[Hole 18]],
  MATCH(1, (CourseYardages[Course]=C415)*(CourseYardages[Tees]=E415), 0),
  MATCH(G415, CourseYardages[[#Headers],[Hole 1]:[Hole 18]], 0)
),"")</f>
        <v>405</v>
      </c>
      <c r="J415" cm="1">
        <f t="array" ref="J415">IFERROR(INDEX(CourseHandicap[[Hole 1]:[Hole 18]],
  MATCH(1, (CourseHandicap[Course]=C415)*(CourseHandicap[Tees]=E415), 0),
  MATCH(G415, CourseHandicap[[#Headers],[Hole 1]:[Hole 18]], 0)
),"")</f>
        <v>6</v>
      </c>
      <c r="K415" cm="1">
        <f t="array" ref="K415">IFERROR(INDEX(CourseRatings[[Hole 1]:[Hole 18]],
  MATCH(1, (CourseRatings[Course]=C415)*(CourseRatings[Tees]=E415), 0),
  MATCH(G415, CourseRatings[[#Headers],[Hole 1]:[Hole 18]], 0)
),"")</f>
        <v>4</v>
      </c>
      <c r="L415" cm="1">
        <f t="array" ref="L415">IFERROR(
  INDEX('Golf Log'!$E$2:$V$72,
    MATCH(1,
      ('Golf Log'!$A$2:$A$72=$A415)*
      ('Golf Log'!$B$2:$B$72=$B415)*
      ('Golf Log'!$C$2:$C$72=$C415),
    0),
    MATCH($G415,'Golf Log'!$E$1:$V$1,0)
  ),
"")</f>
        <v>4</v>
      </c>
      <c r="M415">
        <f t="shared" si="19"/>
        <v>0</v>
      </c>
      <c r="N415" t="str">
        <f t="shared" si="18"/>
        <v>Par</v>
      </c>
      <c r="O415" cm="1">
        <f t="array" ref="O415">IFERROR(
  INDEX('Putt Log'!$E$2:$V$72,
    MATCH(1,
      ('Putt Log'!$A$2:$A$72=$A415)*
      ('Putt Log'!$B$2:$B$72=$B415)*
      ('Putt Log'!$C$2:$C$72=$C415),
    0),
    MATCH($G415,'Putt Log'!$E$1:$V$1,0)
  ),
"")</f>
        <v>2</v>
      </c>
      <c r="P415" cm="1">
        <f t="array" ref="P415">IF(K415=3,"",
  IFERROR(
    INDEX('Fairway Log'!$E$2:$V$72,
      MATCH(1,
        ('Fairway Log'!$A$2:$A$72=$A415)*
        ('Fairway Log'!$B$2:$B$72=$B415)*
        ('Fairway Log'!$C$2:$C486=$C415),
      0),
      MATCH($G415,'Fairway Log'!$E$1:$V$1,0)
    ),
  "")
)</f>
        <v>1</v>
      </c>
      <c r="Q415" cm="1">
        <f t="array" ref="Q415">IFERROR(
  INDEX('GIR Log'!$E$2:$V$72,
    MATCH(1,
      ('GIR Log'!$A$2:$A$72=$A415)*
      ('GIR Log'!$B$2:$B$72=$B415)*
      ('GIR Log'!$C$2:$C$72=$C415),
    0),
    MATCH($G415,'GIR Log'!$E$1:$V$1,0)
  ),
"")</f>
        <v>1</v>
      </c>
    </row>
    <row r="416" spans="1:17" x14ac:dyDescent="0.25">
      <c r="A416" s="20" t="s">
        <v>126</v>
      </c>
      <c r="B416" s="2">
        <v>45144</v>
      </c>
      <c r="C416" t="s">
        <v>16</v>
      </c>
      <c r="D416" t="s">
        <v>16</v>
      </c>
      <c r="E416" t="s">
        <v>36</v>
      </c>
      <c r="F416">
        <v>99</v>
      </c>
      <c r="G416" t="s">
        <v>47</v>
      </c>
      <c r="H416" s="9">
        <f t="shared" si="20"/>
        <v>1</v>
      </c>
      <c r="I416" cm="1">
        <f t="array" ref="I416">IFERROR(INDEX(CourseYardages[[Hole 1]:[Hole 18]],
  MATCH(1, (CourseYardages[Course]=C416)*(CourseYardages[Tees]=E416), 0),
  MATCH(G416, CourseYardages[[#Headers],[Hole 1]:[Hole 18]], 0)
),"")</f>
        <v>429</v>
      </c>
      <c r="J416" cm="1">
        <f t="array" ref="J416">IFERROR(INDEX(CourseHandicap[[Hole 1]:[Hole 18]],
  MATCH(1, (CourseHandicap[Course]=C416)*(CourseHandicap[Tees]=E416), 0),
  MATCH(G416, CourseHandicap[[#Headers],[Hole 1]:[Hole 18]], 0)
),"")</f>
        <v>8</v>
      </c>
      <c r="K416" cm="1">
        <f t="array" ref="K416">IFERROR(INDEX(CourseRatings[[Hole 1]:[Hole 18]],
  MATCH(1, (CourseRatings[Course]=C416)*(CourseRatings[Tees]=E416), 0),
  MATCH(G416, CourseRatings[[#Headers],[Hole 1]:[Hole 18]], 0)
),"")</f>
        <v>4</v>
      </c>
      <c r="L416" cm="1">
        <f t="array" ref="L416">IFERROR(
  INDEX('Golf Log'!$E$2:$V$72,
    MATCH(1,
      ('Golf Log'!$A$2:$A$72=$A416)*
      ('Golf Log'!$B$2:$B$72=$B416)*
      ('Golf Log'!$C$2:$C$72=$C416),
    0),
    MATCH($G416,'Golf Log'!$E$1:$V$1,0)
  ),
"")</f>
        <v>7</v>
      </c>
      <c r="M416">
        <f t="shared" si="19"/>
        <v>3</v>
      </c>
      <c r="N416" t="str">
        <f t="shared" si="18"/>
        <v>Triple Bogey</v>
      </c>
      <c r="O416" cm="1">
        <f t="array" ref="O416">IFERROR(
  INDEX('Putt Log'!$E$2:$V$72,
    MATCH(1,
      ('Putt Log'!$A$2:$A$72=$A416)*
      ('Putt Log'!$B$2:$B$72=$B416)*
      ('Putt Log'!$C$2:$C$72=$C416),
    0),
    MATCH($G416,'Putt Log'!$E$1:$V$1,0)
  ),
"")</f>
        <v>2</v>
      </c>
      <c r="P416" t="str" cm="1">
        <f t="array" ref="P416">IF(K416=3,"",
  IFERROR(
    INDEX('Fairway Log'!$E$2:$V$72,
      MATCH(1,
        ('Fairway Log'!$A$2:$A$72=$A416)*
        ('Fairway Log'!$B$2:$B$72=$B416)*
        ('Fairway Log'!$C$2:$C487=$C416),
      0),
      MATCH($G416,'Fairway Log'!$E$1:$V$1,0)
    ),
  "")
)</f>
        <v>→</v>
      </c>
      <c r="Q416" cm="1">
        <f t="array" ref="Q416">IFERROR(
  INDEX('GIR Log'!$E$2:$V$72,
    MATCH(1,
      ('GIR Log'!$A$2:$A$72=$A416)*
      ('GIR Log'!$B$2:$B$72=$B416)*
      ('GIR Log'!$C$2:$C$72=$C416),
    0),
    MATCH($G416,'GIR Log'!$E$1:$V$1,0)
  ),
"")</f>
        <v>0</v>
      </c>
    </row>
    <row r="417" spans="1:17" x14ac:dyDescent="0.25">
      <c r="A417" s="20" t="s">
        <v>126</v>
      </c>
      <c r="B417" s="2">
        <v>45144</v>
      </c>
      <c r="C417" t="s">
        <v>16</v>
      </c>
      <c r="D417" t="s">
        <v>16</v>
      </c>
      <c r="E417" t="s">
        <v>36</v>
      </c>
      <c r="F417">
        <v>99</v>
      </c>
      <c r="G417" t="s">
        <v>48</v>
      </c>
      <c r="H417" s="9">
        <f t="shared" si="20"/>
        <v>2</v>
      </c>
      <c r="I417" cm="1">
        <f t="array" ref="I417">IFERROR(INDEX(CourseYardages[[Hole 1]:[Hole 18]],
  MATCH(1, (CourseYardages[Course]=C417)*(CourseYardages[Tees]=E417), 0),
  MATCH(G417, CourseYardages[[#Headers],[Hole 1]:[Hole 18]], 0)
),"")</f>
        <v>354</v>
      </c>
      <c r="J417" cm="1">
        <f t="array" ref="J417">IFERROR(INDEX(CourseHandicap[[Hole 1]:[Hole 18]],
  MATCH(1, (CourseHandicap[Course]=C417)*(CourseHandicap[Tees]=E417), 0),
  MATCH(G417, CourseHandicap[[#Headers],[Hole 1]:[Hole 18]], 0)
),"")</f>
        <v>16</v>
      </c>
      <c r="K417" cm="1">
        <f t="array" ref="K417">IFERROR(INDEX(CourseRatings[[Hole 1]:[Hole 18]],
  MATCH(1, (CourseRatings[Course]=C417)*(CourseRatings[Tees]=E417), 0),
  MATCH(G417, CourseRatings[[#Headers],[Hole 1]:[Hole 18]], 0)
),"")</f>
        <v>4</v>
      </c>
      <c r="L417" cm="1">
        <f t="array" ref="L417">IFERROR(
  INDEX('Golf Log'!$E$2:$V$72,
    MATCH(1,
      ('Golf Log'!$A$2:$A$72=$A417)*
      ('Golf Log'!$B$2:$B$72=$B417)*
      ('Golf Log'!$C$2:$C$72=$C417),
    0),
    MATCH($G417,'Golf Log'!$E$1:$V$1,0)
  ),
"")</f>
        <v>5</v>
      </c>
      <c r="M417">
        <f t="shared" si="19"/>
        <v>1</v>
      </c>
      <c r="N417" t="str">
        <f t="shared" si="18"/>
        <v>Bogey</v>
      </c>
      <c r="O417" cm="1">
        <f t="array" ref="O417">IFERROR(
  INDEX('Putt Log'!$E$2:$V$72,
    MATCH(1,
      ('Putt Log'!$A$2:$A$72=$A417)*
      ('Putt Log'!$B$2:$B$72=$B417)*
      ('Putt Log'!$C$2:$C$72=$C417),
    0),
    MATCH($G417,'Putt Log'!$E$1:$V$1,0)
  ),
"")</f>
        <v>2</v>
      </c>
      <c r="P417" t="str" cm="1">
        <f t="array" ref="P417">IF(K417=3,"",
  IFERROR(
    INDEX('Fairway Log'!$E$2:$V$72,
      MATCH(1,
        ('Fairway Log'!$A$2:$A$72=$A417)*
        ('Fairway Log'!$B$2:$B$72=$B417)*
        ('Fairway Log'!$C$2:$C488=$C417),
      0),
      MATCH($G417,'Fairway Log'!$E$1:$V$1,0)
    ),
  "")
)</f>
        <v>←</v>
      </c>
      <c r="Q417" cm="1">
        <f t="array" ref="Q417">IFERROR(
  INDEX('GIR Log'!$E$2:$V$72,
    MATCH(1,
      ('GIR Log'!$A$2:$A$72=$A417)*
      ('GIR Log'!$B$2:$B$72=$B417)*
      ('GIR Log'!$C$2:$C$72=$C417),
    0),
    MATCH($G417,'GIR Log'!$E$1:$V$1,0)
  ),
"")</f>
        <v>0</v>
      </c>
    </row>
    <row r="418" spans="1:17" x14ac:dyDescent="0.25">
      <c r="A418" s="20" t="s">
        <v>126</v>
      </c>
      <c r="B418" s="2">
        <v>45144</v>
      </c>
      <c r="C418" t="s">
        <v>16</v>
      </c>
      <c r="D418" t="s">
        <v>16</v>
      </c>
      <c r="E418" t="s">
        <v>36</v>
      </c>
      <c r="F418">
        <v>99</v>
      </c>
      <c r="G418" t="s">
        <v>49</v>
      </c>
      <c r="H418" s="9">
        <f t="shared" si="20"/>
        <v>3</v>
      </c>
      <c r="I418" cm="1">
        <f t="array" ref="I418">IFERROR(INDEX(CourseYardages[[Hole 1]:[Hole 18]],
  MATCH(1, (CourseYardages[Course]=C418)*(CourseYardages[Tees]=E418), 0),
  MATCH(G418, CourseYardages[[#Headers],[Hole 1]:[Hole 18]], 0)
),"")</f>
        <v>158</v>
      </c>
      <c r="J418" cm="1">
        <f t="array" ref="J418">IFERROR(INDEX(CourseHandicap[[Hole 1]:[Hole 18]],
  MATCH(1, (CourseHandicap[Course]=C418)*(CourseHandicap[Tees]=E418), 0),
  MATCH(G418, CourseHandicap[[#Headers],[Hole 1]:[Hole 18]], 0)
),"")</f>
        <v>18</v>
      </c>
      <c r="K418" cm="1">
        <f t="array" ref="K418">IFERROR(INDEX(CourseRatings[[Hole 1]:[Hole 18]],
  MATCH(1, (CourseRatings[Course]=C418)*(CourseRatings[Tees]=E418), 0),
  MATCH(G418, CourseRatings[[#Headers],[Hole 1]:[Hole 18]], 0)
),"")</f>
        <v>3</v>
      </c>
      <c r="L418" cm="1">
        <f t="array" ref="L418">IFERROR(
  INDEX('Golf Log'!$E$2:$V$72,
    MATCH(1,
      ('Golf Log'!$A$2:$A$72=$A418)*
      ('Golf Log'!$B$2:$B$72=$B418)*
      ('Golf Log'!$C$2:$C$72=$C418),
    0),
    MATCH($G418,'Golf Log'!$E$1:$V$1,0)
  ),
"")</f>
        <v>4</v>
      </c>
      <c r="M418">
        <f t="shared" si="19"/>
        <v>1</v>
      </c>
      <c r="N418" t="str">
        <f t="shared" si="18"/>
        <v>Bogey</v>
      </c>
      <c r="O418" cm="1">
        <f t="array" ref="O418">IFERROR(
  INDEX('Putt Log'!$E$2:$V$72,
    MATCH(1,
      ('Putt Log'!$A$2:$A$72=$A418)*
      ('Putt Log'!$B$2:$B$72=$B418)*
      ('Putt Log'!$C$2:$C$72=$C418),
    0),
    MATCH($G418,'Putt Log'!$E$1:$V$1,0)
  ),
"")</f>
        <v>2</v>
      </c>
      <c r="P418" t="str" cm="1">
        <f t="array" ref="P418">IF(K418=3,"",
  IFERROR(
    INDEX('Fairway Log'!$E$2:$V$72,
      MATCH(1,
        ('Fairway Log'!$A$2:$A$72=$A418)*
        ('Fairway Log'!$B$2:$B$72=$B418)*
        ('Fairway Log'!$C$2:$C489=$C418),
      0),
      MATCH($G418,'Fairway Log'!$E$1:$V$1,0)
    ),
  "")
)</f>
        <v/>
      </c>
      <c r="Q418" cm="1">
        <f t="array" ref="Q418">IFERROR(
  INDEX('GIR Log'!$E$2:$V$72,
    MATCH(1,
      ('GIR Log'!$A$2:$A$72=$A418)*
      ('GIR Log'!$B$2:$B$72=$B418)*
      ('GIR Log'!$C$2:$C$72=$C418),
    0),
    MATCH($G418,'GIR Log'!$E$1:$V$1,0)
  ),
"")</f>
        <v>0</v>
      </c>
    </row>
    <row r="419" spans="1:17" x14ac:dyDescent="0.25">
      <c r="A419" s="20" t="s">
        <v>126</v>
      </c>
      <c r="B419" s="2">
        <v>45144</v>
      </c>
      <c r="C419" t="s">
        <v>16</v>
      </c>
      <c r="D419" t="s">
        <v>16</v>
      </c>
      <c r="E419" t="s">
        <v>36</v>
      </c>
      <c r="F419">
        <v>99</v>
      </c>
      <c r="G419" t="s">
        <v>50</v>
      </c>
      <c r="H419" s="9">
        <f t="shared" si="20"/>
        <v>4</v>
      </c>
      <c r="I419" cm="1">
        <f t="array" ref="I419">IFERROR(INDEX(CourseYardages[[Hole 1]:[Hole 18]],
  MATCH(1, (CourseYardages[Course]=C419)*(CourseYardages[Tees]=E419), 0),
  MATCH(G419, CourseYardages[[#Headers],[Hole 1]:[Hole 18]], 0)
),"")</f>
        <v>461</v>
      </c>
      <c r="J419" cm="1">
        <f t="array" ref="J419">IFERROR(INDEX(CourseHandicap[[Hole 1]:[Hole 18]],
  MATCH(1, (CourseHandicap[Course]=C419)*(CourseHandicap[Tees]=E419), 0),
  MATCH(G419, CourseHandicap[[#Headers],[Hole 1]:[Hole 18]], 0)
),"")</f>
        <v>2</v>
      </c>
      <c r="K419" cm="1">
        <f t="array" ref="K419">IFERROR(INDEX(CourseRatings[[Hole 1]:[Hole 18]],
  MATCH(1, (CourseRatings[Course]=C419)*(CourseRatings[Tees]=E419), 0),
  MATCH(G419, CourseRatings[[#Headers],[Hole 1]:[Hole 18]], 0)
),"")</f>
        <v>5</v>
      </c>
      <c r="L419" cm="1">
        <f t="array" ref="L419">IFERROR(
  INDEX('Golf Log'!$E$2:$V$72,
    MATCH(1,
      ('Golf Log'!$A$2:$A$72=$A419)*
      ('Golf Log'!$B$2:$B$72=$B419)*
      ('Golf Log'!$C$2:$C$72=$C419),
    0),
    MATCH($G419,'Golf Log'!$E$1:$V$1,0)
  ),
"")</f>
        <v>7</v>
      </c>
      <c r="M419">
        <f t="shared" si="19"/>
        <v>2</v>
      </c>
      <c r="N419" t="str">
        <f t="shared" si="18"/>
        <v>Double Bogey</v>
      </c>
      <c r="O419" cm="1">
        <f t="array" ref="O419">IFERROR(
  INDEX('Putt Log'!$E$2:$V$72,
    MATCH(1,
      ('Putt Log'!$A$2:$A$72=$A419)*
      ('Putt Log'!$B$2:$B$72=$B419)*
      ('Putt Log'!$C$2:$C$72=$C419),
    0),
    MATCH($G419,'Putt Log'!$E$1:$V$1,0)
  ),
"")</f>
        <v>1</v>
      </c>
      <c r="P419" cm="1">
        <f t="array" ref="P419">IF(K419=3,"",
  IFERROR(
    INDEX('Fairway Log'!$E$2:$V$72,
      MATCH(1,
        ('Fairway Log'!$A$2:$A$72=$A419)*
        ('Fairway Log'!$B$2:$B$72=$B419)*
        ('Fairway Log'!$C$2:$C490=$C419),
      0),
      MATCH($G419,'Fairway Log'!$E$1:$V$1,0)
    ),
  "")
)</f>
        <v>1</v>
      </c>
      <c r="Q419" cm="1">
        <f t="array" ref="Q419">IFERROR(
  INDEX('GIR Log'!$E$2:$V$72,
    MATCH(1,
      ('GIR Log'!$A$2:$A$72=$A419)*
      ('GIR Log'!$B$2:$B$72=$B419)*
      ('GIR Log'!$C$2:$C$72=$C419),
    0),
    MATCH($G419,'GIR Log'!$E$1:$V$1,0)
  ),
"")</f>
        <v>0</v>
      </c>
    </row>
    <row r="420" spans="1:17" x14ac:dyDescent="0.25">
      <c r="A420" s="20" t="s">
        <v>126</v>
      </c>
      <c r="B420" s="2">
        <v>45144</v>
      </c>
      <c r="C420" t="s">
        <v>16</v>
      </c>
      <c r="D420" t="s">
        <v>16</v>
      </c>
      <c r="E420" t="s">
        <v>36</v>
      </c>
      <c r="F420">
        <v>99</v>
      </c>
      <c r="G420" t="s">
        <v>51</v>
      </c>
      <c r="H420" s="9">
        <f t="shared" si="20"/>
        <v>5</v>
      </c>
      <c r="I420" cm="1">
        <f t="array" ref="I420">IFERROR(INDEX(CourseYardages[[Hole 1]:[Hole 18]],
  MATCH(1, (CourseYardages[Course]=C420)*(CourseYardages[Tees]=E420), 0),
  MATCH(G420, CourseYardages[[#Headers],[Hole 1]:[Hole 18]], 0)
),"")</f>
        <v>423</v>
      </c>
      <c r="J420" cm="1">
        <f t="array" ref="J420">IFERROR(INDEX(CourseHandicap[[Hole 1]:[Hole 18]],
  MATCH(1, (CourseHandicap[Course]=C420)*(CourseHandicap[Tees]=E420), 0),
  MATCH(G420, CourseHandicap[[#Headers],[Hole 1]:[Hole 18]], 0)
),"")</f>
        <v>4</v>
      </c>
      <c r="K420" cm="1">
        <f t="array" ref="K420">IFERROR(INDEX(CourseRatings[[Hole 1]:[Hole 18]],
  MATCH(1, (CourseRatings[Course]=C420)*(CourseRatings[Tees]=E420), 0),
  MATCH(G420, CourseRatings[[#Headers],[Hole 1]:[Hole 18]], 0)
),"")</f>
        <v>4</v>
      </c>
      <c r="L420" cm="1">
        <f t="array" ref="L420">IFERROR(
  INDEX('Golf Log'!$E$2:$V$72,
    MATCH(1,
      ('Golf Log'!$A$2:$A$72=$A420)*
      ('Golf Log'!$B$2:$B$72=$B420)*
      ('Golf Log'!$C$2:$C$72=$C420),
    0),
    MATCH($G420,'Golf Log'!$E$1:$V$1,0)
  ),
"")</f>
        <v>7</v>
      </c>
      <c r="M420">
        <f t="shared" si="19"/>
        <v>3</v>
      </c>
      <c r="N420" t="str">
        <f t="shared" ref="N420:N578" si="21">IF(M420="","",(IF(M420=-2,"Eagle",IF(M420=-1,"Birdie",IF(M420=0,"Par",IF(M420=1,"Bogey",IF(M420=2,"Double Bogey",IF(M420=3,"Triple Bogey",IF(M420&gt;3,"Quad Bogey+")))))))))</f>
        <v>Triple Bogey</v>
      </c>
      <c r="O420" cm="1">
        <f t="array" ref="O420">IFERROR(
  INDEX('Putt Log'!$E$2:$V$72,
    MATCH(1,
      ('Putt Log'!$A$2:$A$72=$A420)*
      ('Putt Log'!$B$2:$B$72=$B420)*
      ('Putt Log'!$C$2:$C$72=$C420),
    0),
    MATCH($G420,'Putt Log'!$E$1:$V$1,0)
  ),
"")</f>
        <v>2</v>
      </c>
      <c r="P420" t="str" cm="1">
        <f t="array" ref="P420">IF(K420=3,"",
  IFERROR(
    INDEX('Fairway Log'!$E$2:$V$72,
      MATCH(1,
        ('Fairway Log'!$A$2:$A$72=$A420)*
        ('Fairway Log'!$B$2:$B$72=$B420)*
        ('Fairway Log'!$C$2:$C491=$C420),
      0),
      MATCH($G420,'Fairway Log'!$E$1:$V$1,0)
    ),
  "")
)</f>
        <v>→</v>
      </c>
      <c r="Q420" cm="1">
        <f t="array" ref="Q420">IFERROR(
  INDEX('GIR Log'!$E$2:$V$72,
    MATCH(1,
      ('GIR Log'!$A$2:$A$72=$A420)*
      ('GIR Log'!$B$2:$B$72=$B420)*
      ('GIR Log'!$C$2:$C$72=$C420),
    0),
    MATCH($G420,'GIR Log'!$E$1:$V$1,0)
  ),
"")</f>
        <v>0</v>
      </c>
    </row>
    <row r="421" spans="1:17" x14ac:dyDescent="0.25">
      <c r="A421" s="20" t="s">
        <v>126</v>
      </c>
      <c r="B421" s="2">
        <v>45144</v>
      </c>
      <c r="C421" t="s">
        <v>16</v>
      </c>
      <c r="D421" t="s">
        <v>16</v>
      </c>
      <c r="E421" t="s">
        <v>36</v>
      </c>
      <c r="F421">
        <v>99</v>
      </c>
      <c r="G421" t="s">
        <v>52</v>
      </c>
      <c r="H421" s="9">
        <f t="shared" si="20"/>
        <v>6</v>
      </c>
      <c r="I421" cm="1">
        <f t="array" ref="I421">IFERROR(INDEX(CourseYardages[[Hole 1]:[Hole 18]],
  MATCH(1, (CourseYardages[Course]=C421)*(CourseYardages[Tees]=E421), 0),
  MATCH(G421, CourseYardages[[#Headers],[Hole 1]:[Hole 18]], 0)
),"")</f>
        <v>386</v>
      </c>
      <c r="J421" cm="1">
        <f t="array" ref="J421">IFERROR(INDEX(CourseHandicap[[Hole 1]:[Hole 18]],
  MATCH(1, (CourseHandicap[Course]=C421)*(CourseHandicap[Tees]=E421), 0),
  MATCH(G421, CourseHandicap[[#Headers],[Hole 1]:[Hole 18]], 0)
),"")</f>
        <v>10</v>
      </c>
      <c r="K421" cm="1">
        <f t="array" ref="K421">IFERROR(INDEX(CourseRatings[[Hole 1]:[Hole 18]],
  MATCH(1, (CourseRatings[Course]=C421)*(CourseRatings[Tees]=E421), 0),
  MATCH(G421, CourseRatings[[#Headers],[Hole 1]:[Hole 18]], 0)
),"")</f>
        <v>4</v>
      </c>
      <c r="L421" cm="1">
        <f t="array" ref="L421">IFERROR(
  INDEX('Golf Log'!$E$2:$V$72,
    MATCH(1,
      ('Golf Log'!$A$2:$A$72=$A421)*
      ('Golf Log'!$B$2:$B$72=$B421)*
      ('Golf Log'!$C$2:$C$72=$C421),
    0),
    MATCH($G421,'Golf Log'!$E$1:$V$1,0)
  ),
"")</f>
        <v>6</v>
      </c>
      <c r="M421">
        <f t="shared" si="19"/>
        <v>2</v>
      </c>
      <c r="N421" t="str">
        <f t="shared" si="21"/>
        <v>Double Bogey</v>
      </c>
      <c r="O421" cm="1">
        <f t="array" ref="O421">IFERROR(
  INDEX('Putt Log'!$E$2:$V$72,
    MATCH(1,
      ('Putt Log'!$A$2:$A$72=$A421)*
      ('Putt Log'!$B$2:$B$72=$B421)*
      ('Putt Log'!$C$2:$C$72=$C421),
    0),
    MATCH($G421,'Putt Log'!$E$1:$V$1,0)
  ),
"")</f>
        <v>1</v>
      </c>
      <c r="P421" cm="1">
        <f t="array" ref="P421">IF(K421=3,"",
  IFERROR(
    INDEX('Fairway Log'!$E$2:$V$72,
      MATCH(1,
        ('Fairway Log'!$A$2:$A$72=$A421)*
        ('Fairway Log'!$B$2:$B$72=$B421)*
        ('Fairway Log'!$C$2:$C492=$C421),
      0),
      MATCH($G421,'Fairway Log'!$E$1:$V$1,0)
    ),
  "")
)</f>
        <v>1</v>
      </c>
      <c r="Q421" cm="1">
        <f t="array" ref="Q421">IFERROR(
  INDEX('GIR Log'!$E$2:$V$72,
    MATCH(1,
      ('GIR Log'!$A$2:$A$72=$A421)*
      ('GIR Log'!$B$2:$B$72=$B421)*
      ('GIR Log'!$C$2:$C$72=$C421),
    0),
    MATCH($G421,'GIR Log'!$E$1:$V$1,0)
  ),
"")</f>
        <v>0</v>
      </c>
    </row>
    <row r="422" spans="1:17" x14ac:dyDescent="0.25">
      <c r="A422" s="20" t="s">
        <v>126</v>
      </c>
      <c r="B422" s="2">
        <v>45144</v>
      </c>
      <c r="C422" t="s">
        <v>16</v>
      </c>
      <c r="D422" t="s">
        <v>16</v>
      </c>
      <c r="E422" t="s">
        <v>36</v>
      </c>
      <c r="F422">
        <v>99</v>
      </c>
      <c r="G422" t="s">
        <v>53</v>
      </c>
      <c r="H422" s="9">
        <f t="shared" si="20"/>
        <v>7</v>
      </c>
      <c r="I422" cm="1">
        <f t="array" ref="I422">IFERROR(INDEX(CourseYardages[[Hole 1]:[Hole 18]],
  MATCH(1, (CourseYardages[Course]=C422)*(CourseYardages[Tees]=E422), 0),
  MATCH(G422, CourseYardages[[#Headers],[Hole 1]:[Hole 18]], 0)
),"")</f>
        <v>525</v>
      </c>
      <c r="J422" cm="1">
        <f t="array" ref="J422">IFERROR(INDEX(CourseHandicap[[Hole 1]:[Hole 18]],
  MATCH(1, (CourseHandicap[Course]=C422)*(CourseHandicap[Tees]=E422), 0),
  MATCH(G422, CourseHandicap[[#Headers],[Hole 1]:[Hole 18]], 0)
),"")</f>
        <v>6</v>
      </c>
      <c r="K422" cm="1">
        <f t="array" ref="K422">IFERROR(INDEX(CourseRatings[[Hole 1]:[Hole 18]],
  MATCH(1, (CourseRatings[Course]=C422)*(CourseRatings[Tees]=E422), 0),
  MATCH(G422, CourseRatings[[#Headers],[Hole 1]:[Hole 18]], 0)
),"")</f>
        <v>5</v>
      </c>
      <c r="L422" cm="1">
        <f t="array" ref="L422">IFERROR(
  INDEX('Golf Log'!$E$2:$V$72,
    MATCH(1,
      ('Golf Log'!$A$2:$A$72=$A422)*
      ('Golf Log'!$B$2:$B$72=$B422)*
      ('Golf Log'!$C$2:$C$72=$C422),
    0),
    MATCH($G422,'Golf Log'!$E$1:$V$1,0)
  ),
"")</f>
        <v>6</v>
      </c>
      <c r="M422">
        <f t="shared" si="19"/>
        <v>1</v>
      </c>
      <c r="N422" t="str">
        <f t="shared" si="21"/>
        <v>Bogey</v>
      </c>
      <c r="O422" cm="1">
        <f t="array" ref="O422">IFERROR(
  INDEX('Putt Log'!$E$2:$V$72,
    MATCH(1,
      ('Putt Log'!$A$2:$A$72=$A422)*
      ('Putt Log'!$B$2:$B$72=$B422)*
      ('Putt Log'!$C$2:$C$72=$C422),
    0),
    MATCH($G422,'Putt Log'!$E$1:$V$1,0)
  ),
"")</f>
        <v>2</v>
      </c>
      <c r="P422" cm="1">
        <f t="array" ref="P422">IF(K422=3,"",
  IFERROR(
    INDEX('Fairway Log'!$E$2:$V$72,
      MATCH(1,
        ('Fairway Log'!$A$2:$A$72=$A422)*
        ('Fairway Log'!$B$2:$B$72=$B422)*
        ('Fairway Log'!$C$2:$C493=$C422),
      0),
      MATCH($G422,'Fairway Log'!$E$1:$V$1,0)
    ),
  "")
)</f>
        <v>1</v>
      </c>
      <c r="Q422" cm="1">
        <f t="array" ref="Q422">IFERROR(
  INDEX('GIR Log'!$E$2:$V$72,
    MATCH(1,
      ('GIR Log'!$A$2:$A$72=$A422)*
      ('GIR Log'!$B$2:$B$72=$B422)*
      ('GIR Log'!$C$2:$C$72=$C422),
    0),
    MATCH($G422,'GIR Log'!$E$1:$V$1,0)
  ),
"")</f>
        <v>0</v>
      </c>
    </row>
    <row r="423" spans="1:17" x14ac:dyDescent="0.25">
      <c r="A423" s="20" t="s">
        <v>126</v>
      </c>
      <c r="B423" s="2">
        <v>45144</v>
      </c>
      <c r="C423" t="s">
        <v>16</v>
      </c>
      <c r="D423" t="s">
        <v>16</v>
      </c>
      <c r="E423" t="s">
        <v>36</v>
      </c>
      <c r="F423">
        <v>99</v>
      </c>
      <c r="G423" t="s">
        <v>54</v>
      </c>
      <c r="H423" s="9">
        <f t="shared" si="20"/>
        <v>8</v>
      </c>
      <c r="I423" cm="1">
        <f t="array" ref="I423">IFERROR(INDEX(CourseYardages[[Hole 1]:[Hole 18]],
  MATCH(1, (CourseYardages[Course]=C423)*(CourseYardages[Tees]=E423), 0),
  MATCH(G423, CourseYardages[[#Headers],[Hole 1]:[Hole 18]], 0)
),"")</f>
        <v>191</v>
      </c>
      <c r="J423" cm="1">
        <f t="array" ref="J423">IFERROR(INDEX(CourseHandicap[[Hole 1]:[Hole 18]],
  MATCH(1, (CourseHandicap[Course]=C423)*(CourseHandicap[Tees]=E423), 0),
  MATCH(G423, CourseHandicap[[#Headers],[Hole 1]:[Hole 18]], 0)
),"")</f>
        <v>14</v>
      </c>
      <c r="K423" cm="1">
        <f t="array" ref="K423">IFERROR(INDEX(CourseRatings[[Hole 1]:[Hole 18]],
  MATCH(1, (CourseRatings[Course]=C423)*(CourseRatings[Tees]=E423), 0),
  MATCH(G423, CourseRatings[[#Headers],[Hole 1]:[Hole 18]], 0)
),"")</f>
        <v>3</v>
      </c>
      <c r="L423" cm="1">
        <f t="array" ref="L423">IFERROR(
  INDEX('Golf Log'!$E$2:$V$72,
    MATCH(1,
      ('Golf Log'!$A$2:$A$72=$A423)*
      ('Golf Log'!$B$2:$B$72=$B423)*
      ('Golf Log'!$C$2:$C$72=$C423),
    0),
    MATCH($G423,'Golf Log'!$E$1:$V$1,0)
  ),
"")</f>
        <v>4</v>
      </c>
      <c r="M423">
        <f t="shared" si="19"/>
        <v>1</v>
      </c>
      <c r="N423" t="str">
        <f t="shared" si="21"/>
        <v>Bogey</v>
      </c>
      <c r="O423" cm="1">
        <f t="array" ref="O423">IFERROR(
  INDEX('Putt Log'!$E$2:$V$72,
    MATCH(1,
      ('Putt Log'!$A$2:$A$72=$A423)*
      ('Putt Log'!$B$2:$B$72=$B423)*
      ('Putt Log'!$C$2:$C$72=$C423),
    0),
    MATCH($G423,'Putt Log'!$E$1:$V$1,0)
  ),
"")</f>
        <v>2</v>
      </c>
      <c r="P423" t="str" cm="1">
        <f t="array" ref="P423">IF(K423=3,"",
  IFERROR(
    INDEX('Fairway Log'!$E$2:$V$72,
      MATCH(1,
        ('Fairway Log'!$A$2:$A$72=$A423)*
        ('Fairway Log'!$B$2:$B$72=$B423)*
        ('Fairway Log'!$C$2:$C494=$C423),
      0),
      MATCH($G423,'Fairway Log'!$E$1:$V$1,0)
    ),
  "")
)</f>
        <v/>
      </c>
      <c r="Q423" cm="1">
        <f t="array" ref="Q423">IFERROR(
  INDEX('GIR Log'!$E$2:$V$72,
    MATCH(1,
      ('GIR Log'!$A$2:$A$72=$A423)*
      ('GIR Log'!$B$2:$B$72=$B423)*
      ('GIR Log'!$C$2:$C$72=$C423),
    0),
    MATCH($G423,'GIR Log'!$E$1:$V$1,0)
  ),
"")</f>
        <v>0</v>
      </c>
    </row>
    <row r="424" spans="1:17" x14ac:dyDescent="0.25">
      <c r="A424" s="20" t="s">
        <v>126</v>
      </c>
      <c r="B424" s="2">
        <v>45144</v>
      </c>
      <c r="C424" t="s">
        <v>16</v>
      </c>
      <c r="D424" t="s">
        <v>16</v>
      </c>
      <c r="E424" t="s">
        <v>36</v>
      </c>
      <c r="F424">
        <v>99</v>
      </c>
      <c r="G424" t="s">
        <v>55</v>
      </c>
      <c r="H424" s="9">
        <f t="shared" si="20"/>
        <v>9</v>
      </c>
      <c r="I424" cm="1">
        <f t="array" ref="I424">IFERROR(INDEX(CourseYardages[[Hole 1]:[Hole 18]],
  MATCH(1, (CourseYardages[Course]=C424)*(CourseYardages[Tees]=E424), 0),
  MATCH(G424, CourseYardages[[#Headers],[Hole 1]:[Hole 18]], 0)
),"")</f>
        <v>385</v>
      </c>
      <c r="J424" cm="1">
        <f t="array" ref="J424">IFERROR(INDEX(CourseHandicap[[Hole 1]:[Hole 18]],
  MATCH(1, (CourseHandicap[Course]=C424)*(CourseHandicap[Tees]=E424), 0),
  MATCH(G424, CourseHandicap[[#Headers],[Hole 1]:[Hole 18]], 0)
),"")</f>
        <v>12</v>
      </c>
      <c r="K424" cm="1">
        <f t="array" ref="K424">IFERROR(INDEX(CourseRatings[[Hole 1]:[Hole 18]],
  MATCH(1, (CourseRatings[Course]=C424)*(CourseRatings[Tees]=E424), 0),
  MATCH(G424, CourseRatings[[#Headers],[Hole 1]:[Hole 18]], 0)
),"")</f>
        <v>4</v>
      </c>
      <c r="L424" cm="1">
        <f t="array" ref="L424">IFERROR(
  INDEX('Golf Log'!$E$2:$V$72,
    MATCH(1,
      ('Golf Log'!$A$2:$A$72=$A424)*
      ('Golf Log'!$B$2:$B$72=$B424)*
      ('Golf Log'!$C$2:$C$72=$C424),
    0),
    MATCH($G424,'Golf Log'!$E$1:$V$1,0)
  ),
"")</f>
        <v>6</v>
      </c>
      <c r="M424">
        <f t="shared" si="19"/>
        <v>2</v>
      </c>
      <c r="N424" t="str">
        <f t="shared" si="21"/>
        <v>Double Bogey</v>
      </c>
      <c r="O424" cm="1">
        <f t="array" ref="O424">IFERROR(
  INDEX('Putt Log'!$E$2:$V$72,
    MATCH(1,
      ('Putt Log'!$A$2:$A$72=$A424)*
      ('Putt Log'!$B$2:$B$72=$B424)*
      ('Putt Log'!$C$2:$C$72=$C424),
    0),
    MATCH($G424,'Putt Log'!$E$1:$V$1,0)
  ),
"")</f>
        <v>3</v>
      </c>
      <c r="P424" cm="1">
        <f t="array" ref="P424">IF(K424=3,"",
  IFERROR(
    INDEX('Fairway Log'!$E$2:$V$72,
      MATCH(1,
        ('Fairway Log'!$A$2:$A$72=$A424)*
        ('Fairway Log'!$B$2:$B$72=$B424)*
        ('Fairway Log'!$C$2:$C495=$C424),
      0),
      MATCH($G424,'Fairway Log'!$E$1:$V$1,0)
    ),
  "")
)</f>
        <v>1</v>
      </c>
      <c r="Q424" cm="1">
        <f t="array" ref="Q424">IFERROR(
  INDEX('GIR Log'!$E$2:$V$72,
    MATCH(1,
      ('GIR Log'!$A$2:$A$72=$A424)*
      ('GIR Log'!$B$2:$B$72=$B424)*
      ('GIR Log'!$C$2:$C$72=$C424),
    0),
    MATCH($G424,'GIR Log'!$E$1:$V$1,0)
  ),
"")</f>
        <v>0</v>
      </c>
    </row>
    <row r="425" spans="1:17" x14ac:dyDescent="0.25">
      <c r="A425" s="20" t="s">
        <v>126</v>
      </c>
      <c r="B425" s="2">
        <v>45144</v>
      </c>
      <c r="C425" t="s">
        <v>16</v>
      </c>
      <c r="D425" t="s">
        <v>16</v>
      </c>
      <c r="E425" t="s">
        <v>36</v>
      </c>
      <c r="F425">
        <v>99</v>
      </c>
      <c r="G425" t="s">
        <v>56</v>
      </c>
      <c r="H425" s="9">
        <f t="shared" si="20"/>
        <v>10</v>
      </c>
      <c r="I425" cm="1">
        <f t="array" ref="I425">IFERROR(INDEX(CourseYardages[[Hole 1]:[Hole 18]],
  MATCH(1, (CourseYardages[Course]=C425)*(CourseYardages[Tees]=E425), 0),
  MATCH(G425, CourseYardages[[#Headers],[Hole 1]:[Hole 18]], 0)
),"")</f>
        <v>434</v>
      </c>
      <c r="J425" cm="1">
        <f t="array" ref="J425">IFERROR(INDEX(CourseHandicap[[Hole 1]:[Hole 18]],
  MATCH(1, (CourseHandicap[Course]=C425)*(CourseHandicap[Tees]=E425), 0),
  MATCH(G425, CourseHandicap[[#Headers],[Hole 1]:[Hole 18]], 0)
),"")</f>
        <v>9</v>
      </c>
      <c r="K425" cm="1">
        <f t="array" ref="K425">IFERROR(INDEX(CourseRatings[[Hole 1]:[Hole 18]],
  MATCH(1, (CourseRatings[Course]=C425)*(CourseRatings[Tees]=E425), 0),
  MATCH(G425, CourseRatings[[#Headers],[Hole 1]:[Hole 18]], 0)
),"")</f>
        <v>4</v>
      </c>
      <c r="L425" cm="1">
        <f t="array" ref="L425">IFERROR(
  INDEX('Golf Log'!$E$2:$V$72,
    MATCH(1,
      ('Golf Log'!$A$2:$A$72=$A425)*
      ('Golf Log'!$B$2:$B$72=$B425)*
      ('Golf Log'!$C$2:$C$72=$C425),
    0),
    MATCH($G425,'Golf Log'!$E$1:$V$1,0)
  ),
"")</f>
        <v>7</v>
      </c>
      <c r="M425">
        <f t="shared" si="19"/>
        <v>3</v>
      </c>
      <c r="N425" t="str">
        <f t="shared" si="21"/>
        <v>Triple Bogey</v>
      </c>
      <c r="O425" cm="1">
        <f t="array" ref="O425">IFERROR(
  INDEX('Putt Log'!$E$2:$V$72,
    MATCH(1,
      ('Putt Log'!$A$2:$A$72=$A425)*
      ('Putt Log'!$B$2:$B$72=$B425)*
      ('Putt Log'!$C$2:$C$72=$C425),
    0),
    MATCH($G425,'Putt Log'!$E$1:$V$1,0)
  ),
"")</f>
        <v>2</v>
      </c>
      <c r="P425" t="str" cm="1">
        <f t="array" ref="P425">IF(K425=3,"",
  IFERROR(
    INDEX('Fairway Log'!$E$2:$V$72,
      MATCH(1,
        ('Fairway Log'!$A$2:$A$72=$A425)*
        ('Fairway Log'!$B$2:$B$72=$B425)*
        ('Fairway Log'!$C$2:$C496=$C425),
      0),
      MATCH($G425,'Fairway Log'!$E$1:$V$1,0)
    ),
  "")
)</f>
        <v>→</v>
      </c>
      <c r="Q425" cm="1">
        <f t="array" ref="Q425">IFERROR(
  INDEX('GIR Log'!$E$2:$V$72,
    MATCH(1,
      ('GIR Log'!$A$2:$A$72=$A425)*
      ('GIR Log'!$B$2:$B$72=$B425)*
      ('GIR Log'!$C$2:$C$72=$C425),
    0),
    MATCH($G425,'GIR Log'!$E$1:$V$1,0)
  ),
"")</f>
        <v>0</v>
      </c>
    </row>
    <row r="426" spans="1:17" x14ac:dyDescent="0.25">
      <c r="A426" s="20" t="s">
        <v>126</v>
      </c>
      <c r="B426" s="2">
        <v>45144</v>
      </c>
      <c r="C426" t="s">
        <v>16</v>
      </c>
      <c r="D426" t="s">
        <v>16</v>
      </c>
      <c r="E426" t="s">
        <v>36</v>
      </c>
      <c r="F426">
        <v>99</v>
      </c>
      <c r="G426" t="s">
        <v>57</v>
      </c>
      <c r="H426" s="9">
        <f t="shared" si="20"/>
        <v>11</v>
      </c>
      <c r="I426" cm="1">
        <f t="array" ref="I426">IFERROR(INDEX(CourseYardages[[Hole 1]:[Hole 18]],
  MATCH(1, (CourseYardages[Course]=C426)*(CourseYardages[Tees]=E426), 0),
  MATCH(G426, CourseYardages[[#Headers],[Hole 1]:[Hole 18]], 0)
),"")</f>
        <v>421</v>
      </c>
      <c r="J426" cm="1">
        <f t="array" ref="J426">IFERROR(INDEX(CourseHandicap[[Hole 1]:[Hole 18]],
  MATCH(1, (CourseHandicap[Course]=C426)*(CourseHandicap[Tees]=E426), 0),
  MATCH(G426, CourseHandicap[[#Headers],[Hole 1]:[Hole 18]], 0)
),"")</f>
        <v>11</v>
      </c>
      <c r="K426" cm="1">
        <f t="array" ref="K426">IFERROR(INDEX(CourseRatings[[Hole 1]:[Hole 18]],
  MATCH(1, (CourseRatings[Course]=C426)*(CourseRatings[Tees]=E426), 0),
  MATCH(G426, CourseRatings[[#Headers],[Hole 1]:[Hole 18]], 0)
),"")</f>
        <v>4</v>
      </c>
      <c r="L426" cm="1">
        <f t="array" ref="L426">IFERROR(
  INDEX('Golf Log'!$E$2:$V$72,
    MATCH(1,
      ('Golf Log'!$A$2:$A$72=$A426)*
      ('Golf Log'!$B$2:$B$72=$B426)*
      ('Golf Log'!$C$2:$C$72=$C426),
    0),
    MATCH($G426,'Golf Log'!$E$1:$V$1,0)
  ),
"")</f>
        <v>6</v>
      </c>
      <c r="M426">
        <f t="shared" si="19"/>
        <v>2</v>
      </c>
      <c r="N426" t="str">
        <f t="shared" si="21"/>
        <v>Double Bogey</v>
      </c>
      <c r="O426" cm="1">
        <f t="array" ref="O426">IFERROR(
  INDEX('Putt Log'!$E$2:$V$72,
    MATCH(1,
      ('Putt Log'!$A$2:$A$72=$A426)*
      ('Putt Log'!$B$2:$B$72=$B426)*
      ('Putt Log'!$C$2:$C$72=$C426),
    0),
    MATCH($G426,'Putt Log'!$E$1:$V$1,0)
  ),
"")</f>
        <v>2</v>
      </c>
      <c r="P426" t="str" cm="1">
        <f t="array" ref="P426">IF(K426=3,"",
  IFERROR(
    INDEX('Fairway Log'!$E$2:$V$72,
      MATCH(1,
        ('Fairway Log'!$A$2:$A$72=$A426)*
        ('Fairway Log'!$B$2:$B$72=$B426)*
        ('Fairway Log'!$C$2:$C497=$C426),
      0),
      MATCH($G426,'Fairway Log'!$E$1:$V$1,0)
    ),
  "")
)</f>
        <v>→</v>
      </c>
      <c r="Q426" cm="1">
        <f t="array" ref="Q426">IFERROR(
  INDEX('GIR Log'!$E$2:$V$72,
    MATCH(1,
      ('GIR Log'!$A$2:$A$72=$A426)*
      ('GIR Log'!$B$2:$B$72=$B426)*
      ('GIR Log'!$C$2:$C$72=$C426),
    0),
    MATCH($G426,'GIR Log'!$E$1:$V$1,0)
  ),
"")</f>
        <v>0</v>
      </c>
    </row>
    <row r="427" spans="1:17" x14ac:dyDescent="0.25">
      <c r="A427" s="20" t="s">
        <v>126</v>
      </c>
      <c r="B427" s="2">
        <v>45144</v>
      </c>
      <c r="C427" t="s">
        <v>16</v>
      </c>
      <c r="D427" t="s">
        <v>16</v>
      </c>
      <c r="E427" t="s">
        <v>36</v>
      </c>
      <c r="F427">
        <v>99</v>
      </c>
      <c r="G427" t="s">
        <v>58</v>
      </c>
      <c r="H427" s="9">
        <f t="shared" si="20"/>
        <v>12</v>
      </c>
      <c r="I427" cm="1">
        <f t="array" ref="I427">IFERROR(INDEX(CourseYardages[[Hole 1]:[Hole 18]],
  MATCH(1, (CourseYardages[Course]=C427)*(CourseYardages[Tees]=E427), 0),
  MATCH(G427, CourseYardages[[#Headers],[Hole 1]:[Hole 18]], 0)
),"")</f>
        <v>432</v>
      </c>
      <c r="J427" cm="1">
        <f t="array" ref="J427">IFERROR(INDEX(CourseHandicap[[Hole 1]:[Hole 18]],
  MATCH(1, (CourseHandicap[Course]=C427)*(CourseHandicap[Tees]=E427), 0),
  MATCH(G427, CourseHandicap[[#Headers],[Hole 1]:[Hole 18]], 0)
),"")</f>
        <v>7</v>
      </c>
      <c r="K427" cm="1">
        <f t="array" ref="K427">IFERROR(INDEX(CourseRatings[[Hole 1]:[Hole 18]],
  MATCH(1, (CourseRatings[Course]=C427)*(CourseRatings[Tees]=E427), 0),
  MATCH(G427, CourseRatings[[#Headers],[Hole 1]:[Hole 18]], 0)
),"")</f>
        <v>4</v>
      </c>
      <c r="L427" cm="1">
        <f t="array" ref="L427">IFERROR(
  INDEX('Golf Log'!$E$2:$V$72,
    MATCH(1,
      ('Golf Log'!$A$2:$A$72=$A427)*
      ('Golf Log'!$B$2:$B$72=$B427)*
      ('Golf Log'!$C$2:$C$72=$C427),
    0),
    MATCH($G427,'Golf Log'!$E$1:$V$1,0)
  ),
"")</f>
        <v>5</v>
      </c>
      <c r="M427">
        <f t="shared" si="19"/>
        <v>1</v>
      </c>
      <c r="N427" t="str">
        <f t="shared" si="21"/>
        <v>Bogey</v>
      </c>
      <c r="O427" cm="1">
        <f t="array" ref="O427">IFERROR(
  INDEX('Putt Log'!$E$2:$V$72,
    MATCH(1,
      ('Putt Log'!$A$2:$A$72=$A427)*
      ('Putt Log'!$B$2:$B$72=$B427)*
      ('Putt Log'!$C$2:$C$72=$C427),
    0),
    MATCH($G427,'Putt Log'!$E$1:$V$1,0)
  ),
"")</f>
        <v>2</v>
      </c>
      <c r="P427" cm="1">
        <f t="array" ref="P427">IF(K427=3,"",
  IFERROR(
    INDEX('Fairway Log'!$E$2:$V$72,
      MATCH(1,
        ('Fairway Log'!$A$2:$A$72=$A427)*
        ('Fairway Log'!$B$2:$B$72=$B427)*
        ('Fairway Log'!$C$2:$C498=$C427),
      0),
      MATCH($G427,'Fairway Log'!$E$1:$V$1,0)
    ),
  "")
)</f>
        <v>1</v>
      </c>
      <c r="Q427" cm="1">
        <f t="array" ref="Q427">IFERROR(
  INDEX('GIR Log'!$E$2:$V$72,
    MATCH(1,
      ('GIR Log'!$A$2:$A$72=$A427)*
      ('GIR Log'!$B$2:$B$72=$B427)*
      ('GIR Log'!$C$2:$C$72=$C427),
    0),
    MATCH($G427,'GIR Log'!$E$1:$V$1,0)
  ),
"")</f>
        <v>0</v>
      </c>
    </row>
    <row r="428" spans="1:17" x14ac:dyDescent="0.25">
      <c r="A428" s="20" t="s">
        <v>126</v>
      </c>
      <c r="B428" s="2">
        <v>45144</v>
      </c>
      <c r="C428" t="s">
        <v>16</v>
      </c>
      <c r="D428" t="s">
        <v>16</v>
      </c>
      <c r="E428" t="s">
        <v>36</v>
      </c>
      <c r="F428">
        <v>99</v>
      </c>
      <c r="G428" t="s">
        <v>59</v>
      </c>
      <c r="H428" s="9">
        <f t="shared" si="20"/>
        <v>13</v>
      </c>
      <c r="I428" cm="1">
        <f t="array" ref="I428">IFERROR(INDEX(CourseYardages[[Hole 1]:[Hole 18]],
  MATCH(1, (CourseYardages[Course]=C428)*(CourseYardages[Tees]=E428), 0),
  MATCH(G428, CourseYardages[[#Headers],[Hole 1]:[Hole 18]], 0)
),"")</f>
        <v>559</v>
      </c>
      <c r="J428" cm="1">
        <f t="array" ref="J428">IFERROR(INDEX(CourseHandicap[[Hole 1]:[Hole 18]],
  MATCH(1, (CourseHandicap[Course]=C428)*(CourseHandicap[Tees]=E428), 0),
  MATCH(G428, CourseHandicap[[#Headers],[Hole 1]:[Hole 18]], 0)
),"")</f>
        <v>3</v>
      </c>
      <c r="K428" cm="1">
        <f t="array" ref="K428">IFERROR(INDEX(CourseRatings[[Hole 1]:[Hole 18]],
  MATCH(1, (CourseRatings[Course]=C428)*(CourseRatings[Tees]=E428), 0),
  MATCH(G428, CourseRatings[[#Headers],[Hole 1]:[Hole 18]], 0)
),"")</f>
        <v>5</v>
      </c>
      <c r="L428" cm="1">
        <f t="array" ref="L428">IFERROR(
  INDEX('Golf Log'!$E$2:$V$72,
    MATCH(1,
      ('Golf Log'!$A$2:$A$72=$A428)*
      ('Golf Log'!$B$2:$B$72=$B428)*
      ('Golf Log'!$C$2:$C$72=$C428),
    0),
    MATCH($G428,'Golf Log'!$E$1:$V$1,0)
  ),
"")</f>
        <v>6</v>
      </c>
      <c r="M428">
        <f t="shared" si="19"/>
        <v>1</v>
      </c>
      <c r="N428" t="str">
        <f t="shared" si="21"/>
        <v>Bogey</v>
      </c>
      <c r="O428" cm="1">
        <f t="array" ref="O428">IFERROR(
  INDEX('Putt Log'!$E$2:$V$72,
    MATCH(1,
      ('Putt Log'!$A$2:$A$72=$A428)*
      ('Putt Log'!$B$2:$B$72=$B428)*
      ('Putt Log'!$C$2:$C$72=$C428),
    0),
    MATCH($G428,'Putt Log'!$E$1:$V$1,0)
  ),
"")</f>
        <v>1</v>
      </c>
      <c r="P428" cm="1">
        <f t="array" ref="P428">IF(K428=3,"",
  IFERROR(
    INDEX('Fairway Log'!$E$2:$V$72,
      MATCH(1,
        ('Fairway Log'!$A$2:$A$72=$A428)*
        ('Fairway Log'!$B$2:$B$72=$B428)*
        ('Fairway Log'!$C$2:$C499=$C428),
      0),
      MATCH($G428,'Fairway Log'!$E$1:$V$1,0)
    ),
  "")
)</f>
        <v>1</v>
      </c>
      <c r="Q428" cm="1">
        <f t="array" ref="Q428">IFERROR(
  INDEX('GIR Log'!$E$2:$V$72,
    MATCH(1,
      ('GIR Log'!$A$2:$A$72=$A428)*
      ('GIR Log'!$B$2:$B$72=$B428)*
      ('GIR Log'!$C$2:$C$72=$C428),
    0),
    MATCH($G428,'GIR Log'!$E$1:$V$1,0)
  ),
"")</f>
        <v>0</v>
      </c>
    </row>
    <row r="429" spans="1:17" x14ac:dyDescent="0.25">
      <c r="A429" s="20" t="s">
        <v>126</v>
      </c>
      <c r="B429" s="2">
        <v>45144</v>
      </c>
      <c r="C429" t="s">
        <v>16</v>
      </c>
      <c r="D429" t="s">
        <v>16</v>
      </c>
      <c r="E429" t="s">
        <v>36</v>
      </c>
      <c r="F429">
        <v>99</v>
      </c>
      <c r="G429" t="s">
        <v>60</v>
      </c>
      <c r="H429" s="9">
        <f t="shared" si="20"/>
        <v>14</v>
      </c>
      <c r="I429" cm="1">
        <f t="array" ref="I429">IFERROR(INDEX(CourseYardages[[Hole 1]:[Hole 18]],
  MATCH(1, (CourseYardages[Course]=C429)*(CourseYardages[Tees]=E429), 0),
  MATCH(G429, CourseYardages[[#Headers],[Hole 1]:[Hole 18]], 0)
),"")</f>
        <v>149</v>
      </c>
      <c r="J429" cm="1">
        <f t="array" ref="J429">IFERROR(INDEX(CourseHandicap[[Hole 1]:[Hole 18]],
  MATCH(1, (CourseHandicap[Course]=C429)*(CourseHandicap[Tees]=E429), 0),
  MATCH(G429, CourseHandicap[[#Headers],[Hole 1]:[Hole 18]], 0)
),"")</f>
        <v>17</v>
      </c>
      <c r="K429" cm="1">
        <f t="array" ref="K429">IFERROR(INDEX(CourseRatings[[Hole 1]:[Hole 18]],
  MATCH(1, (CourseRatings[Course]=C429)*(CourseRatings[Tees]=E429), 0),
  MATCH(G429, CourseRatings[[#Headers],[Hole 1]:[Hole 18]], 0)
),"")</f>
        <v>3</v>
      </c>
      <c r="L429" cm="1">
        <f t="array" ref="L429">IFERROR(
  INDEX('Golf Log'!$E$2:$V$72,
    MATCH(1,
      ('Golf Log'!$A$2:$A$72=$A429)*
      ('Golf Log'!$B$2:$B$72=$B429)*
      ('Golf Log'!$C$2:$C$72=$C429),
    0),
    MATCH($G429,'Golf Log'!$E$1:$V$1,0)
  ),
"")</f>
        <v>3</v>
      </c>
      <c r="M429">
        <f t="shared" si="19"/>
        <v>0</v>
      </c>
      <c r="N429" t="str">
        <f t="shared" si="21"/>
        <v>Par</v>
      </c>
      <c r="O429" cm="1">
        <f t="array" ref="O429">IFERROR(
  INDEX('Putt Log'!$E$2:$V$72,
    MATCH(1,
      ('Putt Log'!$A$2:$A$72=$A429)*
      ('Putt Log'!$B$2:$B$72=$B429)*
      ('Putt Log'!$C$2:$C$72=$C429),
    0),
    MATCH($G429,'Putt Log'!$E$1:$V$1,0)
  ),
"")</f>
        <v>1</v>
      </c>
      <c r="P429" t="str" cm="1">
        <f t="array" ref="P429">IF(K429=3,"",
  IFERROR(
    INDEX('Fairway Log'!$E$2:$V$72,
      MATCH(1,
        ('Fairway Log'!$A$2:$A$72=$A429)*
        ('Fairway Log'!$B$2:$B$72=$B429)*
        ('Fairway Log'!$C$2:$C500=$C429),
      0),
      MATCH($G429,'Fairway Log'!$E$1:$V$1,0)
    ),
  "")
)</f>
        <v/>
      </c>
      <c r="Q429" cm="1">
        <f t="array" ref="Q429">IFERROR(
  INDEX('GIR Log'!$E$2:$V$72,
    MATCH(1,
      ('GIR Log'!$A$2:$A$72=$A429)*
      ('GIR Log'!$B$2:$B$72=$B429)*
      ('GIR Log'!$C$2:$C$72=$C429),
    0),
    MATCH($G429,'GIR Log'!$E$1:$V$1,0)
  ),
"")</f>
        <v>0</v>
      </c>
    </row>
    <row r="430" spans="1:17" x14ac:dyDescent="0.25">
      <c r="A430" s="20" t="s">
        <v>126</v>
      </c>
      <c r="B430" s="2">
        <v>45144</v>
      </c>
      <c r="C430" t="s">
        <v>16</v>
      </c>
      <c r="D430" t="s">
        <v>16</v>
      </c>
      <c r="E430" t="s">
        <v>36</v>
      </c>
      <c r="F430">
        <v>99</v>
      </c>
      <c r="G430" t="s">
        <v>61</v>
      </c>
      <c r="H430" s="9">
        <f t="shared" si="20"/>
        <v>15</v>
      </c>
      <c r="I430" cm="1">
        <f t="array" ref="I430">IFERROR(INDEX(CourseYardages[[Hole 1]:[Hole 18]],
  MATCH(1, (CourseYardages[Course]=C430)*(CourseYardages[Tees]=E430), 0),
  MATCH(G430, CourseYardages[[#Headers],[Hole 1]:[Hole 18]], 0)
),"")</f>
        <v>430</v>
      </c>
      <c r="J430" cm="1">
        <f t="array" ref="J430">IFERROR(INDEX(CourseHandicap[[Hole 1]:[Hole 18]],
  MATCH(1, (CourseHandicap[Course]=C430)*(CourseHandicap[Tees]=E430), 0),
  MATCH(G430, CourseHandicap[[#Headers],[Hole 1]:[Hole 18]], 0)
),"")</f>
        <v>1</v>
      </c>
      <c r="K430" cm="1">
        <f t="array" ref="K430">IFERROR(INDEX(CourseRatings[[Hole 1]:[Hole 18]],
  MATCH(1, (CourseRatings[Course]=C430)*(CourseRatings[Tees]=E430), 0),
  MATCH(G430, CourseRatings[[#Headers],[Hole 1]:[Hole 18]], 0)
),"")</f>
        <v>4</v>
      </c>
      <c r="L430" cm="1">
        <f t="array" ref="L430">IFERROR(
  INDEX('Golf Log'!$E$2:$V$72,
    MATCH(1,
      ('Golf Log'!$A$2:$A$72=$A430)*
      ('Golf Log'!$B$2:$B$72=$B430)*
      ('Golf Log'!$C$2:$C$72=$C430),
    0),
    MATCH($G430,'Golf Log'!$E$1:$V$1,0)
  ),
"")</f>
        <v>5</v>
      </c>
      <c r="M430">
        <f t="shared" si="19"/>
        <v>1</v>
      </c>
      <c r="N430" t="str">
        <f t="shared" si="21"/>
        <v>Bogey</v>
      </c>
      <c r="O430" cm="1">
        <f t="array" ref="O430">IFERROR(
  INDEX('Putt Log'!$E$2:$V$72,
    MATCH(1,
      ('Putt Log'!$A$2:$A$72=$A430)*
      ('Putt Log'!$B$2:$B$72=$B430)*
      ('Putt Log'!$C$2:$C$72=$C430),
    0),
    MATCH($G430,'Putt Log'!$E$1:$V$1,0)
  ),
"")</f>
        <v>1</v>
      </c>
      <c r="P430" t="str" cm="1">
        <f t="array" ref="P430">IF(K430=3,"",
  IFERROR(
    INDEX('Fairway Log'!$E$2:$V$72,
      MATCH(1,
        ('Fairway Log'!$A$2:$A$72=$A430)*
        ('Fairway Log'!$B$2:$B$72=$B430)*
        ('Fairway Log'!$C$2:$C501=$C430),
      0),
      MATCH($G430,'Fairway Log'!$E$1:$V$1,0)
    ),
  "")
)</f>
        <v>→</v>
      </c>
      <c r="Q430" cm="1">
        <f t="array" ref="Q430">IFERROR(
  INDEX('GIR Log'!$E$2:$V$72,
    MATCH(1,
      ('GIR Log'!$A$2:$A$72=$A430)*
      ('GIR Log'!$B$2:$B$72=$B430)*
      ('GIR Log'!$C$2:$C$72=$C430),
    0),
    MATCH($G430,'GIR Log'!$E$1:$V$1,0)
  ),
"")</f>
        <v>0</v>
      </c>
    </row>
    <row r="431" spans="1:17" x14ac:dyDescent="0.25">
      <c r="A431" s="20" t="s">
        <v>126</v>
      </c>
      <c r="B431" s="2">
        <v>45144</v>
      </c>
      <c r="C431" t="s">
        <v>16</v>
      </c>
      <c r="D431" t="s">
        <v>16</v>
      </c>
      <c r="E431" t="s">
        <v>36</v>
      </c>
      <c r="F431">
        <v>99</v>
      </c>
      <c r="G431" t="s">
        <v>62</v>
      </c>
      <c r="H431" s="9">
        <f t="shared" si="20"/>
        <v>16</v>
      </c>
      <c r="I431" cm="1">
        <f t="array" ref="I431">IFERROR(INDEX(CourseYardages[[Hole 1]:[Hole 18]],
  MATCH(1, (CourseYardages[Course]=C431)*(CourseYardages[Tees]=E431), 0),
  MATCH(G431, CourseYardages[[#Headers],[Hole 1]:[Hole 18]], 0)
),"")</f>
        <v>457</v>
      </c>
      <c r="J431" cm="1">
        <f t="array" ref="J431">IFERROR(INDEX(CourseHandicap[[Hole 1]:[Hole 18]],
  MATCH(1, (CourseHandicap[Course]=C431)*(CourseHandicap[Tees]=E431), 0),
  MATCH(G431, CourseHandicap[[#Headers],[Hole 1]:[Hole 18]], 0)
),"")</f>
        <v>5</v>
      </c>
      <c r="K431" cm="1">
        <f t="array" ref="K431">IFERROR(INDEX(CourseRatings[[Hole 1]:[Hole 18]],
  MATCH(1, (CourseRatings[Course]=C431)*(CourseRatings[Tees]=E431), 0),
  MATCH(G431, CourseRatings[[#Headers],[Hole 1]:[Hole 18]], 0)
),"")</f>
        <v>4</v>
      </c>
      <c r="L431" cm="1">
        <f t="array" ref="L431">IFERROR(
  INDEX('Golf Log'!$E$2:$V$72,
    MATCH(1,
      ('Golf Log'!$A$2:$A$72=$A431)*
      ('Golf Log'!$B$2:$B$72=$B431)*
      ('Golf Log'!$C$2:$C$72=$C431),
    0),
    MATCH($G431,'Golf Log'!$E$1:$V$1,0)
  ),
"")</f>
        <v>5</v>
      </c>
      <c r="M431">
        <f t="shared" si="19"/>
        <v>1</v>
      </c>
      <c r="N431" t="str">
        <f t="shared" si="21"/>
        <v>Bogey</v>
      </c>
      <c r="O431" cm="1">
        <f t="array" ref="O431">IFERROR(
  INDEX('Putt Log'!$E$2:$V$72,
    MATCH(1,
      ('Putt Log'!$A$2:$A$72=$A431)*
      ('Putt Log'!$B$2:$B$72=$B431)*
      ('Putt Log'!$C$2:$C$72=$C431),
    0),
    MATCH($G431,'Putt Log'!$E$1:$V$1,0)
  ),
"")</f>
        <v>1</v>
      </c>
      <c r="P431" cm="1">
        <f t="array" ref="P431">IF(K431=3,"",
  IFERROR(
    INDEX('Fairway Log'!$E$2:$V$72,
      MATCH(1,
        ('Fairway Log'!$A$2:$A$72=$A431)*
        ('Fairway Log'!$B$2:$B$72=$B431)*
        ('Fairway Log'!$C$2:$C502=$C431),
      0),
      MATCH($G431,'Fairway Log'!$E$1:$V$1,0)
    ),
  "")
)</f>
        <v>1</v>
      </c>
      <c r="Q431" cm="1">
        <f t="array" ref="Q431">IFERROR(
  INDEX('GIR Log'!$E$2:$V$72,
    MATCH(1,
      ('GIR Log'!$A$2:$A$72=$A431)*
      ('GIR Log'!$B$2:$B$72=$B431)*
      ('GIR Log'!$C$2:$C$72=$C431),
    0),
    MATCH($G431,'GIR Log'!$E$1:$V$1,0)
  ),
"")</f>
        <v>0</v>
      </c>
    </row>
    <row r="432" spans="1:17" x14ac:dyDescent="0.25">
      <c r="A432" s="20" t="s">
        <v>126</v>
      </c>
      <c r="B432" s="2">
        <v>45144</v>
      </c>
      <c r="C432" t="s">
        <v>16</v>
      </c>
      <c r="D432" t="s">
        <v>16</v>
      </c>
      <c r="E432" t="s">
        <v>36</v>
      </c>
      <c r="F432">
        <v>99</v>
      </c>
      <c r="G432" t="s">
        <v>63</v>
      </c>
      <c r="H432" s="9">
        <f t="shared" si="20"/>
        <v>17</v>
      </c>
      <c r="I432" cm="1">
        <f t="array" ref="I432">IFERROR(INDEX(CourseYardages[[Hole 1]:[Hole 18]],
  MATCH(1, (CourseYardages[Course]=C432)*(CourseYardages[Tees]=E432), 0),
  MATCH(G432, CourseYardages[[#Headers],[Hole 1]:[Hole 18]], 0)
),"")</f>
        <v>195</v>
      </c>
      <c r="J432" cm="1">
        <f t="array" ref="J432">IFERROR(INDEX(CourseHandicap[[Hole 1]:[Hole 18]],
  MATCH(1, (CourseHandicap[Course]=C432)*(CourseHandicap[Tees]=E432), 0),
  MATCH(G432, CourseHandicap[[#Headers],[Hole 1]:[Hole 18]], 0)
),"")</f>
        <v>13</v>
      </c>
      <c r="K432" cm="1">
        <f t="array" ref="K432">IFERROR(INDEX(CourseRatings[[Hole 1]:[Hole 18]],
  MATCH(1, (CourseRatings[Course]=C432)*(CourseRatings[Tees]=E432), 0),
  MATCH(G432, CourseRatings[[#Headers],[Hole 1]:[Hole 18]], 0)
),"")</f>
        <v>3</v>
      </c>
      <c r="L432" cm="1">
        <f t="array" ref="L432">IFERROR(
  INDEX('Golf Log'!$E$2:$V$72,
    MATCH(1,
      ('Golf Log'!$A$2:$A$72=$A432)*
      ('Golf Log'!$B$2:$B$72=$B432)*
      ('Golf Log'!$C$2:$C$72=$C432),
    0),
    MATCH($G432,'Golf Log'!$E$1:$V$1,0)
  ),
"")</f>
        <v>4</v>
      </c>
      <c r="M432">
        <f t="shared" si="19"/>
        <v>1</v>
      </c>
      <c r="N432" t="str">
        <f t="shared" si="21"/>
        <v>Bogey</v>
      </c>
      <c r="O432" cm="1">
        <f t="array" ref="O432">IFERROR(
  INDEX('Putt Log'!$E$2:$V$72,
    MATCH(1,
      ('Putt Log'!$A$2:$A$72=$A432)*
      ('Putt Log'!$B$2:$B$72=$B432)*
      ('Putt Log'!$C$2:$C$72=$C432),
    0),
    MATCH($G432,'Putt Log'!$E$1:$V$1,0)
  ),
"")</f>
        <v>3</v>
      </c>
      <c r="P432" t="str" cm="1">
        <f t="array" ref="P432">IF(K432=3,"",
  IFERROR(
    INDEX('Fairway Log'!$E$2:$V$72,
      MATCH(1,
        ('Fairway Log'!$A$2:$A$72=$A432)*
        ('Fairway Log'!$B$2:$B$72=$B432)*
        ('Fairway Log'!$C$2:$C503=$C432),
      0),
      MATCH($G432,'Fairway Log'!$E$1:$V$1,0)
    ),
  "")
)</f>
        <v/>
      </c>
      <c r="Q432" cm="1">
        <f t="array" ref="Q432">IFERROR(
  INDEX('GIR Log'!$E$2:$V$72,
    MATCH(1,
      ('GIR Log'!$A$2:$A$72=$A432)*
      ('GIR Log'!$B$2:$B$72=$B432)*
      ('GIR Log'!$C$2:$C$72=$C432),
    0),
    MATCH($G432,'GIR Log'!$E$1:$V$1,0)
  ),
"")</f>
        <v>1</v>
      </c>
    </row>
    <row r="433" spans="1:17" x14ac:dyDescent="0.25">
      <c r="A433" s="20" t="s">
        <v>126</v>
      </c>
      <c r="B433" s="2">
        <v>45144</v>
      </c>
      <c r="C433" t="s">
        <v>16</v>
      </c>
      <c r="D433" t="s">
        <v>16</v>
      </c>
      <c r="E433" t="s">
        <v>36</v>
      </c>
      <c r="F433">
        <v>99</v>
      </c>
      <c r="G433" t="s">
        <v>64</v>
      </c>
      <c r="H433" s="9">
        <f t="shared" si="20"/>
        <v>18</v>
      </c>
      <c r="I433" cm="1">
        <f t="array" ref="I433">IFERROR(INDEX(CourseYardages[[Hole 1]:[Hole 18]],
  MATCH(1, (CourseYardages[Course]=C433)*(CourseYardages[Tees]=E433), 0),
  MATCH(G433, CourseYardages[[#Headers],[Hole 1]:[Hole 18]], 0)
),"")</f>
        <v>368</v>
      </c>
      <c r="J433" cm="1">
        <f t="array" ref="J433">IFERROR(INDEX(CourseHandicap[[Hole 1]:[Hole 18]],
  MATCH(1, (CourseHandicap[Course]=C433)*(CourseHandicap[Tees]=E433), 0),
  MATCH(G433, CourseHandicap[[#Headers],[Hole 1]:[Hole 18]], 0)
),"")</f>
        <v>15</v>
      </c>
      <c r="K433" cm="1">
        <f t="array" ref="K433">IFERROR(INDEX(CourseRatings[[Hole 1]:[Hole 18]],
  MATCH(1, (CourseRatings[Course]=C433)*(CourseRatings[Tees]=E433), 0),
  MATCH(G433, CourseRatings[[#Headers],[Hole 1]:[Hole 18]], 0)
),"")</f>
        <v>4</v>
      </c>
      <c r="L433" cm="1">
        <f t="array" ref="L433">IFERROR(
  INDEX('Golf Log'!$E$2:$V$72,
    MATCH(1,
      ('Golf Log'!$A$2:$A$72=$A433)*
      ('Golf Log'!$B$2:$B$72=$B433)*
      ('Golf Log'!$C$2:$C$72=$C433),
    0),
    MATCH($G433,'Golf Log'!$E$1:$V$1,0)
  ),
"")</f>
        <v>6</v>
      </c>
      <c r="M433">
        <f t="shared" si="19"/>
        <v>2</v>
      </c>
      <c r="N433" t="str">
        <f t="shared" si="21"/>
        <v>Double Bogey</v>
      </c>
      <c r="O433" cm="1">
        <f t="array" ref="O433">IFERROR(
  INDEX('Putt Log'!$E$2:$V$72,
    MATCH(1,
      ('Putt Log'!$A$2:$A$72=$A433)*
      ('Putt Log'!$B$2:$B$72=$B433)*
      ('Putt Log'!$C$2:$C$72=$C433),
    0),
    MATCH($G433,'Putt Log'!$E$1:$V$1,0)
  ),
"")</f>
        <v>2</v>
      </c>
      <c r="P433" cm="1">
        <f t="array" ref="P433">IF(K433=3,"",
  IFERROR(
    INDEX('Fairway Log'!$E$2:$V$72,
      MATCH(1,
        ('Fairway Log'!$A$2:$A$72=$A433)*
        ('Fairway Log'!$B$2:$B$72=$B433)*
        ('Fairway Log'!$C$2:$C504=$C433),
      0),
      MATCH($G433,'Fairway Log'!$E$1:$V$1,0)
    ),
  "")
)</f>
        <v>1</v>
      </c>
      <c r="Q433" cm="1">
        <f t="array" ref="Q433">IFERROR(
  INDEX('GIR Log'!$E$2:$V$72,
    MATCH(1,
      ('GIR Log'!$A$2:$A$72=$A433)*
      ('GIR Log'!$B$2:$B$72=$B433)*
      ('GIR Log'!$C$2:$C$72=$C433),
    0),
    MATCH($G433,'GIR Log'!$E$1:$V$1,0)
  ),
"")</f>
        <v>0</v>
      </c>
    </row>
    <row r="434" spans="1:17" x14ac:dyDescent="0.25">
      <c r="A434" s="20" t="s">
        <v>126</v>
      </c>
      <c r="B434" s="2">
        <v>45143</v>
      </c>
      <c r="C434" t="s">
        <v>9</v>
      </c>
      <c r="D434" t="s">
        <v>9</v>
      </c>
      <c r="E434" t="s">
        <v>34</v>
      </c>
      <c r="F434">
        <v>88</v>
      </c>
      <c r="G434" t="s">
        <v>47</v>
      </c>
      <c r="H434" s="9">
        <f t="shared" si="20"/>
        <v>1</v>
      </c>
      <c r="I434" cm="1">
        <f t="array" ref="I434">IFERROR(INDEX(CourseYardages[[Hole 1]:[Hole 18]],
  MATCH(1, (CourseYardages[Course]=C434)*(CourseYardages[Tees]=E434), 0),
  MATCH(G434, CourseYardages[[#Headers],[Hole 1]:[Hole 18]], 0)
),"")</f>
        <v>393</v>
      </c>
      <c r="J434" cm="1">
        <f t="array" ref="J434">IFERROR(INDEX(CourseHandicap[[Hole 1]:[Hole 18]],
  MATCH(1, (CourseHandicap[Course]=C434)*(CourseHandicap[Tees]=E434), 0),
  MATCH(G434, CourseHandicap[[#Headers],[Hole 1]:[Hole 18]], 0)
),"")</f>
        <v>2</v>
      </c>
      <c r="K434" cm="1">
        <f t="array" ref="K434">IFERROR(INDEX(CourseRatings[[Hole 1]:[Hole 18]],
  MATCH(1, (CourseRatings[Course]=C434)*(CourseRatings[Tees]=E434), 0),
  MATCH(G434, CourseRatings[[#Headers],[Hole 1]:[Hole 18]], 0)
),"")</f>
        <v>4</v>
      </c>
      <c r="L434" cm="1">
        <f t="array" ref="L434">IFERROR(
  INDEX('Golf Log'!$E$2:$V$72,
    MATCH(1,
      ('Golf Log'!$A$2:$A$72=$A434)*
      ('Golf Log'!$B$2:$B$72=$B434)*
      ('Golf Log'!$C$2:$C$72=$C434),
    0),
    MATCH($G434,'Golf Log'!$E$1:$V$1,0)
  ),
"")</f>
        <v>6</v>
      </c>
      <c r="M434">
        <f t="shared" si="19"/>
        <v>2</v>
      </c>
      <c r="N434" t="str">
        <f t="shared" si="21"/>
        <v>Double Bogey</v>
      </c>
      <c r="O434" cm="1">
        <f t="array" ref="O434">IFERROR(
  INDEX('Putt Log'!$E$2:$V$72,
    MATCH(1,
      ('Putt Log'!$A$2:$A$72=$A434)*
      ('Putt Log'!$B$2:$B$72=$B434)*
      ('Putt Log'!$C$2:$C$72=$C434),
    0),
    MATCH($G434,'Putt Log'!$E$1:$V$1,0)
  ),
"")</f>
        <v>2</v>
      </c>
      <c r="P434" cm="1">
        <f t="array" ref="P434">IF(K434=3,"",
  IFERROR(
    INDEX('Fairway Log'!$E$2:$V$72,
      MATCH(1,
        ('Fairway Log'!$A$2:$A$72=$A434)*
        ('Fairway Log'!$B$2:$B$72=$B434)*
        ('Fairway Log'!$C$2:$C505=$C434),
      0),
      MATCH($G434,'Fairway Log'!$E$1:$V$1,0)
    ),
  "")
)</f>
        <v>1</v>
      </c>
      <c r="Q434" cm="1">
        <f t="array" ref="Q434">IFERROR(
  INDEX('GIR Log'!$E$2:$V$72,
    MATCH(1,
      ('GIR Log'!$A$2:$A$72=$A434)*
      ('GIR Log'!$B$2:$B$72=$B434)*
      ('GIR Log'!$C$2:$C$72=$C434),
    0),
    MATCH($G434,'GIR Log'!$E$1:$V$1,0)
  ),
"")</f>
        <v>0</v>
      </c>
    </row>
    <row r="435" spans="1:17" x14ac:dyDescent="0.25">
      <c r="A435" s="20" t="s">
        <v>126</v>
      </c>
      <c r="B435" s="2">
        <v>45143</v>
      </c>
      <c r="C435" t="s">
        <v>9</v>
      </c>
      <c r="D435" t="s">
        <v>9</v>
      </c>
      <c r="E435" t="s">
        <v>34</v>
      </c>
      <c r="F435">
        <v>88</v>
      </c>
      <c r="G435" t="s">
        <v>48</v>
      </c>
      <c r="H435" s="9">
        <f t="shared" si="20"/>
        <v>2</v>
      </c>
      <c r="I435" cm="1">
        <f t="array" ref="I435">IFERROR(INDEX(CourseYardages[[Hole 1]:[Hole 18]],
  MATCH(1, (CourseYardages[Course]=C435)*(CourseYardages[Tees]=E435), 0),
  MATCH(G435, CourseYardages[[#Headers],[Hole 1]:[Hole 18]], 0)
),"")</f>
        <v>398</v>
      </c>
      <c r="J435" cm="1">
        <f t="array" ref="J435">IFERROR(INDEX(CourseHandicap[[Hole 1]:[Hole 18]],
  MATCH(1, (CourseHandicap[Course]=C435)*(CourseHandicap[Tees]=E435), 0),
  MATCH(G435, CourseHandicap[[#Headers],[Hole 1]:[Hole 18]], 0)
),"")</f>
        <v>4</v>
      </c>
      <c r="K435" cm="1">
        <f t="array" ref="K435">IFERROR(INDEX(CourseRatings[[Hole 1]:[Hole 18]],
  MATCH(1, (CourseRatings[Course]=C435)*(CourseRatings[Tees]=E435), 0),
  MATCH(G435, CourseRatings[[#Headers],[Hole 1]:[Hole 18]], 0)
),"")</f>
        <v>4</v>
      </c>
      <c r="L435" cm="1">
        <f t="array" ref="L435">IFERROR(
  INDEX('Golf Log'!$E$2:$V$72,
    MATCH(1,
      ('Golf Log'!$A$2:$A$72=$A435)*
      ('Golf Log'!$B$2:$B$72=$B435)*
      ('Golf Log'!$C$2:$C$72=$C435),
    0),
    MATCH($G435,'Golf Log'!$E$1:$V$1,0)
  ),
"")</f>
        <v>6</v>
      </c>
      <c r="M435">
        <f t="shared" si="19"/>
        <v>2</v>
      </c>
      <c r="N435" t="str">
        <f t="shared" si="21"/>
        <v>Double Bogey</v>
      </c>
      <c r="O435" cm="1">
        <f t="array" ref="O435">IFERROR(
  INDEX('Putt Log'!$E$2:$V$72,
    MATCH(1,
      ('Putt Log'!$A$2:$A$72=$A435)*
      ('Putt Log'!$B$2:$B$72=$B435)*
      ('Putt Log'!$C$2:$C$72=$C435),
    0),
    MATCH($G435,'Putt Log'!$E$1:$V$1,0)
  ),
"")</f>
        <v>3</v>
      </c>
      <c r="P435" t="str" cm="1">
        <f t="array" ref="P435">IF(K435=3,"",
  IFERROR(
    INDEX('Fairway Log'!$E$2:$V$72,
      MATCH(1,
        ('Fairway Log'!$A$2:$A$72=$A435)*
        ('Fairway Log'!$B$2:$B$72=$B435)*
        ('Fairway Log'!$C$2:$C506=$C435),
      0),
      MATCH($G435,'Fairway Log'!$E$1:$V$1,0)
    ),
  "")
)</f>
        <v>→</v>
      </c>
      <c r="Q435" cm="1">
        <f t="array" ref="Q435">IFERROR(
  INDEX('GIR Log'!$E$2:$V$72,
    MATCH(1,
      ('GIR Log'!$A$2:$A$72=$A435)*
      ('GIR Log'!$B$2:$B$72=$B435)*
      ('GIR Log'!$C$2:$C$72=$C435),
    0),
    MATCH($G435,'GIR Log'!$E$1:$V$1,0)
  ),
"")</f>
        <v>0</v>
      </c>
    </row>
    <row r="436" spans="1:17" x14ac:dyDescent="0.25">
      <c r="A436" s="20" t="s">
        <v>126</v>
      </c>
      <c r="B436" s="2">
        <v>45143</v>
      </c>
      <c r="C436" t="s">
        <v>9</v>
      </c>
      <c r="D436" t="s">
        <v>9</v>
      </c>
      <c r="E436" t="s">
        <v>34</v>
      </c>
      <c r="F436">
        <v>88</v>
      </c>
      <c r="G436" t="s">
        <v>49</v>
      </c>
      <c r="H436" s="9">
        <f t="shared" si="20"/>
        <v>3</v>
      </c>
      <c r="I436" cm="1">
        <f t="array" ref="I436">IFERROR(INDEX(CourseYardages[[Hole 1]:[Hole 18]],
  MATCH(1, (CourseYardages[Course]=C436)*(CourseYardages[Tees]=E436), 0),
  MATCH(G436, CourseYardages[[#Headers],[Hole 1]:[Hole 18]], 0)
),"")</f>
        <v>390</v>
      </c>
      <c r="J436" cm="1">
        <f t="array" ref="J436">IFERROR(INDEX(CourseHandicap[[Hole 1]:[Hole 18]],
  MATCH(1, (CourseHandicap[Course]=C436)*(CourseHandicap[Tees]=E436), 0),
  MATCH(G436, CourseHandicap[[#Headers],[Hole 1]:[Hole 18]], 0)
),"")</f>
        <v>6</v>
      </c>
      <c r="K436" cm="1">
        <f t="array" ref="K436">IFERROR(INDEX(CourseRatings[[Hole 1]:[Hole 18]],
  MATCH(1, (CourseRatings[Course]=C436)*(CourseRatings[Tees]=E436), 0),
  MATCH(G436, CourseRatings[[#Headers],[Hole 1]:[Hole 18]], 0)
),"")</f>
        <v>4</v>
      </c>
      <c r="L436" cm="1">
        <f t="array" ref="L436">IFERROR(
  INDEX('Golf Log'!$E$2:$V$72,
    MATCH(1,
      ('Golf Log'!$A$2:$A$72=$A436)*
      ('Golf Log'!$B$2:$B$72=$B436)*
      ('Golf Log'!$C$2:$C$72=$C436),
    0),
    MATCH($G436,'Golf Log'!$E$1:$V$1,0)
  ),
"")</f>
        <v>5</v>
      </c>
      <c r="M436">
        <f t="shared" si="19"/>
        <v>1</v>
      </c>
      <c r="N436" t="str">
        <f t="shared" si="21"/>
        <v>Bogey</v>
      </c>
      <c r="O436" cm="1">
        <f t="array" ref="O436">IFERROR(
  INDEX('Putt Log'!$E$2:$V$72,
    MATCH(1,
      ('Putt Log'!$A$2:$A$72=$A436)*
      ('Putt Log'!$B$2:$B$72=$B436)*
      ('Putt Log'!$C$2:$C$72=$C436),
    0),
    MATCH($G436,'Putt Log'!$E$1:$V$1,0)
  ),
"")</f>
        <v>2</v>
      </c>
      <c r="P436" cm="1">
        <f t="array" ref="P436">IF(K436=3,"",
  IFERROR(
    INDEX('Fairway Log'!$E$2:$V$72,
      MATCH(1,
        ('Fairway Log'!$A$2:$A$72=$A436)*
        ('Fairway Log'!$B$2:$B$72=$B436)*
        ('Fairway Log'!$C$2:$C507=$C436),
      0),
      MATCH($G436,'Fairway Log'!$E$1:$V$1,0)
    ),
  "")
)</f>
        <v>1</v>
      </c>
      <c r="Q436" cm="1">
        <f t="array" ref="Q436">IFERROR(
  INDEX('GIR Log'!$E$2:$V$72,
    MATCH(1,
      ('GIR Log'!$A$2:$A$72=$A436)*
      ('GIR Log'!$B$2:$B$72=$B436)*
      ('GIR Log'!$C$2:$C$72=$C436),
    0),
    MATCH($G436,'GIR Log'!$E$1:$V$1,0)
  ),
"")</f>
        <v>0</v>
      </c>
    </row>
    <row r="437" spans="1:17" x14ac:dyDescent="0.25">
      <c r="A437" s="20" t="s">
        <v>126</v>
      </c>
      <c r="B437" s="2">
        <v>45143</v>
      </c>
      <c r="C437" t="s">
        <v>9</v>
      </c>
      <c r="D437" t="s">
        <v>9</v>
      </c>
      <c r="E437" t="s">
        <v>34</v>
      </c>
      <c r="F437">
        <v>88</v>
      </c>
      <c r="G437" t="s">
        <v>50</v>
      </c>
      <c r="H437" s="9">
        <f t="shared" si="20"/>
        <v>4</v>
      </c>
      <c r="I437" cm="1">
        <f t="array" ref="I437">IFERROR(INDEX(CourseYardages[[Hole 1]:[Hole 18]],
  MATCH(1, (CourseYardages[Course]=C437)*(CourseYardages[Tees]=E437), 0),
  MATCH(G437, CourseYardages[[#Headers],[Hole 1]:[Hole 18]], 0)
),"")</f>
        <v>166</v>
      </c>
      <c r="J437" cm="1">
        <f t="array" ref="J437">IFERROR(INDEX(CourseHandicap[[Hole 1]:[Hole 18]],
  MATCH(1, (CourseHandicap[Course]=C437)*(CourseHandicap[Tees]=E437), 0),
  MATCH(G437, CourseHandicap[[#Headers],[Hole 1]:[Hole 18]], 0)
),"")</f>
        <v>14</v>
      </c>
      <c r="K437" cm="1">
        <f t="array" ref="K437">IFERROR(INDEX(CourseRatings[[Hole 1]:[Hole 18]],
  MATCH(1, (CourseRatings[Course]=C437)*(CourseRatings[Tees]=E437), 0),
  MATCH(G437, CourseRatings[[#Headers],[Hole 1]:[Hole 18]], 0)
),"")</f>
        <v>3</v>
      </c>
      <c r="L437" cm="1">
        <f t="array" ref="L437">IFERROR(
  INDEX('Golf Log'!$E$2:$V$72,
    MATCH(1,
      ('Golf Log'!$A$2:$A$72=$A437)*
      ('Golf Log'!$B$2:$B$72=$B437)*
      ('Golf Log'!$C$2:$C$72=$C437),
    0),
    MATCH($G437,'Golf Log'!$E$1:$V$1,0)
  ),
"")</f>
        <v>4</v>
      </c>
      <c r="M437">
        <f t="shared" si="19"/>
        <v>1</v>
      </c>
      <c r="N437" t="str">
        <f t="shared" si="21"/>
        <v>Bogey</v>
      </c>
      <c r="O437" cm="1">
        <f t="array" ref="O437">IFERROR(
  INDEX('Putt Log'!$E$2:$V$72,
    MATCH(1,
      ('Putt Log'!$A$2:$A$72=$A437)*
      ('Putt Log'!$B$2:$B$72=$B437)*
      ('Putt Log'!$C$2:$C$72=$C437),
    0),
    MATCH($G437,'Putt Log'!$E$1:$V$1,0)
  ),
"")</f>
        <v>2</v>
      </c>
      <c r="P437" t="str" cm="1">
        <f t="array" ref="P437">IF(K437=3,"",
  IFERROR(
    INDEX('Fairway Log'!$E$2:$V$72,
      MATCH(1,
        ('Fairway Log'!$A$2:$A$72=$A437)*
        ('Fairway Log'!$B$2:$B$72=$B437)*
        ('Fairway Log'!$C$2:$C508=$C437),
      0),
      MATCH($G437,'Fairway Log'!$E$1:$V$1,0)
    ),
  "")
)</f>
        <v/>
      </c>
      <c r="Q437" cm="1">
        <f t="array" ref="Q437">IFERROR(
  INDEX('GIR Log'!$E$2:$V$72,
    MATCH(1,
      ('GIR Log'!$A$2:$A$72=$A437)*
      ('GIR Log'!$B$2:$B$72=$B437)*
      ('GIR Log'!$C$2:$C$72=$C437),
    0),
    MATCH($G437,'GIR Log'!$E$1:$V$1,0)
  ),
"")</f>
        <v>0</v>
      </c>
    </row>
    <row r="438" spans="1:17" x14ac:dyDescent="0.25">
      <c r="A438" s="20" t="s">
        <v>126</v>
      </c>
      <c r="B438" s="2">
        <v>45143</v>
      </c>
      <c r="C438" t="s">
        <v>9</v>
      </c>
      <c r="D438" t="s">
        <v>9</v>
      </c>
      <c r="E438" t="s">
        <v>34</v>
      </c>
      <c r="F438">
        <v>88</v>
      </c>
      <c r="G438" t="s">
        <v>51</v>
      </c>
      <c r="H438" s="9">
        <f t="shared" si="20"/>
        <v>5</v>
      </c>
      <c r="I438" cm="1">
        <f t="array" ref="I438">IFERROR(INDEX(CourseYardages[[Hole 1]:[Hole 18]],
  MATCH(1, (CourseYardages[Course]=C438)*(CourseYardages[Tees]=E438), 0),
  MATCH(G438, CourseYardages[[#Headers],[Hole 1]:[Hole 18]], 0)
),"")</f>
        <v>347</v>
      </c>
      <c r="J438" cm="1">
        <f t="array" ref="J438">IFERROR(INDEX(CourseHandicap[[Hole 1]:[Hole 18]],
  MATCH(1, (CourseHandicap[Course]=C438)*(CourseHandicap[Tees]=E438), 0),
  MATCH(G438, CourseHandicap[[#Headers],[Hole 1]:[Hole 18]], 0)
),"")</f>
        <v>10</v>
      </c>
      <c r="K438" cm="1">
        <f t="array" ref="K438">IFERROR(INDEX(CourseRatings[[Hole 1]:[Hole 18]],
  MATCH(1, (CourseRatings[Course]=C438)*(CourseRatings[Tees]=E438), 0),
  MATCH(G438, CourseRatings[[#Headers],[Hole 1]:[Hole 18]], 0)
),"")</f>
        <v>4</v>
      </c>
      <c r="L438" cm="1">
        <f t="array" ref="L438">IFERROR(
  INDEX('Golf Log'!$E$2:$V$72,
    MATCH(1,
      ('Golf Log'!$A$2:$A$72=$A438)*
      ('Golf Log'!$B$2:$B$72=$B438)*
      ('Golf Log'!$C$2:$C$72=$C438),
    0),
    MATCH($G438,'Golf Log'!$E$1:$V$1,0)
  ),
"")</f>
        <v>6</v>
      </c>
      <c r="M438">
        <f t="shared" si="19"/>
        <v>2</v>
      </c>
      <c r="N438" t="str">
        <f t="shared" si="21"/>
        <v>Double Bogey</v>
      </c>
      <c r="O438" cm="1">
        <f t="array" ref="O438">IFERROR(
  INDEX('Putt Log'!$E$2:$V$72,
    MATCH(1,
      ('Putt Log'!$A$2:$A$72=$A438)*
      ('Putt Log'!$B$2:$B$72=$B438)*
      ('Putt Log'!$C$2:$C$72=$C438),
    0),
    MATCH($G438,'Putt Log'!$E$1:$V$1,0)
  ),
"")</f>
        <v>2</v>
      </c>
      <c r="P438" t="str" cm="1">
        <f t="array" ref="P438">IF(K438=3,"",
  IFERROR(
    INDEX('Fairway Log'!$E$2:$V$72,
      MATCH(1,
        ('Fairway Log'!$A$2:$A$72=$A438)*
        ('Fairway Log'!$B$2:$B$72=$B438)*
        ('Fairway Log'!$C$2:$C509=$C438),
      0),
      MATCH($G438,'Fairway Log'!$E$1:$V$1,0)
    ),
  "")
)</f>
        <v>←</v>
      </c>
      <c r="Q438" cm="1">
        <f t="array" ref="Q438">IFERROR(
  INDEX('GIR Log'!$E$2:$V$72,
    MATCH(1,
      ('GIR Log'!$A$2:$A$72=$A438)*
      ('GIR Log'!$B$2:$B$72=$B438)*
      ('GIR Log'!$C$2:$C$72=$C438),
    0),
    MATCH($G438,'GIR Log'!$E$1:$V$1,0)
  ),
"")</f>
        <v>0</v>
      </c>
    </row>
    <row r="439" spans="1:17" x14ac:dyDescent="0.25">
      <c r="A439" s="20" t="s">
        <v>126</v>
      </c>
      <c r="B439" s="2">
        <v>45143</v>
      </c>
      <c r="C439" t="s">
        <v>9</v>
      </c>
      <c r="D439" t="s">
        <v>9</v>
      </c>
      <c r="E439" t="s">
        <v>34</v>
      </c>
      <c r="F439">
        <v>88</v>
      </c>
      <c r="G439" t="s">
        <v>52</v>
      </c>
      <c r="H439" s="9">
        <f t="shared" si="20"/>
        <v>6</v>
      </c>
      <c r="I439" cm="1">
        <f t="array" ref="I439">IFERROR(INDEX(CourseYardages[[Hole 1]:[Hole 18]],
  MATCH(1, (CourseYardages[Course]=C439)*(CourseYardages[Tees]=E439), 0),
  MATCH(G439, CourseYardages[[#Headers],[Hole 1]:[Hole 18]], 0)
),"")</f>
        <v>487</v>
      </c>
      <c r="J439" cm="1">
        <f t="array" ref="J439">IFERROR(INDEX(CourseHandicap[[Hole 1]:[Hole 18]],
  MATCH(1, (CourseHandicap[Course]=C439)*(CourseHandicap[Tees]=E439), 0),
  MATCH(G439, CourseHandicap[[#Headers],[Hole 1]:[Hole 18]], 0)
),"")</f>
        <v>8</v>
      </c>
      <c r="K439" cm="1">
        <f t="array" ref="K439">IFERROR(INDEX(CourseRatings[[Hole 1]:[Hole 18]],
  MATCH(1, (CourseRatings[Course]=C439)*(CourseRatings[Tees]=E439), 0),
  MATCH(G439, CourseRatings[[#Headers],[Hole 1]:[Hole 18]], 0)
),"")</f>
        <v>5</v>
      </c>
      <c r="L439" cm="1">
        <f t="array" ref="L439">IFERROR(
  INDEX('Golf Log'!$E$2:$V$72,
    MATCH(1,
      ('Golf Log'!$A$2:$A$72=$A439)*
      ('Golf Log'!$B$2:$B$72=$B439)*
      ('Golf Log'!$C$2:$C$72=$C439),
    0),
    MATCH($G439,'Golf Log'!$E$1:$V$1,0)
  ),
"")</f>
        <v>6</v>
      </c>
      <c r="M439">
        <f t="shared" si="19"/>
        <v>1</v>
      </c>
      <c r="N439" t="str">
        <f t="shared" si="21"/>
        <v>Bogey</v>
      </c>
      <c r="O439" cm="1">
        <f t="array" ref="O439">IFERROR(
  INDEX('Putt Log'!$E$2:$V$72,
    MATCH(1,
      ('Putt Log'!$A$2:$A$72=$A439)*
      ('Putt Log'!$B$2:$B$72=$B439)*
      ('Putt Log'!$C$2:$C$72=$C439),
    0),
    MATCH($G439,'Putt Log'!$E$1:$V$1,0)
  ),
"")</f>
        <v>3</v>
      </c>
      <c r="P439" cm="1">
        <f t="array" ref="P439">IF(K439=3,"",
  IFERROR(
    INDEX('Fairway Log'!$E$2:$V$72,
      MATCH(1,
        ('Fairway Log'!$A$2:$A$72=$A439)*
        ('Fairway Log'!$B$2:$B$72=$B439)*
        ('Fairway Log'!$C$2:$C510=$C439),
      0),
      MATCH($G439,'Fairway Log'!$E$1:$V$1,0)
    ),
  "")
)</f>
        <v>1</v>
      </c>
      <c r="Q439" cm="1">
        <f t="array" ref="Q439">IFERROR(
  INDEX('GIR Log'!$E$2:$V$72,
    MATCH(1,
      ('GIR Log'!$A$2:$A$72=$A439)*
      ('GIR Log'!$B$2:$B$72=$B439)*
      ('GIR Log'!$C$2:$C$72=$C439),
    0),
    MATCH($G439,'GIR Log'!$E$1:$V$1,0)
  ),
"")</f>
        <v>1</v>
      </c>
    </row>
    <row r="440" spans="1:17" x14ac:dyDescent="0.25">
      <c r="A440" s="20" t="s">
        <v>126</v>
      </c>
      <c r="B440" s="2">
        <v>45143</v>
      </c>
      <c r="C440" t="s">
        <v>9</v>
      </c>
      <c r="D440" t="s">
        <v>9</v>
      </c>
      <c r="E440" t="s">
        <v>34</v>
      </c>
      <c r="F440">
        <v>88</v>
      </c>
      <c r="G440" t="s">
        <v>53</v>
      </c>
      <c r="H440" s="9">
        <f t="shared" si="20"/>
        <v>7</v>
      </c>
      <c r="I440" cm="1">
        <f t="array" ref="I440">IFERROR(INDEX(CourseYardages[[Hole 1]:[Hole 18]],
  MATCH(1, (CourseYardages[Course]=C440)*(CourseYardages[Tees]=E440), 0),
  MATCH(G440, CourseYardages[[#Headers],[Hole 1]:[Hole 18]], 0)
),"")</f>
        <v>174</v>
      </c>
      <c r="J440" cm="1">
        <f t="array" ref="J440">IFERROR(INDEX(CourseHandicap[[Hole 1]:[Hole 18]],
  MATCH(1, (CourseHandicap[Course]=C440)*(CourseHandicap[Tees]=E440), 0),
  MATCH(G440, CourseHandicap[[#Headers],[Hole 1]:[Hole 18]], 0)
),"")</f>
        <v>16</v>
      </c>
      <c r="K440" cm="1">
        <f t="array" ref="K440">IFERROR(INDEX(CourseRatings[[Hole 1]:[Hole 18]],
  MATCH(1, (CourseRatings[Course]=C440)*(CourseRatings[Tees]=E440), 0),
  MATCH(G440, CourseRatings[[#Headers],[Hole 1]:[Hole 18]], 0)
),"")</f>
        <v>3</v>
      </c>
      <c r="L440" cm="1">
        <f t="array" ref="L440">IFERROR(
  INDEX('Golf Log'!$E$2:$V$72,
    MATCH(1,
      ('Golf Log'!$A$2:$A$72=$A440)*
      ('Golf Log'!$B$2:$B$72=$B440)*
      ('Golf Log'!$C$2:$C$72=$C440),
    0),
    MATCH($G440,'Golf Log'!$E$1:$V$1,0)
  ),
"")</f>
        <v>4</v>
      </c>
      <c r="M440">
        <f t="shared" si="19"/>
        <v>1</v>
      </c>
      <c r="N440" t="str">
        <f t="shared" si="21"/>
        <v>Bogey</v>
      </c>
      <c r="O440" cm="1">
        <f t="array" ref="O440">IFERROR(
  INDEX('Putt Log'!$E$2:$V$72,
    MATCH(1,
      ('Putt Log'!$A$2:$A$72=$A440)*
      ('Putt Log'!$B$2:$B$72=$B440)*
      ('Putt Log'!$C$2:$C$72=$C440),
    0),
    MATCH($G440,'Putt Log'!$E$1:$V$1,0)
  ),
"")</f>
        <v>3</v>
      </c>
      <c r="P440" t="str" cm="1">
        <f t="array" ref="P440">IF(K440=3,"",
  IFERROR(
    INDEX('Fairway Log'!$E$2:$V$72,
      MATCH(1,
        ('Fairway Log'!$A$2:$A$72=$A440)*
        ('Fairway Log'!$B$2:$B$72=$B440)*
        ('Fairway Log'!$C$2:$C511=$C440),
      0),
      MATCH($G440,'Fairway Log'!$E$1:$V$1,0)
    ),
  "")
)</f>
        <v/>
      </c>
      <c r="Q440" cm="1">
        <f t="array" ref="Q440">IFERROR(
  INDEX('GIR Log'!$E$2:$V$72,
    MATCH(1,
      ('GIR Log'!$A$2:$A$72=$A440)*
      ('GIR Log'!$B$2:$B$72=$B440)*
      ('GIR Log'!$C$2:$C$72=$C440),
    0),
    MATCH($G440,'GIR Log'!$E$1:$V$1,0)
  ),
"")</f>
        <v>1</v>
      </c>
    </row>
    <row r="441" spans="1:17" x14ac:dyDescent="0.25">
      <c r="A441" s="20" t="s">
        <v>126</v>
      </c>
      <c r="B441" s="2">
        <v>45143</v>
      </c>
      <c r="C441" t="s">
        <v>9</v>
      </c>
      <c r="D441" t="s">
        <v>9</v>
      </c>
      <c r="E441" t="s">
        <v>34</v>
      </c>
      <c r="F441">
        <v>88</v>
      </c>
      <c r="G441" t="s">
        <v>54</v>
      </c>
      <c r="H441" s="9">
        <f t="shared" si="20"/>
        <v>8</v>
      </c>
      <c r="I441" cm="1">
        <f t="array" ref="I441">IFERROR(INDEX(CourseYardages[[Hole 1]:[Hole 18]],
  MATCH(1, (CourseYardages[Course]=C441)*(CourseYardages[Tees]=E441), 0),
  MATCH(G441, CourseYardages[[#Headers],[Hole 1]:[Hole 18]], 0)
),"")</f>
        <v>360</v>
      </c>
      <c r="J441" cm="1">
        <f t="array" ref="J441">IFERROR(INDEX(CourseHandicap[[Hole 1]:[Hole 18]],
  MATCH(1, (CourseHandicap[Course]=C441)*(CourseHandicap[Tees]=E441), 0),
  MATCH(G441, CourseHandicap[[#Headers],[Hole 1]:[Hole 18]], 0)
),"")</f>
        <v>12</v>
      </c>
      <c r="K441" cm="1">
        <f t="array" ref="K441">IFERROR(INDEX(CourseRatings[[Hole 1]:[Hole 18]],
  MATCH(1, (CourseRatings[Course]=C441)*(CourseRatings[Tees]=E441), 0),
  MATCH(G441, CourseRatings[[#Headers],[Hole 1]:[Hole 18]], 0)
),"")</f>
        <v>4</v>
      </c>
      <c r="L441" cm="1">
        <f t="array" ref="L441">IFERROR(
  INDEX('Golf Log'!$E$2:$V$72,
    MATCH(1,
      ('Golf Log'!$A$2:$A$72=$A441)*
      ('Golf Log'!$B$2:$B$72=$B441)*
      ('Golf Log'!$C$2:$C$72=$C441),
    0),
    MATCH($G441,'Golf Log'!$E$1:$V$1,0)
  ),
"")</f>
        <v>5</v>
      </c>
      <c r="M441">
        <f t="shared" si="19"/>
        <v>1</v>
      </c>
      <c r="N441" t="str">
        <f t="shared" si="21"/>
        <v>Bogey</v>
      </c>
      <c r="O441" cm="1">
        <f t="array" ref="O441">IFERROR(
  INDEX('Putt Log'!$E$2:$V$72,
    MATCH(1,
      ('Putt Log'!$A$2:$A$72=$A441)*
      ('Putt Log'!$B$2:$B$72=$B441)*
      ('Putt Log'!$C$2:$C$72=$C441),
    0),
    MATCH($G441,'Putt Log'!$E$1:$V$1,0)
  ),
"")</f>
        <v>2</v>
      </c>
      <c r="P441" t="str" cm="1">
        <f t="array" ref="P441">IF(K441=3,"",
  IFERROR(
    INDEX('Fairway Log'!$E$2:$V$72,
      MATCH(1,
        ('Fairway Log'!$A$2:$A$72=$A441)*
        ('Fairway Log'!$B$2:$B$72=$B441)*
        ('Fairway Log'!$C$2:$C512=$C441),
      0),
      MATCH($G441,'Fairway Log'!$E$1:$V$1,0)
    ),
  "")
)</f>
        <v>←</v>
      </c>
      <c r="Q441" cm="1">
        <f t="array" ref="Q441">IFERROR(
  INDEX('GIR Log'!$E$2:$V$72,
    MATCH(1,
      ('GIR Log'!$A$2:$A$72=$A441)*
      ('GIR Log'!$B$2:$B$72=$B441)*
      ('GIR Log'!$C$2:$C$72=$C441),
    0),
    MATCH($G441,'GIR Log'!$E$1:$V$1,0)
  ),
"")</f>
        <v>0</v>
      </c>
    </row>
    <row r="442" spans="1:17" x14ac:dyDescent="0.25">
      <c r="A442" s="20" t="s">
        <v>126</v>
      </c>
      <c r="B442" s="2">
        <v>45143</v>
      </c>
      <c r="C442" t="s">
        <v>9</v>
      </c>
      <c r="D442" t="s">
        <v>9</v>
      </c>
      <c r="E442" t="s">
        <v>34</v>
      </c>
      <c r="F442">
        <v>88</v>
      </c>
      <c r="G442" t="s">
        <v>55</v>
      </c>
      <c r="H442" s="9">
        <f t="shared" si="20"/>
        <v>9</v>
      </c>
      <c r="I442" cm="1">
        <f t="array" ref="I442">IFERROR(INDEX(CourseYardages[[Hole 1]:[Hole 18]],
  MATCH(1, (CourseYardages[Course]=C442)*(CourseYardages[Tees]=E442), 0),
  MATCH(G442, CourseYardages[[#Headers],[Hole 1]:[Hole 18]], 0)
),"")</f>
        <v>386</v>
      </c>
      <c r="J442" cm="1">
        <f t="array" ref="J442">IFERROR(INDEX(CourseHandicap[[Hole 1]:[Hole 18]],
  MATCH(1, (CourseHandicap[Course]=C442)*(CourseHandicap[Tees]=E442), 0),
  MATCH(G442, CourseHandicap[[#Headers],[Hole 1]:[Hole 18]], 0)
),"")</f>
        <v>18</v>
      </c>
      <c r="K442" cm="1">
        <f t="array" ref="K442">IFERROR(INDEX(CourseRatings[[Hole 1]:[Hole 18]],
  MATCH(1, (CourseRatings[Course]=C442)*(CourseRatings[Tees]=E442), 0),
  MATCH(G442, CourseRatings[[#Headers],[Hole 1]:[Hole 18]], 0)
),"")</f>
        <v>4</v>
      </c>
      <c r="L442" cm="1">
        <f t="array" ref="L442">IFERROR(
  INDEX('Golf Log'!$E$2:$V$72,
    MATCH(1,
      ('Golf Log'!$A$2:$A$72=$A442)*
      ('Golf Log'!$B$2:$B$72=$B442)*
      ('Golf Log'!$C$2:$C$72=$C442),
    0),
    MATCH($G442,'Golf Log'!$E$1:$V$1,0)
  ),
"")</f>
        <v>5</v>
      </c>
      <c r="M442">
        <f t="shared" si="19"/>
        <v>1</v>
      </c>
      <c r="N442" t="str">
        <f t="shared" si="21"/>
        <v>Bogey</v>
      </c>
      <c r="O442" cm="1">
        <f t="array" ref="O442">IFERROR(
  INDEX('Putt Log'!$E$2:$V$72,
    MATCH(1,
      ('Putt Log'!$A$2:$A$72=$A442)*
      ('Putt Log'!$B$2:$B$72=$B442)*
      ('Putt Log'!$C$2:$C$72=$C442),
    0),
    MATCH($G442,'Putt Log'!$E$1:$V$1,0)
  ),
"")</f>
        <v>2</v>
      </c>
      <c r="P442" cm="1">
        <f t="array" ref="P442">IF(K442=3,"",
  IFERROR(
    INDEX('Fairway Log'!$E$2:$V$72,
      MATCH(1,
        ('Fairway Log'!$A$2:$A$72=$A442)*
        ('Fairway Log'!$B$2:$B$72=$B442)*
        ('Fairway Log'!$C$2:$C513=$C442),
      0),
      MATCH($G442,'Fairway Log'!$E$1:$V$1,0)
    ),
  "")
)</f>
        <v>0</v>
      </c>
      <c r="Q442" cm="1">
        <f t="array" ref="Q442">IFERROR(
  INDEX('GIR Log'!$E$2:$V$72,
    MATCH(1,
      ('GIR Log'!$A$2:$A$72=$A442)*
      ('GIR Log'!$B$2:$B$72=$B442)*
      ('GIR Log'!$C$2:$C$72=$C442),
    0),
    MATCH($G442,'GIR Log'!$E$1:$V$1,0)
  ),
"")</f>
        <v>0</v>
      </c>
    </row>
    <row r="443" spans="1:17" x14ac:dyDescent="0.25">
      <c r="A443" s="20" t="s">
        <v>126</v>
      </c>
      <c r="B443" s="2">
        <v>45143</v>
      </c>
      <c r="C443" t="s">
        <v>9</v>
      </c>
      <c r="D443" t="s">
        <v>9</v>
      </c>
      <c r="E443" t="s">
        <v>34</v>
      </c>
      <c r="F443">
        <v>88</v>
      </c>
      <c r="G443" t="s">
        <v>56</v>
      </c>
      <c r="H443" s="9">
        <f t="shared" si="20"/>
        <v>10</v>
      </c>
      <c r="I443" cm="1">
        <f t="array" ref="I443">IFERROR(INDEX(CourseYardages[[Hole 1]:[Hole 18]],
  MATCH(1, (CourseYardages[Course]=C443)*(CourseYardages[Tees]=E443), 0),
  MATCH(G443, CourseYardages[[#Headers],[Hole 1]:[Hole 18]], 0)
),"")</f>
        <v>524</v>
      </c>
      <c r="J443" cm="1">
        <f t="array" ref="J443">IFERROR(INDEX(CourseHandicap[[Hole 1]:[Hole 18]],
  MATCH(1, (CourseHandicap[Course]=C443)*(CourseHandicap[Tees]=E443), 0),
  MATCH(G443, CourseHandicap[[#Headers],[Hole 1]:[Hole 18]], 0)
),"")</f>
        <v>3</v>
      </c>
      <c r="K443" cm="1">
        <f t="array" ref="K443">IFERROR(INDEX(CourseRatings[[Hole 1]:[Hole 18]],
  MATCH(1, (CourseRatings[Course]=C443)*(CourseRatings[Tees]=E443), 0),
  MATCH(G443, CourseRatings[[#Headers],[Hole 1]:[Hole 18]], 0)
),"")</f>
        <v>5</v>
      </c>
      <c r="L443" cm="1">
        <f t="array" ref="L443">IFERROR(
  INDEX('Golf Log'!$E$2:$V$72,
    MATCH(1,
      ('Golf Log'!$A$2:$A$72=$A443)*
      ('Golf Log'!$B$2:$B$72=$B443)*
      ('Golf Log'!$C$2:$C$72=$C443),
    0),
    MATCH($G443,'Golf Log'!$E$1:$V$1,0)
  ),
"")</f>
        <v>5</v>
      </c>
      <c r="M443">
        <f t="shared" si="19"/>
        <v>0</v>
      </c>
      <c r="N443" t="str">
        <f t="shared" si="21"/>
        <v>Par</v>
      </c>
      <c r="O443" cm="1">
        <f t="array" ref="O443">IFERROR(
  INDEX('Putt Log'!$E$2:$V$72,
    MATCH(1,
      ('Putt Log'!$A$2:$A$72=$A443)*
      ('Putt Log'!$B$2:$B$72=$B443)*
      ('Putt Log'!$C$2:$C$72=$C443),
    0),
    MATCH($G443,'Putt Log'!$E$1:$V$1,0)
  ),
"")</f>
        <v>2</v>
      </c>
      <c r="P443" t="str" cm="1">
        <f t="array" ref="P443">IF(K443=3,"",
  IFERROR(
    INDEX('Fairway Log'!$E$2:$V$72,
      MATCH(1,
        ('Fairway Log'!$A$2:$A$72=$A443)*
        ('Fairway Log'!$B$2:$B$72=$B443)*
        ('Fairway Log'!$C$2:$C514=$C443),
      0),
      MATCH($G443,'Fairway Log'!$E$1:$V$1,0)
    ),
  "")
)</f>
        <v>→</v>
      </c>
      <c r="Q443" cm="1">
        <f t="array" ref="Q443">IFERROR(
  INDEX('GIR Log'!$E$2:$V$72,
    MATCH(1,
      ('GIR Log'!$A$2:$A$72=$A443)*
      ('GIR Log'!$B$2:$B$72=$B443)*
      ('GIR Log'!$C$2:$C$72=$C443),
    0),
    MATCH($G443,'GIR Log'!$E$1:$V$1,0)
  ),
"")</f>
        <v>0</v>
      </c>
    </row>
    <row r="444" spans="1:17" x14ac:dyDescent="0.25">
      <c r="A444" s="20" t="s">
        <v>126</v>
      </c>
      <c r="B444" s="2">
        <v>45143</v>
      </c>
      <c r="C444" t="s">
        <v>9</v>
      </c>
      <c r="D444" t="s">
        <v>9</v>
      </c>
      <c r="E444" t="s">
        <v>34</v>
      </c>
      <c r="F444">
        <v>88</v>
      </c>
      <c r="G444" t="s">
        <v>57</v>
      </c>
      <c r="H444" s="9">
        <f t="shared" si="20"/>
        <v>11</v>
      </c>
      <c r="I444" cm="1">
        <f t="array" ref="I444">IFERROR(INDEX(CourseYardages[[Hole 1]:[Hole 18]],
  MATCH(1, (CourseYardages[Course]=C444)*(CourseYardages[Tees]=E444), 0),
  MATCH(G444, CourseYardages[[#Headers],[Hole 1]:[Hole 18]], 0)
),"")</f>
        <v>188</v>
      </c>
      <c r="J444" cm="1">
        <f t="array" ref="J444">IFERROR(INDEX(CourseHandicap[[Hole 1]:[Hole 18]],
  MATCH(1, (CourseHandicap[Course]=C444)*(CourseHandicap[Tees]=E444), 0),
  MATCH(G444, CourseHandicap[[#Headers],[Hole 1]:[Hole 18]], 0)
),"")</f>
        <v>11</v>
      </c>
      <c r="K444" cm="1">
        <f t="array" ref="K444">IFERROR(INDEX(CourseRatings[[Hole 1]:[Hole 18]],
  MATCH(1, (CourseRatings[Course]=C444)*(CourseRatings[Tees]=E444), 0),
  MATCH(G444, CourseRatings[[#Headers],[Hole 1]:[Hole 18]], 0)
),"")</f>
        <v>3</v>
      </c>
      <c r="L444" cm="1">
        <f t="array" ref="L444">IFERROR(
  INDEX('Golf Log'!$E$2:$V$72,
    MATCH(1,
      ('Golf Log'!$A$2:$A$72=$A444)*
      ('Golf Log'!$B$2:$B$72=$B444)*
      ('Golf Log'!$C$2:$C$72=$C444),
    0),
    MATCH($G444,'Golf Log'!$E$1:$V$1,0)
  ),
"")</f>
        <v>4</v>
      </c>
      <c r="M444">
        <f t="shared" si="19"/>
        <v>1</v>
      </c>
      <c r="N444" t="str">
        <f t="shared" si="21"/>
        <v>Bogey</v>
      </c>
      <c r="O444" cm="1">
        <f t="array" ref="O444">IFERROR(
  INDEX('Putt Log'!$E$2:$V$72,
    MATCH(1,
      ('Putt Log'!$A$2:$A$72=$A444)*
      ('Putt Log'!$B$2:$B$72=$B444)*
      ('Putt Log'!$C$2:$C$72=$C444),
    0),
    MATCH($G444,'Putt Log'!$E$1:$V$1,0)
  ),
"")</f>
        <v>2</v>
      </c>
      <c r="P444" t="str" cm="1">
        <f t="array" ref="P444">IF(K444=3,"",
  IFERROR(
    INDEX('Fairway Log'!$E$2:$V$72,
      MATCH(1,
        ('Fairway Log'!$A$2:$A$72=$A444)*
        ('Fairway Log'!$B$2:$B$72=$B444)*
        ('Fairway Log'!$C$2:$C515=$C444),
      0),
      MATCH($G444,'Fairway Log'!$E$1:$V$1,0)
    ),
  "")
)</f>
        <v/>
      </c>
      <c r="Q444" cm="1">
        <f t="array" ref="Q444">IFERROR(
  INDEX('GIR Log'!$E$2:$V$72,
    MATCH(1,
      ('GIR Log'!$A$2:$A$72=$A444)*
      ('GIR Log'!$B$2:$B$72=$B444)*
      ('GIR Log'!$C$2:$C$72=$C444),
    0),
    MATCH($G444,'GIR Log'!$E$1:$V$1,0)
  ),
"")</f>
        <v>0</v>
      </c>
    </row>
    <row r="445" spans="1:17" x14ac:dyDescent="0.25">
      <c r="A445" s="20" t="s">
        <v>126</v>
      </c>
      <c r="B445" s="2">
        <v>45143</v>
      </c>
      <c r="C445" t="s">
        <v>9</v>
      </c>
      <c r="D445" t="s">
        <v>9</v>
      </c>
      <c r="E445" t="s">
        <v>34</v>
      </c>
      <c r="F445">
        <v>88</v>
      </c>
      <c r="G445" t="s">
        <v>58</v>
      </c>
      <c r="H445" s="9">
        <f t="shared" si="20"/>
        <v>12</v>
      </c>
      <c r="I445" cm="1">
        <f t="array" ref="I445">IFERROR(INDEX(CourseYardages[[Hole 1]:[Hole 18]],
  MATCH(1, (CourseYardages[Course]=C445)*(CourseYardages[Tees]=E445), 0),
  MATCH(G445, CourseYardages[[#Headers],[Hole 1]:[Hole 18]], 0)
),"")</f>
        <v>313</v>
      </c>
      <c r="J445" cm="1">
        <f t="array" ref="J445">IFERROR(INDEX(CourseHandicap[[Hole 1]:[Hole 18]],
  MATCH(1, (CourseHandicap[Course]=C445)*(CourseHandicap[Tees]=E445), 0),
  MATCH(G445, CourseHandicap[[#Headers],[Hole 1]:[Hole 18]], 0)
),"")</f>
        <v>17</v>
      </c>
      <c r="K445" cm="1">
        <f t="array" ref="K445">IFERROR(INDEX(CourseRatings[[Hole 1]:[Hole 18]],
  MATCH(1, (CourseRatings[Course]=C445)*(CourseRatings[Tees]=E445), 0),
  MATCH(G445, CourseRatings[[#Headers],[Hole 1]:[Hole 18]], 0)
),"")</f>
        <v>4</v>
      </c>
      <c r="L445" cm="1">
        <f t="array" ref="L445">IFERROR(
  INDEX('Golf Log'!$E$2:$V$72,
    MATCH(1,
      ('Golf Log'!$A$2:$A$72=$A445)*
      ('Golf Log'!$B$2:$B$72=$B445)*
      ('Golf Log'!$C$2:$C$72=$C445),
    0),
    MATCH($G445,'Golf Log'!$E$1:$V$1,0)
  ),
"")</f>
        <v>5</v>
      </c>
      <c r="M445">
        <f t="shared" si="19"/>
        <v>1</v>
      </c>
      <c r="N445" t="str">
        <f t="shared" si="21"/>
        <v>Bogey</v>
      </c>
      <c r="O445" cm="1">
        <f t="array" ref="O445">IFERROR(
  INDEX('Putt Log'!$E$2:$V$72,
    MATCH(1,
      ('Putt Log'!$A$2:$A$72=$A445)*
      ('Putt Log'!$B$2:$B$72=$B445)*
      ('Putt Log'!$C$2:$C$72=$C445),
    0),
    MATCH($G445,'Putt Log'!$E$1:$V$1,0)
  ),
"")</f>
        <v>2</v>
      </c>
      <c r="P445" t="str" cm="1">
        <f t="array" ref="P445">IF(K445=3,"",
  IFERROR(
    INDEX('Fairway Log'!$E$2:$V$72,
      MATCH(1,
        ('Fairway Log'!$A$2:$A$72=$A445)*
        ('Fairway Log'!$B$2:$B$72=$B445)*
        ('Fairway Log'!$C$2:$C516=$C445),
      0),
      MATCH($G445,'Fairway Log'!$E$1:$V$1,0)
    ),
  "")
)</f>
        <v>→</v>
      </c>
      <c r="Q445" cm="1">
        <f t="array" ref="Q445">IFERROR(
  INDEX('GIR Log'!$E$2:$V$72,
    MATCH(1,
      ('GIR Log'!$A$2:$A$72=$A445)*
      ('GIR Log'!$B$2:$B$72=$B445)*
      ('GIR Log'!$C$2:$C$72=$C445),
    0),
    MATCH($G445,'GIR Log'!$E$1:$V$1,0)
  ),
"")</f>
        <v>0</v>
      </c>
    </row>
    <row r="446" spans="1:17" x14ac:dyDescent="0.25">
      <c r="A446" s="20" t="s">
        <v>126</v>
      </c>
      <c r="B446" s="2">
        <v>45143</v>
      </c>
      <c r="C446" t="s">
        <v>9</v>
      </c>
      <c r="D446" t="s">
        <v>9</v>
      </c>
      <c r="E446" t="s">
        <v>34</v>
      </c>
      <c r="F446">
        <v>88</v>
      </c>
      <c r="G446" t="s">
        <v>59</v>
      </c>
      <c r="H446" s="9">
        <f t="shared" si="20"/>
        <v>13</v>
      </c>
      <c r="I446" cm="1">
        <f t="array" ref="I446">IFERROR(INDEX(CourseYardages[[Hole 1]:[Hole 18]],
  MATCH(1, (CourseYardages[Course]=C446)*(CourseYardages[Tees]=E446), 0),
  MATCH(G446, CourseYardages[[#Headers],[Hole 1]:[Hole 18]], 0)
),"")</f>
        <v>429</v>
      </c>
      <c r="J446" cm="1">
        <f t="array" ref="J446">IFERROR(INDEX(CourseHandicap[[Hole 1]:[Hole 18]],
  MATCH(1, (CourseHandicap[Course]=C446)*(CourseHandicap[Tees]=E446), 0),
  MATCH(G446, CourseHandicap[[#Headers],[Hole 1]:[Hole 18]], 0)
),"")</f>
        <v>1</v>
      </c>
      <c r="K446" cm="1">
        <f t="array" ref="K446">IFERROR(INDEX(CourseRatings[[Hole 1]:[Hole 18]],
  MATCH(1, (CourseRatings[Course]=C446)*(CourseRatings[Tees]=E446), 0),
  MATCH(G446, CourseRatings[[#Headers],[Hole 1]:[Hole 18]], 0)
),"")</f>
        <v>4</v>
      </c>
      <c r="L446" cm="1">
        <f t="array" ref="L446">IFERROR(
  INDEX('Golf Log'!$E$2:$V$72,
    MATCH(1,
      ('Golf Log'!$A$2:$A$72=$A446)*
      ('Golf Log'!$B$2:$B$72=$B446)*
      ('Golf Log'!$C$2:$C$72=$C446),
    0),
    MATCH($G446,'Golf Log'!$E$1:$V$1,0)
  ),
"")</f>
        <v>5</v>
      </c>
      <c r="M446">
        <f t="shared" si="19"/>
        <v>1</v>
      </c>
      <c r="N446" t="str">
        <f t="shared" si="21"/>
        <v>Bogey</v>
      </c>
      <c r="O446" cm="1">
        <f t="array" ref="O446">IFERROR(
  INDEX('Putt Log'!$E$2:$V$72,
    MATCH(1,
      ('Putt Log'!$A$2:$A$72=$A446)*
      ('Putt Log'!$B$2:$B$72=$B446)*
      ('Putt Log'!$C$2:$C$72=$C446),
    0),
    MATCH($G446,'Putt Log'!$E$1:$V$1,0)
  ),
"")</f>
        <v>2</v>
      </c>
      <c r="P446" t="str" cm="1">
        <f t="array" ref="P446">IF(K446=3,"",
  IFERROR(
    INDEX('Fairway Log'!$E$2:$V$72,
      MATCH(1,
        ('Fairway Log'!$A$2:$A$72=$A446)*
        ('Fairway Log'!$B$2:$B$72=$B446)*
        ('Fairway Log'!$C$2:$C517=$C446),
      0),
      MATCH($G446,'Fairway Log'!$E$1:$V$1,0)
    ),
  "")
)</f>
        <v>→</v>
      </c>
      <c r="Q446" cm="1">
        <f t="array" ref="Q446">IFERROR(
  INDEX('GIR Log'!$E$2:$V$72,
    MATCH(1,
      ('GIR Log'!$A$2:$A$72=$A446)*
      ('GIR Log'!$B$2:$B$72=$B446)*
      ('GIR Log'!$C$2:$C$72=$C446),
    0),
    MATCH($G446,'GIR Log'!$E$1:$V$1,0)
  ),
"")</f>
        <v>0</v>
      </c>
    </row>
    <row r="447" spans="1:17" x14ac:dyDescent="0.25">
      <c r="A447" s="20" t="s">
        <v>126</v>
      </c>
      <c r="B447" s="2">
        <v>45143</v>
      </c>
      <c r="C447" t="s">
        <v>9</v>
      </c>
      <c r="D447" t="s">
        <v>9</v>
      </c>
      <c r="E447" t="s">
        <v>34</v>
      </c>
      <c r="F447">
        <v>88</v>
      </c>
      <c r="G447" t="s">
        <v>60</v>
      </c>
      <c r="H447" s="9">
        <f t="shared" si="20"/>
        <v>14</v>
      </c>
      <c r="I447" cm="1">
        <f t="array" ref="I447">IFERROR(INDEX(CourseYardages[[Hole 1]:[Hole 18]],
  MATCH(1, (CourseYardages[Course]=C447)*(CourseYardages[Tees]=E447), 0),
  MATCH(G447, CourseYardages[[#Headers],[Hole 1]:[Hole 18]], 0)
),"")</f>
        <v>188</v>
      </c>
      <c r="J447" cm="1">
        <f t="array" ref="J447">IFERROR(INDEX(CourseHandicap[[Hole 1]:[Hole 18]],
  MATCH(1, (CourseHandicap[Course]=C447)*(CourseHandicap[Tees]=E447), 0),
  MATCH(G447, CourseHandicap[[#Headers],[Hole 1]:[Hole 18]], 0)
),"")</f>
        <v>9</v>
      </c>
      <c r="K447" cm="1">
        <f t="array" ref="K447">IFERROR(INDEX(CourseRatings[[Hole 1]:[Hole 18]],
  MATCH(1, (CourseRatings[Course]=C447)*(CourseRatings[Tees]=E447), 0),
  MATCH(G447, CourseRatings[[#Headers],[Hole 1]:[Hole 18]], 0)
),"")</f>
        <v>3</v>
      </c>
      <c r="L447" cm="1">
        <f t="array" ref="L447">IFERROR(
  INDEX('Golf Log'!$E$2:$V$72,
    MATCH(1,
      ('Golf Log'!$A$2:$A$72=$A447)*
      ('Golf Log'!$B$2:$B$72=$B447)*
      ('Golf Log'!$C$2:$C$72=$C447),
    0),
    MATCH($G447,'Golf Log'!$E$1:$V$1,0)
  ),
"")</f>
        <v>3</v>
      </c>
      <c r="M447">
        <f t="shared" si="19"/>
        <v>0</v>
      </c>
      <c r="N447" t="str">
        <f t="shared" si="21"/>
        <v>Par</v>
      </c>
      <c r="O447" cm="1">
        <f t="array" ref="O447">IFERROR(
  INDEX('Putt Log'!$E$2:$V$72,
    MATCH(1,
      ('Putt Log'!$A$2:$A$72=$A447)*
      ('Putt Log'!$B$2:$B$72=$B447)*
      ('Putt Log'!$C$2:$C$72=$C447),
    0),
    MATCH($G447,'Putt Log'!$E$1:$V$1,0)
  ),
"")</f>
        <v>2</v>
      </c>
      <c r="P447" t="str" cm="1">
        <f t="array" ref="P447">IF(K447=3,"",
  IFERROR(
    INDEX('Fairway Log'!$E$2:$V$72,
      MATCH(1,
        ('Fairway Log'!$A$2:$A$72=$A447)*
        ('Fairway Log'!$B$2:$B$72=$B447)*
        ('Fairway Log'!$C$2:$C518=$C447),
      0),
      MATCH($G447,'Fairway Log'!$E$1:$V$1,0)
    ),
  "")
)</f>
        <v/>
      </c>
      <c r="Q447" cm="1">
        <f t="array" ref="Q447">IFERROR(
  INDEX('GIR Log'!$E$2:$V$72,
    MATCH(1,
      ('GIR Log'!$A$2:$A$72=$A447)*
      ('GIR Log'!$B$2:$B$72=$B447)*
      ('GIR Log'!$C$2:$C$72=$C447),
    0),
    MATCH($G447,'GIR Log'!$E$1:$V$1,0)
  ),
"")</f>
        <v>1</v>
      </c>
    </row>
    <row r="448" spans="1:17" x14ac:dyDescent="0.25">
      <c r="A448" s="20" t="s">
        <v>126</v>
      </c>
      <c r="B448" s="2">
        <v>45143</v>
      </c>
      <c r="C448" t="s">
        <v>9</v>
      </c>
      <c r="D448" t="s">
        <v>9</v>
      </c>
      <c r="E448" t="s">
        <v>34</v>
      </c>
      <c r="F448">
        <v>88</v>
      </c>
      <c r="G448" t="s">
        <v>61</v>
      </c>
      <c r="H448" s="9">
        <f t="shared" si="20"/>
        <v>15</v>
      </c>
      <c r="I448" cm="1">
        <f t="array" ref="I448">IFERROR(INDEX(CourseYardages[[Hole 1]:[Hole 18]],
  MATCH(1, (CourseYardages[Course]=C448)*(CourseYardages[Tees]=E448), 0),
  MATCH(G448, CourseYardages[[#Headers],[Hole 1]:[Hole 18]], 0)
),"")</f>
        <v>363</v>
      </c>
      <c r="J448" cm="1">
        <f t="array" ref="J448">IFERROR(INDEX(CourseHandicap[[Hole 1]:[Hole 18]],
  MATCH(1, (CourseHandicap[Course]=C448)*(CourseHandicap[Tees]=E448), 0),
  MATCH(G448, CourseHandicap[[#Headers],[Hole 1]:[Hole 18]], 0)
),"")</f>
        <v>7</v>
      </c>
      <c r="K448" cm="1">
        <f t="array" ref="K448">IFERROR(INDEX(CourseRatings[[Hole 1]:[Hole 18]],
  MATCH(1, (CourseRatings[Course]=C448)*(CourseRatings[Tees]=E448), 0),
  MATCH(G448, CourseRatings[[#Headers],[Hole 1]:[Hole 18]], 0)
),"")</f>
        <v>4</v>
      </c>
      <c r="L448" cm="1">
        <f t="array" ref="L448">IFERROR(
  INDEX('Golf Log'!$E$2:$V$72,
    MATCH(1,
      ('Golf Log'!$A$2:$A$72=$A448)*
      ('Golf Log'!$B$2:$B$72=$B448)*
      ('Golf Log'!$C$2:$C$72=$C448),
    0),
    MATCH($G448,'Golf Log'!$E$1:$V$1,0)
  ),
"")</f>
        <v>5</v>
      </c>
      <c r="M448">
        <f t="shared" si="19"/>
        <v>1</v>
      </c>
      <c r="N448" t="str">
        <f t="shared" si="21"/>
        <v>Bogey</v>
      </c>
      <c r="O448" cm="1">
        <f t="array" ref="O448">IFERROR(
  INDEX('Putt Log'!$E$2:$V$72,
    MATCH(1,
      ('Putt Log'!$A$2:$A$72=$A448)*
      ('Putt Log'!$B$2:$B$72=$B448)*
      ('Putt Log'!$C$2:$C$72=$C448),
    0),
    MATCH($G448,'Putt Log'!$E$1:$V$1,0)
  ),
"")</f>
        <v>2</v>
      </c>
      <c r="P448" cm="1">
        <f t="array" ref="P448">IF(K448=3,"",
  IFERROR(
    INDEX('Fairway Log'!$E$2:$V$72,
      MATCH(1,
        ('Fairway Log'!$A$2:$A$72=$A448)*
        ('Fairway Log'!$B$2:$B$72=$B448)*
        ('Fairway Log'!$C$2:$C519=$C448),
      0),
      MATCH($G448,'Fairway Log'!$E$1:$V$1,0)
    ),
  "")
)</f>
        <v>1</v>
      </c>
      <c r="Q448" cm="1">
        <f t="array" ref="Q448">IFERROR(
  INDEX('GIR Log'!$E$2:$V$72,
    MATCH(1,
      ('GIR Log'!$A$2:$A$72=$A448)*
      ('GIR Log'!$B$2:$B$72=$B448)*
      ('GIR Log'!$C$2:$C$72=$C448),
    0),
    MATCH($G448,'GIR Log'!$E$1:$V$1,0)
  ),
"")</f>
        <v>0</v>
      </c>
    </row>
    <row r="449" spans="1:17" x14ac:dyDescent="0.25">
      <c r="A449" s="20" t="s">
        <v>126</v>
      </c>
      <c r="B449" s="2">
        <v>45143</v>
      </c>
      <c r="C449" t="s">
        <v>9</v>
      </c>
      <c r="D449" t="s">
        <v>9</v>
      </c>
      <c r="E449" t="s">
        <v>34</v>
      </c>
      <c r="F449">
        <v>88</v>
      </c>
      <c r="G449" t="s">
        <v>62</v>
      </c>
      <c r="H449" s="9">
        <f t="shared" si="20"/>
        <v>16</v>
      </c>
      <c r="I449" cm="1">
        <f t="array" ref="I449">IFERROR(INDEX(CourseYardages[[Hole 1]:[Hole 18]],
  MATCH(1, (CourseYardages[Course]=C449)*(CourseYardages[Tees]=E449), 0),
  MATCH(G449, CourseYardages[[#Headers],[Hole 1]:[Hole 18]], 0)
),"")</f>
        <v>353</v>
      </c>
      <c r="J449" cm="1">
        <f t="array" ref="J449">IFERROR(INDEX(CourseHandicap[[Hole 1]:[Hole 18]],
  MATCH(1, (CourseHandicap[Course]=C449)*(CourseHandicap[Tees]=E449), 0),
  MATCH(G449, CourseHandicap[[#Headers],[Hole 1]:[Hole 18]], 0)
),"")</f>
        <v>13</v>
      </c>
      <c r="K449" cm="1">
        <f t="array" ref="K449">IFERROR(INDEX(CourseRatings[[Hole 1]:[Hole 18]],
  MATCH(1, (CourseRatings[Course]=C449)*(CourseRatings[Tees]=E449), 0),
  MATCH(G449, CourseRatings[[#Headers],[Hole 1]:[Hole 18]], 0)
),"")</f>
        <v>4</v>
      </c>
      <c r="L449" cm="1">
        <f t="array" ref="L449">IFERROR(
  INDEX('Golf Log'!$E$2:$V$72,
    MATCH(1,
      ('Golf Log'!$A$2:$A$72=$A449)*
      ('Golf Log'!$B$2:$B$72=$B449)*
      ('Golf Log'!$C$2:$C$72=$C449),
    0),
    MATCH($G449,'Golf Log'!$E$1:$V$1,0)
  ),
"")</f>
        <v>4</v>
      </c>
      <c r="M449">
        <f t="shared" ref="M449:M469" si="22">IFERROR(L449-K449,"")</f>
        <v>0</v>
      </c>
      <c r="N449" t="str">
        <f t="shared" si="21"/>
        <v>Par</v>
      </c>
      <c r="O449" cm="1">
        <f t="array" ref="O449">IFERROR(
  INDEX('Putt Log'!$E$2:$V$72,
    MATCH(1,
      ('Putt Log'!$A$2:$A$72=$A449)*
      ('Putt Log'!$B$2:$B$72=$B449)*
      ('Putt Log'!$C$2:$C$72=$C449),
    0),
    MATCH($G449,'Putt Log'!$E$1:$V$1,0)
  ),
"")</f>
        <v>2</v>
      </c>
      <c r="P449" cm="1">
        <f t="array" ref="P449">IF(K449=3,"",
  IFERROR(
    INDEX('Fairway Log'!$E$2:$V$72,
      MATCH(1,
        ('Fairway Log'!$A$2:$A$72=$A449)*
        ('Fairway Log'!$B$2:$B$72=$B449)*
        ('Fairway Log'!$C$2:$C520=$C449),
      0),
      MATCH($G449,'Fairway Log'!$E$1:$V$1,0)
    ),
  "")
)</f>
        <v>1</v>
      </c>
      <c r="Q449" cm="1">
        <f t="array" ref="Q449">IFERROR(
  INDEX('GIR Log'!$E$2:$V$72,
    MATCH(1,
      ('GIR Log'!$A$2:$A$72=$A449)*
      ('GIR Log'!$B$2:$B$72=$B449)*
      ('GIR Log'!$C$2:$C$72=$C449),
    0),
    MATCH($G449,'GIR Log'!$E$1:$V$1,0)
  ),
"")</f>
        <v>1</v>
      </c>
    </row>
    <row r="450" spans="1:17" x14ac:dyDescent="0.25">
      <c r="A450" s="20" t="s">
        <v>126</v>
      </c>
      <c r="B450" s="2">
        <v>45143</v>
      </c>
      <c r="C450" t="s">
        <v>9</v>
      </c>
      <c r="D450" t="s">
        <v>9</v>
      </c>
      <c r="E450" t="s">
        <v>34</v>
      </c>
      <c r="F450">
        <v>88</v>
      </c>
      <c r="G450" t="s">
        <v>63</v>
      </c>
      <c r="H450" s="9">
        <f t="shared" si="20"/>
        <v>17</v>
      </c>
      <c r="I450" cm="1">
        <f t="array" ref="I450">IFERROR(INDEX(CourseYardages[[Hole 1]:[Hole 18]],
  MATCH(1, (CourseYardages[Course]=C450)*(CourseYardages[Tees]=E450), 0),
  MATCH(G450, CourseYardages[[#Headers],[Hole 1]:[Hole 18]], 0)
),"")</f>
        <v>485</v>
      </c>
      <c r="J450" cm="1">
        <f t="array" ref="J450">IFERROR(INDEX(CourseHandicap[[Hole 1]:[Hole 18]],
  MATCH(1, (CourseHandicap[Course]=C450)*(CourseHandicap[Tees]=E450), 0),
  MATCH(G450, CourseHandicap[[#Headers],[Hole 1]:[Hole 18]], 0)
),"")</f>
        <v>5</v>
      </c>
      <c r="K450" cm="1">
        <f t="array" ref="K450">IFERROR(INDEX(CourseRatings[[Hole 1]:[Hole 18]],
  MATCH(1, (CourseRatings[Course]=C450)*(CourseRatings[Tees]=E450), 0),
  MATCH(G450, CourseRatings[[#Headers],[Hole 1]:[Hole 18]], 0)
),"")</f>
        <v>5</v>
      </c>
      <c r="L450" cm="1">
        <f t="array" ref="L450">IFERROR(
  INDEX('Golf Log'!$E$2:$V$72,
    MATCH(1,
      ('Golf Log'!$A$2:$A$72=$A450)*
      ('Golf Log'!$B$2:$B$72=$B450)*
      ('Golf Log'!$C$2:$C$72=$C450),
    0),
    MATCH($G450,'Golf Log'!$E$1:$V$1,0)
  ),
"")</f>
        <v>6</v>
      </c>
      <c r="M450">
        <f t="shared" si="22"/>
        <v>1</v>
      </c>
      <c r="N450" t="str">
        <f t="shared" si="21"/>
        <v>Bogey</v>
      </c>
      <c r="O450" cm="1">
        <f t="array" ref="O450">IFERROR(
  INDEX('Putt Log'!$E$2:$V$72,
    MATCH(1,
      ('Putt Log'!$A$2:$A$72=$A450)*
      ('Putt Log'!$B$2:$B$72=$B450)*
      ('Putt Log'!$C$2:$C$72=$C450),
    0),
    MATCH($G450,'Putt Log'!$E$1:$V$1,0)
  ),
"")</f>
        <v>2</v>
      </c>
      <c r="P450" cm="1">
        <f t="array" ref="P450">IF(K450=3,"",
  IFERROR(
    INDEX('Fairway Log'!$E$2:$V$72,
      MATCH(1,
        ('Fairway Log'!$A$2:$A$72=$A450)*
        ('Fairway Log'!$B$2:$B$72=$B450)*
        ('Fairway Log'!$C$2:$C521=$C450),
      0),
      MATCH($G450,'Fairway Log'!$E$1:$V$1,0)
    ),
  "")
)</f>
        <v>1</v>
      </c>
      <c r="Q450" cm="1">
        <f t="array" ref="Q450">IFERROR(
  INDEX('GIR Log'!$E$2:$V$72,
    MATCH(1,
      ('GIR Log'!$A$2:$A$72=$A450)*
      ('GIR Log'!$B$2:$B$72=$B450)*
      ('GIR Log'!$C$2:$C$72=$C450),
    0),
    MATCH($G450,'GIR Log'!$E$1:$V$1,0)
  ),
"")</f>
        <v>0</v>
      </c>
    </row>
    <row r="451" spans="1:17" x14ac:dyDescent="0.25">
      <c r="A451" s="20" t="s">
        <v>126</v>
      </c>
      <c r="B451" s="2">
        <v>45143</v>
      </c>
      <c r="C451" t="s">
        <v>9</v>
      </c>
      <c r="D451" t="s">
        <v>9</v>
      </c>
      <c r="E451" t="s">
        <v>34</v>
      </c>
      <c r="F451">
        <v>88</v>
      </c>
      <c r="G451" t="s">
        <v>64</v>
      </c>
      <c r="H451" s="9">
        <f t="shared" ref="H451:H514" si="23">VALUE(RIGHT(G451, LEN(G451) - 5))</f>
        <v>18</v>
      </c>
      <c r="I451" cm="1">
        <f t="array" ref="I451">IFERROR(INDEX(CourseYardages[[Hole 1]:[Hole 18]],
  MATCH(1, (CourseYardages[Course]=C451)*(CourseYardages[Tees]=E451), 0),
  MATCH(G451, CourseYardages[[#Headers],[Hole 1]:[Hole 18]], 0)
),"")</f>
        <v>366</v>
      </c>
      <c r="J451" cm="1">
        <f t="array" ref="J451">IFERROR(INDEX(CourseHandicap[[Hole 1]:[Hole 18]],
  MATCH(1, (CourseHandicap[Course]=C451)*(CourseHandicap[Tees]=E451), 0),
  MATCH(G451, CourseHandicap[[#Headers],[Hole 1]:[Hole 18]], 0)
),"")</f>
        <v>15</v>
      </c>
      <c r="K451" cm="1">
        <f t="array" ref="K451">IFERROR(INDEX(CourseRatings[[Hole 1]:[Hole 18]],
  MATCH(1, (CourseRatings[Course]=C451)*(CourseRatings[Tees]=E451), 0),
  MATCH(G451, CourseRatings[[#Headers],[Hole 1]:[Hole 18]], 0)
),"")</f>
        <v>4</v>
      </c>
      <c r="L451" cm="1">
        <f t="array" ref="L451">IFERROR(
  INDEX('Golf Log'!$E$2:$V$72,
    MATCH(1,
      ('Golf Log'!$A$2:$A$72=$A451)*
      ('Golf Log'!$B$2:$B$72=$B451)*
      ('Golf Log'!$C$2:$C$72=$C451),
    0),
    MATCH($G451,'Golf Log'!$E$1:$V$1,0)
  ),
"")</f>
        <v>4</v>
      </c>
      <c r="M451">
        <f t="shared" si="22"/>
        <v>0</v>
      </c>
      <c r="N451" t="str">
        <f t="shared" si="21"/>
        <v>Par</v>
      </c>
      <c r="O451" cm="1">
        <f t="array" ref="O451">IFERROR(
  INDEX('Putt Log'!$E$2:$V$72,
    MATCH(1,
      ('Putt Log'!$A$2:$A$72=$A451)*
      ('Putt Log'!$B$2:$B$72=$B451)*
      ('Putt Log'!$C$2:$C$72=$C451),
    0),
    MATCH($G451,'Putt Log'!$E$1:$V$1,0)
  ),
"")</f>
        <v>2</v>
      </c>
      <c r="P451" t="str" cm="1">
        <f t="array" ref="P451">IF(K451=3,"",
  IFERROR(
    INDEX('Fairway Log'!$E$2:$V$72,
      MATCH(1,
        ('Fairway Log'!$A$2:$A$72=$A451)*
        ('Fairway Log'!$B$2:$B$72=$B451)*
        ('Fairway Log'!$C$2:$C522=$C451),
      0),
      MATCH($G451,'Fairway Log'!$E$1:$V$1,0)
    ),
  "")
)</f>
        <v>→</v>
      </c>
      <c r="Q451" cm="1">
        <f t="array" ref="Q451">IFERROR(
  INDEX('GIR Log'!$E$2:$V$72,
    MATCH(1,
      ('GIR Log'!$A$2:$A$72=$A451)*
      ('GIR Log'!$B$2:$B$72=$B451)*
      ('GIR Log'!$C$2:$C$72=$C451),
    0),
    MATCH($G451,'GIR Log'!$E$1:$V$1,0)
  ),
"")</f>
        <v>1</v>
      </c>
    </row>
    <row r="452" spans="1:17" x14ac:dyDescent="0.25">
      <c r="A452" s="20" t="s">
        <v>126</v>
      </c>
      <c r="B452" s="2">
        <v>45137</v>
      </c>
      <c r="C452" t="s">
        <v>9</v>
      </c>
      <c r="D452" t="s">
        <v>9</v>
      </c>
      <c r="E452" t="s">
        <v>34</v>
      </c>
      <c r="F452">
        <v>87</v>
      </c>
      <c r="G452" t="s">
        <v>47</v>
      </c>
      <c r="H452" s="9">
        <f t="shared" si="23"/>
        <v>1</v>
      </c>
      <c r="I452" cm="1">
        <f t="array" ref="I452">IFERROR(INDEX(CourseYardages[[Hole 1]:[Hole 18]],
  MATCH(1, (CourseYardages[Course]=C452)*(CourseYardages[Tees]=E452), 0),
  MATCH(G452, CourseYardages[[#Headers],[Hole 1]:[Hole 18]], 0)
),"")</f>
        <v>393</v>
      </c>
      <c r="J452" cm="1">
        <f t="array" ref="J452">IFERROR(INDEX(CourseHandicap[[Hole 1]:[Hole 18]],
  MATCH(1, (CourseHandicap[Course]=C452)*(CourseHandicap[Tees]=E452), 0),
  MATCH(G452, CourseHandicap[[#Headers],[Hole 1]:[Hole 18]], 0)
),"")</f>
        <v>2</v>
      </c>
      <c r="K452" cm="1">
        <f t="array" ref="K452">IFERROR(INDEX(CourseRatings[[Hole 1]:[Hole 18]],
  MATCH(1, (CourseRatings[Course]=C452)*(CourseRatings[Tees]=E452), 0),
  MATCH(G452, CourseRatings[[#Headers],[Hole 1]:[Hole 18]], 0)
),"")</f>
        <v>4</v>
      </c>
      <c r="L452" cm="1">
        <f t="array" ref="L452">IFERROR(
  INDEX('Golf Log'!$E$2:$V$72,
    MATCH(1,
      ('Golf Log'!$A$2:$A$72=$A452)*
      ('Golf Log'!$B$2:$B$72=$B452)*
      ('Golf Log'!$C$2:$C$72=$C452),
    0),
    MATCH($G452,'Golf Log'!$E$1:$V$1,0)
  ),
"")</f>
        <v>5</v>
      </c>
      <c r="M452">
        <f t="shared" si="22"/>
        <v>1</v>
      </c>
      <c r="N452" t="str">
        <f t="shared" si="21"/>
        <v>Bogey</v>
      </c>
      <c r="O452" cm="1">
        <f t="array" ref="O452">IFERROR(
  INDEX('Putt Log'!$E$2:$V$72,
    MATCH(1,
      ('Putt Log'!$A$2:$A$72=$A452)*
      ('Putt Log'!$B$2:$B$72=$B452)*
      ('Putt Log'!$C$2:$C$72=$C452),
    0),
    MATCH($G452,'Putt Log'!$E$1:$V$1,0)
  ),
"")</f>
        <v>2</v>
      </c>
      <c r="P452" t="str" cm="1">
        <f t="array" ref="P452">IF(K452=3,"",
  IFERROR(
    INDEX('Fairway Log'!$E$2:$V$72,
      MATCH(1,
        ('Fairway Log'!$A$2:$A$72=$A452)*
        ('Fairway Log'!$B$2:$B$72=$B452)*
        ('Fairway Log'!$C$2:$C523=$C452),
      0),
      MATCH($G452,'Fairway Log'!$E$1:$V$1,0)
    ),
  "")
)</f>
        <v>↑</v>
      </c>
      <c r="Q452" cm="1">
        <f t="array" ref="Q452">IFERROR(
  INDEX('GIR Log'!$E$2:$V$72,
    MATCH(1,
      ('GIR Log'!$A$2:$A$72=$A452)*
      ('GIR Log'!$B$2:$B$72=$B452)*
      ('GIR Log'!$C$2:$C$72=$C452),
    0),
    MATCH($G452,'GIR Log'!$E$1:$V$1,0)
  ),
"")</f>
        <v>0</v>
      </c>
    </row>
    <row r="453" spans="1:17" x14ac:dyDescent="0.25">
      <c r="A453" s="20" t="s">
        <v>126</v>
      </c>
      <c r="B453" s="2">
        <v>45137</v>
      </c>
      <c r="C453" t="s">
        <v>9</v>
      </c>
      <c r="D453" t="s">
        <v>9</v>
      </c>
      <c r="E453" t="s">
        <v>34</v>
      </c>
      <c r="F453">
        <v>87</v>
      </c>
      <c r="G453" t="s">
        <v>48</v>
      </c>
      <c r="H453" s="9">
        <f t="shared" si="23"/>
        <v>2</v>
      </c>
      <c r="I453" cm="1">
        <f t="array" ref="I453">IFERROR(INDEX(CourseYardages[[Hole 1]:[Hole 18]],
  MATCH(1, (CourseYardages[Course]=C453)*(CourseYardages[Tees]=E453), 0),
  MATCH(G453, CourseYardages[[#Headers],[Hole 1]:[Hole 18]], 0)
),"")</f>
        <v>398</v>
      </c>
      <c r="J453" cm="1">
        <f t="array" ref="J453">IFERROR(INDEX(CourseHandicap[[Hole 1]:[Hole 18]],
  MATCH(1, (CourseHandicap[Course]=C453)*(CourseHandicap[Tees]=E453), 0),
  MATCH(G453, CourseHandicap[[#Headers],[Hole 1]:[Hole 18]], 0)
),"")</f>
        <v>4</v>
      </c>
      <c r="K453" cm="1">
        <f t="array" ref="K453">IFERROR(INDEX(CourseRatings[[Hole 1]:[Hole 18]],
  MATCH(1, (CourseRatings[Course]=C453)*(CourseRatings[Tees]=E453), 0),
  MATCH(G453, CourseRatings[[#Headers],[Hole 1]:[Hole 18]], 0)
),"")</f>
        <v>4</v>
      </c>
      <c r="L453" cm="1">
        <f t="array" ref="L453">IFERROR(
  INDEX('Golf Log'!$E$2:$V$72,
    MATCH(1,
      ('Golf Log'!$A$2:$A$72=$A453)*
      ('Golf Log'!$B$2:$B$72=$B453)*
      ('Golf Log'!$C$2:$C$72=$C453),
    0),
    MATCH($G453,'Golf Log'!$E$1:$V$1,0)
  ),
"")</f>
        <v>5</v>
      </c>
      <c r="M453">
        <f t="shared" si="22"/>
        <v>1</v>
      </c>
      <c r="N453" t="str">
        <f t="shared" si="21"/>
        <v>Bogey</v>
      </c>
      <c r="O453" cm="1">
        <f t="array" ref="O453">IFERROR(
  INDEX('Putt Log'!$E$2:$V$72,
    MATCH(1,
      ('Putt Log'!$A$2:$A$72=$A453)*
      ('Putt Log'!$B$2:$B$72=$B453)*
      ('Putt Log'!$C$2:$C$72=$C453),
    0),
    MATCH($G453,'Putt Log'!$E$1:$V$1,0)
  ),
"")</f>
        <v>2</v>
      </c>
      <c r="P453" cm="1">
        <f t="array" ref="P453">IF(K453=3,"",
  IFERROR(
    INDEX('Fairway Log'!$E$2:$V$72,
      MATCH(1,
        ('Fairway Log'!$A$2:$A$72=$A453)*
        ('Fairway Log'!$B$2:$B$72=$B453)*
        ('Fairway Log'!$C$2:$C524=$C453),
      0),
      MATCH($G453,'Fairway Log'!$E$1:$V$1,0)
    ),
  "")
)</f>
        <v>1</v>
      </c>
      <c r="Q453" cm="1">
        <f t="array" ref="Q453">IFERROR(
  INDEX('GIR Log'!$E$2:$V$72,
    MATCH(1,
      ('GIR Log'!$A$2:$A$72=$A453)*
      ('GIR Log'!$B$2:$B$72=$B453)*
      ('GIR Log'!$C$2:$C$72=$C453),
    0),
    MATCH($G453,'GIR Log'!$E$1:$V$1,0)
  ),
"")</f>
        <v>0</v>
      </c>
    </row>
    <row r="454" spans="1:17" x14ac:dyDescent="0.25">
      <c r="A454" s="20" t="s">
        <v>126</v>
      </c>
      <c r="B454" s="2">
        <v>45137</v>
      </c>
      <c r="C454" t="s">
        <v>9</v>
      </c>
      <c r="D454" t="s">
        <v>9</v>
      </c>
      <c r="E454" t="s">
        <v>34</v>
      </c>
      <c r="F454">
        <v>87</v>
      </c>
      <c r="G454" t="s">
        <v>49</v>
      </c>
      <c r="H454" s="9">
        <f t="shared" si="23"/>
        <v>3</v>
      </c>
      <c r="I454" cm="1">
        <f t="array" ref="I454">IFERROR(INDEX(CourseYardages[[Hole 1]:[Hole 18]],
  MATCH(1, (CourseYardages[Course]=C454)*(CourseYardages[Tees]=E454), 0),
  MATCH(G454, CourseYardages[[#Headers],[Hole 1]:[Hole 18]], 0)
),"")</f>
        <v>390</v>
      </c>
      <c r="J454" cm="1">
        <f t="array" ref="J454">IFERROR(INDEX(CourseHandicap[[Hole 1]:[Hole 18]],
  MATCH(1, (CourseHandicap[Course]=C454)*(CourseHandicap[Tees]=E454), 0),
  MATCH(G454, CourseHandicap[[#Headers],[Hole 1]:[Hole 18]], 0)
),"")</f>
        <v>6</v>
      </c>
      <c r="K454" cm="1">
        <f t="array" ref="K454">IFERROR(INDEX(CourseRatings[[Hole 1]:[Hole 18]],
  MATCH(1, (CourseRatings[Course]=C454)*(CourseRatings[Tees]=E454), 0),
  MATCH(G454, CourseRatings[[#Headers],[Hole 1]:[Hole 18]], 0)
),"")</f>
        <v>4</v>
      </c>
      <c r="L454" cm="1">
        <f t="array" ref="L454">IFERROR(
  INDEX('Golf Log'!$E$2:$V$72,
    MATCH(1,
      ('Golf Log'!$A$2:$A$72=$A454)*
      ('Golf Log'!$B$2:$B$72=$B454)*
      ('Golf Log'!$C$2:$C$72=$C454),
    0),
    MATCH($G454,'Golf Log'!$E$1:$V$1,0)
  ),
"")</f>
        <v>6</v>
      </c>
      <c r="M454">
        <f t="shared" si="22"/>
        <v>2</v>
      </c>
      <c r="N454" t="str">
        <f t="shared" si="21"/>
        <v>Double Bogey</v>
      </c>
      <c r="O454" cm="1">
        <f t="array" ref="O454">IFERROR(
  INDEX('Putt Log'!$E$2:$V$72,
    MATCH(1,
      ('Putt Log'!$A$2:$A$72=$A454)*
      ('Putt Log'!$B$2:$B$72=$B454)*
      ('Putt Log'!$C$2:$C$72=$C454),
    0),
    MATCH($G454,'Putt Log'!$E$1:$V$1,0)
  ),
"")</f>
        <v>2</v>
      </c>
      <c r="P454" t="str" cm="1">
        <f t="array" ref="P454">IF(K454=3,"",
  IFERROR(
    INDEX('Fairway Log'!$E$2:$V$72,
      MATCH(1,
        ('Fairway Log'!$A$2:$A$72=$A454)*
        ('Fairway Log'!$B$2:$B$72=$B454)*
        ('Fairway Log'!$C$2:$C525=$C454),
      0),
      MATCH($G454,'Fairway Log'!$E$1:$V$1,0)
    ),
  "")
)</f>
        <v>→</v>
      </c>
      <c r="Q454" cm="1">
        <f t="array" ref="Q454">IFERROR(
  INDEX('GIR Log'!$E$2:$V$72,
    MATCH(1,
      ('GIR Log'!$A$2:$A$72=$A454)*
      ('GIR Log'!$B$2:$B$72=$B454)*
      ('GIR Log'!$C$2:$C$72=$C454),
    0),
    MATCH($G454,'GIR Log'!$E$1:$V$1,0)
  ),
"")</f>
        <v>0</v>
      </c>
    </row>
    <row r="455" spans="1:17" x14ac:dyDescent="0.25">
      <c r="A455" s="20" t="s">
        <v>126</v>
      </c>
      <c r="B455" s="2">
        <v>45137</v>
      </c>
      <c r="C455" t="s">
        <v>9</v>
      </c>
      <c r="D455" t="s">
        <v>9</v>
      </c>
      <c r="E455" t="s">
        <v>34</v>
      </c>
      <c r="F455">
        <v>87</v>
      </c>
      <c r="G455" t="s">
        <v>50</v>
      </c>
      <c r="H455" s="9">
        <f t="shared" si="23"/>
        <v>4</v>
      </c>
      <c r="I455" cm="1">
        <f t="array" ref="I455">IFERROR(INDEX(CourseYardages[[Hole 1]:[Hole 18]],
  MATCH(1, (CourseYardages[Course]=C455)*(CourseYardages[Tees]=E455), 0),
  MATCH(G455, CourseYardages[[#Headers],[Hole 1]:[Hole 18]], 0)
),"")</f>
        <v>166</v>
      </c>
      <c r="J455" cm="1">
        <f t="array" ref="J455">IFERROR(INDEX(CourseHandicap[[Hole 1]:[Hole 18]],
  MATCH(1, (CourseHandicap[Course]=C455)*(CourseHandicap[Tees]=E455), 0),
  MATCH(G455, CourseHandicap[[#Headers],[Hole 1]:[Hole 18]], 0)
),"")</f>
        <v>14</v>
      </c>
      <c r="K455" cm="1">
        <f t="array" ref="K455">IFERROR(INDEX(CourseRatings[[Hole 1]:[Hole 18]],
  MATCH(1, (CourseRatings[Course]=C455)*(CourseRatings[Tees]=E455), 0),
  MATCH(G455, CourseRatings[[#Headers],[Hole 1]:[Hole 18]], 0)
),"")</f>
        <v>3</v>
      </c>
      <c r="L455" cm="1">
        <f t="array" ref="L455">IFERROR(
  INDEX('Golf Log'!$E$2:$V$72,
    MATCH(1,
      ('Golf Log'!$A$2:$A$72=$A455)*
      ('Golf Log'!$B$2:$B$72=$B455)*
      ('Golf Log'!$C$2:$C$72=$C455),
    0),
    MATCH($G455,'Golf Log'!$E$1:$V$1,0)
  ),
"")</f>
        <v>2</v>
      </c>
      <c r="M455">
        <f t="shared" si="22"/>
        <v>-1</v>
      </c>
      <c r="N455" t="str">
        <f t="shared" si="21"/>
        <v>Birdie</v>
      </c>
      <c r="O455" cm="1">
        <f t="array" ref="O455">IFERROR(
  INDEX('Putt Log'!$E$2:$V$72,
    MATCH(1,
      ('Putt Log'!$A$2:$A$72=$A455)*
      ('Putt Log'!$B$2:$B$72=$B455)*
      ('Putt Log'!$C$2:$C$72=$C455),
    0),
    MATCH($G455,'Putt Log'!$E$1:$V$1,0)
  ),
"")</f>
        <v>1</v>
      </c>
      <c r="P455" t="str" cm="1">
        <f t="array" ref="P455">IF(K455=3,"",
  IFERROR(
    INDEX('Fairway Log'!$E$2:$V$72,
      MATCH(1,
        ('Fairway Log'!$A$2:$A$72=$A455)*
        ('Fairway Log'!$B$2:$B$72=$B455)*
        ('Fairway Log'!$C$2:$C526=$C455),
      0),
      MATCH($G455,'Fairway Log'!$E$1:$V$1,0)
    ),
  "")
)</f>
        <v/>
      </c>
      <c r="Q455" cm="1">
        <f t="array" ref="Q455">IFERROR(
  INDEX('GIR Log'!$E$2:$V$72,
    MATCH(1,
      ('GIR Log'!$A$2:$A$72=$A455)*
      ('GIR Log'!$B$2:$B$72=$B455)*
      ('GIR Log'!$C$2:$C$72=$C455),
    0),
    MATCH($G455,'GIR Log'!$E$1:$V$1,0)
  ),
"")</f>
        <v>1</v>
      </c>
    </row>
    <row r="456" spans="1:17" x14ac:dyDescent="0.25">
      <c r="A456" s="20" t="s">
        <v>126</v>
      </c>
      <c r="B456" s="2">
        <v>45137</v>
      </c>
      <c r="C456" t="s">
        <v>9</v>
      </c>
      <c r="D456" t="s">
        <v>9</v>
      </c>
      <c r="E456" t="s">
        <v>34</v>
      </c>
      <c r="F456">
        <v>87</v>
      </c>
      <c r="G456" t="s">
        <v>51</v>
      </c>
      <c r="H456" s="9">
        <f t="shared" si="23"/>
        <v>5</v>
      </c>
      <c r="I456" cm="1">
        <f t="array" ref="I456">IFERROR(INDEX(CourseYardages[[Hole 1]:[Hole 18]],
  MATCH(1, (CourseYardages[Course]=C456)*(CourseYardages[Tees]=E456), 0),
  MATCH(G456, CourseYardages[[#Headers],[Hole 1]:[Hole 18]], 0)
),"")</f>
        <v>347</v>
      </c>
      <c r="J456" cm="1">
        <f t="array" ref="J456">IFERROR(INDEX(CourseHandicap[[Hole 1]:[Hole 18]],
  MATCH(1, (CourseHandicap[Course]=C456)*(CourseHandicap[Tees]=E456), 0),
  MATCH(G456, CourseHandicap[[#Headers],[Hole 1]:[Hole 18]], 0)
),"")</f>
        <v>10</v>
      </c>
      <c r="K456" cm="1">
        <f t="array" ref="K456">IFERROR(INDEX(CourseRatings[[Hole 1]:[Hole 18]],
  MATCH(1, (CourseRatings[Course]=C456)*(CourseRatings[Tees]=E456), 0),
  MATCH(G456, CourseRatings[[#Headers],[Hole 1]:[Hole 18]], 0)
),"")</f>
        <v>4</v>
      </c>
      <c r="L456" cm="1">
        <f t="array" ref="L456">IFERROR(
  INDEX('Golf Log'!$E$2:$V$72,
    MATCH(1,
      ('Golf Log'!$A$2:$A$72=$A456)*
      ('Golf Log'!$B$2:$B$72=$B456)*
      ('Golf Log'!$C$2:$C$72=$C456),
    0),
    MATCH($G456,'Golf Log'!$E$1:$V$1,0)
  ),
"")</f>
        <v>6</v>
      </c>
      <c r="M456">
        <f t="shared" si="22"/>
        <v>2</v>
      </c>
      <c r="N456" t="str">
        <f t="shared" si="21"/>
        <v>Double Bogey</v>
      </c>
      <c r="O456" cm="1">
        <f t="array" ref="O456">IFERROR(
  INDEX('Putt Log'!$E$2:$V$72,
    MATCH(1,
      ('Putt Log'!$A$2:$A$72=$A456)*
      ('Putt Log'!$B$2:$B$72=$B456)*
      ('Putt Log'!$C$2:$C$72=$C456),
    0),
    MATCH($G456,'Putt Log'!$E$1:$V$1,0)
  ),
"")</f>
        <v>2</v>
      </c>
      <c r="P456" t="str" cm="1">
        <f t="array" ref="P456">IF(K456=3,"",
  IFERROR(
    INDEX('Fairway Log'!$E$2:$V$72,
      MATCH(1,
        ('Fairway Log'!$A$2:$A$72=$A456)*
        ('Fairway Log'!$B$2:$B$72=$B456)*
        ('Fairway Log'!$C$2:$C527=$C456),
      0),
      MATCH($G456,'Fairway Log'!$E$1:$V$1,0)
    ),
  "")
)</f>
        <v>→</v>
      </c>
      <c r="Q456" cm="1">
        <f t="array" ref="Q456">IFERROR(
  INDEX('GIR Log'!$E$2:$V$72,
    MATCH(1,
      ('GIR Log'!$A$2:$A$72=$A456)*
      ('GIR Log'!$B$2:$B$72=$B456)*
      ('GIR Log'!$C$2:$C$72=$C456),
    0),
    MATCH($G456,'GIR Log'!$E$1:$V$1,0)
  ),
"")</f>
        <v>0</v>
      </c>
    </row>
    <row r="457" spans="1:17" x14ac:dyDescent="0.25">
      <c r="A457" s="20" t="s">
        <v>126</v>
      </c>
      <c r="B457" s="2">
        <v>45137</v>
      </c>
      <c r="C457" t="s">
        <v>9</v>
      </c>
      <c r="D457" t="s">
        <v>9</v>
      </c>
      <c r="E457" t="s">
        <v>34</v>
      </c>
      <c r="F457">
        <v>87</v>
      </c>
      <c r="G457" t="s">
        <v>52</v>
      </c>
      <c r="H457" s="9">
        <f t="shared" si="23"/>
        <v>6</v>
      </c>
      <c r="I457" cm="1">
        <f t="array" ref="I457">IFERROR(INDEX(CourseYardages[[Hole 1]:[Hole 18]],
  MATCH(1, (CourseYardages[Course]=C457)*(CourseYardages[Tees]=E457), 0),
  MATCH(G457, CourseYardages[[#Headers],[Hole 1]:[Hole 18]], 0)
),"")</f>
        <v>487</v>
      </c>
      <c r="J457" cm="1">
        <f t="array" ref="J457">IFERROR(INDEX(CourseHandicap[[Hole 1]:[Hole 18]],
  MATCH(1, (CourseHandicap[Course]=C457)*(CourseHandicap[Tees]=E457), 0),
  MATCH(G457, CourseHandicap[[#Headers],[Hole 1]:[Hole 18]], 0)
),"")</f>
        <v>8</v>
      </c>
      <c r="K457" cm="1">
        <f t="array" ref="K457">IFERROR(INDEX(CourseRatings[[Hole 1]:[Hole 18]],
  MATCH(1, (CourseRatings[Course]=C457)*(CourseRatings[Tees]=E457), 0),
  MATCH(G457, CourseRatings[[#Headers],[Hole 1]:[Hole 18]], 0)
),"")</f>
        <v>5</v>
      </c>
      <c r="L457" cm="1">
        <f t="array" ref="L457">IFERROR(
  INDEX('Golf Log'!$E$2:$V$72,
    MATCH(1,
      ('Golf Log'!$A$2:$A$72=$A457)*
      ('Golf Log'!$B$2:$B$72=$B457)*
      ('Golf Log'!$C$2:$C$72=$C457),
    0),
    MATCH($G457,'Golf Log'!$E$1:$V$1,0)
  ),
"")</f>
        <v>4</v>
      </c>
      <c r="M457">
        <f t="shared" si="22"/>
        <v>-1</v>
      </c>
      <c r="N457" t="str">
        <f t="shared" si="21"/>
        <v>Birdie</v>
      </c>
      <c r="O457" cm="1">
        <f t="array" ref="O457">IFERROR(
  INDEX('Putt Log'!$E$2:$V$72,
    MATCH(1,
      ('Putt Log'!$A$2:$A$72=$A457)*
      ('Putt Log'!$B$2:$B$72=$B457)*
      ('Putt Log'!$C$2:$C$72=$C457),
    0),
    MATCH($G457,'Putt Log'!$E$1:$V$1,0)
  ),
"")</f>
        <v>1</v>
      </c>
      <c r="P457" t="str" cm="1">
        <f t="array" ref="P457">IF(K457=3,"",
  IFERROR(
    INDEX('Fairway Log'!$E$2:$V$72,
      MATCH(1,
        ('Fairway Log'!$A$2:$A$72=$A457)*
        ('Fairway Log'!$B$2:$B$72=$B457)*
        ('Fairway Log'!$C$2:$C528=$C457),
      0),
      MATCH($G457,'Fairway Log'!$E$1:$V$1,0)
    ),
  "")
)</f>
        <v>→</v>
      </c>
      <c r="Q457" cm="1">
        <f t="array" ref="Q457">IFERROR(
  INDEX('GIR Log'!$E$2:$V$72,
    MATCH(1,
      ('GIR Log'!$A$2:$A$72=$A457)*
      ('GIR Log'!$B$2:$B$72=$B457)*
      ('GIR Log'!$C$2:$C$72=$C457),
    0),
    MATCH($G457,'GIR Log'!$E$1:$V$1,0)
  ),
"")</f>
        <v>1</v>
      </c>
    </row>
    <row r="458" spans="1:17" x14ac:dyDescent="0.25">
      <c r="A458" s="20" t="s">
        <v>126</v>
      </c>
      <c r="B458" s="2">
        <v>45137</v>
      </c>
      <c r="C458" t="s">
        <v>9</v>
      </c>
      <c r="D458" t="s">
        <v>9</v>
      </c>
      <c r="E458" t="s">
        <v>34</v>
      </c>
      <c r="F458">
        <v>87</v>
      </c>
      <c r="G458" t="s">
        <v>53</v>
      </c>
      <c r="H458" s="9">
        <f t="shared" si="23"/>
        <v>7</v>
      </c>
      <c r="I458" cm="1">
        <f t="array" ref="I458">IFERROR(INDEX(CourseYardages[[Hole 1]:[Hole 18]],
  MATCH(1, (CourseYardages[Course]=C458)*(CourseYardages[Tees]=E458), 0),
  MATCH(G458, CourseYardages[[#Headers],[Hole 1]:[Hole 18]], 0)
),"")</f>
        <v>174</v>
      </c>
      <c r="J458" cm="1">
        <f t="array" ref="J458">IFERROR(INDEX(CourseHandicap[[Hole 1]:[Hole 18]],
  MATCH(1, (CourseHandicap[Course]=C458)*(CourseHandicap[Tees]=E458), 0),
  MATCH(G458, CourseHandicap[[#Headers],[Hole 1]:[Hole 18]], 0)
),"")</f>
        <v>16</v>
      </c>
      <c r="K458" cm="1">
        <f t="array" ref="K458">IFERROR(INDEX(CourseRatings[[Hole 1]:[Hole 18]],
  MATCH(1, (CourseRatings[Course]=C458)*(CourseRatings[Tees]=E458), 0),
  MATCH(G458, CourseRatings[[#Headers],[Hole 1]:[Hole 18]], 0)
),"")</f>
        <v>3</v>
      </c>
      <c r="L458" cm="1">
        <f t="array" ref="L458">IFERROR(
  INDEX('Golf Log'!$E$2:$V$72,
    MATCH(1,
      ('Golf Log'!$A$2:$A$72=$A458)*
      ('Golf Log'!$B$2:$B$72=$B458)*
      ('Golf Log'!$C$2:$C$72=$C458),
    0),
    MATCH($G458,'Golf Log'!$E$1:$V$1,0)
  ),
"")</f>
        <v>5</v>
      </c>
      <c r="M458">
        <f t="shared" si="22"/>
        <v>2</v>
      </c>
      <c r="N458" t="str">
        <f t="shared" si="21"/>
        <v>Double Bogey</v>
      </c>
      <c r="O458" cm="1">
        <f t="array" ref="O458">IFERROR(
  INDEX('Putt Log'!$E$2:$V$72,
    MATCH(1,
      ('Putt Log'!$A$2:$A$72=$A458)*
      ('Putt Log'!$B$2:$B$72=$B458)*
      ('Putt Log'!$C$2:$C$72=$C458),
    0),
    MATCH($G458,'Putt Log'!$E$1:$V$1,0)
  ),
"")</f>
        <v>3</v>
      </c>
      <c r="P458" t="str" cm="1">
        <f t="array" ref="P458">IF(K458=3,"",
  IFERROR(
    INDEX('Fairway Log'!$E$2:$V$72,
      MATCH(1,
        ('Fairway Log'!$A$2:$A$72=$A458)*
        ('Fairway Log'!$B$2:$B$72=$B458)*
        ('Fairway Log'!$C$2:$C529=$C458),
      0),
      MATCH($G458,'Fairway Log'!$E$1:$V$1,0)
    ),
  "")
)</f>
        <v/>
      </c>
      <c r="Q458" cm="1">
        <f t="array" ref="Q458">IFERROR(
  INDEX('GIR Log'!$E$2:$V$72,
    MATCH(1,
      ('GIR Log'!$A$2:$A$72=$A458)*
      ('GIR Log'!$B$2:$B$72=$B458)*
      ('GIR Log'!$C$2:$C$72=$C458),
    0),
    MATCH($G458,'GIR Log'!$E$1:$V$1,0)
  ),
"")</f>
        <v>0</v>
      </c>
    </row>
    <row r="459" spans="1:17" x14ac:dyDescent="0.25">
      <c r="A459" s="20" t="s">
        <v>126</v>
      </c>
      <c r="B459" s="2">
        <v>45137</v>
      </c>
      <c r="C459" t="s">
        <v>9</v>
      </c>
      <c r="D459" t="s">
        <v>9</v>
      </c>
      <c r="E459" t="s">
        <v>34</v>
      </c>
      <c r="F459">
        <v>87</v>
      </c>
      <c r="G459" t="s">
        <v>54</v>
      </c>
      <c r="H459" s="9">
        <f t="shared" si="23"/>
        <v>8</v>
      </c>
      <c r="I459" cm="1">
        <f t="array" ref="I459">IFERROR(INDEX(CourseYardages[[Hole 1]:[Hole 18]],
  MATCH(1, (CourseYardages[Course]=C459)*(CourseYardages[Tees]=E459), 0),
  MATCH(G459, CourseYardages[[#Headers],[Hole 1]:[Hole 18]], 0)
),"")</f>
        <v>360</v>
      </c>
      <c r="J459" cm="1">
        <f t="array" ref="J459">IFERROR(INDEX(CourseHandicap[[Hole 1]:[Hole 18]],
  MATCH(1, (CourseHandicap[Course]=C459)*(CourseHandicap[Tees]=E459), 0),
  MATCH(G459, CourseHandicap[[#Headers],[Hole 1]:[Hole 18]], 0)
),"")</f>
        <v>12</v>
      </c>
      <c r="K459" cm="1">
        <f t="array" ref="K459">IFERROR(INDEX(CourseRatings[[Hole 1]:[Hole 18]],
  MATCH(1, (CourseRatings[Course]=C459)*(CourseRatings[Tees]=E459), 0),
  MATCH(G459, CourseRatings[[#Headers],[Hole 1]:[Hole 18]], 0)
),"")</f>
        <v>4</v>
      </c>
      <c r="L459" cm="1">
        <f t="array" ref="L459">IFERROR(
  INDEX('Golf Log'!$E$2:$V$72,
    MATCH(1,
      ('Golf Log'!$A$2:$A$72=$A459)*
      ('Golf Log'!$B$2:$B$72=$B459)*
      ('Golf Log'!$C$2:$C$72=$C459),
    0),
    MATCH($G459,'Golf Log'!$E$1:$V$1,0)
  ),
"")</f>
        <v>6</v>
      </c>
      <c r="M459">
        <f t="shared" si="22"/>
        <v>2</v>
      </c>
      <c r="N459" t="str">
        <f t="shared" si="21"/>
        <v>Double Bogey</v>
      </c>
      <c r="O459" cm="1">
        <f t="array" ref="O459">IFERROR(
  INDEX('Putt Log'!$E$2:$V$72,
    MATCH(1,
      ('Putt Log'!$A$2:$A$72=$A459)*
      ('Putt Log'!$B$2:$B$72=$B459)*
      ('Putt Log'!$C$2:$C$72=$C459),
    0),
    MATCH($G459,'Putt Log'!$E$1:$V$1,0)
  ),
"")</f>
        <v>2</v>
      </c>
      <c r="P459" t="str" cm="1">
        <f t="array" ref="P459">IF(K459=3,"",
  IFERROR(
    INDEX('Fairway Log'!$E$2:$V$72,
      MATCH(1,
        ('Fairway Log'!$A$2:$A$72=$A459)*
        ('Fairway Log'!$B$2:$B$72=$B459)*
        ('Fairway Log'!$C$2:$C530=$C459),
      0),
      MATCH($G459,'Fairway Log'!$E$1:$V$1,0)
    ),
  "")
)</f>
        <v>→</v>
      </c>
      <c r="Q459" cm="1">
        <f t="array" ref="Q459">IFERROR(
  INDEX('GIR Log'!$E$2:$V$72,
    MATCH(1,
      ('GIR Log'!$A$2:$A$72=$A459)*
      ('GIR Log'!$B$2:$B$72=$B459)*
      ('GIR Log'!$C$2:$C$72=$C459),
    0),
    MATCH($G459,'GIR Log'!$E$1:$V$1,0)
  ),
"")</f>
        <v>0</v>
      </c>
    </row>
    <row r="460" spans="1:17" x14ac:dyDescent="0.25">
      <c r="A460" s="20" t="s">
        <v>126</v>
      </c>
      <c r="B460" s="2">
        <v>45137</v>
      </c>
      <c r="C460" t="s">
        <v>9</v>
      </c>
      <c r="D460" t="s">
        <v>9</v>
      </c>
      <c r="E460" t="s">
        <v>34</v>
      </c>
      <c r="F460">
        <v>87</v>
      </c>
      <c r="G460" t="s">
        <v>55</v>
      </c>
      <c r="H460" s="9">
        <f t="shared" si="23"/>
        <v>9</v>
      </c>
      <c r="I460" cm="1">
        <f t="array" ref="I460">IFERROR(INDEX(CourseYardages[[Hole 1]:[Hole 18]],
  MATCH(1, (CourseYardages[Course]=C460)*(CourseYardages[Tees]=E460), 0),
  MATCH(G460, CourseYardages[[#Headers],[Hole 1]:[Hole 18]], 0)
),"")</f>
        <v>386</v>
      </c>
      <c r="J460" cm="1">
        <f t="array" ref="J460">IFERROR(INDEX(CourseHandicap[[Hole 1]:[Hole 18]],
  MATCH(1, (CourseHandicap[Course]=C460)*(CourseHandicap[Tees]=E460), 0),
  MATCH(G460, CourseHandicap[[#Headers],[Hole 1]:[Hole 18]], 0)
),"")</f>
        <v>18</v>
      </c>
      <c r="K460" cm="1">
        <f t="array" ref="K460">IFERROR(INDEX(CourseRatings[[Hole 1]:[Hole 18]],
  MATCH(1, (CourseRatings[Course]=C460)*(CourseRatings[Tees]=E460), 0),
  MATCH(G460, CourseRatings[[#Headers],[Hole 1]:[Hole 18]], 0)
),"")</f>
        <v>4</v>
      </c>
      <c r="L460" cm="1">
        <f t="array" ref="L460">IFERROR(
  INDEX('Golf Log'!$E$2:$V$72,
    MATCH(1,
      ('Golf Log'!$A$2:$A$72=$A460)*
      ('Golf Log'!$B$2:$B$72=$B460)*
      ('Golf Log'!$C$2:$C$72=$C460),
    0),
    MATCH($G460,'Golf Log'!$E$1:$V$1,0)
  ),
"")</f>
        <v>5</v>
      </c>
      <c r="M460">
        <f t="shared" si="22"/>
        <v>1</v>
      </c>
      <c r="N460" t="str">
        <f t="shared" si="21"/>
        <v>Bogey</v>
      </c>
      <c r="O460" cm="1">
        <f t="array" ref="O460">IFERROR(
  INDEX('Putt Log'!$E$2:$V$72,
    MATCH(1,
      ('Putt Log'!$A$2:$A$72=$A460)*
      ('Putt Log'!$B$2:$B$72=$B460)*
      ('Putt Log'!$C$2:$C$72=$C460),
    0),
    MATCH($G460,'Putt Log'!$E$1:$V$1,0)
  ),
"")</f>
        <v>2</v>
      </c>
      <c r="P460" t="str" cm="1">
        <f t="array" ref="P460">IF(K460=3,"",
  IFERROR(
    INDEX('Fairway Log'!$E$2:$V$72,
      MATCH(1,
        ('Fairway Log'!$A$2:$A$72=$A460)*
        ('Fairway Log'!$B$2:$B$72=$B460)*
        ('Fairway Log'!$C$2:$C531=$C460),
      0),
      MATCH($G460,'Fairway Log'!$E$1:$V$1,0)
    ),
  "")
)</f>
        <v>↑</v>
      </c>
      <c r="Q460" cm="1">
        <f t="array" ref="Q460">IFERROR(
  INDEX('GIR Log'!$E$2:$V$72,
    MATCH(1,
      ('GIR Log'!$A$2:$A$72=$A460)*
      ('GIR Log'!$B$2:$B$72=$B460)*
      ('GIR Log'!$C$2:$C$72=$C460),
    0),
    MATCH($G460,'GIR Log'!$E$1:$V$1,0)
  ),
"")</f>
        <v>0</v>
      </c>
    </row>
    <row r="461" spans="1:17" x14ac:dyDescent="0.25">
      <c r="A461" s="20" t="s">
        <v>126</v>
      </c>
      <c r="B461" s="2">
        <v>45137</v>
      </c>
      <c r="C461" t="s">
        <v>9</v>
      </c>
      <c r="D461" t="s">
        <v>9</v>
      </c>
      <c r="E461" t="s">
        <v>34</v>
      </c>
      <c r="F461">
        <v>87</v>
      </c>
      <c r="G461" t="s">
        <v>56</v>
      </c>
      <c r="H461" s="9">
        <f t="shared" si="23"/>
        <v>10</v>
      </c>
      <c r="I461" cm="1">
        <f t="array" ref="I461">IFERROR(INDEX(CourseYardages[[Hole 1]:[Hole 18]],
  MATCH(1, (CourseYardages[Course]=C461)*(CourseYardages[Tees]=E461), 0),
  MATCH(G461, CourseYardages[[#Headers],[Hole 1]:[Hole 18]], 0)
),"")</f>
        <v>524</v>
      </c>
      <c r="J461" cm="1">
        <f t="array" ref="J461">IFERROR(INDEX(CourseHandicap[[Hole 1]:[Hole 18]],
  MATCH(1, (CourseHandicap[Course]=C461)*(CourseHandicap[Tees]=E461), 0),
  MATCH(G461, CourseHandicap[[#Headers],[Hole 1]:[Hole 18]], 0)
),"")</f>
        <v>3</v>
      </c>
      <c r="K461" cm="1">
        <f t="array" ref="K461">IFERROR(INDEX(CourseRatings[[Hole 1]:[Hole 18]],
  MATCH(1, (CourseRatings[Course]=C461)*(CourseRatings[Tees]=E461), 0),
  MATCH(G461, CourseRatings[[#Headers],[Hole 1]:[Hole 18]], 0)
),"")</f>
        <v>5</v>
      </c>
      <c r="L461" cm="1">
        <f t="array" ref="L461">IFERROR(
  INDEX('Golf Log'!$E$2:$V$72,
    MATCH(1,
      ('Golf Log'!$A$2:$A$72=$A461)*
      ('Golf Log'!$B$2:$B$72=$B461)*
      ('Golf Log'!$C$2:$C$72=$C461),
    0),
    MATCH($G461,'Golf Log'!$E$1:$V$1,0)
  ),
"")</f>
        <v>5</v>
      </c>
      <c r="M461">
        <f t="shared" si="22"/>
        <v>0</v>
      </c>
      <c r="N461" t="str">
        <f t="shared" si="21"/>
        <v>Par</v>
      </c>
      <c r="O461" cm="1">
        <f t="array" ref="O461">IFERROR(
  INDEX('Putt Log'!$E$2:$V$72,
    MATCH(1,
      ('Putt Log'!$A$2:$A$72=$A461)*
      ('Putt Log'!$B$2:$B$72=$B461)*
      ('Putt Log'!$C$2:$C$72=$C461),
    0),
    MATCH($G461,'Putt Log'!$E$1:$V$1,0)
  ),
"")</f>
        <v>1</v>
      </c>
      <c r="P461" cm="1">
        <f t="array" ref="P461">IF(K461=3,"",
  IFERROR(
    INDEX('Fairway Log'!$E$2:$V$72,
      MATCH(1,
        ('Fairway Log'!$A$2:$A$72=$A461)*
        ('Fairway Log'!$B$2:$B$72=$B461)*
        ('Fairway Log'!$C$2:$C532=$C461),
      0),
      MATCH($G461,'Fairway Log'!$E$1:$V$1,0)
    ),
  "")
)</f>
        <v>1</v>
      </c>
      <c r="Q461" cm="1">
        <f t="array" ref="Q461">IFERROR(
  INDEX('GIR Log'!$E$2:$V$72,
    MATCH(1,
      ('GIR Log'!$A$2:$A$72=$A461)*
      ('GIR Log'!$B$2:$B$72=$B461)*
      ('GIR Log'!$C$2:$C$72=$C461),
    0),
    MATCH($G461,'GIR Log'!$E$1:$V$1,0)
  ),
"")</f>
        <v>0</v>
      </c>
    </row>
    <row r="462" spans="1:17" x14ac:dyDescent="0.25">
      <c r="A462" s="20" t="s">
        <v>126</v>
      </c>
      <c r="B462" s="2">
        <v>45137</v>
      </c>
      <c r="C462" t="s">
        <v>9</v>
      </c>
      <c r="D462" t="s">
        <v>9</v>
      </c>
      <c r="E462" t="s">
        <v>34</v>
      </c>
      <c r="F462">
        <v>87</v>
      </c>
      <c r="G462" t="s">
        <v>57</v>
      </c>
      <c r="H462" s="9">
        <f t="shared" si="23"/>
        <v>11</v>
      </c>
      <c r="I462" cm="1">
        <f t="array" ref="I462">IFERROR(INDEX(CourseYardages[[Hole 1]:[Hole 18]],
  MATCH(1, (CourseYardages[Course]=C462)*(CourseYardages[Tees]=E462), 0),
  MATCH(G462, CourseYardages[[#Headers],[Hole 1]:[Hole 18]], 0)
),"")</f>
        <v>188</v>
      </c>
      <c r="J462" cm="1">
        <f t="array" ref="J462">IFERROR(INDEX(CourseHandicap[[Hole 1]:[Hole 18]],
  MATCH(1, (CourseHandicap[Course]=C462)*(CourseHandicap[Tees]=E462), 0),
  MATCH(G462, CourseHandicap[[#Headers],[Hole 1]:[Hole 18]], 0)
),"")</f>
        <v>11</v>
      </c>
      <c r="K462" cm="1">
        <f t="array" ref="K462">IFERROR(INDEX(CourseRatings[[Hole 1]:[Hole 18]],
  MATCH(1, (CourseRatings[Course]=C462)*(CourseRatings[Tees]=E462), 0),
  MATCH(G462, CourseRatings[[#Headers],[Hole 1]:[Hole 18]], 0)
),"")</f>
        <v>3</v>
      </c>
      <c r="L462" cm="1">
        <f t="array" ref="L462">IFERROR(
  INDEX('Golf Log'!$E$2:$V$72,
    MATCH(1,
      ('Golf Log'!$A$2:$A$72=$A462)*
      ('Golf Log'!$B$2:$B$72=$B462)*
      ('Golf Log'!$C$2:$C$72=$C462),
    0),
    MATCH($G462,'Golf Log'!$E$1:$V$1,0)
  ),
"")</f>
        <v>4</v>
      </c>
      <c r="M462">
        <f t="shared" si="22"/>
        <v>1</v>
      </c>
      <c r="N462" t="str">
        <f t="shared" si="21"/>
        <v>Bogey</v>
      </c>
      <c r="O462" cm="1">
        <f t="array" ref="O462">IFERROR(
  INDEX('Putt Log'!$E$2:$V$72,
    MATCH(1,
      ('Putt Log'!$A$2:$A$72=$A462)*
      ('Putt Log'!$B$2:$B$72=$B462)*
      ('Putt Log'!$C$2:$C$72=$C462),
    0),
    MATCH($G462,'Putt Log'!$E$1:$V$1,0)
  ),
"")</f>
        <v>1</v>
      </c>
      <c r="P462" t="str" cm="1">
        <f t="array" ref="P462">IF(K462=3,"",
  IFERROR(
    INDEX('Fairway Log'!$E$2:$V$72,
      MATCH(1,
        ('Fairway Log'!$A$2:$A$72=$A462)*
        ('Fairway Log'!$B$2:$B$72=$B462)*
        ('Fairway Log'!$C$2:$C533=$C462),
      0),
      MATCH($G462,'Fairway Log'!$E$1:$V$1,0)
    ),
  "")
)</f>
        <v/>
      </c>
      <c r="Q462" cm="1">
        <f t="array" ref="Q462">IFERROR(
  INDEX('GIR Log'!$E$2:$V$72,
    MATCH(1,
      ('GIR Log'!$A$2:$A$72=$A462)*
      ('GIR Log'!$B$2:$B$72=$B462)*
      ('GIR Log'!$C$2:$C$72=$C462),
    0),
    MATCH($G462,'GIR Log'!$E$1:$V$1,0)
  ),
"")</f>
        <v>0</v>
      </c>
    </row>
    <row r="463" spans="1:17" x14ac:dyDescent="0.25">
      <c r="A463" s="20" t="s">
        <v>126</v>
      </c>
      <c r="B463" s="2">
        <v>45137</v>
      </c>
      <c r="C463" t="s">
        <v>9</v>
      </c>
      <c r="D463" t="s">
        <v>9</v>
      </c>
      <c r="E463" t="s">
        <v>34</v>
      </c>
      <c r="F463">
        <v>87</v>
      </c>
      <c r="G463" t="s">
        <v>58</v>
      </c>
      <c r="H463" s="9">
        <f t="shared" si="23"/>
        <v>12</v>
      </c>
      <c r="I463" cm="1">
        <f t="array" ref="I463">IFERROR(INDEX(CourseYardages[[Hole 1]:[Hole 18]],
  MATCH(1, (CourseYardages[Course]=C463)*(CourseYardages[Tees]=E463), 0),
  MATCH(G463, CourseYardages[[#Headers],[Hole 1]:[Hole 18]], 0)
),"")</f>
        <v>313</v>
      </c>
      <c r="J463" cm="1">
        <f t="array" ref="J463">IFERROR(INDEX(CourseHandicap[[Hole 1]:[Hole 18]],
  MATCH(1, (CourseHandicap[Course]=C463)*(CourseHandicap[Tees]=E463), 0),
  MATCH(G463, CourseHandicap[[#Headers],[Hole 1]:[Hole 18]], 0)
),"")</f>
        <v>17</v>
      </c>
      <c r="K463" cm="1">
        <f t="array" ref="K463">IFERROR(INDEX(CourseRatings[[Hole 1]:[Hole 18]],
  MATCH(1, (CourseRatings[Course]=C463)*(CourseRatings[Tees]=E463), 0),
  MATCH(G463, CourseRatings[[#Headers],[Hole 1]:[Hole 18]], 0)
),"")</f>
        <v>4</v>
      </c>
      <c r="L463" cm="1">
        <f t="array" ref="L463">IFERROR(
  INDEX('Golf Log'!$E$2:$V$72,
    MATCH(1,
      ('Golf Log'!$A$2:$A$72=$A463)*
      ('Golf Log'!$B$2:$B$72=$B463)*
      ('Golf Log'!$C$2:$C$72=$C463),
    0),
    MATCH($G463,'Golf Log'!$E$1:$V$1,0)
  ),
"")</f>
        <v>5</v>
      </c>
      <c r="M463">
        <f t="shared" si="22"/>
        <v>1</v>
      </c>
      <c r="N463" t="str">
        <f t="shared" si="21"/>
        <v>Bogey</v>
      </c>
      <c r="O463" cm="1">
        <f t="array" ref="O463">IFERROR(
  INDEX('Putt Log'!$E$2:$V$72,
    MATCH(1,
      ('Putt Log'!$A$2:$A$72=$A463)*
      ('Putt Log'!$B$2:$B$72=$B463)*
      ('Putt Log'!$C$2:$C$72=$C463),
    0),
    MATCH($G463,'Putt Log'!$E$1:$V$1,0)
  ),
"")</f>
        <v>2</v>
      </c>
      <c r="P463" t="str" cm="1">
        <f t="array" ref="P463">IF(K463=3,"",
  IFERROR(
    INDEX('Fairway Log'!$E$2:$V$72,
      MATCH(1,
        ('Fairway Log'!$A$2:$A$72=$A463)*
        ('Fairway Log'!$B$2:$B$72=$B463)*
        ('Fairway Log'!$C$2:$C534=$C463),
      0),
      MATCH($G463,'Fairway Log'!$E$1:$V$1,0)
    ),
  "")
)</f>
        <v>←</v>
      </c>
      <c r="Q463" cm="1">
        <f t="array" ref="Q463">IFERROR(
  INDEX('GIR Log'!$E$2:$V$72,
    MATCH(1,
      ('GIR Log'!$A$2:$A$72=$A463)*
      ('GIR Log'!$B$2:$B$72=$B463)*
      ('GIR Log'!$C$2:$C$72=$C463),
    0),
    MATCH($G463,'GIR Log'!$E$1:$V$1,0)
  ),
"")</f>
        <v>0</v>
      </c>
    </row>
    <row r="464" spans="1:17" x14ac:dyDescent="0.25">
      <c r="A464" s="20" t="s">
        <v>126</v>
      </c>
      <c r="B464" s="2">
        <v>45137</v>
      </c>
      <c r="C464" t="s">
        <v>9</v>
      </c>
      <c r="D464" t="s">
        <v>9</v>
      </c>
      <c r="E464" t="s">
        <v>34</v>
      </c>
      <c r="F464">
        <v>87</v>
      </c>
      <c r="G464" t="s">
        <v>59</v>
      </c>
      <c r="H464" s="9">
        <f t="shared" si="23"/>
        <v>13</v>
      </c>
      <c r="I464" cm="1">
        <f t="array" ref="I464">IFERROR(INDEX(CourseYardages[[Hole 1]:[Hole 18]],
  MATCH(1, (CourseYardages[Course]=C464)*(CourseYardages[Tees]=E464), 0),
  MATCH(G464, CourseYardages[[#Headers],[Hole 1]:[Hole 18]], 0)
),"")</f>
        <v>429</v>
      </c>
      <c r="J464" cm="1">
        <f t="array" ref="J464">IFERROR(INDEX(CourseHandicap[[Hole 1]:[Hole 18]],
  MATCH(1, (CourseHandicap[Course]=C464)*(CourseHandicap[Tees]=E464), 0),
  MATCH(G464, CourseHandicap[[#Headers],[Hole 1]:[Hole 18]], 0)
),"")</f>
        <v>1</v>
      </c>
      <c r="K464" cm="1">
        <f t="array" ref="K464">IFERROR(INDEX(CourseRatings[[Hole 1]:[Hole 18]],
  MATCH(1, (CourseRatings[Course]=C464)*(CourseRatings[Tees]=E464), 0),
  MATCH(G464, CourseRatings[[#Headers],[Hole 1]:[Hole 18]], 0)
),"")</f>
        <v>4</v>
      </c>
      <c r="L464" cm="1">
        <f t="array" ref="L464">IFERROR(
  INDEX('Golf Log'!$E$2:$V$72,
    MATCH(1,
      ('Golf Log'!$A$2:$A$72=$A464)*
      ('Golf Log'!$B$2:$B$72=$B464)*
      ('Golf Log'!$C$2:$C$72=$C464),
    0),
    MATCH($G464,'Golf Log'!$E$1:$V$1,0)
  ),
"")</f>
        <v>5</v>
      </c>
      <c r="M464">
        <f t="shared" si="22"/>
        <v>1</v>
      </c>
      <c r="N464" t="str">
        <f t="shared" si="21"/>
        <v>Bogey</v>
      </c>
      <c r="O464" cm="1">
        <f t="array" ref="O464">IFERROR(
  INDEX('Putt Log'!$E$2:$V$72,
    MATCH(1,
      ('Putt Log'!$A$2:$A$72=$A464)*
      ('Putt Log'!$B$2:$B$72=$B464)*
      ('Putt Log'!$C$2:$C$72=$C464),
    0),
    MATCH($G464,'Putt Log'!$E$1:$V$1,0)
  ),
"")</f>
        <v>2</v>
      </c>
      <c r="P464" t="str" cm="1">
        <f t="array" ref="P464">IF(K464=3,"",
  IFERROR(
    INDEX('Fairway Log'!$E$2:$V$72,
      MATCH(1,
        ('Fairway Log'!$A$2:$A$72=$A464)*
        ('Fairway Log'!$B$2:$B$72=$B464)*
        ('Fairway Log'!$C$2:$C535=$C464),
      0),
      MATCH($G464,'Fairway Log'!$E$1:$V$1,0)
    ),
  "")
)</f>
        <v>↑</v>
      </c>
      <c r="Q464" cm="1">
        <f t="array" ref="Q464">IFERROR(
  INDEX('GIR Log'!$E$2:$V$72,
    MATCH(1,
      ('GIR Log'!$A$2:$A$72=$A464)*
      ('GIR Log'!$B$2:$B$72=$B464)*
      ('GIR Log'!$C$2:$C$72=$C464),
    0),
    MATCH($G464,'GIR Log'!$E$1:$V$1,0)
  ),
"")</f>
        <v>0</v>
      </c>
    </row>
    <row r="465" spans="1:17" x14ac:dyDescent="0.25">
      <c r="A465" s="20" t="s">
        <v>126</v>
      </c>
      <c r="B465" s="2">
        <v>45137</v>
      </c>
      <c r="C465" t="s">
        <v>9</v>
      </c>
      <c r="D465" t="s">
        <v>9</v>
      </c>
      <c r="E465" t="s">
        <v>34</v>
      </c>
      <c r="F465">
        <v>87</v>
      </c>
      <c r="G465" t="s">
        <v>60</v>
      </c>
      <c r="H465" s="9">
        <f t="shared" si="23"/>
        <v>14</v>
      </c>
      <c r="I465" cm="1">
        <f t="array" ref="I465">IFERROR(INDEX(CourseYardages[[Hole 1]:[Hole 18]],
  MATCH(1, (CourseYardages[Course]=C465)*(CourseYardages[Tees]=E465), 0),
  MATCH(G465, CourseYardages[[#Headers],[Hole 1]:[Hole 18]], 0)
),"")</f>
        <v>188</v>
      </c>
      <c r="J465" cm="1">
        <f t="array" ref="J465">IFERROR(INDEX(CourseHandicap[[Hole 1]:[Hole 18]],
  MATCH(1, (CourseHandicap[Course]=C465)*(CourseHandicap[Tees]=E465), 0),
  MATCH(G465, CourseHandicap[[#Headers],[Hole 1]:[Hole 18]], 0)
),"")</f>
        <v>9</v>
      </c>
      <c r="K465" cm="1">
        <f t="array" ref="K465">IFERROR(INDEX(CourseRatings[[Hole 1]:[Hole 18]],
  MATCH(1, (CourseRatings[Course]=C465)*(CourseRatings[Tees]=E465), 0),
  MATCH(G465, CourseRatings[[#Headers],[Hole 1]:[Hole 18]], 0)
),"")</f>
        <v>3</v>
      </c>
      <c r="L465" cm="1">
        <f t="array" ref="L465">IFERROR(
  INDEX('Golf Log'!$E$2:$V$72,
    MATCH(1,
      ('Golf Log'!$A$2:$A$72=$A465)*
      ('Golf Log'!$B$2:$B$72=$B465)*
      ('Golf Log'!$C$2:$C$72=$C465),
    0),
    MATCH($G465,'Golf Log'!$E$1:$V$1,0)
  ),
"")</f>
        <v>4</v>
      </c>
      <c r="M465">
        <f t="shared" si="22"/>
        <v>1</v>
      </c>
      <c r="N465" t="str">
        <f t="shared" si="21"/>
        <v>Bogey</v>
      </c>
      <c r="O465" cm="1">
        <f t="array" ref="O465">IFERROR(
  INDEX('Putt Log'!$E$2:$V$72,
    MATCH(1,
      ('Putt Log'!$A$2:$A$72=$A465)*
      ('Putt Log'!$B$2:$B$72=$B465)*
      ('Putt Log'!$C$2:$C$72=$C465),
    0),
    MATCH($G465,'Putt Log'!$E$1:$V$1,0)
  ),
"")</f>
        <v>1</v>
      </c>
      <c r="P465" t="str" cm="1">
        <f t="array" ref="P465">IF(K465=3,"",
  IFERROR(
    INDEX('Fairway Log'!$E$2:$V$72,
      MATCH(1,
        ('Fairway Log'!$A$2:$A$72=$A465)*
        ('Fairway Log'!$B$2:$B$72=$B465)*
        ('Fairway Log'!$C$2:$C536=$C465),
      0),
      MATCH($G465,'Fairway Log'!$E$1:$V$1,0)
    ),
  "")
)</f>
        <v/>
      </c>
      <c r="Q465" cm="1">
        <f t="array" ref="Q465">IFERROR(
  INDEX('GIR Log'!$E$2:$V$72,
    MATCH(1,
      ('GIR Log'!$A$2:$A$72=$A465)*
      ('GIR Log'!$B$2:$B$72=$B465)*
      ('GIR Log'!$C$2:$C$72=$C465),
    0),
    MATCH($G465,'GIR Log'!$E$1:$V$1,0)
  ),
"")</f>
        <v>0</v>
      </c>
    </row>
    <row r="466" spans="1:17" x14ac:dyDescent="0.25">
      <c r="A466" s="20" t="s">
        <v>126</v>
      </c>
      <c r="B466" s="2">
        <v>45137</v>
      </c>
      <c r="C466" t="s">
        <v>9</v>
      </c>
      <c r="D466" t="s">
        <v>9</v>
      </c>
      <c r="E466" t="s">
        <v>34</v>
      </c>
      <c r="F466">
        <v>87</v>
      </c>
      <c r="G466" t="s">
        <v>61</v>
      </c>
      <c r="H466" s="9">
        <f t="shared" si="23"/>
        <v>15</v>
      </c>
      <c r="I466" cm="1">
        <f t="array" ref="I466">IFERROR(INDEX(CourseYardages[[Hole 1]:[Hole 18]],
  MATCH(1, (CourseYardages[Course]=C466)*(CourseYardages[Tees]=E466), 0),
  MATCH(G466, CourseYardages[[#Headers],[Hole 1]:[Hole 18]], 0)
),"")</f>
        <v>363</v>
      </c>
      <c r="J466" cm="1">
        <f t="array" ref="J466">IFERROR(INDEX(CourseHandicap[[Hole 1]:[Hole 18]],
  MATCH(1, (CourseHandicap[Course]=C466)*(CourseHandicap[Tees]=E466), 0),
  MATCH(G466, CourseHandicap[[#Headers],[Hole 1]:[Hole 18]], 0)
),"")</f>
        <v>7</v>
      </c>
      <c r="K466" cm="1">
        <f t="array" ref="K466">IFERROR(INDEX(CourseRatings[[Hole 1]:[Hole 18]],
  MATCH(1, (CourseRatings[Course]=C466)*(CourseRatings[Tees]=E466), 0),
  MATCH(G466, CourseRatings[[#Headers],[Hole 1]:[Hole 18]], 0)
),"")</f>
        <v>4</v>
      </c>
      <c r="L466" cm="1">
        <f t="array" ref="L466">IFERROR(
  INDEX('Golf Log'!$E$2:$V$72,
    MATCH(1,
      ('Golf Log'!$A$2:$A$72=$A466)*
      ('Golf Log'!$B$2:$B$72=$B466)*
      ('Golf Log'!$C$2:$C$72=$C466),
    0),
    MATCH($G466,'Golf Log'!$E$1:$V$1,0)
  ),
"")</f>
        <v>5</v>
      </c>
      <c r="M466">
        <f t="shared" si="22"/>
        <v>1</v>
      </c>
      <c r="N466" t="str">
        <f t="shared" si="21"/>
        <v>Bogey</v>
      </c>
      <c r="O466" cm="1">
        <f t="array" ref="O466">IFERROR(
  INDEX('Putt Log'!$E$2:$V$72,
    MATCH(1,
      ('Putt Log'!$A$2:$A$72=$A466)*
      ('Putt Log'!$B$2:$B$72=$B466)*
      ('Putt Log'!$C$2:$C$72=$C466),
    0),
    MATCH($G466,'Putt Log'!$E$1:$V$1,0)
  ),
"")</f>
        <v>2</v>
      </c>
      <c r="P466" cm="1">
        <f t="array" ref="P466">IF(K466=3,"",
  IFERROR(
    INDEX('Fairway Log'!$E$2:$V$72,
      MATCH(1,
        ('Fairway Log'!$A$2:$A$72=$A466)*
        ('Fairway Log'!$B$2:$B$72=$B466)*
        ('Fairway Log'!$C$2:$C537=$C466),
      0),
      MATCH($G466,'Fairway Log'!$E$1:$V$1,0)
    ),
  "")
)</f>
        <v>1</v>
      </c>
      <c r="Q466" cm="1">
        <f t="array" ref="Q466">IFERROR(
  INDEX('GIR Log'!$E$2:$V$72,
    MATCH(1,
      ('GIR Log'!$A$2:$A$72=$A466)*
      ('GIR Log'!$B$2:$B$72=$B466)*
      ('GIR Log'!$C$2:$C$72=$C466),
    0),
    MATCH($G466,'GIR Log'!$E$1:$V$1,0)
  ),
"")</f>
        <v>0</v>
      </c>
    </row>
    <row r="467" spans="1:17" x14ac:dyDescent="0.25">
      <c r="A467" s="20" t="s">
        <v>126</v>
      </c>
      <c r="B467" s="2">
        <v>45137</v>
      </c>
      <c r="C467" t="s">
        <v>9</v>
      </c>
      <c r="D467" t="s">
        <v>9</v>
      </c>
      <c r="E467" t="s">
        <v>34</v>
      </c>
      <c r="F467">
        <v>87</v>
      </c>
      <c r="G467" t="s">
        <v>62</v>
      </c>
      <c r="H467" s="9">
        <f t="shared" si="23"/>
        <v>16</v>
      </c>
      <c r="I467" cm="1">
        <f t="array" ref="I467">IFERROR(INDEX(CourseYardages[[Hole 1]:[Hole 18]],
  MATCH(1, (CourseYardages[Course]=C467)*(CourseYardages[Tees]=E467), 0),
  MATCH(G467, CourseYardages[[#Headers],[Hole 1]:[Hole 18]], 0)
),"")</f>
        <v>353</v>
      </c>
      <c r="J467" cm="1">
        <f t="array" ref="J467">IFERROR(INDEX(CourseHandicap[[Hole 1]:[Hole 18]],
  MATCH(1, (CourseHandicap[Course]=C467)*(CourseHandicap[Tees]=E467), 0),
  MATCH(G467, CourseHandicap[[#Headers],[Hole 1]:[Hole 18]], 0)
),"")</f>
        <v>13</v>
      </c>
      <c r="K467" cm="1">
        <f t="array" ref="K467">IFERROR(INDEX(CourseRatings[[Hole 1]:[Hole 18]],
  MATCH(1, (CourseRatings[Course]=C467)*(CourseRatings[Tees]=E467), 0),
  MATCH(G467, CourseRatings[[#Headers],[Hole 1]:[Hole 18]], 0)
),"")</f>
        <v>4</v>
      </c>
      <c r="L467" cm="1">
        <f t="array" ref="L467">IFERROR(
  INDEX('Golf Log'!$E$2:$V$72,
    MATCH(1,
      ('Golf Log'!$A$2:$A$72=$A467)*
      ('Golf Log'!$B$2:$B$72=$B467)*
      ('Golf Log'!$C$2:$C$72=$C467),
    0),
    MATCH($G467,'Golf Log'!$E$1:$V$1,0)
  ),
"")</f>
        <v>4</v>
      </c>
      <c r="M467">
        <f t="shared" si="22"/>
        <v>0</v>
      </c>
      <c r="N467" t="str">
        <f t="shared" si="21"/>
        <v>Par</v>
      </c>
      <c r="O467" cm="1">
        <f t="array" ref="O467">IFERROR(
  INDEX('Putt Log'!$E$2:$V$72,
    MATCH(1,
      ('Putt Log'!$A$2:$A$72=$A467)*
      ('Putt Log'!$B$2:$B$72=$B467)*
      ('Putt Log'!$C$2:$C$72=$C467),
    0),
    MATCH($G467,'Putt Log'!$E$1:$V$1,0)
  ),
"")</f>
        <v>2</v>
      </c>
      <c r="P467" cm="1">
        <f t="array" ref="P467">IF(K467=3,"",
  IFERROR(
    INDEX('Fairway Log'!$E$2:$V$72,
      MATCH(1,
        ('Fairway Log'!$A$2:$A$72=$A467)*
        ('Fairway Log'!$B$2:$B$72=$B467)*
        ('Fairway Log'!$C$2:$C538=$C467),
      0),
      MATCH($G467,'Fairway Log'!$E$1:$V$1,0)
    ),
  "")
)</f>
        <v>1</v>
      </c>
      <c r="Q467" cm="1">
        <f t="array" ref="Q467">IFERROR(
  INDEX('GIR Log'!$E$2:$V$72,
    MATCH(1,
      ('GIR Log'!$A$2:$A$72=$A467)*
      ('GIR Log'!$B$2:$B$72=$B467)*
      ('GIR Log'!$C$2:$C$72=$C467),
    0),
    MATCH($G467,'GIR Log'!$E$1:$V$1,0)
  ),
"")</f>
        <v>1</v>
      </c>
    </row>
    <row r="468" spans="1:17" x14ac:dyDescent="0.25">
      <c r="A468" s="20" t="s">
        <v>126</v>
      </c>
      <c r="B468" s="2">
        <v>45137</v>
      </c>
      <c r="C468" t="s">
        <v>9</v>
      </c>
      <c r="D468" t="s">
        <v>9</v>
      </c>
      <c r="E468" t="s">
        <v>34</v>
      </c>
      <c r="F468">
        <v>87</v>
      </c>
      <c r="G468" t="s">
        <v>63</v>
      </c>
      <c r="H468" s="9">
        <f t="shared" si="23"/>
        <v>17</v>
      </c>
      <c r="I468" cm="1">
        <f t="array" ref="I468">IFERROR(INDEX(CourseYardages[[Hole 1]:[Hole 18]],
  MATCH(1, (CourseYardages[Course]=C468)*(CourseYardages[Tees]=E468), 0),
  MATCH(G468, CourseYardages[[#Headers],[Hole 1]:[Hole 18]], 0)
),"")</f>
        <v>485</v>
      </c>
      <c r="J468" cm="1">
        <f t="array" ref="J468">IFERROR(INDEX(CourseHandicap[[Hole 1]:[Hole 18]],
  MATCH(1, (CourseHandicap[Course]=C468)*(CourseHandicap[Tees]=E468), 0),
  MATCH(G468, CourseHandicap[[#Headers],[Hole 1]:[Hole 18]], 0)
),"")</f>
        <v>5</v>
      </c>
      <c r="K468" cm="1">
        <f t="array" ref="K468">IFERROR(INDEX(CourseRatings[[Hole 1]:[Hole 18]],
  MATCH(1, (CourseRatings[Course]=C468)*(CourseRatings[Tees]=E468), 0),
  MATCH(G468, CourseRatings[[#Headers],[Hole 1]:[Hole 18]], 0)
),"")</f>
        <v>5</v>
      </c>
      <c r="L468" cm="1">
        <f t="array" ref="L468">IFERROR(
  INDEX('Golf Log'!$E$2:$V$72,
    MATCH(1,
      ('Golf Log'!$A$2:$A$72=$A468)*
      ('Golf Log'!$B$2:$B$72=$B468)*
      ('Golf Log'!$C$2:$C$72=$C468),
    0),
    MATCH($G468,'Golf Log'!$E$1:$V$1,0)
  ),
"")</f>
        <v>5</v>
      </c>
      <c r="M468">
        <f t="shared" si="22"/>
        <v>0</v>
      </c>
      <c r="N468" t="str">
        <f t="shared" si="21"/>
        <v>Par</v>
      </c>
      <c r="O468" cm="1">
        <f t="array" ref="O468">IFERROR(
  INDEX('Putt Log'!$E$2:$V$72,
    MATCH(1,
      ('Putt Log'!$A$2:$A$72=$A468)*
      ('Putt Log'!$B$2:$B$72=$B468)*
      ('Putt Log'!$C$2:$C$72=$C468),
    0),
    MATCH($G468,'Putt Log'!$E$1:$V$1,0)
  ),
"")</f>
        <v>2</v>
      </c>
      <c r="P468" t="str" cm="1">
        <f t="array" ref="P468">IF(K468=3,"",
  IFERROR(
    INDEX('Fairway Log'!$E$2:$V$72,
      MATCH(1,
        ('Fairway Log'!$A$2:$A$72=$A468)*
        ('Fairway Log'!$B$2:$B$72=$B468)*
        ('Fairway Log'!$C$2:$C539=$C468),
      0),
      MATCH($G468,'Fairway Log'!$E$1:$V$1,0)
    ),
  "")
)</f>
        <v>→</v>
      </c>
      <c r="Q468" cm="1">
        <f t="array" ref="Q468">IFERROR(
  INDEX('GIR Log'!$E$2:$V$72,
    MATCH(1,
      ('GIR Log'!$A$2:$A$72=$A468)*
      ('GIR Log'!$B$2:$B$72=$B468)*
      ('GIR Log'!$C$2:$C$72=$C468),
    0),
    MATCH($G468,'GIR Log'!$E$1:$V$1,0)
  ),
"")</f>
        <v>1</v>
      </c>
    </row>
    <row r="469" spans="1:17" x14ac:dyDescent="0.25">
      <c r="A469" s="20" t="s">
        <v>126</v>
      </c>
      <c r="B469" s="2">
        <v>45137</v>
      </c>
      <c r="C469" t="s">
        <v>9</v>
      </c>
      <c r="D469" t="s">
        <v>9</v>
      </c>
      <c r="E469" t="s">
        <v>34</v>
      </c>
      <c r="F469">
        <v>87</v>
      </c>
      <c r="G469" t="s">
        <v>64</v>
      </c>
      <c r="H469" s="9">
        <f t="shared" si="23"/>
        <v>18</v>
      </c>
      <c r="I469" cm="1">
        <f t="array" ref="I469">IFERROR(INDEX(CourseYardages[[Hole 1]:[Hole 18]],
  MATCH(1, (CourseYardages[Course]=C469)*(CourseYardages[Tees]=E469), 0),
  MATCH(G469, CourseYardages[[#Headers],[Hole 1]:[Hole 18]], 0)
),"")</f>
        <v>366</v>
      </c>
      <c r="J469" cm="1">
        <f t="array" ref="J469">IFERROR(INDEX(CourseHandicap[[Hole 1]:[Hole 18]],
  MATCH(1, (CourseHandicap[Course]=C469)*(CourseHandicap[Tees]=E469), 0),
  MATCH(G469, CourseHandicap[[#Headers],[Hole 1]:[Hole 18]], 0)
),"")</f>
        <v>15</v>
      </c>
      <c r="K469" cm="1">
        <f t="array" ref="K469">IFERROR(INDEX(CourseRatings[[Hole 1]:[Hole 18]],
  MATCH(1, (CourseRatings[Course]=C469)*(CourseRatings[Tees]=E469), 0),
  MATCH(G469, CourseRatings[[#Headers],[Hole 1]:[Hole 18]], 0)
),"")</f>
        <v>4</v>
      </c>
      <c r="L469" cm="1">
        <f t="array" ref="L469">IFERROR(
  INDEX('Golf Log'!$E$2:$V$72,
    MATCH(1,
      ('Golf Log'!$A$2:$A$72=$A469)*
      ('Golf Log'!$B$2:$B$72=$B469)*
      ('Golf Log'!$C$2:$C$72=$C469),
    0),
    MATCH($G469,'Golf Log'!$E$1:$V$1,0)
  ),
"")</f>
        <v>6</v>
      </c>
      <c r="M469">
        <f t="shared" si="22"/>
        <v>2</v>
      </c>
      <c r="N469" t="str">
        <f t="shared" si="21"/>
        <v>Double Bogey</v>
      </c>
      <c r="O469" cm="1">
        <f t="array" ref="O469">IFERROR(
  INDEX('Putt Log'!$E$2:$V$72,
    MATCH(1,
      ('Putt Log'!$A$2:$A$72=$A469)*
      ('Putt Log'!$B$2:$B$72=$B469)*
      ('Putt Log'!$C$2:$C$72=$C469),
    0),
    MATCH($G469,'Putt Log'!$E$1:$V$1,0)
  ),
"")</f>
        <v>2</v>
      </c>
      <c r="P469" t="str" cm="1">
        <f t="array" ref="P469">IF(K469=3,"",
  IFERROR(
    INDEX('Fairway Log'!$E$2:$V$72,
      MATCH(1,
        ('Fairway Log'!$A$2:$A$72=$A469)*
        ('Fairway Log'!$B$2:$B$72=$B469)*
        ('Fairway Log'!$C$2:$C540=$C469),
      0),
      MATCH($G469,'Fairway Log'!$E$1:$V$1,0)
    ),
  "")
)</f>
        <v>→</v>
      </c>
      <c r="Q469" cm="1">
        <f t="array" ref="Q469">IFERROR(
  INDEX('GIR Log'!$E$2:$V$72,
    MATCH(1,
      ('GIR Log'!$A$2:$A$72=$A469)*
      ('GIR Log'!$B$2:$B$72=$B469)*
      ('GIR Log'!$C$2:$C$72=$C469),
    0),
    MATCH($G469,'GIR Log'!$E$1:$V$1,0)
  ),
"")</f>
        <v>0</v>
      </c>
    </row>
    <row r="470" spans="1:17" x14ac:dyDescent="0.25">
      <c r="A470" s="20" t="s">
        <v>126</v>
      </c>
      <c r="B470" s="2">
        <v>45136</v>
      </c>
      <c r="C470" t="s">
        <v>5</v>
      </c>
      <c r="D470" t="s">
        <v>5</v>
      </c>
      <c r="E470" t="s">
        <v>34</v>
      </c>
      <c r="F470">
        <v>90</v>
      </c>
      <c r="G470" t="s">
        <v>47</v>
      </c>
      <c r="H470" s="9">
        <f t="shared" si="23"/>
        <v>1</v>
      </c>
      <c r="I470" cm="1">
        <f t="array" ref="I470">IFERROR(INDEX(CourseYardages[[Hole 1]:[Hole 18]],
  MATCH(1, (CourseYardages[Course]=C470)*(CourseYardages[Tees]=E470), 0),
  MATCH(G470, CourseYardages[[#Headers],[Hole 1]:[Hole 18]], 0)
),"")</f>
        <v>432</v>
      </c>
      <c r="J470" cm="1">
        <f t="array" ref="J470">IFERROR(INDEX(CourseHandicap[[Hole 1]:[Hole 18]],
  MATCH(1, (CourseHandicap[Course]=C470)*(CourseHandicap[Tees]=E470), 0),
  MATCH(G470, CourseHandicap[[#Headers],[Hole 1]:[Hole 18]], 0)
),"")</f>
        <v>7</v>
      </c>
      <c r="K470" cm="1">
        <f t="array" ref="K470">IFERROR(INDEX(CourseRatings[[Hole 1]:[Hole 18]],
  MATCH(1, (CourseRatings[Course]=C470)*(CourseRatings[Tees]=E470), 0),
  MATCH(G470, CourseRatings[[#Headers],[Hole 1]:[Hole 18]], 0)
),"")</f>
        <v>4</v>
      </c>
      <c r="L470" cm="1">
        <f t="array" ref="L470">IFERROR(
  INDEX('Golf Log'!$E$2:$V$72,
    MATCH(1,
      ('Golf Log'!$A$2:$A$72=$A470)*
      ('Golf Log'!$B$2:$B$72=$B470)*
      ('Golf Log'!$C$2:$C$72=$C470),
    0),
    MATCH($G470,'Golf Log'!$E$1:$V$1,0)
  ),
"")</f>
        <v>6</v>
      </c>
      <c r="M470">
        <f t="shared" ref="M470:M533" si="24">IFERROR(L470-K470,"")</f>
        <v>2</v>
      </c>
      <c r="N470" t="str">
        <f t="shared" si="21"/>
        <v>Double Bogey</v>
      </c>
      <c r="O470" cm="1">
        <f t="array" ref="O470">IFERROR(
  INDEX('Putt Log'!$E$2:$V$72,
    MATCH(1,
      ('Putt Log'!$A$2:$A$72=$A470)*
      ('Putt Log'!$B$2:$B$72=$B470)*
      ('Putt Log'!$C$2:$C$72=$C470),
    0),
    MATCH($G470,'Putt Log'!$E$1:$V$1,0)
  ),
"")</f>
        <v>2</v>
      </c>
      <c r="P470" t="str" cm="1">
        <f t="array" ref="P470">IF(K470=3,"",
  IFERROR(
    INDEX('Fairway Log'!$E$2:$V$72,
      MATCH(1,
        ('Fairway Log'!$A$2:$A$72=$A470)*
        ('Fairway Log'!$B$2:$B$72=$B470)*
        ('Fairway Log'!$C$2:$C541=$C470),
      0),
      MATCH($G470,'Fairway Log'!$E$1:$V$1,0)
    ),
  "")
)</f>
        <v>→</v>
      </c>
      <c r="Q470" cm="1">
        <f t="array" ref="Q470">IFERROR(
  INDEX('GIR Log'!$E$2:$V$72,
    MATCH(1,
      ('GIR Log'!$A$2:$A$72=$A470)*
      ('GIR Log'!$B$2:$B$72=$B470)*
      ('GIR Log'!$C$2:$C$72=$C470),
    0),
    MATCH($G470,'GIR Log'!$E$1:$V$1,0)
  ),
"")</f>
        <v>0</v>
      </c>
    </row>
    <row r="471" spans="1:17" x14ac:dyDescent="0.25">
      <c r="A471" s="20" t="s">
        <v>126</v>
      </c>
      <c r="B471" s="2">
        <v>45114</v>
      </c>
      <c r="C471" t="s">
        <v>5</v>
      </c>
      <c r="D471" t="s">
        <v>5</v>
      </c>
      <c r="E471" t="s">
        <v>34</v>
      </c>
      <c r="F471">
        <v>90</v>
      </c>
      <c r="G471" t="s">
        <v>48</v>
      </c>
      <c r="H471" s="9">
        <f t="shared" si="23"/>
        <v>2</v>
      </c>
      <c r="I471" cm="1">
        <f t="array" ref="I471">IFERROR(INDEX(CourseYardages[[Hole 1]:[Hole 18]],
  MATCH(1, (CourseYardages[Course]=C471)*(CourseYardages[Tees]=E471), 0),
  MATCH(G471, CourseYardages[[#Headers],[Hole 1]:[Hole 18]], 0)
),"")</f>
        <v>451</v>
      </c>
      <c r="J471" cm="1">
        <f t="array" ref="J471">IFERROR(INDEX(CourseHandicap[[Hole 1]:[Hole 18]],
  MATCH(1, (CourseHandicap[Course]=C471)*(CourseHandicap[Tees]=E471), 0),
  MATCH(G471, CourseHandicap[[#Headers],[Hole 1]:[Hole 18]], 0)
),"")</f>
        <v>3</v>
      </c>
      <c r="K471" cm="1">
        <f t="array" ref="K471">IFERROR(INDEX(CourseRatings[[Hole 1]:[Hole 18]],
  MATCH(1, (CourseRatings[Course]=C471)*(CourseRatings[Tees]=E471), 0),
  MATCH(G471, CourseRatings[[#Headers],[Hole 1]:[Hole 18]], 0)
),"")</f>
        <v>4</v>
      </c>
      <c r="L471" cm="1">
        <f t="array" ref="L471">IFERROR(
  INDEX('Golf Log'!$E$2:$V$72,
    MATCH(1,
      ('Golf Log'!$A$2:$A$72=$A471)*
      ('Golf Log'!$B$2:$B$72=$B471)*
      ('Golf Log'!$C$2:$C$72=$C471),
    0),
    MATCH($G471,'Golf Log'!$E$1:$V$1,0)
  ),
"")</f>
        <v>6</v>
      </c>
      <c r="M471">
        <f t="shared" si="24"/>
        <v>2</v>
      </c>
      <c r="N471" t="str">
        <f t="shared" si="21"/>
        <v>Double Bogey</v>
      </c>
      <c r="O471" cm="1">
        <f t="array" ref="O471">IFERROR(
  INDEX('Putt Log'!$E$2:$V$72,
    MATCH(1,
      ('Putt Log'!$A$2:$A$72=$A471)*
      ('Putt Log'!$B$2:$B$72=$B471)*
      ('Putt Log'!$C$2:$C$72=$C471),
    0),
    MATCH($G471,'Putt Log'!$E$1:$V$1,0)
  ),
"")</f>
        <v>2</v>
      </c>
      <c r="P471" t="str" cm="1">
        <f t="array" ref="P471">IF(K471=3,"",
  IFERROR(
    INDEX('Fairway Log'!$E$2:$V$72,
      MATCH(1,
        ('Fairway Log'!$A$2:$A$72=$A471)*
        ('Fairway Log'!$B$2:$B$72=$B471)*
        ('Fairway Log'!$C$2:$C542=$C471),
      0),
      MATCH($G471,'Fairway Log'!$E$1:$V$1,0)
    ),
  "")
)</f>
        <v>←</v>
      </c>
      <c r="Q471" cm="1">
        <f t="array" ref="Q471">IFERROR(
  INDEX('GIR Log'!$E$2:$V$72,
    MATCH(1,
      ('GIR Log'!$A$2:$A$72=$A471)*
      ('GIR Log'!$B$2:$B$72=$B471)*
      ('GIR Log'!$C$2:$C$72=$C471),
    0),
    MATCH($G471,'GIR Log'!$E$1:$V$1,0)
  ),
"")</f>
        <v>0</v>
      </c>
    </row>
    <row r="472" spans="1:17" x14ac:dyDescent="0.25">
      <c r="A472" s="20" t="s">
        <v>126</v>
      </c>
      <c r="B472" s="2">
        <v>45114</v>
      </c>
      <c r="C472" t="s">
        <v>5</v>
      </c>
      <c r="D472" t="s">
        <v>5</v>
      </c>
      <c r="E472" t="s">
        <v>34</v>
      </c>
      <c r="F472">
        <v>90</v>
      </c>
      <c r="G472" t="s">
        <v>49</v>
      </c>
      <c r="H472" s="9">
        <f t="shared" si="23"/>
        <v>3</v>
      </c>
      <c r="I472" cm="1">
        <f t="array" ref="I472">IFERROR(INDEX(CourseYardages[[Hole 1]:[Hole 18]],
  MATCH(1, (CourseYardages[Course]=C472)*(CourseYardages[Tees]=E472), 0),
  MATCH(G472, CourseYardages[[#Headers],[Hole 1]:[Hole 18]], 0)
),"")</f>
        <v>195</v>
      </c>
      <c r="J472" cm="1">
        <f t="array" ref="J472">IFERROR(INDEX(CourseHandicap[[Hole 1]:[Hole 18]],
  MATCH(1, (CourseHandicap[Course]=C472)*(CourseHandicap[Tees]=E472), 0),
  MATCH(G472, CourseHandicap[[#Headers],[Hole 1]:[Hole 18]], 0)
),"")</f>
        <v>13</v>
      </c>
      <c r="K472" cm="1">
        <f t="array" ref="K472">IFERROR(INDEX(CourseRatings[[Hole 1]:[Hole 18]],
  MATCH(1, (CourseRatings[Course]=C472)*(CourseRatings[Tees]=E472), 0),
  MATCH(G472, CourseRatings[[#Headers],[Hole 1]:[Hole 18]], 0)
),"")</f>
        <v>3</v>
      </c>
      <c r="L472" cm="1">
        <f t="array" ref="L472">IFERROR(
  INDEX('Golf Log'!$E$2:$V$72,
    MATCH(1,
      ('Golf Log'!$A$2:$A$72=$A472)*
      ('Golf Log'!$B$2:$B$72=$B472)*
      ('Golf Log'!$C$2:$C$72=$C472),
    0),
    MATCH($G472,'Golf Log'!$E$1:$V$1,0)
  ),
"")</f>
        <v>4</v>
      </c>
      <c r="M472">
        <f t="shared" si="24"/>
        <v>1</v>
      </c>
      <c r="N472" t="str">
        <f t="shared" si="21"/>
        <v>Bogey</v>
      </c>
      <c r="O472" cm="1">
        <f t="array" ref="O472">IFERROR(
  INDEX('Putt Log'!$E$2:$V$72,
    MATCH(1,
      ('Putt Log'!$A$2:$A$72=$A472)*
      ('Putt Log'!$B$2:$B$72=$B472)*
      ('Putt Log'!$C$2:$C$72=$C472),
    0),
    MATCH($G472,'Putt Log'!$E$1:$V$1,0)
  ),
"")</f>
        <v>2</v>
      </c>
      <c r="P472" t="str" cm="1">
        <f t="array" ref="P472">IF(K472=3,"",
  IFERROR(
    INDEX('Fairway Log'!$E$2:$V$72,
      MATCH(1,
        ('Fairway Log'!$A$2:$A$72=$A472)*
        ('Fairway Log'!$B$2:$B$72=$B472)*
        ('Fairway Log'!$C$2:$C543=$C472),
      0),
      MATCH($G472,'Fairway Log'!$E$1:$V$1,0)
    ),
  "")
)</f>
        <v/>
      </c>
      <c r="Q472" cm="1">
        <f t="array" ref="Q472">IFERROR(
  INDEX('GIR Log'!$E$2:$V$72,
    MATCH(1,
      ('GIR Log'!$A$2:$A$72=$A472)*
      ('GIR Log'!$B$2:$B$72=$B472)*
      ('GIR Log'!$C$2:$C$72=$C472),
    0),
    MATCH($G472,'GIR Log'!$E$1:$V$1,0)
  ),
"")</f>
        <v>1</v>
      </c>
    </row>
    <row r="473" spans="1:17" x14ac:dyDescent="0.25">
      <c r="A473" s="20" t="s">
        <v>126</v>
      </c>
      <c r="B473" s="2">
        <v>45114</v>
      </c>
      <c r="C473" t="s">
        <v>5</v>
      </c>
      <c r="D473" t="s">
        <v>5</v>
      </c>
      <c r="E473" t="s">
        <v>34</v>
      </c>
      <c r="F473">
        <v>90</v>
      </c>
      <c r="G473" t="s">
        <v>50</v>
      </c>
      <c r="H473" s="9">
        <f t="shared" si="23"/>
        <v>4</v>
      </c>
      <c r="I473" cm="1">
        <f t="array" ref="I473">IFERROR(INDEX(CourseYardages[[Hole 1]:[Hole 18]],
  MATCH(1, (CourseYardages[Course]=C473)*(CourseYardages[Tees]=E473), 0),
  MATCH(G473, CourseYardages[[#Headers],[Hole 1]:[Hole 18]], 0)
),"")</f>
        <v>493</v>
      </c>
      <c r="J473" cm="1">
        <f t="array" ref="J473">IFERROR(INDEX(CourseHandicap[[Hole 1]:[Hole 18]],
  MATCH(1, (CourseHandicap[Course]=C473)*(CourseHandicap[Tees]=E473), 0),
  MATCH(G473, CourseHandicap[[#Headers],[Hole 1]:[Hole 18]], 0)
),"")</f>
        <v>15</v>
      </c>
      <c r="K473" cm="1">
        <f t="array" ref="K473">IFERROR(INDEX(CourseRatings[[Hole 1]:[Hole 18]],
  MATCH(1, (CourseRatings[Course]=C473)*(CourseRatings[Tees]=E473), 0),
  MATCH(G473, CourseRatings[[#Headers],[Hole 1]:[Hole 18]], 0)
),"")</f>
        <v>5</v>
      </c>
      <c r="L473" cm="1">
        <f t="array" ref="L473">IFERROR(
  INDEX('Golf Log'!$E$2:$V$72,
    MATCH(1,
      ('Golf Log'!$A$2:$A$72=$A473)*
      ('Golf Log'!$B$2:$B$72=$B473)*
      ('Golf Log'!$C$2:$C$72=$C473),
    0),
    MATCH($G473,'Golf Log'!$E$1:$V$1,0)
  ),
"")</f>
        <v>5</v>
      </c>
      <c r="M473">
        <f t="shared" si="24"/>
        <v>0</v>
      </c>
      <c r="N473" t="str">
        <f t="shared" si="21"/>
        <v>Par</v>
      </c>
      <c r="O473" cm="1">
        <f t="array" ref="O473">IFERROR(
  INDEX('Putt Log'!$E$2:$V$72,
    MATCH(1,
      ('Putt Log'!$A$2:$A$72=$A473)*
      ('Putt Log'!$B$2:$B$72=$B473)*
      ('Putt Log'!$C$2:$C$72=$C473),
    0),
    MATCH($G473,'Putt Log'!$E$1:$V$1,0)
  ),
"")</f>
        <v>2</v>
      </c>
      <c r="P473" cm="1">
        <f t="array" ref="P473">IF(K473=3,"",
  IFERROR(
    INDEX('Fairway Log'!$E$2:$V$72,
      MATCH(1,
        ('Fairway Log'!$A$2:$A$72=$A473)*
        ('Fairway Log'!$B$2:$B$72=$B473)*
        ('Fairway Log'!$C$2:$C544=$C473),
      0),
      MATCH($G473,'Fairway Log'!$E$1:$V$1,0)
    ),
  "")
)</f>
        <v>1</v>
      </c>
      <c r="Q473" cm="1">
        <f t="array" ref="Q473">IFERROR(
  INDEX('GIR Log'!$E$2:$V$72,
    MATCH(1,
      ('GIR Log'!$A$2:$A$72=$A473)*
      ('GIR Log'!$B$2:$B$72=$B473)*
      ('GIR Log'!$C$2:$C$72=$C473),
    0),
    MATCH($G473,'GIR Log'!$E$1:$V$1,0)
  ),
"")</f>
        <v>1</v>
      </c>
    </row>
    <row r="474" spans="1:17" x14ac:dyDescent="0.25">
      <c r="A474" s="20" t="s">
        <v>126</v>
      </c>
      <c r="B474" s="2">
        <v>45114</v>
      </c>
      <c r="C474" t="s">
        <v>5</v>
      </c>
      <c r="D474" t="s">
        <v>5</v>
      </c>
      <c r="E474" t="s">
        <v>34</v>
      </c>
      <c r="F474">
        <v>90</v>
      </c>
      <c r="G474" t="s">
        <v>51</v>
      </c>
      <c r="H474" s="9">
        <f t="shared" si="23"/>
        <v>5</v>
      </c>
      <c r="I474" cm="1">
        <f t="array" ref="I474">IFERROR(INDEX(CourseYardages[[Hole 1]:[Hole 18]],
  MATCH(1, (CourseYardages[Course]=C474)*(CourseYardages[Tees]=E474), 0),
  MATCH(G474, CourseYardages[[#Headers],[Hole 1]:[Hole 18]], 0)
),"")</f>
        <v>306</v>
      </c>
      <c r="J474" cm="1">
        <f t="array" ref="J474">IFERROR(INDEX(CourseHandicap[[Hole 1]:[Hole 18]],
  MATCH(1, (CourseHandicap[Course]=C474)*(CourseHandicap[Tees]=E474), 0),
  MATCH(G474, CourseHandicap[[#Headers],[Hole 1]:[Hole 18]], 0)
),"")</f>
        <v>17</v>
      </c>
      <c r="K474" cm="1">
        <f t="array" ref="K474">IFERROR(INDEX(CourseRatings[[Hole 1]:[Hole 18]],
  MATCH(1, (CourseRatings[Course]=C474)*(CourseRatings[Tees]=E474), 0),
  MATCH(G474, CourseRatings[[#Headers],[Hole 1]:[Hole 18]], 0)
),"")</f>
        <v>4</v>
      </c>
      <c r="L474" cm="1">
        <f t="array" ref="L474">IFERROR(
  INDEX('Golf Log'!$E$2:$V$72,
    MATCH(1,
      ('Golf Log'!$A$2:$A$72=$A474)*
      ('Golf Log'!$B$2:$B$72=$B474)*
      ('Golf Log'!$C$2:$C$72=$C474),
    0),
    MATCH($G474,'Golf Log'!$E$1:$V$1,0)
  ),
"")</f>
        <v>4</v>
      </c>
      <c r="M474">
        <f t="shared" si="24"/>
        <v>0</v>
      </c>
      <c r="N474" t="str">
        <f t="shared" si="21"/>
        <v>Par</v>
      </c>
      <c r="O474" cm="1">
        <f t="array" ref="O474">IFERROR(
  INDEX('Putt Log'!$E$2:$V$72,
    MATCH(1,
      ('Putt Log'!$A$2:$A$72=$A474)*
      ('Putt Log'!$B$2:$B$72=$B474)*
      ('Putt Log'!$C$2:$C$72=$C474),
    0),
    MATCH($G474,'Putt Log'!$E$1:$V$1,0)
  ),
"")</f>
        <v>2</v>
      </c>
      <c r="P474" t="str" cm="1">
        <f t="array" ref="P474">IF(K474=3,"",
  IFERROR(
    INDEX('Fairway Log'!$E$2:$V$72,
      MATCH(1,
        ('Fairway Log'!$A$2:$A$72=$A474)*
        ('Fairway Log'!$B$2:$B$72=$B474)*
        ('Fairway Log'!$C$2:$C545=$C474),
      0),
      MATCH($G474,'Fairway Log'!$E$1:$V$1,0)
    ),
  "")
)</f>
        <v>↑</v>
      </c>
      <c r="Q474" cm="1">
        <f t="array" ref="Q474">IFERROR(
  INDEX('GIR Log'!$E$2:$V$72,
    MATCH(1,
      ('GIR Log'!$A$2:$A$72=$A474)*
      ('GIR Log'!$B$2:$B$72=$B474)*
      ('GIR Log'!$C$2:$C$72=$C474),
    0),
    MATCH($G474,'GIR Log'!$E$1:$V$1,0)
  ),
"")</f>
        <v>1</v>
      </c>
    </row>
    <row r="475" spans="1:17" x14ac:dyDescent="0.25">
      <c r="A475" s="20" t="s">
        <v>126</v>
      </c>
      <c r="B475" s="2">
        <v>45114</v>
      </c>
      <c r="C475" t="s">
        <v>5</v>
      </c>
      <c r="D475" t="s">
        <v>5</v>
      </c>
      <c r="E475" t="s">
        <v>34</v>
      </c>
      <c r="F475">
        <v>90</v>
      </c>
      <c r="G475" t="s">
        <v>52</v>
      </c>
      <c r="H475" s="9">
        <f t="shared" si="23"/>
        <v>6</v>
      </c>
      <c r="I475" cm="1">
        <f t="array" ref="I475">IFERROR(INDEX(CourseYardages[[Hole 1]:[Hole 18]],
  MATCH(1, (CourseYardages[Course]=C475)*(CourseYardages[Tees]=E475), 0),
  MATCH(G475, CourseYardages[[#Headers],[Hole 1]:[Hole 18]], 0)
),"")</f>
        <v>462</v>
      </c>
      <c r="J475" cm="1">
        <f t="array" ref="J475">IFERROR(INDEX(CourseHandicap[[Hole 1]:[Hole 18]],
  MATCH(1, (CourseHandicap[Course]=C475)*(CourseHandicap[Tees]=E475), 0),
  MATCH(G475, CourseHandicap[[#Headers],[Hole 1]:[Hole 18]], 0)
),"")</f>
        <v>1</v>
      </c>
      <c r="K475" cm="1">
        <f t="array" ref="K475">IFERROR(INDEX(CourseRatings[[Hole 1]:[Hole 18]],
  MATCH(1, (CourseRatings[Course]=C475)*(CourseRatings[Tees]=E475), 0),
  MATCH(G475, CourseRatings[[#Headers],[Hole 1]:[Hole 18]], 0)
),"")</f>
        <v>4</v>
      </c>
      <c r="L475" cm="1">
        <f t="array" ref="L475">IFERROR(
  INDEX('Golf Log'!$E$2:$V$72,
    MATCH(1,
      ('Golf Log'!$A$2:$A$72=$A475)*
      ('Golf Log'!$B$2:$B$72=$B475)*
      ('Golf Log'!$C$2:$C$72=$C475),
    0),
    MATCH($G475,'Golf Log'!$E$1:$V$1,0)
  ),
"")</f>
        <v>5</v>
      </c>
      <c r="M475">
        <f t="shared" si="24"/>
        <v>1</v>
      </c>
      <c r="N475" t="str">
        <f t="shared" si="21"/>
        <v>Bogey</v>
      </c>
      <c r="O475" cm="1">
        <f t="array" ref="O475">IFERROR(
  INDEX('Putt Log'!$E$2:$V$72,
    MATCH(1,
      ('Putt Log'!$A$2:$A$72=$A475)*
      ('Putt Log'!$B$2:$B$72=$B475)*
      ('Putt Log'!$C$2:$C$72=$C475),
    0),
    MATCH($G475,'Putt Log'!$E$1:$V$1,0)
  ),
"")</f>
        <v>2</v>
      </c>
      <c r="P475" cm="1">
        <f t="array" ref="P475">IF(K475=3,"",
  IFERROR(
    INDEX('Fairway Log'!$E$2:$V$72,
      MATCH(1,
        ('Fairway Log'!$A$2:$A$72=$A475)*
        ('Fairway Log'!$B$2:$B$72=$B475)*
        ('Fairway Log'!$C$2:$C546=$C475),
      0),
      MATCH($G475,'Fairway Log'!$E$1:$V$1,0)
    ),
  "")
)</f>
        <v>1</v>
      </c>
      <c r="Q475" cm="1">
        <f t="array" ref="Q475">IFERROR(
  INDEX('GIR Log'!$E$2:$V$72,
    MATCH(1,
      ('GIR Log'!$A$2:$A$72=$A475)*
      ('GIR Log'!$B$2:$B$72=$B475)*
      ('GIR Log'!$C$2:$C$72=$C475),
    0),
    MATCH($G475,'GIR Log'!$E$1:$V$1,0)
  ),
"")</f>
        <v>0</v>
      </c>
    </row>
    <row r="476" spans="1:17" x14ac:dyDescent="0.25">
      <c r="A476" s="20" t="s">
        <v>126</v>
      </c>
      <c r="B476" s="2">
        <v>45114</v>
      </c>
      <c r="C476" t="s">
        <v>5</v>
      </c>
      <c r="D476" t="s">
        <v>5</v>
      </c>
      <c r="E476" t="s">
        <v>34</v>
      </c>
      <c r="F476">
        <v>90</v>
      </c>
      <c r="G476" t="s">
        <v>53</v>
      </c>
      <c r="H476" s="9">
        <f t="shared" si="23"/>
        <v>7</v>
      </c>
      <c r="I476" cm="1">
        <f t="array" ref="I476">IFERROR(INDEX(CourseYardages[[Hole 1]:[Hole 18]],
  MATCH(1, (CourseYardages[Course]=C476)*(CourseYardages[Tees]=E476), 0),
  MATCH(G476, CourseYardages[[#Headers],[Hole 1]:[Hole 18]], 0)
),"")</f>
        <v>186</v>
      </c>
      <c r="J476" cm="1">
        <f t="array" ref="J476">IFERROR(INDEX(CourseHandicap[[Hole 1]:[Hole 18]],
  MATCH(1, (CourseHandicap[Course]=C476)*(CourseHandicap[Tees]=E476), 0),
  MATCH(G476, CourseHandicap[[#Headers],[Hole 1]:[Hole 18]], 0)
),"")</f>
        <v>11</v>
      </c>
      <c r="K476" cm="1">
        <f t="array" ref="K476">IFERROR(INDEX(CourseRatings[[Hole 1]:[Hole 18]],
  MATCH(1, (CourseRatings[Course]=C476)*(CourseRatings[Tees]=E476), 0),
  MATCH(G476, CourseRatings[[#Headers],[Hole 1]:[Hole 18]], 0)
),"")</f>
        <v>3</v>
      </c>
      <c r="L476" cm="1">
        <f t="array" ref="L476">IFERROR(
  INDEX('Golf Log'!$E$2:$V$72,
    MATCH(1,
      ('Golf Log'!$A$2:$A$72=$A476)*
      ('Golf Log'!$B$2:$B$72=$B476)*
      ('Golf Log'!$C$2:$C$72=$C476),
    0),
    MATCH($G476,'Golf Log'!$E$1:$V$1,0)
  ),
"")</f>
        <v>5</v>
      </c>
      <c r="M476">
        <f t="shared" si="24"/>
        <v>2</v>
      </c>
      <c r="N476" t="str">
        <f t="shared" si="21"/>
        <v>Double Bogey</v>
      </c>
      <c r="O476" cm="1">
        <f t="array" ref="O476">IFERROR(
  INDEX('Putt Log'!$E$2:$V$72,
    MATCH(1,
      ('Putt Log'!$A$2:$A$72=$A476)*
      ('Putt Log'!$B$2:$B$72=$B476)*
      ('Putt Log'!$C$2:$C$72=$C476),
    0),
    MATCH($G476,'Putt Log'!$E$1:$V$1,0)
  ),
"")</f>
        <v>2</v>
      </c>
      <c r="P476" t="str" cm="1">
        <f t="array" ref="P476">IF(K476=3,"",
  IFERROR(
    INDEX('Fairway Log'!$E$2:$V$72,
      MATCH(1,
        ('Fairway Log'!$A$2:$A$72=$A476)*
        ('Fairway Log'!$B$2:$B$72=$B476)*
        ('Fairway Log'!$C$2:$C547=$C476),
      0),
      MATCH($G476,'Fairway Log'!$E$1:$V$1,0)
    ),
  "")
)</f>
        <v/>
      </c>
      <c r="Q476" cm="1">
        <f t="array" ref="Q476">IFERROR(
  INDEX('GIR Log'!$E$2:$V$72,
    MATCH(1,
      ('GIR Log'!$A$2:$A$72=$A476)*
      ('GIR Log'!$B$2:$B$72=$B476)*
      ('GIR Log'!$C$2:$C$72=$C476),
    0),
    MATCH($G476,'GIR Log'!$E$1:$V$1,0)
  ),
"")</f>
        <v>0</v>
      </c>
    </row>
    <row r="477" spans="1:17" x14ac:dyDescent="0.25">
      <c r="A477" s="20" t="s">
        <v>126</v>
      </c>
      <c r="B477" s="2">
        <v>45114</v>
      </c>
      <c r="C477" t="s">
        <v>5</v>
      </c>
      <c r="D477" t="s">
        <v>5</v>
      </c>
      <c r="E477" t="s">
        <v>34</v>
      </c>
      <c r="F477">
        <v>90</v>
      </c>
      <c r="G477" t="s">
        <v>54</v>
      </c>
      <c r="H477" s="9">
        <f t="shared" si="23"/>
        <v>8</v>
      </c>
      <c r="I477" cm="1">
        <f t="array" ref="I477">IFERROR(INDEX(CourseYardages[[Hole 1]:[Hole 18]],
  MATCH(1, (CourseYardages[Course]=C477)*(CourseYardages[Tees]=E477), 0),
  MATCH(G477, CourseYardages[[#Headers],[Hole 1]:[Hole 18]], 0)
),"")</f>
        <v>565</v>
      </c>
      <c r="J477" cm="1">
        <f t="array" ref="J477">IFERROR(INDEX(CourseHandicap[[Hole 1]:[Hole 18]],
  MATCH(1, (CourseHandicap[Course]=C477)*(CourseHandicap[Tees]=E477), 0),
  MATCH(G477, CourseHandicap[[#Headers],[Hole 1]:[Hole 18]], 0)
),"")</f>
        <v>5</v>
      </c>
      <c r="K477" cm="1">
        <f t="array" ref="K477">IFERROR(INDEX(CourseRatings[[Hole 1]:[Hole 18]],
  MATCH(1, (CourseRatings[Course]=C477)*(CourseRatings[Tees]=E477), 0),
  MATCH(G477, CourseRatings[[#Headers],[Hole 1]:[Hole 18]], 0)
),"")</f>
        <v>5</v>
      </c>
      <c r="L477" cm="1">
        <f t="array" ref="L477">IFERROR(
  INDEX('Golf Log'!$E$2:$V$72,
    MATCH(1,
      ('Golf Log'!$A$2:$A$72=$A477)*
      ('Golf Log'!$B$2:$B$72=$B477)*
      ('Golf Log'!$C$2:$C$72=$C477),
    0),
    MATCH($G477,'Golf Log'!$E$1:$V$1,0)
  ),
"")</f>
        <v>5</v>
      </c>
      <c r="M477">
        <f t="shared" si="24"/>
        <v>0</v>
      </c>
      <c r="N477" t="str">
        <f t="shared" si="21"/>
        <v>Par</v>
      </c>
      <c r="O477" cm="1">
        <f t="array" ref="O477">IFERROR(
  INDEX('Putt Log'!$E$2:$V$72,
    MATCH(1,
      ('Putt Log'!$A$2:$A$72=$A477)*
      ('Putt Log'!$B$2:$B$72=$B477)*
      ('Putt Log'!$C$2:$C$72=$C477),
    0),
    MATCH($G477,'Putt Log'!$E$1:$V$1,0)
  ),
"")</f>
        <v>2</v>
      </c>
      <c r="P477" t="str" cm="1">
        <f t="array" ref="P477">IF(K477=3,"",
  IFERROR(
    INDEX('Fairway Log'!$E$2:$V$72,
      MATCH(1,
        ('Fairway Log'!$A$2:$A$72=$A477)*
        ('Fairway Log'!$B$2:$B$72=$B477)*
        ('Fairway Log'!$C$2:$C548=$C477),
      0),
      MATCH($G477,'Fairway Log'!$E$1:$V$1,0)
    ),
  "")
)</f>
        <v>↑</v>
      </c>
      <c r="Q477" cm="1">
        <f t="array" ref="Q477">IFERROR(
  INDEX('GIR Log'!$E$2:$V$72,
    MATCH(1,
      ('GIR Log'!$A$2:$A$72=$A477)*
      ('GIR Log'!$B$2:$B$72=$B477)*
      ('GIR Log'!$C$2:$C$72=$C477),
    0),
    MATCH($G477,'GIR Log'!$E$1:$V$1,0)
  ),
"")</f>
        <v>1</v>
      </c>
    </row>
    <row r="478" spans="1:17" x14ac:dyDescent="0.25">
      <c r="A478" s="20" t="s">
        <v>126</v>
      </c>
      <c r="B478" s="2">
        <v>45114</v>
      </c>
      <c r="C478" t="s">
        <v>5</v>
      </c>
      <c r="D478" t="s">
        <v>5</v>
      </c>
      <c r="E478" t="s">
        <v>34</v>
      </c>
      <c r="F478">
        <v>90</v>
      </c>
      <c r="G478" t="s">
        <v>55</v>
      </c>
      <c r="H478" s="9">
        <f t="shared" si="23"/>
        <v>9</v>
      </c>
      <c r="I478" cm="1">
        <f t="array" ref="I478">IFERROR(INDEX(CourseYardages[[Hole 1]:[Hole 18]],
  MATCH(1, (CourseYardages[Course]=C478)*(CourseYardages[Tees]=E478), 0),
  MATCH(G478, CourseYardages[[#Headers],[Hole 1]:[Hole 18]], 0)
),"")</f>
        <v>360</v>
      </c>
      <c r="J478" cm="1">
        <f t="array" ref="J478">IFERROR(INDEX(CourseHandicap[[Hole 1]:[Hole 18]],
  MATCH(1, (CourseHandicap[Course]=C478)*(CourseHandicap[Tees]=E478), 0),
  MATCH(G478, CourseHandicap[[#Headers],[Hole 1]:[Hole 18]], 0)
),"")</f>
        <v>9</v>
      </c>
      <c r="K478" cm="1">
        <f t="array" ref="K478">IFERROR(INDEX(CourseRatings[[Hole 1]:[Hole 18]],
  MATCH(1, (CourseRatings[Course]=C478)*(CourseRatings[Tees]=E478), 0),
  MATCH(G478, CourseRatings[[#Headers],[Hole 1]:[Hole 18]], 0)
),"")</f>
        <v>4</v>
      </c>
      <c r="L478" cm="1">
        <f t="array" ref="L478">IFERROR(
  INDEX('Golf Log'!$E$2:$V$72,
    MATCH(1,
      ('Golf Log'!$A$2:$A$72=$A478)*
      ('Golf Log'!$B$2:$B$72=$B478)*
      ('Golf Log'!$C$2:$C$72=$C478),
    0),
    MATCH($G478,'Golf Log'!$E$1:$V$1,0)
  ),
"")</f>
        <v>5</v>
      </c>
      <c r="M478">
        <f t="shared" si="24"/>
        <v>1</v>
      </c>
      <c r="N478" t="str">
        <f t="shared" si="21"/>
        <v>Bogey</v>
      </c>
      <c r="O478" cm="1">
        <f t="array" ref="O478">IFERROR(
  INDEX('Putt Log'!$E$2:$V$72,
    MATCH(1,
      ('Putt Log'!$A$2:$A$72=$A478)*
      ('Putt Log'!$B$2:$B$72=$B478)*
      ('Putt Log'!$C$2:$C$72=$C478),
    0),
    MATCH($G478,'Putt Log'!$E$1:$V$1,0)
  ),
"")</f>
        <v>2</v>
      </c>
      <c r="P478" t="str" cm="1">
        <f t="array" ref="P478">IF(K478=3,"",
  IFERROR(
    INDEX('Fairway Log'!$E$2:$V$72,
      MATCH(1,
        ('Fairway Log'!$A$2:$A$72=$A478)*
        ('Fairway Log'!$B$2:$B$72=$B478)*
        ('Fairway Log'!$C$2:$C549=$C478),
      0),
      MATCH($G478,'Fairway Log'!$E$1:$V$1,0)
    ),
  "")
)</f>
        <v>→</v>
      </c>
      <c r="Q478" cm="1">
        <f t="array" ref="Q478">IFERROR(
  INDEX('GIR Log'!$E$2:$V$72,
    MATCH(1,
      ('GIR Log'!$A$2:$A$72=$A478)*
      ('GIR Log'!$B$2:$B$72=$B478)*
      ('GIR Log'!$C$2:$C$72=$C478),
    0),
    MATCH($G478,'GIR Log'!$E$1:$V$1,0)
  ),
"")</f>
        <v>0</v>
      </c>
    </row>
    <row r="479" spans="1:17" x14ac:dyDescent="0.25">
      <c r="A479" s="20" t="s">
        <v>126</v>
      </c>
      <c r="B479" s="2">
        <v>45114</v>
      </c>
      <c r="C479" t="s">
        <v>5</v>
      </c>
      <c r="D479" t="s">
        <v>5</v>
      </c>
      <c r="E479" t="s">
        <v>34</v>
      </c>
      <c r="F479">
        <v>90</v>
      </c>
      <c r="G479" t="s">
        <v>56</v>
      </c>
      <c r="H479" s="9">
        <f t="shared" si="23"/>
        <v>10</v>
      </c>
      <c r="I479" cm="1">
        <f t="array" ref="I479">IFERROR(INDEX(CourseYardages[[Hole 1]:[Hole 18]],
  MATCH(1, (CourseYardages[Course]=C479)*(CourseYardages[Tees]=E479), 0),
  MATCH(G479, CourseYardages[[#Headers],[Hole 1]:[Hole 18]], 0)
),"")</f>
        <v>381</v>
      </c>
      <c r="J479" cm="1">
        <f t="array" ref="J479">IFERROR(INDEX(CourseHandicap[[Hole 1]:[Hole 18]],
  MATCH(1, (CourseHandicap[Course]=C479)*(CourseHandicap[Tees]=E479), 0),
  MATCH(G479, CourseHandicap[[#Headers],[Hole 1]:[Hole 18]], 0)
),"")</f>
        <v>12</v>
      </c>
      <c r="K479" cm="1">
        <f t="array" ref="K479">IFERROR(INDEX(CourseRatings[[Hole 1]:[Hole 18]],
  MATCH(1, (CourseRatings[Course]=C479)*(CourseRatings[Tees]=E479), 0),
  MATCH(G479, CourseRatings[[#Headers],[Hole 1]:[Hole 18]], 0)
),"")</f>
        <v>4</v>
      </c>
      <c r="L479" cm="1">
        <f t="array" ref="L479">IFERROR(
  INDEX('Golf Log'!$E$2:$V$72,
    MATCH(1,
      ('Golf Log'!$A$2:$A$72=$A479)*
      ('Golf Log'!$B$2:$B$72=$B479)*
      ('Golf Log'!$C$2:$C$72=$C479),
    0),
    MATCH($G479,'Golf Log'!$E$1:$V$1,0)
  ),
"")</f>
        <v>6</v>
      </c>
      <c r="M479">
        <f t="shared" si="24"/>
        <v>2</v>
      </c>
      <c r="N479" t="str">
        <f t="shared" si="21"/>
        <v>Double Bogey</v>
      </c>
      <c r="O479" cm="1">
        <f t="array" ref="O479">IFERROR(
  INDEX('Putt Log'!$E$2:$V$72,
    MATCH(1,
      ('Putt Log'!$A$2:$A$72=$A479)*
      ('Putt Log'!$B$2:$B$72=$B479)*
      ('Putt Log'!$C$2:$C$72=$C479),
    0),
    MATCH($G479,'Putt Log'!$E$1:$V$1,0)
  ),
"")</f>
        <v>2</v>
      </c>
      <c r="P479" t="str" cm="1">
        <f t="array" ref="P479">IF(K479=3,"",
  IFERROR(
    INDEX('Fairway Log'!$E$2:$V$72,
      MATCH(1,
        ('Fairway Log'!$A$2:$A$72=$A479)*
        ('Fairway Log'!$B$2:$B$72=$B479)*
        ('Fairway Log'!$C$2:$C550=$C479),
      0),
      MATCH($G479,'Fairway Log'!$E$1:$V$1,0)
    ),
  "")
)</f>
        <v>→</v>
      </c>
      <c r="Q479" cm="1">
        <f t="array" ref="Q479">IFERROR(
  INDEX('GIR Log'!$E$2:$V$72,
    MATCH(1,
      ('GIR Log'!$A$2:$A$72=$A479)*
      ('GIR Log'!$B$2:$B$72=$B479)*
      ('GIR Log'!$C$2:$C$72=$C479),
    0),
    MATCH($G479,'GIR Log'!$E$1:$V$1,0)
  ),
"")</f>
        <v>0</v>
      </c>
    </row>
    <row r="480" spans="1:17" x14ac:dyDescent="0.25">
      <c r="A480" s="20" t="s">
        <v>126</v>
      </c>
      <c r="B480" s="2">
        <v>45114</v>
      </c>
      <c r="C480" t="s">
        <v>5</v>
      </c>
      <c r="D480" t="s">
        <v>5</v>
      </c>
      <c r="E480" t="s">
        <v>34</v>
      </c>
      <c r="F480">
        <v>90</v>
      </c>
      <c r="G480" t="s">
        <v>57</v>
      </c>
      <c r="H480" s="9">
        <f t="shared" si="23"/>
        <v>11</v>
      </c>
      <c r="I480" cm="1">
        <f t="array" ref="I480">IFERROR(INDEX(CourseYardages[[Hole 1]:[Hole 18]],
  MATCH(1, (CourseYardages[Course]=C480)*(CourseYardages[Tees]=E480), 0),
  MATCH(G480, CourseYardages[[#Headers],[Hole 1]:[Hole 18]], 0)
),"")</f>
        <v>200</v>
      </c>
      <c r="J480" cm="1">
        <f t="array" ref="J480">IFERROR(INDEX(CourseHandicap[[Hole 1]:[Hole 18]],
  MATCH(1, (CourseHandicap[Course]=C480)*(CourseHandicap[Tees]=E480), 0),
  MATCH(G480, CourseHandicap[[#Headers],[Hole 1]:[Hole 18]], 0)
),"")</f>
        <v>16</v>
      </c>
      <c r="K480" cm="1">
        <f t="array" ref="K480">IFERROR(INDEX(CourseRatings[[Hole 1]:[Hole 18]],
  MATCH(1, (CourseRatings[Course]=C480)*(CourseRatings[Tees]=E480), 0),
  MATCH(G480, CourseRatings[[#Headers],[Hole 1]:[Hole 18]], 0)
),"")</f>
        <v>3</v>
      </c>
      <c r="L480" cm="1">
        <f t="array" ref="L480">IFERROR(
  INDEX('Golf Log'!$E$2:$V$72,
    MATCH(1,
      ('Golf Log'!$A$2:$A$72=$A480)*
      ('Golf Log'!$B$2:$B$72=$B480)*
      ('Golf Log'!$C$2:$C$72=$C480),
    0),
    MATCH($G480,'Golf Log'!$E$1:$V$1,0)
  ),
"")</f>
        <v>4</v>
      </c>
      <c r="M480">
        <f t="shared" si="24"/>
        <v>1</v>
      </c>
      <c r="N480" t="str">
        <f t="shared" si="21"/>
        <v>Bogey</v>
      </c>
      <c r="O480" cm="1">
        <f t="array" ref="O480">IFERROR(
  INDEX('Putt Log'!$E$2:$V$72,
    MATCH(1,
      ('Putt Log'!$A$2:$A$72=$A480)*
      ('Putt Log'!$B$2:$B$72=$B480)*
      ('Putt Log'!$C$2:$C$72=$C480),
    0),
    MATCH($G480,'Putt Log'!$E$1:$V$1,0)
  ),
"")</f>
        <v>1</v>
      </c>
      <c r="P480" t="str" cm="1">
        <f t="array" ref="P480">IF(K480=3,"",
  IFERROR(
    INDEX('Fairway Log'!$E$2:$V$72,
      MATCH(1,
        ('Fairway Log'!$A$2:$A$72=$A480)*
        ('Fairway Log'!$B$2:$B$72=$B480)*
        ('Fairway Log'!$C$2:$C551=$C480),
      0),
      MATCH($G480,'Fairway Log'!$E$1:$V$1,0)
    ),
  "")
)</f>
        <v/>
      </c>
      <c r="Q480" cm="1">
        <f t="array" ref="Q480">IFERROR(
  INDEX('GIR Log'!$E$2:$V$72,
    MATCH(1,
      ('GIR Log'!$A$2:$A$72=$A480)*
      ('GIR Log'!$B$2:$B$72=$B480)*
      ('GIR Log'!$C$2:$C$72=$C480),
    0),
    MATCH($G480,'GIR Log'!$E$1:$V$1,0)
  ),
"")</f>
        <v>0</v>
      </c>
    </row>
    <row r="481" spans="1:17" x14ac:dyDescent="0.25">
      <c r="A481" s="20" t="s">
        <v>126</v>
      </c>
      <c r="B481" s="2">
        <v>45114</v>
      </c>
      <c r="C481" t="s">
        <v>5</v>
      </c>
      <c r="D481" t="s">
        <v>5</v>
      </c>
      <c r="E481" t="s">
        <v>34</v>
      </c>
      <c r="F481">
        <v>90</v>
      </c>
      <c r="G481" t="s">
        <v>58</v>
      </c>
      <c r="H481" s="9">
        <f t="shared" si="23"/>
        <v>12</v>
      </c>
      <c r="I481" cm="1">
        <f t="array" ref="I481">IFERROR(INDEX(CourseYardages[[Hole 1]:[Hole 18]],
  MATCH(1, (CourseYardages[Course]=C481)*(CourseYardages[Tees]=E481), 0),
  MATCH(G481, CourseYardages[[#Headers],[Hole 1]:[Hole 18]], 0)
),"")</f>
        <v>473</v>
      </c>
      <c r="J481" cm="1">
        <f t="array" ref="J481">IFERROR(INDEX(CourseHandicap[[Hole 1]:[Hole 18]],
  MATCH(1, (CourseHandicap[Course]=C481)*(CourseHandicap[Tees]=E481), 0),
  MATCH(G481, CourseHandicap[[#Headers],[Hole 1]:[Hole 18]], 0)
),"")</f>
        <v>10</v>
      </c>
      <c r="K481" cm="1">
        <f t="array" ref="K481">IFERROR(INDEX(CourseRatings[[Hole 1]:[Hole 18]],
  MATCH(1, (CourseRatings[Course]=C481)*(CourseRatings[Tees]=E481), 0),
  MATCH(G481, CourseRatings[[#Headers],[Hole 1]:[Hole 18]], 0)
),"")</f>
        <v>5</v>
      </c>
      <c r="L481" cm="1">
        <f t="array" ref="L481">IFERROR(
  INDEX('Golf Log'!$E$2:$V$72,
    MATCH(1,
      ('Golf Log'!$A$2:$A$72=$A481)*
      ('Golf Log'!$B$2:$B$72=$B481)*
      ('Golf Log'!$C$2:$C$72=$C481),
    0),
    MATCH($G481,'Golf Log'!$E$1:$V$1,0)
  ),
"")</f>
        <v>7</v>
      </c>
      <c r="M481">
        <f t="shared" si="24"/>
        <v>2</v>
      </c>
      <c r="N481" t="str">
        <f t="shared" si="21"/>
        <v>Double Bogey</v>
      </c>
      <c r="O481" cm="1">
        <f t="array" ref="O481">IFERROR(
  INDEX('Putt Log'!$E$2:$V$72,
    MATCH(1,
      ('Putt Log'!$A$2:$A$72=$A481)*
      ('Putt Log'!$B$2:$B$72=$B481)*
      ('Putt Log'!$C$2:$C$72=$C481),
    0),
    MATCH($G481,'Putt Log'!$E$1:$V$1,0)
  ),
"")</f>
        <v>3</v>
      </c>
      <c r="P481" t="str" cm="1">
        <f t="array" ref="P481">IF(K481=3,"",
  IFERROR(
    INDEX('Fairway Log'!$E$2:$V$72,
      MATCH(1,
        ('Fairway Log'!$A$2:$A$72=$A481)*
        ('Fairway Log'!$B$2:$B$72=$B481)*
        ('Fairway Log'!$C$2:$C552=$C481),
      0),
      MATCH($G481,'Fairway Log'!$E$1:$V$1,0)
    ),
  "")
)</f>
        <v>→</v>
      </c>
      <c r="Q481" cm="1">
        <f t="array" ref="Q481">IFERROR(
  INDEX('GIR Log'!$E$2:$V$72,
    MATCH(1,
      ('GIR Log'!$A$2:$A$72=$A481)*
      ('GIR Log'!$B$2:$B$72=$B481)*
      ('GIR Log'!$C$2:$C$72=$C481),
    0),
    MATCH($G481,'GIR Log'!$E$1:$V$1,0)
  ),
"")</f>
        <v>0</v>
      </c>
    </row>
    <row r="482" spans="1:17" x14ac:dyDescent="0.25">
      <c r="A482" s="20" t="s">
        <v>126</v>
      </c>
      <c r="B482" s="2">
        <v>45114</v>
      </c>
      <c r="C482" t="s">
        <v>5</v>
      </c>
      <c r="D482" t="s">
        <v>5</v>
      </c>
      <c r="E482" t="s">
        <v>34</v>
      </c>
      <c r="F482">
        <v>90</v>
      </c>
      <c r="G482" t="s">
        <v>59</v>
      </c>
      <c r="H482" s="9">
        <f t="shared" si="23"/>
        <v>13</v>
      </c>
      <c r="I482" cm="1">
        <f t="array" ref="I482">IFERROR(INDEX(CourseYardages[[Hole 1]:[Hole 18]],
  MATCH(1, (CourseYardages[Course]=C482)*(CourseYardages[Tees]=E482), 0),
  MATCH(G482, CourseYardages[[#Headers],[Hole 1]:[Hole 18]], 0)
),"")</f>
        <v>362</v>
      </c>
      <c r="J482" cm="1">
        <f t="array" ref="J482">IFERROR(INDEX(CourseHandicap[[Hole 1]:[Hole 18]],
  MATCH(1, (CourseHandicap[Course]=C482)*(CourseHandicap[Tees]=E482), 0),
  MATCH(G482, CourseHandicap[[#Headers],[Hole 1]:[Hole 18]], 0)
),"")</f>
        <v>18</v>
      </c>
      <c r="K482" cm="1">
        <f t="array" ref="K482">IFERROR(INDEX(CourseRatings[[Hole 1]:[Hole 18]],
  MATCH(1, (CourseRatings[Course]=C482)*(CourseRatings[Tees]=E482), 0),
  MATCH(G482, CourseRatings[[#Headers],[Hole 1]:[Hole 18]], 0)
),"")</f>
        <v>4</v>
      </c>
      <c r="L482" cm="1">
        <f t="array" ref="L482">IFERROR(
  INDEX('Golf Log'!$E$2:$V$72,
    MATCH(1,
      ('Golf Log'!$A$2:$A$72=$A482)*
      ('Golf Log'!$B$2:$B$72=$B482)*
      ('Golf Log'!$C$2:$C$72=$C482),
    0),
    MATCH($G482,'Golf Log'!$E$1:$V$1,0)
  ),
"")</f>
        <v>4</v>
      </c>
      <c r="M482">
        <f t="shared" si="24"/>
        <v>0</v>
      </c>
      <c r="N482" t="str">
        <f t="shared" si="21"/>
        <v>Par</v>
      </c>
      <c r="O482" cm="1">
        <f t="array" ref="O482">IFERROR(
  INDEX('Putt Log'!$E$2:$V$72,
    MATCH(1,
      ('Putt Log'!$A$2:$A$72=$A482)*
      ('Putt Log'!$B$2:$B$72=$B482)*
      ('Putt Log'!$C$2:$C$72=$C482),
    0),
    MATCH($G482,'Putt Log'!$E$1:$V$1,0)
  ),
"")</f>
        <v>1</v>
      </c>
      <c r="P482" t="str" cm="1">
        <f t="array" ref="P482">IF(K482=3,"",
  IFERROR(
    INDEX('Fairway Log'!$E$2:$V$72,
      MATCH(1,
        ('Fairway Log'!$A$2:$A$72=$A482)*
        ('Fairway Log'!$B$2:$B$72=$B482)*
        ('Fairway Log'!$C$2:$C553=$C482),
      0),
      MATCH($G482,'Fairway Log'!$E$1:$V$1,0)
    ),
  "")
)</f>
        <v>↑</v>
      </c>
      <c r="Q482" cm="1">
        <f t="array" ref="Q482">IFERROR(
  INDEX('GIR Log'!$E$2:$V$72,
    MATCH(1,
      ('GIR Log'!$A$2:$A$72=$A482)*
      ('GIR Log'!$B$2:$B$72=$B482)*
      ('GIR Log'!$C$2:$C$72=$C482),
    0),
    MATCH($G482,'GIR Log'!$E$1:$V$1,0)
  ),
"")</f>
        <v>0</v>
      </c>
    </row>
    <row r="483" spans="1:17" x14ac:dyDescent="0.25">
      <c r="A483" s="20" t="s">
        <v>126</v>
      </c>
      <c r="B483" s="2">
        <v>45114</v>
      </c>
      <c r="C483" t="s">
        <v>5</v>
      </c>
      <c r="D483" t="s">
        <v>5</v>
      </c>
      <c r="E483" t="s">
        <v>34</v>
      </c>
      <c r="F483">
        <v>90</v>
      </c>
      <c r="G483" t="s">
        <v>60</v>
      </c>
      <c r="H483" s="9">
        <f t="shared" si="23"/>
        <v>14</v>
      </c>
      <c r="I483" cm="1">
        <f t="array" ref="I483">IFERROR(INDEX(CourseYardages[[Hole 1]:[Hole 18]],
  MATCH(1, (CourseYardages[Course]=C483)*(CourseYardages[Tees]=E483), 0),
  MATCH(G483, CourseYardages[[#Headers],[Hole 1]:[Hole 18]], 0)
),"")</f>
        <v>383</v>
      </c>
      <c r="J483" cm="1">
        <f t="array" ref="J483">IFERROR(INDEX(CourseHandicap[[Hole 1]:[Hole 18]],
  MATCH(1, (CourseHandicap[Course]=C483)*(CourseHandicap[Tees]=E483), 0),
  MATCH(G483, CourseHandicap[[#Headers],[Hole 1]:[Hole 18]], 0)
),"")</f>
        <v>8</v>
      </c>
      <c r="K483" cm="1">
        <f t="array" ref="K483">IFERROR(INDEX(CourseRatings[[Hole 1]:[Hole 18]],
  MATCH(1, (CourseRatings[Course]=C483)*(CourseRatings[Tees]=E483), 0),
  MATCH(G483, CourseRatings[[#Headers],[Hole 1]:[Hole 18]], 0)
),"")</f>
        <v>4</v>
      </c>
      <c r="L483" cm="1">
        <f t="array" ref="L483">IFERROR(
  INDEX('Golf Log'!$E$2:$V$72,
    MATCH(1,
      ('Golf Log'!$A$2:$A$72=$A483)*
      ('Golf Log'!$B$2:$B$72=$B483)*
      ('Golf Log'!$C$2:$C$72=$C483),
    0),
    MATCH($G483,'Golf Log'!$E$1:$V$1,0)
  ),
"")</f>
        <v>4</v>
      </c>
      <c r="M483">
        <f t="shared" si="24"/>
        <v>0</v>
      </c>
      <c r="N483" t="str">
        <f t="shared" si="21"/>
        <v>Par</v>
      </c>
      <c r="O483" cm="1">
        <f t="array" ref="O483">IFERROR(
  INDEX('Putt Log'!$E$2:$V$72,
    MATCH(1,
      ('Putt Log'!$A$2:$A$72=$A483)*
      ('Putt Log'!$B$2:$B$72=$B483)*
      ('Putt Log'!$C$2:$C$72=$C483),
    0),
    MATCH($G483,'Putt Log'!$E$1:$V$1,0)
  ),
"")</f>
        <v>1</v>
      </c>
      <c r="P483" t="str" cm="1">
        <f t="array" ref="P483">IF(K483=3,"",
  IFERROR(
    INDEX('Fairway Log'!$E$2:$V$72,
      MATCH(1,
        ('Fairway Log'!$A$2:$A$72=$A483)*
        ('Fairway Log'!$B$2:$B$72=$B483)*
        ('Fairway Log'!$C$2:$C554=$C483),
      0),
      MATCH($G483,'Fairway Log'!$E$1:$V$1,0)
    ),
  "")
)</f>
        <v>→</v>
      </c>
      <c r="Q483" cm="1">
        <f t="array" ref="Q483">IFERROR(
  INDEX('GIR Log'!$E$2:$V$72,
    MATCH(1,
      ('GIR Log'!$A$2:$A$72=$A483)*
      ('GIR Log'!$B$2:$B$72=$B483)*
      ('GIR Log'!$C$2:$C$72=$C483),
    0),
    MATCH($G483,'GIR Log'!$E$1:$V$1,0)
  ),
"")</f>
        <v>0</v>
      </c>
    </row>
    <row r="484" spans="1:17" x14ac:dyDescent="0.25">
      <c r="A484" s="20" t="s">
        <v>126</v>
      </c>
      <c r="B484" s="2">
        <v>45114</v>
      </c>
      <c r="C484" t="s">
        <v>5</v>
      </c>
      <c r="D484" t="s">
        <v>5</v>
      </c>
      <c r="E484" t="s">
        <v>34</v>
      </c>
      <c r="F484">
        <v>90</v>
      </c>
      <c r="G484" t="s">
        <v>61</v>
      </c>
      <c r="H484" s="9">
        <f t="shared" si="23"/>
        <v>15</v>
      </c>
      <c r="I484" cm="1">
        <f t="array" ref="I484">IFERROR(INDEX(CourseYardages[[Hole 1]:[Hole 18]],
  MATCH(1, (CourseYardages[Course]=C484)*(CourseYardages[Tees]=E484), 0),
  MATCH(G484, CourseYardages[[#Headers],[Hole 1]:[Hole 18]], 0)
),"")</f>
        <v>387</v>
      </c>
      <c r="J484" cm="1">
        <f t="array" ref="J484">IFERROR(INDEX(CourseHandicap[[Hole 1]:[Hole 18]],
  MATCH(1, (CourseHandicap[Course]=C484)*(CourseHandicap[Tees]=E484), 0),
  MATCH(G484, CourseHandicap[[#Headers],[Hole 1]:[Hole 18]], 0)
),"")</f>
        <v>2</v>
      </c>
      <c r="K484" cm="1">
        <f t="array" ref="K484">IFERROR(INDEX(CourseRatings[[Hole 1]:[Hole 18]],
  MATCH(1, (CourseRatings[Course]=C484)*(CourseRatings[Tees]=E484), 0),
  MATCH(G484, CourseRatings[[#Headers],[Hole 1]:[Hole 18]], 0)
),"")</f>
        <v>4</v>
      </c>
      <c r="L484" cm="1">
        <f t="array" ref="L484">IFERROR(
  INDEX('Golf Log'!$E$2:$V$72,
    MATCH(1,
      ('Golf Log'!$A$2:$A$72=$A484)*
      ('Golf Log'!$B$2:$B$72=$B484)*
      ('Golf Log'!$C$2:$C$72=$C484),
    0),
    MATCH($G484,'Golf Log'!$E$1:$V$1,0)
  ),
"")</f>
        <v>5</v>
      </c>
      <c r="M484">
        <f t="shared" si="24"/>
        <v>1</v>
      </c>
      <c r="N484" t="str">
        <f t="shared" si="21"/>
        <v>Bogey</v>
      </c>
      <c r="O484" cm="1">
        <f t="array" ref="O484">IFERROR(
  INDEX('Putt Log'!$E$2:$V$72,
    MATCH(1,
      ('Putt Log'!$A$2:$A$72=$A484)*
      ('Putt Log'!$B$2:$B$72=$B484)*
      ('Putt Log'!$C$2:$C$72=$C484),
    0),
    MATCH($G484,'Putt Log'!$E$1:$V$1,0)
  ),
"")</f>
        <v>2</v>
      </c>
      <c r="P484" cm="1">
        <f t="array" ref="P484">IF(K484=3,"",
  IFERROR(
    INDEX('Fairway Log'!$E$2:$V$72,
      MATCH(1,
        ('Fairway Log'!$A$2:$A$72=$A484)*
        ('Fairway Log'!$B$2:$B$72=$B484)*
        ('Fairway Log'!$C$2:$C555=$C484),
      0),
      MATCH($G484,'Fairway Log'!$E$1:$V$1,0)
    ),
  "")
)</f>
        <v>1</v>
      </c>
      <c r="Q484" cm="1">
        <f t="array" ref="Q484">IFERROR(
  INDEX('GIR Log'!$E$2:$V$72,
    MATCH(1,
      ('GIR Log'!$A$2:$A$72=$A484)*
      ('GIR Log'!$B$2:$B$72=$B484)*
      ('GIR Log'!$C$2:$C$72=$C484),
    0),
    MATCH($G484,'GIR Log'!$E$1:$V$1,0)
  ),
"")</f>
        <v>0</v>
      </c>
    </row>
    <row r="485" spans="1:17" x14ac:dyDescent="0.25">
      <c r="A485" s="20" t="s">
        <v>126</v>
      </c>
      <c r="B485" s="2">
        <v>45114</v>
      </c>
      <c r="C485" t="s">
        <v>5</v>
      </c>
      <c r="D485" t="s">
        <v>5</v>
      </c>
      <c r="E485" t="s">
        <v>34</v>
      </c>
      <c r="F485">
        <v>90</v>
      </c>
      <c r="G485" t="s">
        <v>62</v>
      </c>
      <c r="H485" s="9">
        <f t="shared" si="23"/>
        <v>16</v>
      </c>
      <c r="I485" cm="1">
        <f t="array" ref="I485">IFERROR(INDEX(CourseYardages[[Hole 1]:[Hole 18]],
  MATCH(1, (CourseYardages[Course]=C485)*(CourseYardages[Tees]=E485), 0),
  MATCH(G485, CourseYardages[[#Headers],[Hole 1]:[Hole 18]], 0)
),"")</f>
        <v>501</v>
      </c>
      <c r="J485" cm="1">
        <f t="array" ref="J485">IFERROR(INDEX(CourseHandicap[[Hole 1]:[Hole 18]],
  MATCH(1, (CourseHandicap[Course]=C485)*(CourseHandicap[Tees]=E485), 0),
  MATCH(G485, CourseHandicap[[#Headers],[Hole 1]:[Hole 18]], 0)
),"")</f>
        <v>4</v>
      </c>
      <c r="K485" cm="1">
        <f t="array" ref="K485">IFERROR(INDEX(CourseRatings[[Hole 1]:[Hole 18]],
  MATCH(1, (CourseRatings[Course]=C485)*(CourseRatings[Tees]=E485), 0),
  MATCH(G485, CourseRatings[[#Headers],[Hole 1]:[Hole 18]], 0)
),"")</f>
        <v>5</v>
      </c>
      <c r="L485" cm="1">
        <f t="array" ref="L485">IFERROR(
  INDEX('Golf Log'!$E$2:$V$72,
    MATCH(1,
      ('Golf Log'!$A$2:$A$72=$A485)*
      ('Golf Log'!$B$2:$B$72=$B485)*
      ('Golf Log'!$C$2:$C$72=$C485),
    0),
    MATCH($G485,'Golf Log'!$E$1:$V$1,0)
  ),
"")</f>
        <v>5</v>
      </c>
      <c r="M485">
        <f t="shared" si="24"/>
        <v>0</v>
      </c>
      <c r="N485" t="str">
        <f t="shared" si="21"/>
        <v>Par</v>
      </c>
      <c r="O485" cm="1">
        <f t="array" ref="O485">IFERROR(
  INDEX('Putt Log'!$E$2:$V$72,
    MATCH(1,
      ('Putt Log'!$A$2:$A$72=$A485)*
      ('Putt Log'!$B$2:$B$72=$B485)*
      ('Putt Log'!$C$2:$C$72=$C485),
    0),
    MATCH($G485,'Putt Log'!$E$1:$V$1,0)
  ),
"")</f>
        <v>2</v>
      </c>
      <c r="P485" t="str" cm="1">
        <f t="array" ref="P485">IF(K485=3,"",
  IFERROR(
    INDEX('Fairway Log'!$E$2:$V$72,
      MATCH(1,
        ('Fairway Log'!$A$2:$A$72=$A485)*
        ('Fairway Log'!$B$2:$B$72=$B485)*
        ('Fairway Log'!$C$2:$C556=$C485),
      0),
      MATCH($G485,'Fairway Log'!$E$1:$V$1,0)
    ),
  "")
)</f>
        <v>←</v>
      </c>
      <c r="Q485" cm="1">
        <f t="array" ref="Q485">IFERROR(
  INDEX('GIR Log'!$E$2:$V$72,
    MATCH(1,
      ('GIR Log'!$A$2:$A$72=$A485)*
      ('GIR Log'!$B$2:$B$72=$B485)*
      ('GIR Log'!$C$2:$C$72=$C485),
    0),
    MATCH($G485,'GIR Log'!$E$1:$V$1,0)
  ),
"")</f>
        <v>0</v>
      </c>
    </row>
    <row r="486" spans="1:17" x14ac:dyDescent="0.25">
      <c r="A486" s="20" t="s">
        <v>126</v>
      </c>
      <c r="B486" s="2">
        <v>45114</v>
      </c>
      <c r="C486" t="s">
        <v>5</v>
      </c>
      <c r="D486" t="s">
        <v>5</v>
      </c>
      <c r="E486" t="s">
        <v>34</v>
      </c>
      <c r="F486">
        <v>90</v>
      </c>
      <c r="G486" t="s">
        <v>63</v>
      </c>
      <c r="H486" s="9">
        <f t="shared" si="23"/>
        <v>17</v>
      </c>
      <c r="I486" cm="1">
        <f t="array" ref="I486">IFERROR(INDEX(CourseYardages[[Hole 1]:[Hole 18]],
  MATCH(1, (CourseYardages[Course]=C486)*(CourseYardages[Tees]=E486), 0),
  MATCH(G486, CourseYardages[[#Headers],[Hole 1]:[Hole 18]], 0)
),"")</f>
        <v>175</v>
      </c>
      <c r="J486" cm="1">
        <f t="array" ref="J486">IFERROR(INDEX(CourseHandicap[[Hole 1]:[Hole 18]],
  MATCH(1, (CourseHandicap[Course]=C486)*(CourseHandicap[Tees]=E486), 0),
  MATCH(G486, CourseHandicap[[#Headers],[Hole 1]:[Hole 18]], 0)
),"")</f>
        <v>14</v>
      </c>
      <c r="K486" cm="1">
        <f t="array" ref="K486">IFERROR(INDEX(CourseRatings[[Hole 1]:[Hole 18]],
  MATCH(1, (CourseRatings[Course]=C486)*(CourseRatings[Tees]=E486), 0),
  MATCH(G486, CourseRatings[[#Headers],[Hole 1]:[Hole 18]], 0)
),"")</f>
        <v>3</v>
      </c>
      <c r="L486" cm="1">
        <f t="array" ref="L486">IFERROR(
  INDEX('Golf Log'!$E$2:$V$72,
    MATCH(1,
      ('Golf Log'!$A$2:$A$72=$A486)*
      ('Golf Log'!$B$2:$B$72=$B486)*
      ('Golf Log'!$C$2:$C$72=$C486),
    0),
    MATCH($G486,'Golf Log'!$E$1:$V$1,0)
  ),
"")</f>
        <v>5</v>
      </c>
      <c r="M486">
        <f t="shared" si="24"/>
        <v>2</v>
      </c>
      <c r="N486" t="str">
        <f t="shared" si="21"/>
        <v>Double Bogey</v>
      </c>
      <c r="O486" cm="1">
        <f t="array" ref="O486">IFERROR(
  INDEX('Putt Log'!$E$2:$V$72,
    MATCH(1,
      ('Putt Log'!$A$2:$A$72=$A486)*
      ('Putt Log'!$B$2:$B$72=$B486)*
      ('Putt Log'!$C$2:$C$72=$C486),
    0),
    MATCH($G486,'Putt Log'!$E$1:$V$1,0)
  ),
"")</f>
        <v>2</v>
      </c>
      <c r="P486" t="str" cm="1">
        <f t="array" ref="P486">IF(K486=3,"",
  IFERROR(
    INDEX('Fairway Log'!$E$2:$V$72,
      MATCH(1,
        ('Fairway Log'!$A$2:$A$72=$A486)*
        ('Fairway Log'!$B$2:$B$72=$B486)*
        ('Fairway Log'!$C$2:$C557=$C486),
      0),
      MATCH($G486,'Fairway Log'!$E$1:$V$1,0)
    ),
  "")
)</f>
        <v/>
      </c>
      <c r="Q486" cm="1">
        <f t="array" ref="Q486">IFERROR(
  INDEX('GIR Log'!$E$2:$V$72,
    MATCH(1,
      ('GIR Log'!$A$2:$A$72=$A486)*
      ('GIR Log'!$B$2:$B$72=$B486)*
      ('GIR Log'!$C$2:$C$72=$C486),
    0),
    MATCH($G486,'GIR Log'!$E$1:$V$1,0)
  ),
"")</f>
        <v>1</v>
      </c>
    </row>
    <row r="487" spans="1:17" x14ac:dyDescent="0.25">
      <c r="A487" s="20" t="s">
        <v>126</v>
      </c>
      <c r="B487" s="2">
        <v>45114</v>
      </c>
      <c r="C487" t="s">
        <v>5</v>
      </c>
      <c r="D487" t="s">
        <v>5</v>
      </c>
      <c r="E487" t="s">
        <v>34</v>
      </c>
      <c r="F487">
        <v>90</v>
      </c>
      <c r="G487" t="s">
        <v>64</v>
      </c>
      <c r="H487" s="9">
        <f t="shared" si="23"/>
        <v>18</v>
      </c>
      <c r="I487" cm="1">
        <f t="array" ref="I487">IFERROR(INDEX(CourseYardages[[Hole 1]:[Hole 18]],
  MATCH(1, (CourseYardages[Course]=C487)*(CourseYardages[Tees]=E487), 0),
  MATCH(G487, CourseYardages[[#Headers],[Hole 1]:[Hole 18]], 0)
),"")</f>
        <v>364</v>
      </c>
      <c r="J487" cm="1">
        <f t="array" ref="J487">IFERROR(INDEX(CourseHandicap[[Hole 1]:[Hole 18]],
  MATCH(1, (CourseHandicap[Course]=C487)*(CourseHandicap[Tees]=E487), 0),
  MATCH(G487, CourseHandicap[[#Headers],[Hole 1]:[Hole 18]], 0)
),"")</f>
        <v>6</v>
      </c>
      <c r="K487" cm="1">
        <f t="array" ref="K487">IFERROR(INDEX(CourseRatings[[Hole 1]:[Hole 18]],
  MATCH(1, (CourseRatings[Course]=C487)*(CourseRatings[Tees]=E487), 0),
  MATCH(G487, CourseRatings[[#Headers],[Hole 1]:[Hole 18]], 0)
),"")</f>
        <v>4</v>
      </c>
      <c r="L487" cm="1">
        <f t="array" ref="L487">IFERROR(
  INDEX('Golf Log'!$E$2:$V$72,
    MATCH(1,
      ('Golf Log'!$A$2:$A$72=$A487)*
      ('Golf Log'!$B$2:$B$72=$B487)*
      ('Golf Log'!$C$2:$C$72=$C487),
    0),
    MATCH($G487,'Golf Log'!$E$1:$V$1,0)
  ),
"")</f>
        <v>5</v>
      </c>
      <c r="M487">
        <f t="shared" si="24"/>
        <v>1</v>
      </c>
      <c r="N487" t="str">
        <f t="shared" si="21"/>
        <v>Bogey</v>
      </c>
      <c r="O487" cm="1">
        <f t="array" ref="O487">IFERROR(
  INDEX('Putt Log'!$E$2:$V$72,
    MATCH(1,
      ('Putt Log'!$A$2:$A$72=$A487)*
      ('Putt Log'!$B$2:$B$72=$B487)*
      ('Putt Log'!$C$2:$C$72=$C487),
    0),
    MATCH($G487,'Putt Log'!$E$1:$V$1,0)
  ),
"")</f>
        <v>1</v>
      </c>
      <c r="P487" t="str" cm="1">
        <f t="array" ref="P487">IF(K487=3,"",
  IFERROR(
    INDEX('Fairway Log'!$E$2:$V$72,
      MATCH(1,
        ('Fairway Log'!$A$2:$A$72=$A487)*
        ('Fairway Log'!$B$2:$B$72=$B487)*
        ('Fairway Log'!$C$2:$C558=$C487),
      0),
      MATCH($G487,'Fairway Log'!$E$1:$V$1,0)
    ),
  "")
)</f>
        <v>→</v>
      </c>
      <c r="Q487" cm="1">
        <f t="array" ref="Q487">IFERROR(
  INDEX('GIR Log'!$E$2:$V$72,
    MATCH(1,
      ('GIR Log'!$A$2:$A$72=$A487)*
      ('GIR Log'!$B$2:$B$72=$B487)*
      ('GIR Log'!$C$2:$C$72=$C487),
    0),
    MATCH($G487,'GIR Log'!$E$1:$V$1,0)
  ),
"")</f>
        <v>0</v>
      </c>
    </row>
    <row r="488" spans="1:17" x14ac:dyDescent="0.25">
      <c r="A488" s="20" t="s">
        <v>126</v>
      </c>
      <c r="B488" s="2">
        <v>45084</v>
      </c>
      <c r="C488" t="s">
        <v>5</v>
      </c>
      <c r="D488" t="s">
        <v>5</v>
      </c>
      <c r="E488" t="s">
        <v>34</v>
      </c>
      <c r="F488">
        <v>91</v>
      </c>
      <c r="G488" t="s">
        <v>47</v>
      </c>
      <c r="H488" s="9">
        <f t="shared" si="23"/>
        <v>1</v>
      </c>
      <c r="I488" cm="1">
        <f t="array" ref="I488">IFERROR(INDEX(CourseYardages[[Hole 1]:[Hole 18]],
  MATCH(1, (CourseYardages[Course]=C488)*(CourseYardages[Tees]=E488), 0),
  MATCH(G488, CourseYardages[[#Headers],[Hole 1]:[Hole 18]], 0)
),"")</f>
        <v>432</v>
      </c>
      <c r="J488" cm="1">
        <f t="array" ref="J488">IFERROR(INDEX(CourseHandicap[[Hole 1]:[Hole 18]],
  MATCH(1, (CourseHandicap[Course]=C488)*(CourseHandicap[Tees]=E488), 0),
  MATCH(G488, CourseHandicap[[#Headers],[Hole 1]:[Hole 18]], 0)
),"")</f>
        <v>7</v>
      </c>
      <c r="K488" cm="1">
        <f t="array" ref="K488">IFERROR(INDEX(CourseRatings[[Hole 1]:[Hole 18]],
  MATCH(1, (CourseRatings[Course]=C488)*(CourseRatings[Tees]=E488), 0),
  MATCH(G488, CourseRatings[[#Headers],[Hole 1]:[Hole 18]], 0)
),"")</f>
        <v>4</v>
      </c>
      <c r="L488" cm="1">
        <f t="array" ref="L488">IFERROR(
  INDEX('Golf Log'!$E$2:$V$72,
    MATCH(1,
      ('Golf Log'!$A$2:$A$72=$A488)*
      ('Golf Log'!$B$2:$B$72=$B488)*
      ('Golf Log'!$C$2:$C$72=$C488),
    0),
    MATCH($G488,'Golf Log'!$E$1:$V$1,0)
  ),
"")</f>
        <v>5</v>
      </c>
      <c r="M488">
        <f t="shared" si="24"/>
        <v>1</v>
      </c>
      <c r="N488" t="str">
        <f t="shared" si="21"/>
        <v>Bogey</v>
      </c>
      <c r="O488" cm="1">
        <f t="array" ref="O488">IFERROR(
  INDEX('Putt Log'!$E$2:$V$72,
    MATCH(1,
      ('Putt Log'!$A$2:$A$72=$A488)*
      ('Putt Log'!$B$2:$B$72=$B488)*
      ('Putt Log'!$C$2:$C$72=$C488),
    0),
    MATCH($G488,'Putt Log'!$E$1:$V$1,0)
  ),
"")</f>
        <v>2</v>
      </c>
      <c r="P488" t="str" cm="1">
        <f t="array" ref="P488">IF(K488=3,"",
  IFERROR(
    INDEX('Fairway Log'!$E$2:$V$72,
      MATCH(1,
        ('Fairway Log'!$A$2:$A$72=$A488)*
        ('Fairway Log'!$B$2:$B$72=$B488)*
        ('Fairway Log'!$C$2:$C559=$C488),
      0),
      MATCH($G488,'Fairway Log'!$E$1:$V$1,0)
    ),
  "")
)</f>
        <v>→</v>
      </c>
      <c r="Q488" cm="1">
        <f t="array" ref="Q488">IFERROR(
  INDEX('GIR Log'!$E$2:$V$72,
    MATCH(1,
      ('GIR Log'!$A$2:$A$72=$A488)*
      ('GIR Log'!$B$2:$B$72=$B488)*
      ('GIR Log'!$C$2:$C$72=$C488),
    0),
    MATCH($G488,'GIR Log'!$E$1:$V$1,0)
  ),
"")</f>
        <v>0</v>
      </c>
    </row>
    <row r="489" spans="1:17" x14ac:dyDescent="0.25">
      <c r="A489" s="20" t="s">
        <v>126</v>
      </c>
      <c r="B489" s="2">
        <v>45084</v>
      </c>
      <c r="C489" t="s">
        <v>5</v>
      </c>
      <c r="D489" t="s">
        <v>5</v>
      </c>
      <c r="E489" t="s">
        <v>34</v>
      </c>
      <c r="F489">
        <v>91</v>
      </c>
      <c r="G489" t="s">
        <v>48</v>
      </c>
      <c r="H489" s="9">
        <f t="shared" si="23"/>
        <v>2</v>
      </c>
      <c r="I489" cm="1">
        <f t="array" ref="I489">IFERROR(INDEX(CourseYardages[[Hole 1]:[Hole 18]],
  MATCH(1, (CourseYardages[Course]=C489)*(CourseYardages[Tees]=E489), 0),
  MATCH(G489, CourseYardages[[#Headers],[Hole 1]:[Hole 18]], 0)
),"")</f>
        <v>451</v>
      </c>
      <c r="J489" cm="1">
        <f t="array" ref="J489">IFERROR(INDEX(CourseHandicap[[Hole 1]:[Hole 18]],
  MATCH(1, (CourseHandicap[Course]=C489)*(CourseHandicap[Tees]=E489), 0),
  MATCH(G489, CourseHandicap[[#Headers],[Hole 1]:[Hole 18]], 0)
),"")</f>
        <v>3</v>
      </c>
      <c r="K489" cm="1">
        <f t="array" ref="K489">IFERROR(INDEX(CourseRatings[[Hole 1]:[Hole 18]],
  MATCH(1, (CourseRatings[Course]=C489)*(CourseRatings[Tees]=E489), 0),
  MATCH(G489, CourseRatings[[#Headers],[Hole 1]:[Hole 18]], 0)
),"")</f>
        <v>4</v>
      </c>
      <c r="L489" cm="1">
        <f t="array" ref="L489">IFERROR(
  INDEX('Golf Log'!$E$2:$V$72,
    MATCH(1,
      ('Golf Log'!$A$2:$A$72=$A489)*
      ('Golf Log'!$B$2:$B$72=$B489)*
      ('Golf Log'!$C$2:$C$72=$C489),
    0),
    MATCH($G489,'Golf Log'!$E$1:$V$1,0)
  ),
"")</f>
        <v>6</v>
      </c>
      <c r="M489">
        <f t="shared" si="24"/>
        <v>2</v>
      </c>
      <c r="N489" t="str">
        <f t="shared" si="21"/>
        <v>Double Bogey</v>
      </c>
      <c r="O489" cm="1">
        <f t="array" ref="O489">IFERROR(
  INDEX('Putt Log'!$E$2:$V$72,
    MATCH(1,
      ('Putt Log'!$A$2:$A$72=$A489)*
      ('Putt Log'!$B$2:$B$72=$B489)*
      ('Putt Log'!$C$2:$C$72=$C489),
    0),
    MATCH($G489,'Putt Log'!$E$1:$V$1,0)
  ),
"")</f>
        <v>2</v>
      </c>
      <c r="P489" t="str" cm="1">
        <f t="array" ref="P489">IF(K489=3,"",
  IFERROR(
    INDEX('Fairway Log'!$E$2:$V$72,
      MATCH(1,
        ('Fairway Log'!$A$2:$A$72=$A489)*
        ('Fairway Log'!$B$2:$B$72=$B489)*
        ('Fairway Log'!$C$2:$C560=$C489),
      0),
      MATCH($G489,'Fairway Log'!$E$1:$V$1,0)
    ),
  "")
)</f>
        <v>→</v>
      </c>
      <c r="Q489" cm="1">
        <f t="array" ref="Q489">IFERROR(
  INDEX('GIR Log'!$E$2:$V$72,
    MATCH(1,
      ('GIR Log'!$A$2:$A$72=$A489)*
      ('GIR Log'!$B$2:$B$72=$B489)*
      ('GIR Log'!$C$2:$C$72=$C489),
    0),
    MATCH($G489,'GIR Log'!$E$1:$V$1,0)
  ),
"")</f>
        <v>0</v>
      </c>
    </row>
    <row r="490" spans="1:17" x14ac:dyDescent="0.25">
      <c r="A490" s="20" t="s">
        <v>126</v>
      </c>
      <c r="B490" s="2">
        <v>45084</v>
      </c>
      <c r="C490" t="s">
        <v>5</v>
      </c>
      <c r="D490" t="s">
        <v>5</v>
      </c>
      <c r="E490" t="s">
        <v>34</v>
      </c>
      <c r="F490">
        <v>91</v>
      </c>
      <c r="G490" t="s">
        <v>49</v>
      </c>
      <c r="H490" s="9">
        <f t="shared" si="23"/>
        <v>3</v>
      </c>
      <c r="I490" cm="1">
        <f t="array" ref="I490">IFERROR(INDEX(CourseYardages[[Hole 1]:[Hole 18]],
  MATCH(1, (CourseYardages[Course]=C490)*(CourseYardages[Tees]=E490), 0),
  MATCH(G490, CourseYardages[[#Headers],[Hole 1]:[Hole 18]], 0)
),"")</f>
        <v>195</v>
      </c>
      <c r="J490" cm="1">
        <f t="array" ref="J490">IFERROR(INDEX(CourseHandicap[[Hole 1]:[Hole 18]],
  MATCH(1, (CourseHandicap[Course]=C490)*(CourseHandicap[Tees]=E490), 0),
  MATCH(G490, CourseHandicap[[#Headers],[Hole 1]:[Hole 18]], 0)
),"")</f>
        <v>13</v>
      </c>
      <c r="K490" cm="1">
        <f t="array" ref="K490">IFERROR(INDEX(CourseRatings[[Hole 1]:[Hole 18]],
  MATCH(1, (CourseRatings[Course]=C490)*(CourseRatings[Tees]=E490), 0),
  MATCH(G490, CourseRatings[[#Headers],[Hole 1]:[Hole 18]], 0)
),"")</f>
        <v>3</v>
      </c>
      <c r="L490" cm="1">
        <f t="array" ref="L490">IFERROR(
  INDEX('Golf Log'!$E$2:$V$72,
    MATCH(1,
      ('Golf Log'!$A$2:$A$72=$A490)*
      ('Golf Log'!$B$2:$B$72=$B490)*
      ('Golf Log'!$C$2:$C$72=$C490),
    0),
    MATCH($G490,'Golf Log'!$E$1:$V$1,0)
  ),
"")</f>
        <v>4</v>
      </c>
      <c r="M490">
        <f t="shared" si="24"/>
        <v>1</v>
      </c>
      <c r="N490" t="str">
        <f t="shared" si="21"/>
        <v>Bogey</v>
      </c>
      <c r="O490" cm="1">
        <f t="array" ref="O490">IFERROR(
  INDEX('Putt Log'!$E$2:$V$72,
    MATCH(1,
      ('Putt Log'!$A$2:$A$72=$A490)*
      ('Putt Log'!$B$2:$B$72=$B490)*
      ('Putt Log'!$C$2:$C$72=$C490),
    0),
    MATCH($G490,'Putt Log'!$E$1:$V$1,0)
  ),
"")</f>
        <v>2</v>
      </c>
      <c r="P490" t="str" cm="1">
        <f t="array" ref="P490">IF(K490=3,"",
  IFERROR(
    INDEX('Fairway Log'!$E$2:$V$72,
      MATCH(1,
        ('Fairway Log'!$A$2:$A$72=$A490)*
        ('Fairway Log'!$B$2:$B$72=$B490)*
        ('Fairway Log'!$C$2:$C561=$C490),
      0),
      MATCH($G490,'Fairway Log'!$E$1:$V$1,0)
    ),
  "")
)</f>
        <v/>
      </c>
      <c r="Q490" cm="1">
        <f t="array" ref="Q490">IFERROR(
  INDEX('GIR Log'!$E$2:$V$72,
    MATCH(1,
      ('GIR Log'!$A$2:$A$72=$A490)*
      ('GIR Log'!$B$2:$B$72=$B490)*
      ('GIR Log'!$C$2:$C$72=$C490),
    0),
    MATCH($G490,'GIR Log'!$E$1:$V$1,0)
  ),
"")</f>
        <v>0</v>
      </c>
    </row>
    <row r="491" spans="1:17" x14ac:dyDescent="0.25">
      <c r="A491" s="20" t="s">
        <v>126</v>
      </c>
      <c r="B491" s="2">
        <v>45084</v>
      </c>
      <c r="C491" t="s">
        <v>5</v>
      </c>
      <c r="D491" t="s">
        <v>5</v>
      </c>
      <c r="E491" t="s">
        <v>34</v>
      </c>
      <c r="F491">
        <v>91</v>
      </c>
      <c r="G491" t="s">
        <v>50</v>
      </c>
      <c r="H491" s="9">
        <f t="shared" si="23"/>
        <v>4</v>
      </c>
      <c r="I491" cm="1">
        <f t="array" ref="I491">IFERROR(INDEX(CourseYardages[[Hole 1]:[Hole 18]],
  MATCH(1, (CourseYardages[Course]=C491)*(CourseYardages[Tees]=E491), 0),
  MATCH(G491, CourseYardages[[#Headers],[Hole 1]:[Hole 18]], 0)
),"")</f>
        <v>493</v>
      </c>
      <c r="J491" cm="1">
        <f t="array" ref="J491">IFERROR(INDEX(CourseHandicap[[Hole 1]:[Hole 18]],
  MATCH(1, (CourseHandicap[Course]=C491)*(CourseHandicap[Tees]=E491), 0),
  MATCH(G491, CourseHandicap[[#Headers],[Hole 1]:[Hole 18]], 0)
),"")</f>
        <v>15</v>
      </c>
      <c r="K491" cm="1">
        <f t="array" ref="K491">IFERROR(INDEX(CourseRatings[[Hole 1]:[Hole 18]],
  MATCH(1, (CourseRatings[Course]=C491)*(CourseRatings[Tees]=E491), 0),
  MATCH(G491, CourseRatings[[#Headers],[Hole 1]:[Hole 18]], 0)
),"")</f>
        <v>5</v>
      </c>
      <c r="L491" cm="1">
        <f t="array" ref="L491">IFERROR(
  INDEX('Golf Log'!$E$2:$V$72,
    MATCH(1,
      ('Golf Log'!$A$2:$A$72=$A491)*
      ('Golf Log'!$B$2:$B$72=$B491)*
      ('Golf Log'!$C$2:$C$72=$C491),
    0),
    MATCH($G491,'Golf Log'!$E$1:$V$1,0)
  ),
"")</f>
        <v>7</v>
      </c>
      <c r="M491">
        <f t="shared" si="24"/>
        <v>2</v>
      </c>
      <c r="N491" t="str">
        <f t="shared" si="21"/>
        <v>Double Bogey</v>
      </c>
      <c r="O491" cm="1">
        <f t="array" ref="O491">IFERROR(
  INDEX('Putt Log'!$E$2:$V$72,
    MATCH(1,
      ('Putt Log'!$A$2:$A$72=$A491)*
      ('Putt Log'!$B$2:$B$72=$B491)*
      ('Putt Log'!$C$2:$C$72=$C491),
    0),
    MATCH($G491,'Putt Log'!$E$1:$V$1,0)
  ),
"")</f>
        <v>3</v>
      </c>
      <c r="P491" cm="1">
        <f t="array" ref="P491">IF(K491=3,"",
  IFERROR(
    INDEX('Fairway Log'!$E$2:$V$72,
      MATCH(1,
        ('Fairway Log'!$A$2:$A$72=$A491)*
        ('Fairway Log'!$B$2:$B$72=$B491)*
        ('Fairway Log'!$C$2:$C562=$C491),
      0),
      MATCH($G491,'Fairway Log'!$E$1:$V$1,0)
    ),
  "")
)</f>
        <v>1</v>
      </c>
      <c r="Q491" cm="1">
        <f t="array" ref="Q491">IFERROR(
  INDEX('GIR Log'!$E$2:$V$72,
    MATCH(1,
      ('GIR Log'!$A$2:$A$72=$A491)*
      ('GIR Log'!$B$2:$B$72=$B491)*
      ('GIR Log'!$C$2:$C$72=$C491),
    0),
    MATCH($G491,'GIR Log'!$E$1:$V$1,0)
  ),
"")</f>
        <v>0</v>
      </c>
    </row>
    <row r="492" spans="1:17" x14ac:dyDescent="0.25">
      <c r="A492" s="20" t="s">
        <v>126</v>
      </c>
      <c r="B492" s="2">
        <v>45084</v>
      </c>
      <c r="C492" t="s">
        <v>5</v>
      </c>
      <c r="D492" t="s">
        <v>5</v>
      </c>
      <c r="E492" t="s">
        <v>34</v>
      </c>
      <c r="F492">
        <v>91</v>
      </c>
      <c r="G492" t="s">
        <v>51</v>
      </c>
      <c r="H492" s="9">
        <f t="shared" si="23"/>
        <v>5</v>
      </c>
      <c r="I492" cm="1">
        <f t="array" ref="I492">IFERROR(INDEX(CourseYardages[[Hole 1]:[Hole 18]],
  MATCH(1, (CourseYardages[Course]=C492)*(CourseYardages[Tees]=E492), 0),
  MATCH(G492, CourseYardages[[#Headers],[Hole 1]:[Hole 18]], 0)
),"")</f>
        <v>306</v>
      </c>
      <c r="J492" cm="1">
        <f t="array" ref="J492">IFERROR(INDEX(CourseHandicap[[Hole 1]:[Hole 18]],
  MATCH(1, (CourseHandicap[Course]=C492)*(CourseHandicap[Tees]=E492), 0),
  MATCH(G492, CourseHandicap[[#Headers],[Hole 1]:[Hole 18]], 0)
),"")</f>
        <v>17</v>
      </c>
      <c r="K492" cm="1">
        <f t="array" ref="K492">IFERROR(INDEX(CourseRatings[[Hole 1]:[Hole 18]],
  MATCH(1, (CourseRatings[Course]=C492)*(CourseRatings[Tees]=E492), 0),
  MATCH(G492, CourseRatings[[#Headers],[Hole 1]:[Hole 18]], 0)
),"")</f>
        <v>4</v>
      </c>
      <c r="L492" cm="1">
        <f t="array" ref="L492">IFERROR(
  INDEX('Golf Log'!$E$2:$V$72,
    MATCH(1,
      ('Golf Log'!$A$2:$A$72=$A492)*
      ('Golf Log'!$B$2:$B$72=$B492)*
      ('Golf Log'!$C$2:$C$72=$C492),
    0),
    MATCH($G492,'Golf Log'!$E$1:$V$1,0)
  ),
"")</f>
        <v>5</v>
      </c>
      <c r="M492">
        <f t="shared" si="24"/>
        <v>1</v>
      </c>
      <c r="N492" t="str">
        <f t="shared" si="21"/>
        <v>Bogey</v>
      </c>
      <c r="O492" cm="1">
        <f t="array" ref="O492">IFERROR(
  INDEX('Putt Log'!$E$2:$V$72,
    MATCH(1,
      ('Putt Log'!$A$2:$A$72=$A492)*
      ('Putt Log'!$B$2:$B$72=$B492)*
      ('Putt Log'!$C$2:$C$72=$C492),
    0),
    MATCH($G492,'Putt Log'!$E$1:$V$1,0)
  ),
"")</f>
        <v>2</v>
      </c>
      <c r="P492" t="str" cm="1">
        <f t="array" ref="P492">IF(K492=3,"",
  IFERROR(
    INDEX('Fairway Log'!$E$2:$V$72,
      MATCH(1,
        ('Fairway Log'!$A$2:$A$72=$A492)*
        ('Fairway Log'!$B$2:$B$72=$B492)*
        ('Fairway Log'!$C$2:$C563=$C492),
      0),
      MATCH($G492,'Fairway Log'!$E$1:$V$1,0)
    ),
  "")
)</f>
        <v>→</v>
      </c>
      <c r="Q492" cm="1">
        <f t="array" ref="Q492">IFERROR(
  INDEX('GIR Log'!$E$2:$V$72,
    MATCH(1,
      ('GIR Log'!$A$2:$A$72=$A492)*
      ('GIR Log'!$B$2:$B$72=$B492)*
      ('GIR Log'!$C$2:$C$72=$C492),
    0),
    MATCH($G492,'GIR Log'!$E$1:$V$1,0)
  ),
"")</f>
        <v>0</v>
      </c>
    </row>
    <row r="493" spans="1:17" x14ac:dyDescent="0.25">
      <c r="A493" s="20" t="s">
        <v>126</v>
      </c>
      <c r="B493" s="2">
        <v>45084</v>
      </c>
      <c r="C493" t="s">
        <v>5</v>
      </c>
      <c r="D493" t="s">
        <v>5</v>
      </c>
      <c r="E493" t="s">
        <v>34</v>
      </c>
      <c r="F493">
        <v>91</v>
      </c>
      <c r="G493" t="s">
        <v>52</v>
      </c>
      <c r="H493" s="9">
        <f t="shared" si="23"/>
        <v>6</v>
      </c>
      <c r="I493" cm="1">
        <f t="array" ref="I493">IFERROR(INDEX(CourseYardages[[Hole 1]:[Hole 18]],
  MATCH(1, (CourseYardages[Course]=C493)*(CourseYardages[Tees]=E493), 0),
  MATCH(G493, CourseYardages[[#Headers],[Hole 1]:[Hole 18]], 0)
),"")</f>
        <v>462</v>
      </c>
      <c r="J493" cm="1">
        <f t="array" ref="J493">IFERROR(INDEX(CourseHandicap[[Hole 1]:[Hole 18]],
  MATCH(1, (CourseHandicap[Course]=C493)*(CourseHandicap[Tees]=E493), 0),
  MATCH(G493, CourseHandicap[[#Headers],[Hole 1]:[Hole 18]], 0)
),"")</f>
        <v>1</v>
      </c>
      <c r="K493" cm="1">
        <f t="array" ref="K493">IFERROR(INDEX(CourseRatings[[Hole 1]:[Hole 18]],
  MATCH(1, (CourseRatings[Course]=C493)*(CourseRatings[Tees]=E493), 0),
  MATCH(G493, CourseRatings[[#Headers],[Hole 1]:[Hole 18]], 0)
),"")</f>
        <v>4</v>
      </c>
      <c r="L493" cm="1">
        <f t="array" ref="L493">IFERROR(
  INDEX('Golf Log'!$E$2:$V$72,
    MATCH(1,
      ('Golf Log'!$A$2:$A$72=$A493)*
      ('Golf Log'!$B$2:$B$72=$B493)*
      ('Golf Log'!$C$2:$C$72=$C493),
    0),
    MATCH($G493,'Golf Log'!$E$1:$V$1,0)
  ),
"")</f>
        <v>6</v>
      </c>
      <c r="M493">
        <f t="shared" si="24"/>
        <v>2</v>
      </c>
      <c r="N493" t="str">
        <f t="shared" si="21"/>
        <v>Double Bogey</v>
      </c>
      <c r="O493" cm="1">
        <f t="array" ref="O493">IFERROR(
  INDEX('Putt Log'!$E$2:$V$72,
    MATCH(1,
      ('Putt Log'!$A$2:$A$72=$A493)*
      ('Putt Log'!$B$2:$B$72=$B493)*
      ('Putt Log'!$C$2:$C$72=$C493),
    0),
    MATCH($G493,'Putt Log'!$E$1:$V$1,0)
  ),
"")</f>
        <v>2</v>
      </c>
      <c r="P493" t="str" cm="1">
        <f t="array" ref="P493">IF(K493=3,"",
  IFERROR(
    INDEX('Fairway Log'!$E$2:$V$72,
      MATCH(1,
        ('Fairway Log'!$A$2:$A$72=$A493)*
        ('Fairway Log'!$B$2:$B$72=$B493)*
        ('Fairway Log'!$C$2:$C564=$C493),
      0),
      MATCH($G493,'Fairway Log'!$E$1:$V$1,0)
    ),
  "")
)</f>
        <v>↑</v>
      </c>
      <c r="Q493" cm="1">
        <f t="array" ref="Q493">IFERROR(
  INDEX('GIR Log'!$E$2:$V$72,
    MATCH(1,
      ('GIR Log'!$A$2:$A$72=$A493)*
      ('GIR Log'!$B$2:$B$72=$B493)*
      ('GIR Log'!$C$2:$C$72=$C493),
    0),
    MATCH($G493,'GIR Log'!$E$1:$V$1,0)
  ),
"")</f>
        <v>0</v>
      </c>
    </row>
    <row r="494" spans="1:17" x14ac:dyDescent="0.25">
      <c r="A494" s="20" t="s">
        <v>126</v>
      </c>
      <c r="B494" s="2">
        <v>45084</v>
      </c>
      <c r="C494" t="s">
        <v>5</v>
      </c>
      <c r="D494" t="s">
        <v>5</v>
      </c>
      <c r="E494" t="s">
        <v>34</v>
      </c>
      <c r="F494">
        <v>91</v>
      </c>
      <c r="G494" t="s">
        <v>53</v>
      </c>
      <c r="H494" s="9">
        <f t="shared" si="23"/>
        <v>7</v>
      </c>
      <c r="I494" cm="1">
        <f t="array" ref="I494">IFERROR(INDEX(CourseYardages[[Hole 1]:[Hole 18]],
  MATCH(1, (CourseYardages[Course]=C494)*(CourseYardages[Tees]=E494), 0),
  MATCH(G494, CourseYardages[[#Headers],[Hole 1]:[Hole 18]], 0)
),"")</f>
        <v>186</v>
      </c>
      <c r="J494" cm="1">
        <f t="array" ref="J494">IFERROR(INDEX(CourseHandicap[[Hole 1]:[Hole 18]],
  MATCH(1, (CourseHandicap[Course]=C494)*(CourseHandicap[Tees]=E494), 0),
  MATCH(G494, CourseHandicap[[#Headers],[Hole 1]:[Hole 18]], 0)
),"")</f>
        <v>11</v>
      </c>
      <c r="K494" cm="1">
        <f t="array" ref="K494">IFERROR(INDEX(CourseRatings[[Hole 1]:[Hole 18]],
  MATCH(1, (CourseRatings[Course]=C494)*(CourseRatings[Tees]=E494), 0),
  MATCH(G494, CourseRatings[[#Headers],[Hole 1]:[Hole 18]], 0)
),"")</f>
        <v>3</v>
      </c>
      <c r="L494" cm="1">
        <f t="array" ref="L494">IFERROR(
  INDEX('Golf Log'!$E$2:$V$72,
    MATCH(1,
      ('Golf Log'!$A$2:$A$72=$A494)*
      ('Golf Log'!$B$2:$B$72=$B494)*
      ('Golf Log'!$C$2:$C$72=$C494),
    0),
    MATCH($G494,'Golf Log'!$E$1:$V$1,0)
  ),
"")</f>
        <v>4</v>
      </c>
      <c r="M494">
        <f t="shared" si="24"/>
        <v>1</v>
      </c>
      <c r="N494" t="str">
        <f t="shared" si="21"/>
        <v>Bogey</v>
      </c>
      <c r="O494" cm="1">
        <f t="array" ref="O494">IFERROR(
  INDEX('Putt Log'!$E$2:$V$72,
    MATCH(1,
      ('Putt Log'!$A$2:$A$72=$A494)*
      ('Putt Log'!$B$2:$B$72=$B494)*
      ('Putt Log'!$C$2:$C$72=$C494),
    0),
    MATCH($G494,'Putt Log'!$E$1:$V$1,0)
  ),
"")</f>
        <v>2</v>
      </c>
      <c r="P494" t="str" cm="1">
        <f t="array" ref="P494">IF(K494=3,"",
  IFERROR(
    INDEX('Fairway Log'!$E$2:$V$72,
      MATCH(1,
        ('Fairway Log'!$A$2:$A$72=$A494)*
        ('Fairway Log'!$B$2:$B$72=$B494)*
        ('Fairway Log'!$C$2:$C565=$C494),
      0),
      MATCH($G494,'Fairway Log'!$E$1:$V$1,0)
    ),
  "")
)</f>
        <v/>
      </c>
      <c r="Q494" cm="1">
        <f t="array" ref="Q494">IFERROR(
  INDEX('GIR Log'!$E$2:$V$72,
    MATCH(1,
      ('GIR Log'!$A$2:$A$72=$A494)*
      ('GIR Log'!$B$2:$B$72=$B494)*
      ('GIR Log'!$C$2:$C$72=$C494),
    0),
    MATCH($G494,'GIR Log'!$E$1:$V$1,0)
  ),
"")</f>
        <v>0</v>
      </c>
    </row>
    <row r="495" spans="1:17" x14ac:dyDescent="0.25">
      <c r="A495" s="20" t="s">
        <v>126</v>
      </c>
      <c r="B495" s="2">
        <v>45084</v>
      </c>
      <c r="C495" t="s">
        <v>5</v>
      </c>
      <c r="D495" t="s">
        <v>5</v>
      </c>
      <c r="E495" t="s">
        <v>34</v>
      </c>
      <c r="F495">
        <v>91</v>
      </c>
      <c r="G495" t="s">
        <v>54</v>
      </c>
      <c r="H495" s="9">
        <f t="shared" si="23"/>
        <v>8</v>
      </c>
      <c r="I495" cm="1">
        <f t="array" ref="I495">IFERROR(INDEX(CourseYardages[[Hole 1]:[Hole 18]],
  MATCH(1, (CourseYardages[Course]=C495)*(CourseYardages[Tees]=E495), 0),
  MATCH(G495, CourseYardages[[#Headers],[Hole 1]:[Hole 18]], 0)
),"")</f>
        <v>565</v>
      </c>
      <c r="J495" cm="1">
        <f t="array" ref="J495">IFERROR(INDEX(CourseHandicap[[Hole 1]:[Hole 18]],
  MATCH(1, (CourseHandicap[Course]=C495)*(CourseHandicap[Tees]=E495), 0),
  MATCH(G495, CourseHandicap[[#Headers],[Hole 1]:[Hole 18]], 0)
),"")</f>
        <v>5</v>
      </c>
      <c r="K495" cm="1">
        <f t="array" ref="K495">IFERROR(INDEX(CourseRatings[[Hole 1]:[Hole 18]],
  MATCH(1, (CourseRatings[Course]=C495)*(CourseRatings[Tees]=E495), 0),
  MATCH(G495, CourseRatings[[#Headers],[Hole 1]:[Hole 18]], 0)
),"")</f>
        <v>5</v>
      </c>
      <c r="L495" cm="1">
        <f t="array" ref="L495">IFERROR(
  INDEX('Golf Log'!$E$2:$V$72,
    MATCH(1,
      ('Golf Log'!$A$2:$A$72=$A495)*
      ('Golf Log'!$B$2:$B$72=$B495)*
      ('Golf Log'!$C$2:$C$72=$C495),
    0),
    MATCH($G495,'Golf Log'!$E$1:$V$1,0)
  ),
"")</f>
        <v>6</v>
      </c>
      <c r="M495">
        <f t="shared" si="24"/>
        <v>1</v>
      </c>
      <c r="N495" t="str">
        <f t="shared" si="21"/>
        <v>Bogey</v>
      </c>
      <c r="O495" cm="1">
        <f t="array" ref="O495">IFERROR(
  INDEX('Putt Log'!$E$2:$V$72,
    MATCH(1,
      ('Putt Log'!$A$2:$A$72=$A495)*
      ('Putt Log'!$B$2:$B$72=$B495)*
      ('Putt Log'!$C$2:$C$72=$C495),
    0),
    MATCH($G495,'Putt Log'!$E$1:$V$1,0)
  ),
"")</f>
        <v>3</v>
      </c>
      <c r="P495" t="str" cm="1">
        <f t="array" ref="P495">IF(K495=3,"",
  IFERROR(
    INDEX('Fairway Log'!$E$2:$V$72,
      MATCH(1,
        ('Fairway Log'!$A$2:$A$72=$A495)*
        ('Fairway Log'!$B$2:$B$72=$B495)*
        ('Fairway Log'!$C$2:$C566=$C495),
      0),
      MATCH($G495,'Fairway Log'!$E$1:$V$1,0)
    ),
  "")
)</f>
        <v>→</v>
      </c>
      <c r="Q495" cm="1">
        <f t="array" ref="Q495">IFERROR(
  INDEX('GIR Log'!$E$2:$V$72,
    MATCH(1,
      ('GIR Log'!$A$2:$A$72=$A495)*
      ('GIR Log'!$B$2:$B$72=$B495)*
      ('GIR Log'!$C$2:$C$72=$C495),
    0),
    MATCH($G495,'GIR Log'!$E$1:$V$1,0)
  ),
"")</f>
        <v>0</v>
      </c>
    </row>
    <row r="496" spans="1:17" x14ac:dyDescent="0.25">
      <c r="A496" s="20" t="s">
        <v>126</v>
      </c>
      <c r="B496" s="2">
        <v>45084</v>
      </c>
      <c r="C496" t="s">
        <v>5</v>
      </c>
      <c r="D496" t="s">
        <v>5</v>
      </c>
      <c r="E496" t="s">
        <v>34</v>
      </c>
      <c r="F496">
        <v>91</v>
      </c>
      <c r="G496" t="s">
        <v>55</v>
      </c>
      <c r="H496" s="9">
        <f t="shared" si="23"/>
        <v>9</v>
      </c>
      <c r="I496" cm="1">
        <f t="array" ref="I496">IFERROR(INDEX(CourseYardages[[Hole 1]:[Hole 18]],
  MATCH(1, (CourseYardages[Course]=C496)*(CourseYardages[Tees]=E496), 0),
  MATCH(G496, CourseYardages[[#Headers],[Hole 1]:[Hole 18]], 0)
),"")</f>
        <v>360</v>
      </c>
      <c r="J496" cm="1">
        <f t="array" ref="J496">IFERROR(INDEX(CourseHandicap[[Hole 1]:[Hole 18]],
  MATCH(1, (CourseHandicap[Course]=C496)*(CourseHandicap[Tees]=E496), 0),
  MATCH(G496, CourseHandicap[[#Headers],[Hole 1]:[Hole 18]], 0)
),"")</f>
        <v>9</v>
      </c>
      <c r="K496" cm="1">
        <f t="array" ref="K496">IFERROR(INDEX(CourseRatings[[Hole 1]:[Hole 18]],
  MATCH(1, (CourseRatings[Course]=C496)*(CourseRatings[Tees]=E496), 0),
  MATCH(G496, CourseRatings[[#Headers],[Hole 1]:[Hole 18]], 0)
),"")</f>
        <v>4</v>
      </c>
      <c r="L496" cm="1">
        <f t="array" ref="L496">IFERROR(
  INDEX('Golf Log'!$E$2:$V$72,
    MATCH(1,
      ('Golf Log'!$A$2:$A$72=$A496)*
      ('Golf Log'!$B$2:$B$72=$B496)*
      ('Golf Log'!$C$2:$C$72=$C496),
    0),
    MATCH($G496,'Golf Log'!$E$1:$V$1,0)
  ),
"")</f>
        <v>5</v>
      </c>
      <c r="M496">
        <f t="shared" si="24"/>
        <v>1</v>
      </c>
      <c r="N496" t="str">
        <f t="shared" si="21"/>
        <v>Bogey</v>
      </c>
      <c r="O496" cm="1">
        <f t="array" ref="O496">IFERROR(
  INDEX('Putt Log'!$E$2:$V$72,
    MATCH(1,
      ('Putt Log'!$A$2:$A$72=$A496)*
      ('Putt Log'!$B$2:$B$72=$B496)*
      ('Putt Log'!$C$2:$C$72=$C496),
    0),
    MATCH($G496,'Putt Log'!$E$1:$V$1,0)
  ),
"")</f>
        <v>2</v>
      </c>
      <c r="P496" cm="1">
        <f t="array" ref="P496">IF(K496=3,"",
  IFERROR(
    INDEX('Fairway Log'!$E$2:$V$72,
      MATCH(1,
        ('Fairway Log'!$A$2:$A$72=$A496)*
        ('Fairway Log'!$B$2:$B$72=$B496)*
        ('Fairway Log'!$C$2:$C567=$C496),
      0),
      MATCH($G496,'Fairway Log'!$E$1:$V$1,0)
    ),
  "")
)</f>
        <v>1</v>
      </c>
      <c r="Q496" cm="1">
        <f t="array" ref="Q496">IFERROR(
  INDEX('GIR Log'!$E$2:$V$72,
    MATCH(1,
      ('GIR Log'!$A$2:$A$72=$A496)*
      ('GIR Log'!$B$2:$B$72=$B496)*
      ('GIR Log'!$C$2:$C$72=$C496),
    0),
    MATCH($G496,'GIR Log'!$E$1:$V$1,0)
  ),
"")</f>
        <v>0</v>
      </c>
    </row>
    <row r="497" spans="1:17" x14ac:dyDescent="0.25">
      <c r="A497" s="20" t="s">
        <v>126</v>
      </c>
      <c r="B497" s="2">
        <v>45084</v>
      </c>
      <c r="C497" t="s">
        <v>5</v>
      </c>
      <c r="D497" t="s">
        <v>5</v>
      </c>
      <c r="E497" t="s">
        <v>34</v>
      </c>
      <c r="F497">
        <v>91</v>
      </c>
      <c r="G497" t="s">
        <v>56</v>
      </c>
      <c r="H497" s="9">
        <f t="shared" si="23"/>
        <v>10</v>
      </c>
      <c r="I497" cm="1">
        <f t="array" ref="I497">IFERROR(INDEX(CourseYardages[[Hole 1]:[Hole 18]],
  MATCH(1, (CourseYardages[Course]=C497)*(CourseYardages[Tees]=E497), 0),
  MATCH(G497, CourseYardages[[#Headers],[Hole 1]:[Hole 18]], 0)
),"")</f>
        <v>381</v>
      </c>
      <c r="J497" cm="1">
        <f t="array" ref="J497">IFERROR(INDEX(CourseHandicap[[Hole 1]:[Hole 18]],
  MATCH(1, (CourseHandicap[Course]=C497)*(CourseHandicap[Tees]=E497), 0),
  MATCH(G497, CourseHandicap[[#Headers],[Hole 1]:[Hole 18]], 0)
),"")</f>
        <v>12</v>
      </c>
      <c r="K497" cm="1">
        <f t="array" ref="K497">IFERROR(INDEX(CourseRatings[[Hole 1]:[Hole 18]],
  MATCH(1, (CourseRatings[Course]=C497)*(CourseRatings[Tees]=E497), 0),
  MATCH(G497, CourseRatings[[#Headers],[Hole 1]:[Hole 18]], 0)
),"")</f>
        <v>4</v>
      </c>
      <c r="L497" cm="1">
        <f t="array" ref="L497">IFERROR(
  INDEX('Golf Log'!$E$2:$V$72,
    MATCH(1,
      ('Golf Log'!$A$2:$A$72=$A497)*
      ('Golf Log'!$B$2:$B$72=$B497)*
      ('Golf Log'!$C$2:$C$72=$C497),
    0),
    MATCH($G497,'Golf Log'!$E$1:$V$1,0)
  ),
"")</f>
        <v>5</v>
      </c>
      <c r="M497">
        <f t="shared" si="24"/>
        <v>1</v>
      </c>
      <c r="N497" t="str">
        <f t="shared" si="21"/>
        <v>Bogey</v>
      </c>
      <c r="O497" cm="1">
        <f t="array" ref="O497">IFERROR(
  INDEX('Putt Log'!$E$2:$V$72,
    MATCH(1,
      ('Putt Log'!$A$2:$A$72=$A497)*
      ('Putt Log'!$B$2:$B$72=$B497)*
      ('Putt Log'!$C$2:$C$72=$C497),
    0),
    MATCH($G497,'Putt Log'!$E$1:$V$1,0)
  ),
"")</f>
        <v>3</v>
      </c>
      <c r="P497" t="str" cm="1">
        <f t="array" ref="P497">IF(K497=3,"",
  IFERROR(
    INDEX('Fairway Log'!$E$2:$V$72,
      MATCH(1,
        ('Fairway Log'!$A$2:$A$72=$A497)*
        ('Fairway Log'!$B$2:$B$72=$B497)*
        ('Fairway Log'!$C$2:$C568=$C497),
      0),
      MATCH($G497,'Fairway Log'!$E$1:$V$1,0)
    ),
  "")
)</f>
        <v>→</v>
      </c>
      <c r="Q497" cm="1">
        <f t="array" ref="Q497">IFERROR(
  INDEX('GIR Log'!$E$2:$V$72,
    MATCH(1,
      ('GIR Log'!$A$2:$A$72=$A497)*
      ('GIR Log'!$B$2:$B$72=$B497)*
      ('GIR Log'!$C$2:$C$72=$C497),
    0),
    MATCH($G497,'GIR Log'!$E$1:$V$1,0)
  ),
"")</f>
        <v>1</v>
      </c>
    </row>
    <row r="498" spans="1:17" x14ac:dyDescent="0.25">
      <c r="A498" s="20" t="s">
        <v>126</v>
      </c>
      <c r="B498" s="2">
        <v>45084</v>
      </c>
      <c r="C498" t="s">
        <v>5</v>
      </c>
      <c r="D498" t="s">
        <v>5</v>
      </c>
      <c r="E498" t="s">
        <v>34</v>
      </c>
      <c r="F498">
        <v>91</v>
      </c>
      <c r="G498" t="s">
        <v>57</v>
      </c>
      <c r="H498" s="9">
        <f t="shared" si="23"/>
        <v>11</v>
      </c>
      <c r="I498" cm="1">
        <f t="array" ref="I498">IFERROR(INDEX(CourseYardages[[Hole 1]:[Hole 18]],
  MATCH(1, (CourseYardages[Course]=C498)*(CourseYardages[Tees]=E498), 0),
  MATCH(G498, CourseYardages[[#Headers],[Hole 1]:[Hole 18]], 0)
),"")</f>
        <v>200</v>
      </c>
      <c r="J498" cm="1">
        <f t="array" ref="J498">IFERROR(INDEX(CourseHandicap[[Hole 1]:[Hole 18]],
  MATCH(1, (CourseHandicap[Course]=C498)*(CourseHandicap[Tees]=E498), 0),
  MATCH(G498, CourseHandicap[[#Headers],[Hole 1]:[Hole 18]], 0)
),"")</f>
        <v>16</v>
      </c>
      <c r="K498" cm="1">
        <f t="array" ref="K498">IFERROR(INDEX(CourseRatings[[Hole 1]:[Hole 18]],
  MATCH(1, (CourseRatings[Course]=C498)*(CourseRatings[Tees]=E498), 0),
  MATCH(G498, CourseRatings[[#Headers],[Hole 1]:[Hole 18]], 0)
),"")</f>
        <v>3</v>
      </c>
      <c r="L498" cm="1">
        <f t="array" ref="L498">IFERROR(
  INDEX('Golf Log'!$E$2:$V$72,
    MATCH(1,
      ('Golf Log'!$A$2:$A$72=$A498)*
      ('Golf Log'!$B$2:$B$72=$B498)*
      ('Golf Log'!$C$2:$C$72=$C498),
    0),
    MATCH($G498,'Golf Log'!$E$1:$V$1,0)
  ),
"")</f>
        <v>3</v>
      </c>
      <c r="M498">
        <f t="shared" si="24"/>
        <v>0</v>
      </c>
      <c r="N498" t="str">
        <f t="shared" si="21"/>
        <v>Par</v>
      </c>
      <c r="O498" cm="1">
        <f t="array" ref="O498">IFERROR(
  INDEX('Putt Log'!$E$2:$V$72,
    MATCH(1,
      ('Putt Log'!$A$2:$A$72=$A498)*
      ('Putt Log'!$B$2:$B$72=$B498)*
      ('Putt Log'!$C$2:$C$72=$C498),
    0),
    MATCH($G498,'Putt Log'!$E$1:$V$1,0)
  ),
"")</f>
        <v>1</v>
      </c>
      <c r="P498" t="str" cm="1">
        <f t="array" ref="P498">IF(K498=3,"",
  IFERROR(
    INDEX('Fairway Log'!$E$2:$V$72,
      MATCH(1,
        ('Fairway Log'!$A$2:$A$72=$A498)*
        ('Fairway Log'!$B$2:$B$72=$B498)*
        ('Fairway Log'!$C$2:$C569=$C498),
      0),
      MATCH($G498,'Fairway Log'!$E$1:$V$1,0)
    ),
  "")
)</f>
        <v/>
      </c>
      <c r="Q498" cm="1">
        <f t="array" ref="Q498">IFERROR(
  INDEX('GIR Log'!$E$2:$V$72,
    MATCH(1,
      ('GIR Log'!$A$2:$A$72=$A498)*
      ('GIR Log'!$B$2:$B$72=$B498)*
      ('GIR Log'!$C$2:$C$72=$C498),
    0),
    MATCH($G498,'GIR Log'!$E$1:$V$1,0)
  ),
"")</f>
        <v>0</v>
      </c>
    </row>
    <row r="499" spans="1:17" x14ac:dyDescent="0.25">
      <c r="A499" s="20" t="s">
        <v>126</v>
      </c>
      <c r="B499" s="2">
        <v>45084</v>
      </c>
      <c r="C499" t="s">
        <v>5</v>
      </c>
      <c r="D499" t="s">
        <v>5</v>
      </c>
      <c r="E499" t="s">
        <v>34</v>
      </c>
      <c r="F499">
        <v>91</v>
      </c>
      <c r="G499" t="s">
        <v>58</v>
      </c>
      <c r="H499" s="9">
        <f t="shared" si="23"/>
        <v>12</v>
      </c>
      <c r="I499" cm="1">
        <f t="array" ref="I499">IFERROR(INDEX(CourseYardages[[Hole 1]:[Hole 18]],
  MATCH(1, (CourseYardages[Course]=C499)*(CourseYardages[Tees]=E499), 0),
  MATCH(G499, CourseYardages[[#Headers],[Hole 1]:[Hole 18]], 0)
),"")</f>
        <v>473</v>
      </c>
      <c r="J499" cm="1">
        <f t="array" ref="J499">IFERROR(INDEX(CourseHandicap[[Hole 1]:[Hole 18]],
  MATCH(1, (CourseHandicap[Course]=C499)*(CourseHandicap[Tees]=E499), 0),
  MATCH(G499, CourseHandicap[[#Headers],[Hole 1]:[Hole 18]], 0)
),"")</f>
        <v>10</v>
      </c>
      <c r="K499" cm="1">
        <f t="array" ref="K499">IFERROR(INDEX(CourseRatings[[Hole 1]:[Hole 18]],
  MATCH(1, (CourseRatings[Course]=C499)*(CourseRatings[Tees]=E499), 0),
  MATCH(G499, CourseRatings[[#Headers],[Hole 1]:[Hole 18]], 0)
),"")</f>
        <v>5</v>
      </c>
      <c r="L499" cm="1">
        <f t="array" ref="L499">IFERROR(
  INDEX('Golf Log'!$E$2:$V$72,
    MATCH(1,
      ('Golf Log'!$A$2:$A$72=$A499)*
      ('Golf Log'!$B$2:$B$72=$B499)*
      ('Golf Log'!$C$2:$C$72=$C499),
    0),
    MATCH($G499,'Golf Log'!$E$1:$V$1,0)
  ),
"")</f>
        <v>6</v>
      </c>
      <c r="M499">
        <f t="shared" si="24"/>
        <v>1</v>
      </c>
      <c r="N499" t="str">
        <f t="shared" si="21"/>
        <v>Bogey</v>
      </c>
      <c r="O499" cm="1">
        <f t="array" ref="O499">IFERROR(
  INDEX('Putt Log'!$E$2:$V$72,
    MATCH(1,
      ('Putt Log'!$A$2:$A$72=$A499)*
      ('Putt Log'!$B$2:$B$72=$B499)*
      ('Putt Log'!$C$2:$C$72=$C499),
    0),
    MATCH($G499,'Putt Log'!$E$1:$V$1,0)
  ),
"")</f>
        <v>2</v>
      </c>
      <c r="P499" cm="1">
        <f t="array" ref="P499">IF(K499=3,"",
  IFERROR(
    INDEX('Fairway Log'!$E$2:$V$72,
      MATCH(1,
        ('Fairway Log'!$A$2:$A$72=$A499)*
        ('Fairway Log'!$B$2:$B$72=$B499)*
        ('Fairway Log'!$C$2:$C570=$C499),
      0),
      MATCH($G499,'Fairway Log'!$E$1:$V$1,0)
    ),
  "")
)</f>
        <v>1</v>
      </c>
      <c r="Q499" cm="1">
        <f t="array" ref="Q499">IFERROR(
  INDEX('GIR Log'!$E$2:$V$72,
    MATCH(1,
      ('GIR Log'!$A$2:$A$72=$A499)*
      ('GIR Log'!$B$2:$B$72=$B499)*
      ('GIR Log'!$C$2:$C$72=$C499),
    0),
    MATCH($G499,'GIR Log'!$E$1:$V$1,0)
  ),
"")</f>
        <v>0</v>
      </c>
    </row>
    <row r="500" spans="1:17" x14ac:dyDescent="0.25">
      <c r="A500" s="20" t="s">
        <v>126</v>
      </c>
      <c r="B500" s="2">
        <v>45084</v>
      </c>
      <c r="C500" t="s">
        <v>5</v>
      </c>
      <c r="D500" t="s">
        <v>5</v>
      </c>
      <c r="E500" t="s">
        <v>34</v>
      </c>
      <c r="F500">
        <v>91</v>
      </c>
      <c r="G500" t="s">
        <v>59</v>
      </c>
      <c r="H500" s="9">
        <f t="shared" si="23"/>
        <v>13</v>
      </c>
      <c r="I500" cm="1">
        <f t="array" ref="I500">IFERROR(INDEX(CourseYardages[[Hole 1]:[Hole 18]],
  MATCH(1, (CourseYardages[Course]=C500)*(CourseYardages[Tees]=E500), 0),
  MATCH(G500, CourseYardages[[#Headers],[Hole 1]:[Hole 18]], 0)
),"")</f>
        <v>362</v>
      </c>
      <c r="J500" cm="1">
        <f t="array" ref="J500">IFERROR(INDEX(CourseHandicap[[Hole 1]:[Hole 18]],
  MATCH(1, (CourseHandicap[Course]=C500)*(CourseHandicap[Tees]=E500), 0),
  MATCH(G500, CourseHandicap[[#Headers],[Hole 1]:[Hole 18]], 0)
),"")</f>
        <v>18</v>
      </c>
      <c r="K500" cm="1">
        <f t="array" ref="K500">IFERROR(INDEX(CourseRatings[[Hole 1]:[Hole 18]],
  MATCH(1, (CourseRatings[Course]=C500)*(CourseRatings[Tees]=E500), 0),
  MATCH(G500, CourseRatings[[#Headers],[Hole 1]:[Hole 18]], 0)
),"")</f>
        <v>4</v>
      </c>
      <c r="L500" cm="1">
        <f t="array" ref="L500">IFERROR(
  INDEX('Golf Log'!$E$2:$V$72,
    MATCH(1,
      ('Golf Log'!$A$2:$A$72=$A500)*
      ('Golf Log'!$B$2:$B$72=$B500)*
      ('Golf Log'!$C$2:$C$72=$C500),
    0),
    MATCH($G500,'Golf Log'!$E$1:$V$1,0)
  ),
"")</f>
        <v>6</v>
      </c>
      <c r="M500">
        <f t="shared" si="24"/>
        <v>2</v>
      </c>
      <c r="N500" t="str">
        <f t="shared" si="21"/>
        <v>Double Bogey</v>
      </c>
      <c r="O500" cm="1">
        <f t="array" ref="O500">IFERROR(
  INDEX('Putt Log'!$E$2:$V$72,
    MATCH(1,
      ('Putt Log'!$A$2:$A$72=$A500)*
      ('Putt Log'!$B$2:$B$72=$B500)*
      ('Putt Log'!$C$2:$C$72=$C500),
    0),
    MATCH($G500,'Putt Log'!$E$1:$V$1,0)
  ),
"")</f>
        <v>3</v>
      </c>
      <c r="P500" t="str" cm="1">
        <f t="array" ref="P500">IF(K500=3,"",
  IFERROR(
    INDEX('Fairway Log'!$E$2:$V$72,
      MATCH(1,
        ('Fairway Log'!$A$2:$A$72=$A500)*
        ('Fairway Log'!$B$2:$B$72=$B500)*
        ('Fairway Log'!$C$2:$C571=$C500),
      0),
      MATCH($G500,'Fairway Log'!$E$1:$V$1,0)
    ),
  "")
)</f>
        <v>↑</v>
      </c>
      <c r="Q500" cm="1">
        <f t="array" ref="Q500">IFERROR(
  INDEX('GIR Log'!$E$2:$V$72,
    MATCH(1,
      ('GIR Log'!$A$2:$A$72=$A500)*
      ('GIR Log'!$B$2:$B$72=$B500)*
      ('GIR Log'!$C$2:$C$72=$C500),
    0),
    MATCH($G500,'GIR Log'!$E$1:$V$1,0)
  ),
"")</f>
        <v>0</v>
      </c>
    </row>
    <row r="501" spans="1:17" x14ac:dyDescent="0.25">
      <c r="A501" s="20" t="s">
        <v>126</v>
      </c>
      <c r="B501" s="2">
        <v>45084</v>
      </c>
      <c r="C501" t="s">
        <v>5</v>
      </c>
      <c r="D501" t="s">
        <v>5</v>
      </c>
      <c r="E501" t="s">
        <v>34</v>
      </c>
      <c r="F501">
        <v>91</v>
      </c>
      <c r="G501" t="s">
        <v>60</v>
      </c>
      <c r="H501" s="9">
        <f t="shared" si="23"/>
        <v>14</v>
      </c>
      <c r="I501" cm="1">
        <f t="array" ref="I501">IFERROR(INDEX(CourseYardages[[Hole 1]:[Hole 18]],
  MATCH(1, (CourseYardages[Course]=C501)*(CourseYardages[Tees]=E501), 0),
  MATCH(G501, CourseYardages[[#Headers],[Hole 1]:[Hole 18]], 0)
),"")</f>
        <v>383</v>
      </c>
      <c r="J501" cm="1">
        <f t="array" ref="J501">IFERROR(INDEX(CourseHandicap[[Hole 1]:[Hole 18]],
  MATCH(1, (CourseHandicap[Course]=C501)*(CourseHandicap[Tees]=E501), 0),
  MATCH(G501, CourseHandicap[[#Headers],[Hole 1]:[Hole 18]], 0)
),"")</f>
        <v>8</v>
      </c>
      <c r="K501" cm="1">
        <f t="array" ref="K501">IFERROR(INDEX(CourseRatings[[Hole 1]:[Hole 18]],
  MATCH(1, (CourseRatings[Course]=C501)*(CourseRatings[Tees]=E501), 0),
  MATCH(G501, CourseRatings[[#Headers],[Hole 1]:[Hole 18]], 0)
),"")</f>
        <v>4</v>
      </c>
      <c r="L501" cm="1">
        <f t="array" ref="L501">IFERROR(
  INDEX('Golf Log'!$E$2:$V$72,
    MATCH(1,
      ('Golf Log'!$A$2:$A$72=$A501)*
      ('Golf Log'!$B$2:$B$72=$B501)*
      ('Golf Log'!$C$2:$C$72=$C501),
    0),
    MATCH($G501,'Golf Log'!$E$1:$V$1,0)
  ),
"")</f>
        <v>5</v>
      </c>
      <c r="M501">
        <f t="shared" si="24"/>
        <v>1</v>
      </c>
      <c r="N501" t="str">
        <f t="shared" si="21"/>
        <v>Bogey</v>
      </c>
      <c r="O501" cm="1">
        <f t="array" ref="O501">IFERROR(
  INDEX('Putt Log'!$E$2:$V$72,
    MATCH(1,
      ('Putt Log'!$A$2:$A$72=$A501)*
      ('Putt Log'!$B$2:$B$72=$B501)*
      ('Putt Log'!$C$2:$C$72=$C501),
    0),
    MATCH($G501,'Putt Log'!$E$1:$V$1,0)
  ),
"")</f>
        <v>2</v>
      </c>
      <c r="P501" cm="1">
        <f t="array" ref="P501">IF(K501=3,"",
  IFERROR(
    INDEX('Fairway Log'!$E$2:$V$72,
      MATCH(1,
        ('Fairway Log'!$A$2:$A$72=$A501)*
        ('Fairway Log'!$B$2:$B$72=$B501)*
        ('Fairway Log'!$C$2:$C572=$C501),
      0),
      MATCH($G501,'Fairway Log'!$E$1:$V$1,0)
    ),
  "")
)</f>
        <v>1</v>
      </c>
      <c r="Q501" cm="1">
        <f t="array" ref="Q501">IFERROR(
  INDEX('GIR Log'!$E$2:$V$72,
    MATCH(1,
      ('GIR Log'!$A$2:$A$72=$A501)*
      ('GIR Log'!$B$2:$B$72=$B501)*
      ('GIR Log'!$C$2:$C$72=$C501),
    0),
    MATCH($G501,'GIR Log'!$E$1:$V$1,0)
  ),
"")</f>
        <v>0</v>
      </c>
    </row>
    <row r="502" spans="1:17" x14ac:dyDescent="0.25">
      <c r="A502" s="20" t="s">
        <v>126</v>
      </c>
      <c r="B502" s="2">
        <v>45084</v>
      </c>
      <c r="C502" t="s">
        <v>5</v>
      </c>
      <c r="D502" t="s">
        <v>5</v>
      </c>
      <c r="E502" t="s">
        <v>34</v>
      </c>
      <c r="F502">
        <v>91</v>
      </c>
      <c r="G502" t="s">
        <v>61</v>
      </c>
      <c r="H502" s="9">
        <f t="shared" si="23"/>
        <v>15</v>
      </c>
      <c r="I502" cm="1">
        <f t="array" ref="I502">IFERROR(INDEX(CourseYardages[[Hole 1]:[Hole 18]],
  MATCH(1, (CourseYardages[Course]=C502)*(CourseYardages[Tees]=E502), 0),
  MATCH(G502, CourseYardages[[#Headers],[Hole 1]:[Hole 18]], 0)
),"")</f>
        <v>387</v>
      </c>
      <c r="J502" cm="1">
        <f t="array" ref="J502">IFERROR(INDEX(CourseHandicap[[Hole 1]:[Hole 18]],
  MATCH(1, (CourseHandicap[Course]=C502)*(CourseHandicap[Tees]=E502), 0),
  MATCH(G502, CourseHandicap[[#Headers],[Hole 1]:[Hole 18]], 0)
),"")</f>
        <v>2</v>
      </c>
      <c r="K502" cm="1">
        <f t="array" ref="K502">IFERROR(INDEX(CourseRatings[[Hole 1]:[Hole 18]],
  MATCH(1, (CourseRatings[Course]=C502)*(CourseRatings[Tees]=E502), 0),
  MATCH(G502, CourseRatings[[#Headers],[Hole 1]:[Hole 18]], 0)
),"")</f>
        <v>4</v>
      </c>
      <c r="L502" cm="1">
        <f t="array" ref="L502">IFERROR(
  INDEX('Golf Log'!$E$2:$V$72,
    MATCH(1,
      ('Golf Log'!$A$2:$A$72=$A502)*
      ('Golf Log'!$B$2:$B$72=$B502)*
      ('Golf Log'!$C$2:$C$72=$C502),
    0),
    MATCH($G502,'Golf Log'!$E$1:$V$1,0)
  ),
"")</f>
        <v>4</v>
      </c>
      <c r="M502">
        <f t="shared" si="24"/>
        <v>0</v>
      </c>
      <c r="N502" t="str">
        <f t="shared" si="21"/>
        <v>Par</v>
      </c>
      <c r="O502" cm="1">
        <f t="array" ref="O502">IFERROR(
  INDEX('Putt Log'!$E$2:$V$72,
    MATCH(1,
      ('Putt Log'!$A$2:$A$72=$A502)*
      ('Putt Log'!$B$2:$B$72=$B502)*
      ('Putt Log'!$C$2:$C$72=$C502),
    0),
    MATCH($G502,'Putt Log'!$E$1:$V$1,0)
  ),
"")</f>
        <v>1</v>
      </c>
      <c r="P502" cm="1">
        <f t="array" ref="P502">IF(K502=3,"",
  IFERROR(
    INDEX('Fairway Log'!$E$2:$V$72,
      MATCH(1,
        ('Fairway Log'!$A$2:$A$72=$A502)*
        ('Fairway Log'!$B$2:$B$72=$B502)*
        ('Fairway Log'!$C$2:$C573=$C502),
      0),
      MATCH($G502,'Fairway Log'!$E$1:$V$1,0)
    ),
  "")
)</f>
        <v>1</v>
      </c>
      <c r="Q502" cm="1">
        <f t="array" ref="Q502">IFERROR(
  INDEX('GIR Log'!$E$2:$V$72,
    MATCH(1,
      ('GIR Log'!$A$2:$A$72=$A502)*
      ('GIR Log'!$B$2:$B$72=$B502)*
      ('GIR Log'!$C$2:$C$72=$C502),
    0),
    MATCH($G502,'GIR Log'!$E$1:$V$1,0)
  ),
"")</f>
        <v>0</v>
      </c>
    </row>
    <row r="503" spans="1:17" x14ac:dyDescent="0.25">
      <c r="A503" s="20" t="s">
        <v>126</v>
      </c>
      <c r="B503" s="2">
        <v>45084</v>
      </c>
      <c r="C503" t="s">
        <v>5</v>
      </c>
      <c r="D503" t="s">
        <v>5</v>
      </c>
      <c r="E503" t="s">
        <v>34</v>
      </c>
      <c r="F503">
        <v>91</v>
      </c>
      <c r="G503" t="s">
        <v>62</v>
      </c>
      <c r="H503" s="9">
        <f t="shared" si="23"/>
        <v>16</v>
      </c>
      <c r="I503" cm="1">
        <f t="array" ref="I503">IFERROR(INDEX(CourseYardages[[Hole 1]:[Hole 18]],
  MATCH(1, (CourseYardages[Course]=C503)*(CourseYardages[Tees]=E503), 0),
  MATCH(G503, CourseYardages[[#Headers],[Hole 1]:[Hole 18]], 0)
),"")</f>
        <v>501</v>
      </c>
      <c r="J503" cm="1">
        <f t="array" ref="J503">IFERROR(INDEX(CourseHandicap[[Hole 1]:[Hole 18]],
  MATCH(1, (CourseHandicap[Course]=C503)*(CourseHandicap[Tees]=E503), 0),
  MATCH(G503, CourseHandicap[[#Headers],[Hole 1]:[Hole 18]], 0)
),"")</f>
        <v>4</v>
      </c>
      <c r="K503" cm="1">
        <f t="array" ref="K503">IFERROR(INDEX(CourseRatings[[Hole 1]:[Hole 18]],
  MATCH(1, (CourseRatings[Course]=C503)*(CourseRatings[Tees]=E503), 0),
  MATCH(G503, CourseRatings[[#Headers],[Hole 1]:[Hole 18]], 0)
),"")</f>
        <v>5</v>
      </c>
      <c r="L503" cm="1">
        <f t="array" ref="L503">IFERROR(
  INDEX('Golf Log'!$E$2:$V$72,
    MATCH(1,
      ('Golf Log'!$A$2:$A$72=$A503)*
      ('Golf Log'!$B$2:$B$72=$B503)*
      ('Golf Log'!$C$2:$C$72=$C503),
    0),
    MATCH($G503,'Golf Log'!$E$1:$V$1,0)
  ),
"")</f>
        <v>5</v>
      </c>
      <c r="M503">
        <f t="shared" si="24"/>
        <v>0</v>
      </c>
      <c r="N503" t="str">
        <f t="shared" si="21"/>
        <v>Par</v>
      </c>
      <c r="O503" cm="1">
        <f t="array" ref="O503">IFERROR(
  INDEX('Putt Log'!$E$2:$V$72,
    MATCH(1,
      ('Putt Log'!$A$2:$A$72=$A503)*
      ('Putt Log'!$B$2:$B$72=$B503)*
      ('Putt Log'!$C$2:$C$72=$C503),
    0),
    MATCH($G503,'Putt Log'!$E$1:$V$1,0)
  ),
"")</f>
        <v>2</v>
      </c>
      <c r="P503" cm="1">
        <f t="array" ref="P503">IF(K503=3,"",
  IFERROR(
    INDEX('Fairway Log'!$E$2:$V$72,
      MATCH(1,
        ('Fairway Log'!$A$2:$A$72=$A503)*
        ('Fairway Log'!$B$2:$B$72=$B503)*
        ('Fairway Log'!$C$2:$C574=$C503),
      0),
      MATCH($G503,'Fairway Log'!$E$1:$V$1,0)
    ),
  "")
)</f>
        <v>1</v>
      </c>
      <c r="Q503" cm="1">
        <f t="array" ref="Q503">IFERROR(
  INDEX('GIR Log'!$E$2:$V$72,
    MATCH(1,
      ('GIR Log'!$A$2:$A$72=$A503)*
      ('GIR Log'!$B$2:$B$72=$B503)*
      ('GIR Log'!$C$2:$C$72=$C503),
    0),
    MATCH($G503,'GIR Log'!$E$1:$V$1,0)
  ),
"")</f>
        <v>1</v>
      </c>
    </row>
    <row r="504" spans="1:17" x14ac:dyDescent="0.25">
      <c r="A504" s="20" t="s">
        <v>126</v>
      </c>
      <c r="B504" s="2">
        <v>45084</v>
      </c>
      <c r="C504" t="s">
        <v>5</v>
      </c>
      <c r="D504" t="s">
        <v>5</v>
      </c>
      <c r="E504" t="s">
        <v>34</v>
      </c>
      <c r="F504">
        <v>91</v>
      </c>
      <c r="G504" t="s">
        <v>63</v>
      </c>
      <c r="H504" s="9">
        <f t="shared" si="23"/>
        <v>17</v>
      </c>
      <c r="I504" cm="1">
        <f t="array" ref="I504">IFERROR(INDEX(CourseYardages[[Hole 1]:[Hole 18]],
  MATCH(1, (CourseYardages[Course]=C504)*(CourseYardages[Tees]=E504), 0),
  MATCH(G504, CourseYardages[[#Headers],[Hole 1]:[Hole 18]], 0)
),"")</f>
        <v>175</v>
      </c>
      <c r="J504" cm="1">
        <f t="array" ref="J504">IFERROR(INDEX(CourseHandicap[[Hole 1]:[Hole 18]],
  MATCH(1, (CourseHandicap[Course]=C504)*(CourseHandicap[Tees]=E504), 0),
  MATCH(G504, CourseHandicap[[#Headers],[Hole 1]:[Hole 18]], 0)
),"")</f>
        <v>14</v>
      </c>
      <c r="K504" cm="1">
        <f t="array" ref="K504">IFERROR(INDEX(CourseRatings[[Hole 1]:[Hole 18]],
  MATCH(1, (CourseRatings[Course]=C504)*(CourseRatings[Tees]=E504), 0),
  MATCH(G504, CourseRatings[[#Headers],[Hole 1]:[Hole 18]], 0)
),"")</f>
        <v>3</v>
      </c>
      <c r="L504" cm="1">
        <f t="array" ref="L504">IFERROR(
  INDEX('Golf Log'!$E$2:$V$72,
    MATCH(1,
      ('Golf Log'!$A$2:$A$72=$A504)*
      ('Golf Log'!$B$2:$B$72=$B504)*
      ('Golf Log'!$C$2:$C$72=$C504),
    0),
    MATCH($G504,'Golf Log'!$E$1:$V$1,0)
  ),
"")</f>
        <v>4</v>
      </c>
      <c r="M504">
        <f t="shared" si="24"/>
        <v>1</v>
      </c>
      <c r="N504" t="str">
        <f t="shared" si="21"/>
        <v>Bogey</v>
      </c>
      <c r="O504" cm="1">
        <f t="array" ref="O504">IFERROR(
  INDEX('Putt Log'!$E$2:$V$72,
    MATCH(1,
      ('Putt Log'!$A$2:$A$72=$A504)*
      ('Putt Log'!$B$2:$B$72=$B504)*
      ('Putt Log'!$C$2:$C$72=$C504),
    0),
    MATCH($G504,'Putt Log'!$E$1:$V$1,0)
  ),
"")</f>
        <v>1</v>
      </c>
      <c r="P504" t="str" cm="1">
        <f t="array" ref="P504">IF(K504=3,"",
  IFERROR(
    INDEX('Fairway Log'!$E$2:$V$72,
      MATCH(1,
        ('Fairway Log'!$A$2:$A$72=$A504)*
        ('Fairway Log'!$B$2:$B$72=$B504)*
        ('Fairway Log'!$C$2:$C575=$C504),
      0),
      MATCH($G504,'Fairway Log'!$E$1:$V$1,0)
    ),
  "")
)</f>
        <v/>
      </c>
      <c r="Q504" cm="1">
        <f t="array" ref="Q504">IFERROR(
  INDEX('GIR Log'!$E$2:$V$72,
    MATCH(1,
      ('GIR Log'!$A$2:$A$72=$A504)*
      ('GIR Log'!$B$2:$B$72=$B504)*
      ('GIR Log'!$C$2:$C$72=$C504),
    0),
    MATCH($G504,'GIR Log'!$E$1:$V$1,0)
  ),
"")</f>
        <v>0</v>
      </c>
    </row>
    <row r="505" spans="1:17" x14ac:dyDescent="0.25">
      <c r="A505" s="20" t="s">
        <v>126</v>
      </c>
      <c r="B505" s="2">
        <v>45084</v>
      </c>
      <c r="C505" t="s">
        <v>5</v>
      </c>
      <c r="D505" t="s">
        <v>5</v>
      </c>
      <c r="E505" t="s">
        <v>34</v>
      </c>
      <c r="F505">
        <v>91</v>
      </c>
      <c r="G505" t="s">
        <v>64</v>
      </c>
      <c r="H505" s="9">
        <f t="shared" si="23"/>
        <v>18</v>
      </c>
      <c r="I505" cm="1">
        <f t="array" ref="I505">IFERROR(INDEX(CourseYardages[[Hole 1]:[Hole 18]],
  MATCH(1, (CourseYardages[Course]=C505)*(CourseYardages[Tees]=E505), 0),
  MATCH(G505, CourseYardages[[#Headers],[Hole 1]:[Hole 18]], 0)
),"")</f>
        <v>364</v>
      </c>
      <c r="J505" cm="1">
        <f t="array" ref="J505">IFERROR(INDEX(CourseHandicap[[Hole 1]:[Hole 18]],
  MATCH(1, (CourseHandicap[Course]=C505)*(CourseHandicap[Tees]=E505), 0),
  MATCH(G505, CourseHandicap[[#Headers],[Hole 1]:[Hole 18]], 0)
),"")</f>
        <v>6</v>
      </c>
      <c r="K505" cm="1">
        <f t="array" ref="K505">IFERROR(INDEX(CourseRatings[[Hole 1]:[Hole 18]],
  MATCH(1, (CourseRatings[Course]=C505)*(CourseRatings[Tees]=E505), 0),
  MATCH(G505, CourseRatings[[#Headers],[Hole 1]:[Hole 18]], 0)
),"")</f>
        <v>4</v>
      </c>
      <c r="L505" cm="1">
        <f t="array" ref="L505">IFERROR(
  INDEX('Golf Log'!$E$2:$V$72,
    MATCH(1,
      ('Golf Log'!$A$2:$A$72=$A505)*
      ('Golf Log'!$B$2:$B$72=$B505)*
      ('Golf Log'!$C$2:$C$72=$C505),
    0),
    MATCH($G505,'Golf Log'!$E$1:$V$1,0)
  ),
"")</f>
        <v>5</v>
      </c>
      <c r="M505">
        <f t="shared" si="24"/>
        <v>1</v>
      </c>
      <c r="N505" t="str">
        <f t="shared" si="21"/>
        <v>Bogey</v>
      </c>
      <c r="O505" cm="1">
        <f t="array" ref="O505">IFERROR(
  INDEX('Putt Log'!$E$2:$V$72,
    MATCH(1,
      ('Putt Log'!$A$2:$A$72=$A505)*
      ('Putt Log'!$B$2:$B$72=$B505)*
      ('Putt Log'!$C$2:$C$72=$C505),
    0),
    MATCH($G505,'Putt Log'!$E$1:$V$1,0)
  ),
"")</f>
        <v>2</v>
      </c>
      <c r="P505" t="str" cm="1">
        <f t="array" ref="P505">IF(K505=3,"",
  IFERROR(
    INDEX('Fairway Log'!$E$2:$V$72,
      MATCH(1,
        ('Fairway Log'!$A$2:$A$72=$A505)*
        ('Fairway Log'!$B$2:$B$72=$B505)*
        ('Fairway Log'!$C$2:$C576=$C505),
      0),
      MATCH($G505,'Fairway Log'!$E$1:$V$1,0)
    ),
  "")
)</f>
        <v>→</v>
      </c>
      <c r="Q505" cm="1">
        <f t="array" ref="Q505">IFERROR(
  INDEX('GIR Log'!$E$2:$V$72,
    MATCH(1,
      ('GIR Log'!$A$2:$A$72=$A505)*
      ('GIR Log'!$B$2:$B$72=$B505)*
      ('GIR Log'!$C$2:$C$72=$C505),
    0),
    MATCH($G505,'GIR Log'!$E$1:$V$1,0)
  ),
"")</f>
        <v>0</v>
      </c>
    </row>
    <row r="506" spans="1:17" x14ac:dyDescent="0.25">
      <c r="A506" s="20" t="s">
        <v>126</v>
      </c>
      <c r="B506" s="2">
        <v>45053</v>
      </c>
      <c r="C506" t="s">
        <v>3</v>
      </c>
      <c r="D506" t="s">
        <v>3</v>
      </c>
      <c r="E506" t="s">
        <v>34</v>
      </c>
      <c r="F506">
        <v>92</v>
      </c>
      <c r="G506" t="s">
        <v>47</v>
      </c>
      <c r="H506" s="9">
        <f t="shared" si="23"/>
        <v>1</v>
      </c>
      <c r="I506" cm="1">
        <f t="array" ref="I506">IFERROR(INDEX(CourseYardages[[Hole 1]:[Hole 18]],
  MATCH(1, (CourseYardages[Course]=C506)*(CourseYardages[Tees]=E506), 0),
  MATCH(G506, CourseYardages[[#Headers],[Hole 1]:[Hole 18]], 0)
),"")</f>
        <v>354</v>
      </c>
      <c r="J506" cm="1">
        <f t="array" ref="J506">IFERROR(INDEX(CourseHandicap[[Hole 1]:[Hole 18]],
  MATCH(1, (CourseHandicap[Course]=C506)*(CourseHandicap[Tees]=E506), 0),
  MATCH(G506, CourseHandicap[[#Headers],[Hole 1]:[Hole 18]], 0)
),"")</f>
        <v>15</v>
      </c>
      <c r="K506" cm="1">
        <f t="array" ref="K506">IFERROR(INDEX(CourseRatings[[Hole 1]:[Hole 18]],
  MATCH(1, (CourseRatings[Course]=C506)*(CourseRatings[Tees]=E506), 0),
  MATCH(G506, CourseRatings[[#Headers],[Hole 1]:[Hole 18]], 0)
),"")</f>
        <v>4</v>
      </c>
      <c r="L506" cm="1">
        <f t="array" ref="L506">IFERROR(
  INDEX('Golf Log'!$E$2:$V$72,
    MATCH(1,
      ('Golf Log'!$A$2:$A$72=$A506)*
      ('Golf Log'!$B$2:$B$72=$B506)*
      ('Golf Log'!$C$2:$C$72=$C506),
    0),
    MATCH($G506,'Golf Log'!$E$1:$V$1,0)
  ),
"")</f>
        <v>4</v>
      </c>
      <c r="M506">
        <f t="shared" si="24"/>
        <v>0</v>
      </c>
      <c r="N506" t="str">
        <f t="shared" si="21"/>
        <v>Par</v>
      </c>
      <c r="O506" cm="1">
        <f t="array" ref="O506">IFERROR(
  INDEX('Putt Log'!$E$2:$V$72,
    MATCH(1,
      ('Putt Log'!$A$2:$A$72=$A506)*
      ('Putt Log'!$B$2:$B$72=$B506)*
      ('Putt Log'!$C$2:$C$72=$C506),
    0),
    MATCH($G506,'Putt Log'!$E$1:$V$1,0)
  ),
"")</f>
        <v>2</v>
      </c>
      <c r="P506" cm="1">
        <f t="array" ref="P506">IF(K506=3,"",
  IFERROR(
    INDEX('Fairway Log'!$E$2:$V$72,
      MATCH(1,
        ('Fairway Log'!$A$2:$A$72=$A506)*
        ('Fairway Log'!$B$2:$B$72=$B506)*
        ('Fairway Log'!$C$2:$C577=$C506),
      0),
      MATCH($G506,'Fairway Log'!$E$1:$V$1,0)
    ),
  "")
)</f>
        <v>1</v>
      </c>
      <c r="Q506" cm="1">
        <f t="array" ref="Q506">IFERROR(
  INDEX('GIR Log'!$E$2:$V$72,
    MATCH(1,
      ('GIR Log'!$A$2:$A$72=$A506)*
      ('GIR Log'!$B$2:$B$72=$B506)*
      ('GIR Log'!$C$2:$C$72=$C506),
    0),
    MATCH($G506,'GIR Log'!$E$1:$V$1,0)
  ),
"")</f>
        <v>1</v>
      </c>
    </row>
    <row r="507" spans="1:17" x14ac:dyDescent="0.25">
      <c r="A507" s="20" t="s">
        <v>126</v>
      </c>
      <c r="B507" s="2">
        <v>45053</v>
      </c>
      <c r="C507" t="s">
        <v>3</v>
      </c>
      <c r="D507" t="s">
        <v>3</v>
      </c>
      <c r="E507" t="s">
        <v>34</v>
      </c>
      <c r="F507">
        <v>92</v>
      </c>
      <c r="G507" t="s">
        <v>48</v>
      </c>
      <c r="H507" s="9">
        <f t="shared" si="23"/>
        <v>2</v>
      </c>
      <c r="I507" cm="1">
        <f t="array" ref="I507">IFERROR(INDEX(CourseYardages[[Hole 1]:[Hole 18]],
  MATCH(1, (CourseYardages[Course]=C507)*(CourseYardages[Tees]=E507), 0),
  MATCH(G507, CourseYardages[[#Headers],[Hole 1]:[Hole 18]], 0)
),"")</f>
        <v>380</v>
      </c>
      <c r="J507" cm="1">
        <f t="array" ref="J507">IFERROR(INDEX(CourseHandicap[[Hole 1]:[Hole 18]],
  MATCH(1, (CourseHandicap[Course]=C507)*(CourseHandicap[Tees]=E507), 0),
  MATCH(G507, CourseHandicap[[#Headers],[Hole 1]:[Hole 18]], 0)
),"")</f>
        <v>3</v>
      </c>
      <c r="K507" cm="1">
        <f t="array" ref="K507">IFERROR(INDEX(CourseRatings[[Hole 1]:[Hole 18]],
  MATCH(1, (CourseRatings[Course]=C507)*(CourseRatings[Tees]=E507), 0),
  MATCH(G507, CourseRatings[[#Headers],[Hole 1]:[Hole 18]], 0)
),"")</f>
        <v>4</v>
      </c>
      <c r="L507" cm="1">
        <f t="array" ref="L507">IFERROR(
  INDEX('Golf Log'!$E$2:$V$72,
    MATCH(1,
      ('Golf Log'!$A$2:$A$72=$A507)*
      ('Golf Log'!$B$2:$B$72=$B507)*
      ('Golf Log'!$C$2:$C$72=$C507),
    0),
    MATCH($G507,'Golf Log'!$E$1:$V$1,0)
  ),
"")</f>
        <v>5</v>
      </c>
      <c r="M507">
        <f t="shared" si="24"/>
        <v>1</v>
      </c>
      <c r="N507" t="str">
        <f t="shared" si="21"/>
        <v>Bogey</v>
      </c>
      <c r="O507" cm="1">
        <f t="array" ref="O507">IFERROR(
  INDEX('Putt Log'!$E$2:$V$72,
    MATCH(1,
      ('Putt Log'!$A$2:$A$72=$A507)*
      ('Putt Log'!$B$2:$B$72=$B507)*
      ('Putt Log'!$C$2:$C$72=$C507),
    0),
    MATCH($G507,'Putt Log'!$E$1:$V$1,0)
  ),
"")</f>
        <v>2</v>
      </c>
      <c r="P507" cm="1">
        <f t="array" ref="P507">IF(K507=3,"",
  IFERROR(
    INDEX('Fairway Log'!$E$2:$V$72,
      MATCH(1,
        ('Fairway Log'!$A$2:$A$72=$A507)*
        ('Fairway Log'!$B$2:$B$72=$B507)*
        ('Fairway Log'!$C$2:$C578=$C507),
      0),
      MATCH($G507,'Fairway Log'!$E$1:$V$1,0)
    ),
  "")
)</f>
        <v>1</v>
      </c>
      <c r="Q507" cm="1">
        <f t="array" ref="Q507">IFERROR(
  INDEX('GIR Log'!$E$2:$V$72,
    MATCH(1,
      ('GIR Log'!$A$2:$A$72=$A507)*
      ('GIR Log'!$B$2:$B$72=$B507)*
      ('GIR Log'!$C$2:$C$72=$C507),
    0),
    MATCH($G507,'GIR Log'!$E$1:$V$1,0)
  ),
"")</f>
        <v>0</v>
      </c>
    </row>
    <row r="508" spans="1:17" x14ac:dyDescent="0.25">
      <c r="A508" s="20" t="s">
        <v>126</v>
      </c>
      <c r="B508" s="2">
        <v>45053</v>
      </c>
      <c r="C508" t="s">
        <v>3</v>
      </c>
      <c r="D508" t="s">
        <v>3</v>
      </c>
      <c r="E508" t="s">
        <v>34</v>
      </c>
      <c r="F508">
        <v>92</v>
      </c>
      <c r="G508" t="s">
        <v>49</v>
      </c>
      <c r="H508" s="9">
        <f t="shared" si="23"/>
        <v>3</v>
      </c>
      <c r="I508" cm="1">
        <f t="array" ref="I508">IFERROR(INDEX(CourseYardages[[Hole 1]:[Hole 18]],
  MATCH(1, (CourseYardages[Course]=C508)*(CourseYardages[Tees]=E508), 0),
  MATCH(G508, CourseYardages[[#Headers],[Hole 1]:[Hole 18]], 0)
),"")</f>
        <v>153</v>
      </c>
      <c r="J508" cm="1">
        <f t="array" ref="J508">IFERROR(INDEX(CourseHandicap[[Hole 1]:[Hole 18]],
  MATCH(1, (CourseHandicap[Course]=C508)*(CourseHandicap[Tees]=E508), 0),
  MATCH(G508, CourseHandicap[[#Headers],[Hole 1]:[Hole 18]], 0)
),"")</f>
        <v>17</v>
      </c>
      <c r="K508" cm="1">
        <f t="array" ref="K508">IFERROR(INDEX(CourseRatings[[Hole 1]:[Hole 18]],
  MATCH(1, (CourseRatings[Course]=C508)*(CourseRatings[Tees]=E508), 0),
  MATCH(G508, CourseRatings[[#Headers],[Hole 1]:[Hole 18]], 0)
),"")</f>
        <v>3</v>
      </c>
      <c r="L508" cm="1">
        <f t="array" ref="L508">IFERROR(
  INDEX('Golf Log'!$E$2:$V$72,
    MATCH(1,
      ('Golf Log'!$A$2:$A$72=$A508)*
      ('Golf Log'!$B$2:$B$72=$B508)*
      ('Golf Log'!$C$2:$C$72=$C508),
    0),
    MATCH($G508,'Golf Log'!$E$1:$V$1,0)
  ),
"")</f>
        <v>3</v>
      </c>
      <c r="M508">
        <f t="shared" si="24"/>
        <v>0</v>
      </c>
      <c r="N508" t="str">
        <f t="shared" si="21"/>
        <v>Par</v>
      </c>
      <c r="O508" cm="1">
        <f t="array" ref="O508">IFERROR(
  INDEX('Putt Log'!$E$2:$V$72,
    MATCH(1,
      ('Putt Log'!$A$2:$A$72=$A508)*
      ('Putt Log'!$B$2:$B$72=$B508)*
      ('Putt Log'!$C$2:$C$72=$C508),
    0),
    MATCH($G508,'Putt Log'!$E$1:$V$1,0)
  ),
"")</f>
        <v>2</v>
      </c>
      <c r="P508" t="str" cm="1">
        <f t="array" ref="P508">IF(K508=3,"",
  IFERROR(
    INDEX('Fairway Log'!$E$2:$V$72,
      MATCH(1,
        ('Fairway Log'!$A$2:$A$72=$A508)*
        ('Fairway Log'!$B$2:$B$72=$B508)*
        ('Fairway Log'!$C$2:$C579=$C508),
      0),
      MATCH($G508,'Fairway Log'!$E$1:$V$1,0)
    ),
  "")
)</f>
        <v/>
      </c>
      <c r="Q508" cm="1">
        <f t="array" ref="Q508">IFERROR(
  INDEX('GIR Log'!$E$2:$V$72,
    MATCH(1,
      ('GIR Log'!$A$2:$A$72=$A508)*
      ('GIR Log'!$B$2:$B$72=$B508)*
      ('GIR Log'!$C$2:$C$72=$C508),
    0),
    MATCH($G508,'GIR Log'!$E$1:$V$1,0)
  ),
"")</f>
        <v>1</v>
      </c>
    </row>
    <row r="509" spans="1:17" x14ac:dyDescent="0.25">
      <c r="A509" s="20" t="s">
        <v>126</v>
      </c>
      <c r="B509" s="2">
        <v>45053</v>
      </c>
      <c r="C509" t="s">
        <v>3</v>
      </c>
      <c r="D509" t="s">
        <v>3</v>
      </c>
      <c r="E509" t="s">
        <v>34</v>
      </c>
      <c r="F509">
        <v>92</v>
      </c>
      <c r="G509" t="s">
        <v>50</v>
      </c>
      <c r="H509" s="9">
        <f t="shared" si="23"/>
        <v>4</v>
      </c>
      <c r="I509" cm="1">
        <f t="array" ref="I509">IFERROR(INDEX(CourseYardages[[Hole 1]:[Hole 18]],
  MATCH(1, (CourseYardages[Course]=C509)*(CourseYardages[Tees]=E509), 0),
  MATCH(G509, CourseYardages[[#Headers],[Hole 1]:[Hole 18]], 0)
),"")</f>
        <v>363</v>
      </c>
      <c r="J509" cm="1">
        <f t="array" ref="J509">IFERROR(INDEX(CourseHandicap[[Hole 1]:[Hole 18]],
  MATCH(1, (CourseHandicap[Course]=C509)*(CourseHandicap[Tees]=E509), 0),
  MATCH(G509, CourseHandicap[[#Headers],[Hole 1]:[Hole 18]], 0)
),"")</f>
        <v>11</v>
      </c>
      <c r="K509" cm="1">
        <f t="array" ref="K509">IFERROR(INDEX(CourseRatings[[Hole 1]:[Hole 18]],
  MATCH(1, (CourseRatings[Course]=C509)*(CourseRatings[Tees]=E509), 0),
  MATCH(G509, CourseRatings[[#Headers],[Hole 1]:[Hole 18]], 0)
),"")</f>
        <v>4</v>
      </c>
      <c r="L509" cm="1">
        <f t="array" ref="L509">IFERROR(
  INDEX('Golf Log'!$E$2:$V$72,
    MATCH(1,
      ('Golf Log'!$A$2:$A$72=$A509)*
      ('Golf Log'!$B$2:$B$72=$B509)*
      ('Golf Log'!$C$2:$C$72=$C509),
    0),
    MATCH($G509,'Golf Log'!$E$1:$V$1,0)
  ),
"")</f>
        <v>4</v>
      </c>
      <c r="M509">
        <f t="shared" si="24"/>
        <v>0</v>
      </c>
      <c r="N509" t="str">
        <f t="shared" si="21"/>
        <v>Par</v>
      </c>
      <c r="O509" cm="1">
        <f t="array" ref="O509">IFERROR(
  INDEX('Putt Log'!$E$2:$V$72,
    MATCH(1,
      ('Putt Log'!$A$2:$A$72=$A509)*
      ('Putt Log'!$B$2:$B$72=$B509)*
      ('Putt Log'!$C$2:$C$72=$C509),
    0),
    MATCH($G509,'Putt Log'!$E$1:$V$1,0)
  ),
"")</f>
        <v>2</v>
      </c>
      <c r="P509" cm="1">
        <f t="array" ref="P509">IF(K509=3,"",
  IFERROR(
    INDEX('Fairway Log'!$E$2:$V$72,
      MATCH(1,
        ('Fairway Log'!$A$2:$A$72=$A509)*
        ('Fairway Log'!$B$2:$B$72=$B509)*
        ('Fairway Log'!$C$2:$C580=$C509),
      0),
      MATCH($G509,'Fairway Log'!$E$1:$V$1,0)
    ),
  "")
)</f>
        <v>1</v>
      </c>
      <c r="Q509" cm="1">
        <f t="array" ref="Q509">IFERROR(
  INDEX('GIR Log'!$E$2:$V$72,
    MATCH(1,
      ('GIR Log'!$A$2:$A$72=$A509)*
      ('GIR Log'!$B$2:$B$72=$B509)*
      ('GIR Log'!$C$2:$C$72=$C509),
    0),
    MATCH($G509,'GIR Log'!$E$1:$V$1,0)
  ),
"")</f>
        <v>1</v>
      </c>
    </row>
    <row r="510" spans="1:17" x14ac:dyDescent="0.25">
      <c r="A510" s="20" t="s">
        <v>126</v>
      </c>
      <c r="B510" s="2">
        <v>45053</v>
      </c>
      <c r="C510" t="s">
        <v>3</v>
      </c>
      <c r="D510" t="s">
        <v>3</v>
      </c>
      <c r="E510" t="s">
        <v>34</v>
      </c>
      <c r="F510">
        <v>92</v>
      </c>
      <c r="G510" t="s">
        <v>51</v>
      </c>
      <c r="H510" s="9">
        <f t="shared" si="23"/>
        <v>5</v>
      </c>
      <c r="I510" cm="1">
        <f t="array" ref="I510">IFERROR(INDEX(CourseYardages[[Hole 1]:[Hole 18]],
  MATCH(1, (CourseYardages[Course]=C510)*(CourseYardages[Tees]=E510), 0),
  MATCH(G510, CourseYardages[[#Headers],[Hole 1]:[Hole 18]], 0)
),"")</f>
        <v>400</v>
      </c>
      <c r="J510" cm="1">
        <f t="array" ref="J510">IFERROR(INDEX(CourseHandicap[[Hole 1]:[Hole 18]],
  MATCH(1, (CourseHandicap[Course]=C510)*(CourseHandicap[Tees]=E510), 0),
  MATCH(G510, CourseHandicap[[#Headers],[Hole 1]:[Hole 18]], 0)
),"")</f>
        <v>7</v>
      </c>
      <c r="K510" cm="1">
        <f t="array" ref="K510">IFERROR(INDEX(CourseRatings[[Hole 1]:[Hole 18]],
  MATCH(1, (CourseRatings[Course]=C510)*(CourseRatings[Tees]=E510), 0),
  MATCH(G510, CourseRatings[[#Headers],[Hole 1]:[Hole 18]], 0)
),"")</f>
        <v>4</v>
      </c>
      <c r="L510" cm="1">
        <f t="array" ref="L510">IFERROR(
  INDEX('Golf Log'!$E$2:$V$72,
    MATCH(1,
      ('Golf Log'!$A$2:$A$72=$A510)*
      ('Golf Log'!$B$2:$B$72=$B510)*
      ('Golf Log'!$C$2:$C$72=$C510),
    0),
    MATCH($G510,'Golf Log'!$E$1:$V$1,0)
  ),
"")</f>
        <v>5</v>
      </c>
      <c r="M510">
        <f t="shared" si="24"/>
        <v>1</v>
      </c>
      <c r="N510" t="str">
        <f t="shared" si="21"/>
        <v>Bogey</v>
      </c>
      <c r="O510" cm="1">
        <f t="array" ref="O510">IFERROR(
  INDEX('Putt Log'!$E$2:$V$72,
    MATCH(1,
      ('Putt Log'!$A$2:$A$72=$A510)*
      ('Putt Log'!$B$2:$B$72=$B510)*
      ('Putt Log'!$C$2:$C$72=$C510),
    0),
    MATCH($G510,'Putt Log'!$E$1:$V$1,0)
  ),
"")</f>
        <v>2</v>
      </c>
      <c r="P510" cm="1">
        <f t="array" ref="P510">IF(K510=3,"",
  IFERROR(
    INDEX('Fairway Log'!$E$2:$V$72,
      MATCH(1,
        ('Fairway Log'!$A$2:$A$72=$A510)*
        ('Fairway Log'!$B$2:$B$72=$B510)*
        ('Fairway Log'!$C$2:$C581=$C510),
      0),
      MATCH($G510,'Fairway Log'!$E$1:$V$1,0)
    ),
  "")
)</f>
        <v>1</v>
      </c>
      <c r="Q510" cm="1">
        <f t="array" ref="Q510">IFERROR(
  INDEX('GIR Log'!$E$2:$V$72,
    MATCH(1,
      ('GIR Log'!$A$2:$A$72=$A510)*
      ('GIR Log'!$B$2:$B$72=$B510)*
      ('GIR Log'!$C$2:$C$72=$C510),
    0),
    MATCH($G510,'GIR Log'!$E$1:$V$1,0)
  ),
"")</f>
        <v>0</v>
      </c>
    </row>
    <row r="511" spans="1:17" x14ac:dyDescent="0.25">
      <c r="A511" s="20" t="s">
        <v>126</v>
      </c>
      <c r="B511" s="2">
        <v>45053</v>
      </c>
      <c r="C511" t="s">
        <v>3</v>
      </c>
      <c r="D511" t="s">
        <v>3</v>
      </c>
      <c r="E511" t="s">
        <v>34</v>
      </c>
      <c r="F511">
        <v>92</v>
      </c>
      <c r="G511" t="s">
        <v>52</v>
      </c>
      <c r="H511" s="9">
        <f t="shared" si="23"/>
        <v>6</v>
      </c>
      <c r="I511" cm="1">
        <f t="array" ref="I511">IFERROR(INDEX(CourseYardages[[Hole 1]:[Hole 18]],
  MATCH(1, (CourseYardages[Course]=C511)*(CourseYardages[Tees]=E511), 0),
  MATCH(G511, CourseYardages[[#Headers],[Hole 1]:[Hole 18]], 0)
),"")</f>
        <v>190</v>
      </c>
      <c r="J511" cm="1">
        <f t="array" ref="J511">IFERROR(INDEX(CourseHandicap[[Hole 1]:[Hole 18]],
  MATCH(1, (CourseHandicap[Course]=C511)*(CourseHandicap[Tees]=E511), 0),
  MATCH(G511, CourseHandicap[[#Headers],[Hole 1]:[Hole 18]], 0)
),"")</f>
        <v>5</v>
      </c>
      <c r="K511" cm="1">
        <f t="array" ref="K511">IFERROR(INDEX(CourseRatings[[Hole 1]:[Hole 18]],
  MATCH(1, (CourseRatings[Course]=C511)*(CourseRatings[Tees]=E511), 0),
  MATCH(G511, CourseRatings[[#Headers],[Hole 1]:[Hole 18]], 0)
),"")</f>
        <v>3</v>
      </c>
      <c r="L511" cm="1">
        <f t="array" ref="L511">IFERROR(
  INDEX('Golf Log'!$E$2:$V$72,
    MATCH(1,
      ('Golf Log'!$A$2:$A$72=$A511)*
      ('Golf Log'!$B$2:$B$72=$B511)*
      ('Golf Log'!$C$2:$C$72=$C511),
    0),
    MATCH($G511,'Golf Log'!$E$1:$V$1,0)
  ),
"")</f>
        <v>4</v>
      </c>
      <c r="M511">
        <f t="shared" si="24"/>
        <v>1</v>
      </c>
      <c r="N511" t="str">
        <f t="shared" si="21"/>
        <v>Bogey</v>
      </c>
      <c r="O511" cm="1">
        <f t="array" ref="O511">IFERROR(
  INDEX('Putt Log'!$E$2:$V$72,
    MATCH(1,
      ('Putt Log'!$A$2:$A$72=$A511)*
      ('Putt Log'!$B$2:$B$72=$B511)*
      ('Putt Log'!$C$2:$C$72=$C511),
    0),
    MATCH($G511,'Putt Log'!$E$1:$V$1,0)
  ),
"")</f>
        <v>2</v>
      </c>
      <c r="P511" t="str" cm="1">
        <f t="array" ref="P511">IF(K511=3,"",
  IFERROR(
    INDEX('Fairway Log'!$E$2:$V$72,
      MATCH(1,
        ('Fairway Log'!$A$2:$A$72=$A511)*
        ('Fairway Log'!$B$2:$B$72=$B511)*
        ('Fairway Log'!$C$2:$C582=$C511),
      0),
      MATCH($G511,'Fairway Log'!$E$1:$V$1,0)
    ),
  "")
)</f>
        <v/>
      </c>
      <c r="Q511" cm="1">
        <f t="array" ref="Q511">IFERROR(
  INDEX('GIR Log'!$E$2:$V$72,
    MATCH(1,
      ('GIR Log'!$A$2:$A$72=$A511)*
      ('GIR Log'!$B$2:$B$72=$B511)*
      ('GIR Log'!$C$2:$C$72=$C511),
    0),
    MATCH($G511,'GIR Log'!$E$1:$V$1,0)
  ),
"")</f>
        <v>0</v>
      </c>
    </row>
    <row r="512" spans="1:17" x14ac:dyDescent="0.25">
      <c r="A512" s="20" t="s">
        <v>126</v>
      </c>
      <c r="B512" s="2">
        <v>45053</v>
      </c>
      <c r="C512" t="s">
        <v>3</v>
      </c>
      <c r="D512" t="s">
        <v>3</v>
      </c>
      <c r="E512" t="s">
        <v>34</v>
      </c>
      <c r="F512">
        <v>92</v>
      </c>
      <c r="G512" t="s">
        <v>53</v>
      </c>
      <c r="H512" s="9">
        <f t="shared" si="23"/>
        <v>7</v>
      </c>
      <c r="I512" cm="1">
        <f t="array" ref="I512">IFERROR(INDEX(CourseYardages[[Hole 1]:[Hole 18]],
  MATCH(1, (CourseYardages[Course]=C512)*(CourseYardages[Tees]=E512), 0),
  MATCH(G512, CourseYardages[[#Headers],[Hole 1]:[Hole 18]], 0)
),"")</f>
        <v>507</v>
      </c>
      <c r="J512" cm="1">
        <f t="array" ref="J512">IFERROR(INDEX(CourseHandicap[[Hole 1]:[Hole 18]],
  MATCH(1, (CourseHandicap[Course]=C512)*(CourseHandicap[Tees]=E512), 0),
  MATCH(G512, CourseHandicap[[#Headers],[Hole 1]:[Hole 18]], 0)
),"")</f>
        <v>9</v>
      </c>
      <c r="K512" cm="1">
        <f t="array" ref="K512">IFERROR(INDEX(CourseRatings[[Hole 1]:[Hole 18]],
  MATCH(1, (CourseRatings[Course]=C512)*(CourseRatings[Tees]=E512), 0),
  MATCH(G512, CourseRatings[[#Headers],[Hole 1]:[Hole 18]], 0)
),"")</f>
        <v>5</v>
      </c>
      <c r="L512" cm="1">
        <f t="array" ref="L512">IFERROR(
  INDEX('Golf Log'!$E$2:$V$72,
    MATCH(1,
      ('Golf Log'!$A$2:$A$72=$A512)*
      ('Golf Log'!$B$2:$B$72=$B512)*
      ('Golf Log'!$C$2:$C$72=$C512),
    0),
    MATCH($G512,'Golf Log'!$E$1:$V$1,0)
  ),
"")</f>
        <v>6</v>
      </c>
      <c r="M512">
        <f t="shared" si="24"/>
        <v>1</v>
      </c>
      <c r="N512" t="str">
        <f t="shared" si="21"/>
        <v>Bogey</v>
      </c>
      <c r="O512" cm="1">
        <f t="array" ref="O512">IFERROR(
  INDEX('Putt Log'!$E$2:$V$72,
    MATCH(1,
      ('Putt Log'!$A$2:$A$72=$A512)*
      ('Putt Log'!$B$2:$B$72=$B512)*
      ('Putt Log'!$C$2:$C$72=$C512),
    0),
    MATCH($G512,'Putt Log'!$E$1:$V$1,0)
  ),
"")</f>
        <v>2</v>
      </c>
      <c r="P512" cm="1">
        <f t="array" ref="P512">IF(K512=3,"",
  IFERROR(
    INDEX('Fairway Log'!$E$2:$V$72,
      MATCH(1,
        ('Fairway Log'!$A$2:$A$72=$A512)*
        ('Fairway Log'!$B$2:$B$72=$B512)*
        ('Fairway Log'!$C$2:$C583=$C512),
      0),
      MATCH($G512,'Fairway Log'!$E$1:$V$1,0)
    ),
  "")
)</f>
        <v>1</v>
      </c>
      <c r="Q512" cm="1">
        <f t="array" ref="Q512">IFERROR(
  INDEX('GIR Log'!$E$2:$V$72,
    MATCH(1,
      ('GIR Log'!$A$2:$A$72=$A512)*
      ('GIR Log'!$B$2:$B$72=$B512)*
      ('GIR Log'!$C$2:$C$72=$C512),
    0),
    MATCH($G512,'GIR Log'!$E$1:$V$1,0)
  ),
"")</f>
        <v>0</v>
      </c>
    </row>
    <row r="513" spans="1:17" x14ac:dyDescent="0.25">
      <c r="A513" s="20" t="s">
        <v>126</v>
      </c>
      <c r="B513" s="2">
        <v>45053</v>
      </c>
      <c r="C513" t="s">
        <v>3</v>
      </c>
      <c r="D513" t="s">
        <v>3</v>
      </c>
      <c r="E513" t="s">
        <v>34</v>
      </c>
      <c r="F513">
        <v>92</v>
      </c>
      <c r="G513" t="s">
        <v>54</v>
      </c>
      <c r="H513" s="9">
        <f t="shared" si="23"/>
        <v>8</v>
      </c>
      <c r="I513" cm="1">
        <f t="array" ref="I513">IFERROR(INDEX(CourseYardages[[Hole 1]:[Hole 18]],
  MATCH(1, (CourseYardages[Course]=C513)*(CourseYardages[Tees]=E513), 0),
  MATCH(G513, CourseYardages[[#Headers],[Hole 1]:[Hole 18]], 0)
),"")</f>
        <v>347</v>
      </c>
      <c r="J513" cm="1">
        <f t="array" ref="J513">IFERROR(INDEX(CourseHandicap[[Hole 1]:[Hole 18]],
  MATCH(1, (CourseHandicap[Course]=C513)*(CourseHandicap[Tees]=E513), 0),
  MATCH(G513, CourseHandicap[[#Headers],[Hole 1]:[Hole 18]], 0)
),"")</f>
        <v>13</v>
      </c>
      <c r="K513" cm="1">
        <f t="array" ref="K513">IFERROR(INDEX(CourseRatings[[Hole 1]:[Hole 18]],
  MATCH(1, (CourseRatings[Course]=C513)*(CourseRatings[Tees]=E513), 0),
  MATCH(G513, CourseRatings[[#Headers],[Hole 1]:[Hole 18]], 0)
),"")</f>
        <v>4</v>
      </c>
      <c r="L513" cm="1">
        <f t="array" ref="L513">IFERROR(
  INDEX('Golf Log'!$E$2:$V$72,
    MATCH(1,
      ('Golf Log'!$A$2:$A$72=$A513)*
      ('Golf Log'!$B$2:$B$72=$B513)*
      ('Golf Log'!$C$2:$C$72=$C513),
    0),
    MATCH($G513,'Golf Log'!$E$1:$V$1,0)
  ),
"")</f>
        <v>4</v>
      </c>
      <c r="M513">
        <f t="shared" si="24"/>
        <v>0</v>
      </c>
      <c r="N513" t="str">
        <f t="shared" si="21"/>
        <v>Par</v>
      </c>
      <c r="O513" cm="1">
        <f t="array" ref="O513">IFERROR(
  INDEX('Putt Log'!$E$2:$V$72,
    MATCH(1,
      ('Putt Log'!$A$2:$A$72=$A513)*
      ('Putt Log'!$B$2:$B$72=$B513)*
      ('Putt Log'!$C$2:$C$72=$C513),
    0),
    MATCH($G513,'Putt Log'!$E$1:$V$1,0)
  ),
"")</f>
        <v>1</v>
      </c>
      <c r="P513" cm="1">
        <f t="array" ref="P513">IF(K513=3,"",
  IFERROR(
    INDEX('Fairway Log'!$E$2:$V$72,
      MATCH(1,
        ('Fairway Log'!$A$2:$A$72=$A513)*
        ('Fairway Log'!$B$2:$B$72=$B513)*
        ('Fairway Log'!$C$2:$C584=$C513),
      0),
      MATCH($G513,'Fairway Log'!$E$1:$V$1,0)
    ),
  "")
)</f>
        <v>1</v>
      </c>
      <c r="Q513" cm="1">
        <f t="array" ref="Q513">IFERROR(
  INDEX('GIR Log'!$E$2:$V$72,
    MATCH(1,
      ('GIR Log'!$A$2:$A$72=$A513)*
      ('GIR Log'!$B$2:$B$72=$B513)*
      ('GIR Log'!$C$2:$C$72=$C513),
    0),
    MATCH($G513,'GIR Log'!$E$1:$V$1,0)
  ),
"")</f>
        <v>0</v>
      </c>
    </row>
    <row r="514" spans="1:17" x14ac:dyDescent="0.25">
      <c r="A514" s="20" t="s">
        <v>126</v>
      </c>
      <c r="B514" s="2">
        <v>45053</v>
      </c>
      <c r="C514" t="s">
        <v>3</v>
      </c>
      <c r="D514" t="s">
        <v>3</v>
      </c>
      <c r="E514" t="s">
        <v>34</v>
      </c>
      <c r="F514">
        <v>92</v>
      </c>
      <c r="G514" t="s">
        <v>55</v>
      </c>
      <c r="H514" s="9">
        <f t="shared" si="23"/>
        <v>9</v>
      </c>
      <c r="I514" cm="1">
        <f t="array" ref="I514">IFERROR(INDEX(CourseYardages[[Hole 1]:[Hole 18]],
  MATCH(1, (CourseYardages[Course]=C514)*(CourseYardages[Tees]=E514), 0),
  MATCH(G514, CourseYardages[[#Headers],[Hole 1]:[Hole 18]], 0)
),"")</f>
        <v>560</v>
      </c>
      <c r="J514" cm="1">
        <f t="array" ref="J514">IFERROR(INDEX(CourseHandicap[[Hole 1]:[Hole 18]],
  MATCH(1, (CourseHandicap[Course]=C514)*(CourseHandicap[Tees]=E514), 0),
  MATCH(G514, CourseHandicap[[#Headers],[Hole 1]:[Hole 18]], 0)
),"")</f>
        <v>1</v>
      </c>
      <c r="K514" cm="1">
        <f t="array" ref="K514">IFERROR(INDEX(CourseRatings[[Hole 1]:[Hole 18]],
  MATCH(1, (CourseRatings[Course]=C514)*(CourseRatings[Tees]=E514), 0),
  MATCH(G514, CourseRatings[[#Headers],[Hole 1]:[Hole 18]], 0)
),"")</f>
        <v>5</v>
      </c>
      <c r="L514" cm="1">
        <f t="array" ref="L514">IFERROR(
  INDEX('Golf Log'!$E$2:$V$72,
    MATCH(1,
      ('Golf Log'!$A$2:$A$72=$A514)*
      ('Golf Log'!$B$2:$B$72=$B514)*
      ('Golf Log'!$C$2:$C$72=$C514),
    0),
    MATCH($G514,'Golf Log'!$E$1:$V$1,0)
  ),
"")</f>
        <v>8</v>
      </c>
      <c r="M514">
        <f t="shared" si="24"/>
        <v>3</v>
      </c>
      <c r="N514" t="str">
        <f t="shared" si="21"/>
        <v>Triple Bogey</v>
      </c>
      <c r="O514" cm="1">
        <f t="array" ref="O514">IFERROR(
  INDEX('Putt Log'!$E$2:$V$72,
    MATCH(1,
      ('Putt Log'!$A$2:$A$72=$A514)*
      ('Putt Log'!$B$2:$B$72=$B514)*
      ('Putt Log'!$C$2:$C$72=$C514),
    0),
    MATCH($G514,'Putt Log'!$E$1:$V$1,0)
  ),
"")</f>
        <v>3</v>
      </c>
      <c r="P514" t="str" cm="1">
        <f t="array" ref="P514">IF(K514=3,"",
  IFERROR(
    INDEX('Fairway Log'!$E$2:$V$72,
      MATCH(1,
        ('Fairway Log'!$A$2:$A$72=$A514)*
        ('Fairway Log'!$B$2:$B$72=$B514)*
        ('Fairway Log'!$C$2:$C585=$C514),
      0),
      MATCH($G514,'Fairway Log'!$E$1:$V$1,0)
    ),
  "")
)</f>
        <v>→</v>
      </c>
      <c r="Q514" cm="1">
        <f t="array" ref="Q514">IFERROR(
  INDEX('GIR Log'!$E$2:$V$72,
    MATCH(1,
      ('GIR Log'!$A$2:$A$72=$A514)*
      ('GIR Log'!$B$2:$B$72=$B514)*
      ('GIR Log'!$C$2:$C$72=$C514),
    0),
    MATCH($G514,'GIR Log'!$E$1:$V$1,0)
  ),
"")</f>
        <v>0</v>
      </c>
    </row>
    <row r="515" spans="1:17" x14ac:dyDescent="0.25">
      <c r="A515" s="20" t="s">
        <v>126</v>
      </c>
      <c r="B515" s="2">
        <v>45053</v>
      </c>
      <c r="C515" t="s">
        <v>3</v>
      </c>
      <c r="D515" t="s">
        <v>3</v>
      </c>
      <c r="E515" t="s">
        <v>34</v>
      </c>
      <c r="F515">
        <v>92</v>
      </c>
      <c r="G515" t="s">
        <v>56</v>
      </c>
      <c r="H515" s="9">
        <f t="shared" ref="H515:H578" si="25">VALUE(RIGHT(G515, LEN(G515) - 5))</f>
        <v>10</v>
      </c>
      <c r="I515" cm="1">
        <f t="array" ref="I515">IFERROR(INDEX(CourseYardages[[Hole 1]:[Hole 18]],
  MATCH(1, (CourseYardages[Course]=C515)*(CourseYardages[Tees]=E515), 0),
  MATCH(G515, CourseYardages[[#Headers],[Hole 1]:[Hole 18]], 0)
),"")</f>
        <v>343</v>
      </c>
      <c r="J515" cm="1">
        <f t="array" ref="J515">IFERROR(INDEX(CourseHandicap[[Hole 1]:[Hole 18]],
  MATCH(1, (CourseHandicap[Course]=C515)*(CourseHandicap[Tees]=E515), 0),
  MATCH(G515, CourseHandicap[[#Headers],[Hole 1]:[Hole 18]], 0)
),"")</f>
        <v>12</v>
      </c>
      <c r="K515" cm="1">
        <f t="array" ref="K515">IFERROR(INDEX(CourseRatings[[Hole 1]:[Hole 18]],
  MATCH(1, (CourseRatings[Course]=C515)*(CourseRatings[Tees]=E515), 0),
  MATCH(G515, CourseRatings[[#Headers],[Hole 1]:[Hole 18]], 0)
),"")</f>
        <v>4</v>
      </c>
      <c r="L515" cm="1">
        <f t="array" ref="L515">IFERROR(
  INDEX('Golf Log'!$E$2:$V$72,
    MATCH(1,
      ('Golf Log'!$A$2:$A$72=$A515)*
      ('Golf Log'!$B$2:$B$72=$B515)*
      ('Golf Log'!$C$2:$C$72=$C515),
    0),
    MATCH($G515,'Golf Log'!$E$1:$V$1,0)
  ),
"")</f>
        <v>5</v>
      </c>
      <c r="M515">
        <f t="shared" si="24"/>
        <v>1</v>
      </c>
      <c r="N515" t="str">
        <f t="shared" si="21"/>
        <v>Bogey</v>
      </c>
      <c r="O515" cm="1">
        <f t="array" ref="O515">IFERROR(
  INDEX('Putt Log'!$E$2:$V$72,
    MATCH(1,
      ('Putt Log'!$A$2:$A$72=$A515)*
      ('Putt Log'!$B$2:$B$72=$B515)*
      ('Putt Log'!$C$2:$C$72=$C515),
    0),
    MATCH($G515,'Putt Log'!$E$1:$V$1,0)
  ),
"")</f>
        <v>1</v>
      </c>
      <c r="P515" cm="1">
        <f t="array" ref="P515">IF(K515=3,"",
  IFERROR(
    INDEX('Fairway Log'!$E$2:$V$72,
      MATCH(1,
        ('Fairway Log'!$A$2:$A$72=$A515)*
        ('Fairway Log'!$B$2:$B$72=$B515)*
        ('Fairway Log'!$C$2:$C586=$C515),
      0),
      MATCH($G515,'Fairway Log'!$E$1:$V$1,0)
    ),
  "")
)</f>
        <v>0</v>
      </c>
      <c r="Q515" cm="1">
        <f t="array" ref="Q515">IFERROR(
  INDEX('GIR Log'!$E$2:$V$72,
    MATCH(1,
      ('GIR Log'!$A$2:$A$72=$A515)*
      ('GIR Log'!$B$2:$B$72=$B515)*
      ('GIR Log'!$C$2:$C$72=$C515),
    0),
    MATCH($G515,'GIR Log'!$E$1:$V$1,0)
  ),
"")</f>
        <v>0</v>
      </c>
    </row>
    <row r="516" spans="1:17" x14ac:dyDescent="0.25">
      <c r="A516" s="20" t="s">
        <v>126</v>
      </c>
      <c r="B516" s="2">
        <v>45053</v>
      </c>
      <c r="C516" t="s">
        <v>3</v>
      </c>
      <c r="D516" t="s">
        <v>3</v>
      </c>
      <c r="E516" t="s">
        <v>34</v>
      </c>
      <c r="F516">
        <v>92</v>
      </c>
      <c r="G516" t="s">
        <v>57</v>
      </c>
      <c r="H516" s="9">
        <f t="shared" si="25"/>
        <v>11</v>
      </c>
      <c r="I516" cm="1">
        <f t="array" ref="I516">IFERROR(INDEX(CourseYardages[[Hole 1]:[Hole 18]],
  MATCH(1, (CourseYardages[Course]=C516)*(CourseYardages[Tees]=E516), 0),
  MATCH(G516, CourseYardages[[#Headers],[Hole 1]:[Hole 18]], 0)
),"")</f>
        <v>171</v>
      </c>
      <c r="J516" cm="1">
        <f t="array" ref="J516">IFERROR(INDEX(CourseHandicap[[Hole 1]:[Hole 18]],
  MATCH(1, (CourseHandicap[Course]=C516)*(CourseHandicap[Tees]=E516), 0),
  MATCH(G516, CourseHandicap[[#Headers],[Hole 1]:[Hole 18]], 0)
),"")</f>
        <v>16</v>
      </c>
      <c r="K516" cm="1">
        <f t="array" ref="K516">IFERROR(INDEX(CourseRatings[[Hole 1]:[Hole 18]],
  MATCH(1, (CourseRatings[Course]=C516)*(CourseRatings[Tees]=E516), 0),
  MATCH(G516, CourseRatings[[#Headers],[Hole 1]:[Hole 18]], 0)
),"")</f>
        <v>3</v>
      </c>
      <c r="L516" cm="1">
        <f t="array" ref="L516">IFERROR(
  INDEX('Golf Log'!$E$2:$V$72,
    MATCH(1,
      ('Golf Log'!$A$2:$A$72=$A516)*
      ('Golf Log'!$B$2:$B$72=$B516)*
      ('Golf Log'!$C$2:$C$72=$C516),
    0),
    MATCH($G516,'Golf Log'!$E$1:$V$1,0)
  ),
"")</f>
        <v>4</v>
      </c>
      <c r="M516">
        <f t="shared" si="24"/>
        <v>1</v>
      </c>
      <c r="N516" t="str">
        <f t="shared" si="21"/>
        <v>Bogey</v>
      </c>
      <c r="O516" cm="1">
        <f t="array" ref="O516">IFERROR(
  INDEX('Putt Log'!$E$2:$V$72,
    MATCH(1,
      ('Putt Log'!$A$2:$A$72=$A516)*
      ('Putt Log'!$B$2:$B$72=$B516)*
      ('Putt Log'!$C$2:$C$72=$C516),
    0),
    MATCH($G516,'Putt Log'!$E$1:$V$1,0)
  ),
"")</f>
        <v>2</v>
      </c>
      <c r="P516" t="str" cm="1">
        <f t="array" ref="P516">IF(K516=3,"",
  IFERROR(
    INDEX('Fairway Log'!$E$2:$V$72,
      MATCH(1,
        ('Fairway Log'!$A$2:$A$72=$A516)*
        ('Fairway Log'!$B$2:$B$72=$B516)*
        ('Fairway Log'!$C$2:$C587=$C516),
      0),
      MATCH($G516,'Fairway Log'!$E$1:$V$1,0)
    ),
  "")
)</f>
        <v/>
      </c>
      <c r="Q516" cm="1">
        <f t="array" ref="Q516">IFERROR(
  INDEX('GIR Log'!$E$2:$V$72,
    MATCH(1,
      ('GIR Log'!$A$2:$A$72=$A516)*
      ('GIR Log'!$B$2:$B$72=$B516)*
      ('GIR Log'!$C$2:$C$72=$C516),
    0),
    MATCH($G516,'GIR Log'!$E$1:$V$1,0)
  ),
"")</f>
        <v>0</v>
      </c>
    </row>
    <row r="517" spans="1:17" x14ac:dyDescent="0.25">
      <c r="A517" s="20" t="s">
        <v>126</v>
      </c>
      <c r="B517" s="2">
        <v>45053</v>
      </c>
      <c r="C517" t="s">
        <v>3</v>
      </c>
      <c r="D517" t="s">
        <v>3</v>
      </c>
      <c r="E517" t="s">
        <v>34</v>
      </c>
      <c r="F517">
        <v>92</v>
      </c>
      <c r="G517" t="s">
        <v>58</v>
      </c>
      <c r="H517" s="9">
        <f t="shared" si="25"/>
        <v>12</v>
      </c>
      <c r="I517" cm="1">
        <f t="array" ref="I517">IFERROR(INDEX(CourseYardages[[Hole 1]:[Hole 18]],
  MATCH(1, (CourseYardages[Course]=C517)*(CourseYardages[Tees]=E517), 0),
  MATCH(G517, CourseYardages[[#Headers],[Hole 1]:[Hole 18]], 0)
),"")</f>
        <v>291</v>
      </c>
      <c r="J517" cm="1">
        <f t="array" ref="J517">IFERROR(INDEX(CourseHandicap[[Hole 1]:[Hole 18]],
  MATCH(1, (CourseHandicap[Course]=C517)*(CourseHandicap[Tees]=E517), 0),
  MATCH(G517, CourseHandicap[[#Headers],[Hole 1]:[Hole 18]], 0)
),"")</f>
        <v>18</v>
      </c>
      <c r="K517" cm="1">
        <f t="array" ref="K517">IFERROR(INDEX(CourseRatings[[Hole 1]:[Hole 18]],
  MATCH(1, (CourseRatings[Course]=C517)*(CourseRatings[Tees]=E517), 0),
  MATCH(G517, CourseRatings[[#Headers],[Hole 1]:[Hole 18]], 0)
),"")</f>
        <v>4</v>
      </c>
      <c r="L517" cm="1">
        <f t="array" ref="L517">IFERROR(
  INDEX('Golf Log'!$E$2:$V$72,
    MATCH(1,
      ('Golf Log'!$A$2:$A$72=$A517)*
      ('Golf Log'!$B$2:$B$72=$B517)*
      ('Golf Log'!$C$2:$C$72=$C517),
    0),
    MATCH($G517,'Golf Log'!$E$1:$V$1,0)
  ),
"")</f>
        <v>5</v>
      </c>
      <c r="M517">
        <f t="shared" si="24"/>
        <v>1</v>
      </c>
      <c r="N517" t="str">
        <f t="shared" si="21"/>
        <v>Bogey</v>
      </c>
      <c r="O517" cm="1">
        <f t="array" ref="O517">IFERROR(
  INDEX('Putt Log'!$E$2:$V$72,
    MATCH(1,
      ('Putt Log'!$A$2:$A$72=$A517)*
      ('Putt Log'!$B$2:$B$72=$B517)*
      ('Putt Log'!$C$2:$C$72=$C517),
    0),
    MATCH($G517,'Putt Log'!$E$1:$V$1,0)
  ),
"")</f>
        <v>2</v>
      </c>
      <c r="P517" t="str" cm="1">
        <f t="array" ref="P517">IF(K517=3,"",
  IFERROR(
    INDEX('Fairway Log'!$E$2:$V$72,
      MATCH(1,
        ('Fairway Log'!$A$2:$A$72=$A517)*
        ('Fairway Log'!$B$2:$B$72=$B517)*
        ('Fairway Log'!$C$2:$C588=$C517),
      0),
      MATCH($G517,'Fairway Log'!$E$1:$V$1,0)
    ),
  "")
)</f>
        <v>↓</v>
      </c>
      <c r="Q517" cm="1">
        <f t="array" ref="Q517">IFERROR(
  INDEX('GIR Log'!$E$2:$V$72,
    MATCH(1,
      ('GIR Log'!$A$2:$A$72=$A517)*
      ('GIR Log'!$B$2:$B$72=$B517)*
      ('GIR Log'!$C$2:$C$72=$C517),
    0),
    MATCH($G517,'GIR Log'!$E$1:$V$1,0)
  ),
"")</f>
        <v>0</v>
      </c>
    </row>
    <row r="518" spans="1:17" x14ac:dyDescent="0.25">
      <c r="A518" s="20" t="s">
        <v>126</v>
      </c>
      <c r="B518" s="2">
        <v>45053</v>
      </c>
      <c r="C518" t="s">
        <v>3</v>
      </c>
      <c r="D518" t="s">
        <v>3</v>
      </c>
      <c r="E518" t="s">
        <v>34</v>
      </c>
      <c r="F518">
        <v>92</v>
      </c>
      <c r="G518" t="s">
        <v>59</v>
      </c>
      <c r="H518" s="9">
        <f t="shared" si="25"/>
        <v>13</v>
      </c>
      <c r="I518" cm="1">
        <f t="array" ref="I518">IFERROR(INDEX(CourseYardages[[Hole 1]:[Hole 18]],
  MATCH(1, (CourseYardages[Course]=C518)*(CourseYardages[Tees]=E518), 0),
  MATCH(G518, CourseYardages[[#Headers],[Hole 1]:[Hole 18]], 0)
),"")</f>
        <v>572</v>
      </c>
      <c r="J518" cm="1">
        <f t="array" ref="J518">IFERROR(INDEX(CourseHandicap[[Hole 1]:[Hole 18]],
  MATCH(1, (CourseHandicap[Course]=C518)*(CourseHandicap[Tees]=E518), 0),
  MATCH(G518, CourseHandicap[[#Headers],[Hole 1]:[Hole 18]], 0)
),"")</f>
        <v>2</v>
      </c>
      <c r="K518" cm="1">
        <f t="array" ref="K518">IFERROR(INDEX(CourseRatings[[Hole 1]:[Hole 18]],
  MATCH(1, (CourseRatings[Course]=C518)*(CourseRatings[Tees]=E518), 0),
  MATCH(G518, CourseRatings[[#Headers],[Hole 1]:[Hole 18]], 0)
),"")</f>
        <v>5</v>
      </c>
      <c r="L518" cm="1">
        <f t="array" ref="L518">IFERROR(
  INDEX('Golf Log'!$E$2:$V$72,
    MATCH(1,
      ('Golf Log'!$A$2:$A$72=$A518)*
      ('Golf Log'!$B$2:$B$72=$B518)*
      ('Golf Log'!$C$2:$C$72=$C518),
    0),
    MATCH($G518,'Golf Log'!$E$1:$V$1,0)
  ),
"")</f>
        <v>8</v>
      </c>
      <c r="M518">
        <f t="shared" si="24"/>
        <v>3</v>
      </c>
      <c r="N518" t="str">
        <f t="shared" si="21"/>
        <v>Triple Bogey</v>
      </c>
      <c r="O518" cm="1">
        <f t="array" ref="O518">IFERROR(
  INDEX('Putt Log'!$E$2:$V$72,
    MATCH(1,
      ('Putt Log'!$A$2:$A$72=$A518)*
      ('Putt Log'!$B$2:$B$72=$B518)*
      ('Putt Log'!$C$2:$C$72=$C518),
    0),
    MATCH($G518,'Putt Log'!$E$1:$V$1,0)
  ),
"")</f>
        <v>2</v>
      </c>
      <c r="P518" t="str" cm="1">
        <f t="array" ref="P518">IF(K518=3,"",
  IFERROR(
    INDEX('Fairway Log'!$E$2:$V$72,
      MATCH(1,
        ('Fairway Log'!$A$2:$A$72=$A518)*
        ('Fairway Log'!$B$2:$B$72=$B518)*
        ('Fairway Log'!$C$2:$C589=$C518),
      0),
      MATCH($G518,'Fairway Log'!$E$1:$V$1,0)
    ),
  "")
)</f>
        <v>→</v>
      </c>
      <c r="Q518" cm="1">
        <f t="array" ref="Q518">IFERROR(
  INDEX('GIR Log'!$E$2:$V$72,
    MATCH(1,
      ('GIR Log'!$A$2:$A$72=$A518)*
      ('GIR Log'!$B$2:$B$72=$B518)*
      ('GIR Log'!$C$2:$C$72=$C518),
    0),
    MATCH($G518,'GIR Log'!$E$1:$V$1,0)
  ),
"")</f>
        <v>0</v>
      </c>
    </row>
    <row r="519" spans="1:17" x14ac:dyDescent="0.25">
      <c r="A519" s="20" t="s">
        <v>126</v>
      </c>
      <c r="B519" s="2">
        <v>45053</v>
      </c>
      <c r="C519" t="s">
        <v>3</v>
      </c>
      <c r="D519" t="s">
        <v>3</v>
      </c>
      <c r="E519" t="s">
        <v>34</v>
      </c>
      <c r="F519">
        <v>92</v>
      </c>
      <c r="G519" t="s">
        <v>60</v>
      </c>
      <c r="H519" s="9">
        <f t="shared" si="25"/>
        <v>14</v>
      </c>
      <c r="I519" cm="1">
        <f t="array" ref="I519">IFERROR(INDEX(CourseYardages[[Hole 1]:[Hole 18]],
  MATCH(1, (CourseYardages[Course]=C519)*(CourseYardages[Tees]=E519), 0),
  MATCH(G519, CourseYardages[[#Headers],[Hole 1]:[Hole 18]], 0)
),"")</f>
        <v>366</v>
      </c>
      <c r="J519" cm="1">
        <f t="array" ref="J519">IFERROR(INDEX(CourseHandicap[[Hole 1]:[Hole 18]],
  MATCH(1, (CourseHandicap[Course]=C519)*(CourseHandicap[Tees]=E519), 0),
  MATCH(G519, CourseHandicap[[#Headers],[Hole 1]:[Hole 18]], 0)
),"")</f>
        <v>14</v>
      </c>
      <c r="K519" cm="1">
        <f t="array" ref="K519">IFERROR(INDEX(CourseRatings[[Hole 1]:[Hole 18]],
  MATCH(1, (CourseRatings[Course]=C519)*(CourseRatings[Tees]=E519), 0),
  MATCH(G519, CourseRatings[[#Headers],[Hole 1]:[Hole 18]], 0)
),"")</f>
        <v>4</v>
      </c>
      <c r="L519" cm="1">
        <f t="array" ref="L519">IFERROR(
  INDEX('Golf Log'!$E$2:$V$72,
    MATCH(1,
      ('Golf Log'!$A$2:$A$72=$A519)*
      ('Golf Log'!$B$2:$B$72=$B519)*
      ('Golf Log'!$C$2:$C$72=$C519),
    0),
    MATCH($G519,'Golf Log'!$E$1:$V$1,0)
  ),
"")</f>
        <v>5</v>
      </c>
      <c r="M519">
        <f t="shared" si="24"/>
        <v>1</v>
      </c>
      <c r="N519" t="str">
        <f t="shared" si="21"/>
        <v>Bogey</v>
      </c>
      <c r="O519" cm="1">
        <f t="array" ref="O519">IFERROR(
  INDEX('Putt Log'!$E$2:$V$72,
    MATCH(1,
      ('Putt Log'!$A$2:$A$72=$A519)*
      ('Putt Log'!$B$2:$B$72=$B519)*
      ('Putt Log'!$C$2:$C$72=$C519),
    0),
    MATCH($G519,'Putt Log'!$E$1:$V$1,0)
  ),
"")</f>
        <v>3</v>
      </c>
      <c r="P519" t="str" cm="1">
        <f t="array" ref="P519">IF(K519=3,"",
  IFERROR(
    INDEX('Fairway Log'!$E$2:$V$72,
      MATCH(1,
        ('Fairway Log'!$A$2:$A$72=$A519)*
        ('Fairway Log'!$B$2:$B$72=$B519)*
        ('Fairway Log'!$C$2:$C590=$C519),
      0),
      MATCH($G519,'Fairway Log'!$E$1:$V$1,0)
    ),
  "")
)</f>
        <v>→</v>
      </c>
      <c r="Q519" cm="1">
        <f t="array" ref="Q519">IFERROR(
  INDEX('GIR Log'!$E$2:$V$72,
    MATCH(1,
      ('GIR Log'!$A$2:$A$72=$A519)*
      ('GIR Log'!$B$2:$B$72=$B519)*
      ('GIR Log'!$C$2:$C$72=$C519),
    0),
    MATCH($G519,'GIR Log'!$E$1:$V$1,0)
  ),
"")</f>
        <v>1</v>
      </c>
    </row>
    <row r="520" spans="1:17" x14ac:dyDescent="0.25">
      <c r="A520" s="20" t="s">
        <v>126</v>
      </c>
      <c r="B520" s="2">
        <v>45053</v>
      </c>
      <c r="C520" t="s">
        <v>3</v>
      </c>
      <c r="D520" t="s">
        <v>3</v>
      </c>
      <c r="E520" t="s">
        <v>34</v>
      </c>
      <c r="F520">
        <v>92</v>
      </c>
      <c r="G520" t="s">
        <v>61</v>
      </c>
      <c r="H520" s="9">
        <f t="shared" si="25"/>
        <v>15</v>
      </c>
      <c r="I520" cm="1">
        <f t="array" ref="I520">IFERROR(INDEX(CourseYardages[[Hole 1]:[Hole 18]],
  MATCH(1, (CourseYardages[Course]=C520)*(CourseYardages[Tees]=E520), 0),
  MATCH(G520, CourseYardages[[#Headers],[Hole 1]:[Hole 18]], 0)
),"")</f>
        <v>207</v>
      </c>
      <c r="J520" cm="1">
        <f t="array" ref="J520">IFERROR(INDEX(CourseHandicap[[Hole 1]:[Hole 18]],
  MATCH(1, (CourseHandicap[Course]=C520)*(CourseHandicap[Tees]=E520), 0),
  MATCH(G520, CourseHandicap[[#Headers],[Hole 1]:[Hole 18]], 0)
),"")</f>
        <v>8</v>
      </c>
      <c r="K520" cm="1">
        <f t="array" ref="K520">IFERROR(INDEX(CourseRatings[[Hole 1]:[Hole 18]],
  MATCH(1, (CourseRatings[Course]=C520)*(CourseRatings[Tees]=E520), 0),
  MATCH(G520, CourseRatings[[#Headers],[Hole 1]:[Hole 18]], 0)
),"")</f>
        <v>3</v>
      </c>
      <c r="L520" cm="1">
        <f t="array" ref="L520">IFERROR(
  INDEX('Golf Log'!$E$2:$V$72,
    MATCH(1,
      ('Golf Log'!$A$2:$A$72=$A520)*
      ('Golf Log'!$B$2:$B$72=$B520)*
      ('Golf Log'!$C$2:$C$72=$C520),
    0),
    MATCH($G520,'Golf Log'!$E$1:$V$1,0)
  ),
"")</f>
        <v>5</v>
      </c>
      <c r="M520">
        <f t="shared" si="24"/>
        <v>2</v>
      </c>
      <c r="N520" t="str">
        <f t="shared" si="21"/>
        <v>Double Bogey</v>
      </c>
      <c r="O520" cm="1">
        <f t="array" ref="O520">IFERROR(
  INDEX('Putt Log'!$E$2:$V$72,
    MATCH(1,
      ('Putt Log'!$A$2:$A$72=$A520)*
      ('Putt Log'!$B$2:$B$72=$B520)*
      ('Putt Log'!$C$2:$C$72=$C520),
    0),
    MATCH($G520,'Putt Log'!$E$1:$V$1,0)
  ),
"")</f>
        <v>2</v>
      </c>
      <c r="P520" t="str" cm="1">
        <f t="array" ref="P520">IF(K520=3,"",
  IFERROR(
    INDEX('Fairway Log'!$E$2:$V$72,
      MATCH(1,
        ('Fairway Log'!$A$2:$A$72=$A520)*
        ('Fairway Log'!$B$2:$B$72=$B520)*
        ('Fairway Log'!$C$2:$C591=$C520),
      0),
      MATCH($G520,'Fairway Log'!$E$1:$V$1,0)
    ),
  "")
)</f>
        <v/>
      </c>
      <c r="Q520" cm="1">
        <f t="array" ref="Q520">IFERROR(
  INDEX('GIR Log'!$E$2:$V$72,
    MATCH(1,
      ('GIR Log'!$A$2:$A$72=$A520)*
      ('GIR Log'!$B$2:$B$72=$B520)*
      ('GIR Log'!$C$2:$C$72=$C520),
    0),
    MATCH($G520,'GIR Log'!$E$1:$V$1,0)
  ),
"")</f>
        <v>0</v>
      </c>
    </row>
    <row r="521" spans="1:17" x14ac:dyDescent="0.25">
      <c r="A521" s="20" t="s">
        <v>126</v>
      </c>
      <c r="B521" s="2">
        <v>45053</v>
      </c>
      <c r="C521" t="s">
        <v>3</v>
      </c>
      <c r="D521" t="s">
        <v>3</v>
      </c>
      <c r="E521" t="s">
        <v>34</v>
      </c>
      <c r="F521">
        <v>92</v>
      </c>
      <c r="G521" t="s">
        <v>62</v>
      </c>
      <c r="H521" s="9">
        <f t="shared" si="25"/>
        <v>16</v>
      </c>
      <c r="I521" cm="1">
        <f t="array" ref="I521">IFERROR(INDEX(CourseYardages[[Hole 1]:[Hole 18]],
  MATCH(1, (CourseYardages[Course]=C521)*(CourseYardages[Tees]=E521), 0),
  MATCH(G521, CourseYardages[[#Headers],[Hole 1]:[Hole 18]], 0)
),"")</f>
        <v>358</v>
      </c>
      <c r="J521" cm="1">
        <f t="array" ref="J521">IFERROR(INDEX(CourseHandicap[[Hole 1]:[Hole 18]],
  MATCH(1, (CourseHandicap[Course]=C521)*(CourseHandicap[Tees]=E521), 0),
  MATCH(G521, CourseHandicap[[#Headers],[Hole 1]:[Hole 18]], 0)
),"")</f>
        <v>10</v>
      </c>
      <c r="K521" cm="1">
        <f t="array" ref="K521">IFERROR(INDEX(CourseRatings[[Hole 1]:[Hole 18]],
  MATCH(1, (CourseRatings[Course]=C521)*(CourseRatings[Tees]=E521), 0),
  MATCH(G521, CourseRatings[[#Headers],[Hole 1]:[Hole 18]], 0)
),"")</f>
        <v>4</v>
      </c>
      <c r="L521" cm="1">
        <f t="array" ref="L521">IFERROR(
  INDEX('Golf Log'!$E$2:$V$72,
    MATCH(1,
      ('Golf Log'!$A$2:$A$72=$A521)*
      ('Golf Log'!$B$2:$B$72=$B521)*
      ('Golf Log'!$C$2:$C$72=$C521),
    0),
    MATCH($G521,'Golf Log'!$E$1:$V$1,0)
  ),
"")</f>
        <v>6</v>
      </c>
      <c r="M521">
        <f t="shared" si="24"/>
        <v>2</v>
      </c>
      <c r="N521" t="str">
        <f t="shared" si="21"/>
        <v>Double Bogey</v>
      </c>
      <c r="O521" cm="1">
        <f t="array" ref="O521">IFERROR(
  INDEX('Putt Log'!$E$2:$V$72,
    MATCH(1,
      ('Putt Log'!$A$2:$A$72=$A521)*
      ('Putt Log'!$B$2:$B$72=$B521)*
      ('Putt Log'!$C$2:$C$72=$C521),
    0),
    MATCH($G521,'Putt Log'!$E$1:$V$1,0)
  ),
"")</f>
        <v>3</v>
      </c>
      <c r="P521" cm="1">
        <f t="array" ref="P521">IF(K521=3,"",
  IFERROR(
    INDEX('Fairway Log'!$E$2:$V$72,
      MATCH(1,
        ('Fairway Log'!$A$2:$A$72=$A521)*
        ('Fairway Log'!$B$2:$B$72=$B521)*
        ('Fairway Log'!$C$2:$C592=$C521),
      0),
      MATCH($G521,'Fairway Log'!$E$1:$V$1,0)
    ),
  "")
)</f>
        <v>1</v>
      </c>
      <c r="Q521" cm="1">
        <f t="array" ref="Q521">IFERROR(
  INDEX('GIR Log'!$E$2:$V$72,
    MATCH(1,
      ('GIR Log'!$A$2:$A$72=$A521)*
      ('GIR Log'!$B$2:$B$72=$B521)*
      ('GIR Log'!$C$2:$C$72=$C521),
    0),
    MATCH($G521,'GIR Log'!$E$1:$V$1,0)
  ),
"")</f>
        <v>0</v>
      </c>
    </row>
    <row r="522" spans="1:17" x14ac:dyDescent="0.25">
      <c r="A522" s="20" t="s">
        <v>126</v>
      </c>
      <c r="B522" s="2">
        <v>45053</v>
      </c>
      <c r="C522" t="s">
        <v>3</v>
      </c>
      <c r="D522" t="s">
        <v>3</v>
      </c>
      <c r="E522" t="s">
        <v>34</v>
      </c>
      <c r="F522">
        <v>92</v>
      </c>
      <c r="G522" t="s">
        <v>63</v>
      </c>
      <c r="H522" s="9">
        <f t="shared" si="25"/>
        <v>17</v>
      </c>
      <c r="I522" cm="1">
        <f t="array" ref="I522">IFERROR(INDEX(CourseYardages[[Hole 1]:[Hole 18]],
  MATCH(1, (CourseYardages[Course]=C522)*(CourseYardages[Tees]=E522), 0),
  MATCH(G522, CourseYardages[[#Headers],[Hole 1]:[Hole 18]], 0)
),"")</f>
        <v>418</v>
      </c>
      <c r="J522" cm="1">
        <f t="array" ref="J522">IFERROR(INDEX(CourseHandicap[[Hole 1]:[Hole 18]],
  MATCH(1, (CourseHandicap[Course]=C522)*(CourseHandicap[Tees]=E522), 0),
  MATCH(G522, CourseHandicap[[#Headers],[Hole 1]:[Hole 18]], 0)
),"")</f>
        <v>4</v>
      </c>
      <c r="K522" cm="1">
        <f t="array" ref="K522">IFERROR(INDEX(CourseRatings[[Hole 1]:[Hole 18]],
  MATCH(1, (CourseRatings[Course]=C522)*(CourseRatings[Tees]=E522), 0),
  MATCH(G522, CourseRatings[[#Headers],[Hole 1]:[Hole 18]], 0)
),"")</f>
        <v>4</v>
      </c>
      <c r="L522" cm="1">
        <f t="array" ref="L522">IFERROR(
  INDEX('Golf Log'!$E$2:$V$72,
    MATCH(1,
      ('Golf Log'!$A$2:$A$72=$A522)*
      ('Golf Log'!$B$2:$B$72=$B522)*
      ('Golf Log'!$C$2:$C$72=$C522),
    0),
    MATCH($G522,'Golf Log'!$E$1:$V$1,0)
  ),
"")</f>
        <v>6</v>
      </c>
      <c r="M522">
        <f t="shared" si="24"/>
        <v>2</v>
      </c>
      <c r="N522" t="str">
        <f t="shared" si="21"/>
        <v>Double Bogey</v>
      </c>
      <c r="O522" cm="1">
        <f t="array" ref="O522">IFERROR(
  INDEX('Putt Log'!$E$2:$V$72,
    MATCH(1,
      ('Putt Log'!$A$2:$A$72=$A522)*
      ('Putt Log'!$B$2:$B$72=$B522)*
      ('Putt Log'!$C$2:$C$72=$C522),
    0),
    MATCH($G522,'Putt Log'!$E$1:$V$1,0)
  ),
"")</f>
        <v>2</v>
      </c>
      <c r="P522" t="str" cm="1">
        <f t="array" ref="P522">IF(K522=3,"",
  IFERROR(
    INDEX('Fairway Log'!$E$2:$V$72,
      MATCH(1,
        ('Fairway Log'!$A$2:$A$72=$A522)*
        ('Fairway Log'!$B$2:$B$72=$B522)*
        ('Fairway Log'!$C$2:$C593=$C522),
      0),
      MATCH($G522,'Fairway Log'!$E$1:$V$1,0)
    ),
  "")
)</f>
        <v>→</v>
      </c>
      <c r="Q522" cm="1">
        <f t="array" ref="Q522">IFERROR(
  INDEX('GIR Log'!$E$2:$V$72,
    MATCH(1,
      ('GIR Log'!$A$2:$A$72=$A522)*
      ('GIR Log'!$B$2:$B$72=$B522)*
      ('GIR Log'!$C$2:$C$72=$C522),
    0),
    MATCH($G522,'GIR Log'!$E$1:$V$1,0)
  ),
"")</f>
        <v>0</v>
      </c>
    </row>
    <row r="523" spans="1:17" x14ac:dyDescent="0.25">
      <c r="A523" s="20" t="s">
        <v>126</v>
      </c>
      <c r="B523" s="2">
        <v>45053</v>
      </c>
      <c r="C523" t="s">
        <v>3</v>
      </c>
      <c r="D523" t="s">
        <v>3</v>
      </c>
      <c r="E523" t="s">
        <v>34</v>
      </c>
      <c r="F523">
        <v>92</v>
      </c>
      <c r="G523" t="s">
        <v>64</v>
      </c>
      <c r="H523" s="9">
        <f t="shared" si="25"/>
        <v>18</v>
      </c>
      <c r="I523" cm="1">
        <f t="array" ref="I523">IFERROR(INDEX(CourseYardages[[Hole 1]:[Hole 18]],
  MATCH(1, (CourseYardages[Course]=C523)*(CourseYardages[Tees]=E523), 0),
  MATCH(G523, CourseYardages[[#Headers],[Hole 1]:[Hole 18]], 0)
),"")</f>
        <v>398</v>
      </c>
      <c r="J523" cm="1">
        <f t="array" ref="J523">IFERROR(INDEX(CourseHandicap[[Hole 1]:[Hole 18]],
  MATCH(1, (CourseHandicap[Course]=C523)*(CourseHandicap[Tees]=E523), 0),
  MATCH(G523, CourseHandicap[[#Headers],[Hole 1]:[Hole 18]], 0)
),"")</f>
        <v>6</v>
      </c>
      <c r="K523" cm="1">
        <f t="array" ref="K523">IFERROR(INDEX(CourseRatings[[Hole 1]:[Hole 18]],
  MATCH(1, (CourseRatings[Course]=C523)*(CourseRatings[Tees]=E523), 0),
  MATCH(G523, CourseRatings[[#Headers],[Hole 1]:[Hole 18]], 0)
),"")</f>
        <v>4</v>
      </c>
      <c r="L523" cm="1">
        <f t="array" ref="L523">IFERROR(
  INDEX('Golf Log'!$E$2:$V$72,
    MATCH(1,
      ('Golf Log'!$A$2:$A$72=$A523)*
      ('Golf Log'!$B$2:$B$72=$B523)*
      ('Golf Log'!$C$2:$C$72=$C523),
    0),
    MATCH($G523,'Golf Log'!$E$1:$V$1,0)
  ),
"")</f>
        <v>5</v>
      </c>
      <c r="M523">
        <f t="shared" si="24"/>
        <v>1</v>
      </c>
      <c r="N523" t="str">
        <f t="shared" si="21"/>
        <v>Bogey</v>
      </c>
      <c r="O523" cm="1">
        <f t="array" ref="O523">IFERROR(
  INDEX('Putt Log'!$E$2:$V$72,
    MATCH(1,
      ('Putt Log'!$A$2:$A$72=$A523)*
      ('Putt Log'!$B$2:$B$72=$B523)*
      ('Putt Log'!$C$2:$C$72=$C523),
    0),
    MATCH($G523,'Putt Log'!$E$1:$V$1,0)
  ),
"")</f>
        <v>2</v>
      </c>
      <c r="P523" t="str" cm="1">
        <f t="array" ref="P523">IF(K523=3,"",
  IFERROR(
    INDEX('Fairway Log'!$E$2:$V$72,
      MATCH(1,
        ('Fairway Log'!$A$2:$A$72=$A523)*
        ('Fairway Log'!$B$2:$B$72=$B523)*
        ('Fairway Log'!$C$2:$C594=$C523),
      0),
      MATCH($G523,'Fairway Log'!$E$1:$V$1,0)
    ),
  "")
)</f>
        <v>→</v>
      </c>
      <c r="Q523" cm="1">
        <f t="array" ref="Q523">IFERROR(
  INDEX('GIR Log'!$E$2:$V$72,
    MATCH(1,
      ('GIR Log'!$A$2:$A$72=$A523)*
      ('GIR Log'!$B$2:$B$72=$B523)*
      ('GIR Log'!$C$2:$C$72=$C523),
    0),
    MATCH($G523,'GIR Log'!$E$1:$V$1,0)
  ),
"")</f>
        <v>0</v>
      </c>
    </row>
    <row r="524" spans="1:17" x14ac:dyDescent="0.25">
      <c r="A524" s="20" t="s">
        <v>126</v>
      </c>
      <c r="B524" s="2">
        <v>45053</v>
      </c>
      <c r="C524" t="s">
        <v>9</v>
      </c>
      <c r="D524" t="s">
        <v>9</v>
      </c>
      <c r="E524" t="s">
        <v>34</v>
      </c>
      <c r="F524">
        <v>94</v>
      </c>
      <c r="G524" t="s">
        <v>47</v>
      </c>
      <c r="H524" s="9">
        <f t="shared" si="25"/>
        <v>1</v>
      </c>
      <c r="I524" cm="1">
        <f t="array" ref="I524">IFERROR(INDEX(CourseYardages[[Hole 1]:[Hole 18]],
  MATCH(1, (CourseYardages[Course]=C524)*(CourseYardages[Tees]=E524), 0),
  MATCH(G524, CourseYardages[[#Headers],[Hole 1]:[Hole 18]], 0)
),"")</f>
        <v>393</v>
      </c>
      <c r="J524" cm="1">
        <f t="array" ref="J524">IFERROR(INDEX(CourseHandicap[[Hole 1]:[Hole 18]],
  MATCH(1, (CourseHandicap[Course]=C524)*(CourseHandicap[Tees]=E524), 0),
  MATCH(G524, CourseHandicap[[#Headers],[Hole 1]:[Hole 18]], 0)
),"")</f>
        <v>2</v>
      </c>
      <c r="K524" cm="1">
        <f t="array" ref="K524">IFERROR(INDEX(CourseRatings[[Hole 1]:[Hole 18]],
  MATCH(1, (CourseRatings[Course]=C524)*(CourseRatings[Tees]=E524), 0),
  MATCH(G524, CourseRatings[[#Headers],[Hole 1]:[Hole 18]], 0)
),"")</f>
        <v>4</v>
      </c>
      <c r="L524" cm="1">
        <f t="array" ref="L524">IFERROR(
  INDEX('Golf Log'!$E$2:$V$72,
    MATCH(1,
      ('Golf Log'!$A$2:$A$72=$A524)*
      ('Golf Log'!$B$2:$B$72=$B524)*
      ('Golf Log'!$C$2:$C$72=$C524),
    0),
    MATCH($G524,'Golf Log'!$E$1:$V$1,0)
  ),
"")</f>
        <v>7</v>
      </c>
      <c r="M524">
        <f t="shared" si="24"/>
        <v>3</v>
      </c>
      <c r="N524" t="str">
        <f t="shared" si="21"/>
        <v>Triple Bogey</v>
      </c>
      <c r="O524" cm="1">
        <f t="array" ref="O524">IFERROR(
  INDEX('Putt Log'!$E$2:$V$72,
    MATCH(1,
      ('Putt Log'!$A$2:$A$72=$A524)*
      ('Putt Log'!$B$2:$B$72=$B524)*
      ('Putt Log'!$C$2:$C$72=$C524),
    0),
    MATCH($G524,'Putt Log'!$E$1:$V$1,0)
  ),
"")</f>
        <v>3</v>
      </c>
      <c r="P524" cm="1">
        <f t="array" ref="P524">IF(K524=3,"",
  IFERROR(
    INDEX('Fairway Log'!$E$2:$V$72,
      MATCH(1,
        ('Fairway Log'!$A$2:$A$72=$A524)*
        ('Fairway Log'!$B$2:$B$72=$B524)*
        ('Fairway Log'!$C$2:$C595=$C524),
      0),
      MATCH($G524,'Fairway Log'!$E$1:$V$1,0)
    ),
  "")
)</f>
        <v>1</v>
      </c>
      <c r="Q524" cm="1">
        <f t="array" ref="Q524">IFERROR(
  INDEX('GIR Log'!$E$2:$V$72,
    MATCH(1,
      ('GIR Log'!$A$2:$A$72=$A524)*
      ('GIR Log'!$B$2:$B$72=$B524)*
      ('GIR Log'!$C$2:$C$72=$C524),
    0),
    MATCH($G524,'GIR Log'!$E$1:$V$1,0)
  ),
"")</f>
        <v>0</v>
      </c>
    </row>
    <row r="525" spans="1:17" x14ac:dyDescent="0.25">
      <c r="A525" s="20" t="s">
        <v>126</v>
      </c>
      <c r="B525" s="2">
        <v>45053</v>
      </c>
      <c r="C525" t="s">
        <v>9</v>
      </c>
      <c r="D525" t="s">
        <v>9</v>
      </c>
      <c r="E525" t="s">
        <v>34</v>
      </c>
      <c r="F525">
        <v>94</v>
      </c>
      <c r="G525" t="s">
        <v>48</v>
      </c>
      <c r="H525" s="9">
        <f t="shared" si="25"/>
        <v>2</v>
      </c>
      <c r="I525" cm="1">
        <f t="array" ref="I525">IFERROR(INDEX(CourseYardages[[Hole 1]:[Hole 18]],
  MATCH(1, (CourseYardages[Course]=C525)*(CourseYardages[Tees]=E525), 0),
  MATCH(G525, CourseYardages[[#Headers],[Hole 1]:[Hole 18]], 0)
),"")</f>
        <v>398</v>
      </c>
      <c r="J525" cm="1">
        <f t="array" ref="J525">IFERROR(INDEX(CourseHandicap[[Hole 1]:[Hole 18]],
  MATCH(1, (CourseHandicap[Course]=C525)*(CourseHandicap[Tees]=E525), 0),
  MATCH(G525, CourseHandicap[[#Headers],[Hole 1]:[Hole 18]], 0)
),"")</f>
        <v>4</v>
      </c>
      <c r="K525" cm="1">
        <f t="array" ref="K525">IFERROR(INDEX(CourseRatings[[Hole 1]:[Hole 18]],
  MATCH(1, (CourseRatings[Course]=C525)*(CourseRatings[Tees]=E525), 0),
  MATCH(G525, CourseRatings[[#Headers],[Hole 1]:[Hole 18]], 0)
),"")</f>
        <v>4</v>
      </c>
      <c r="L525" cm="1">
        <f t="array" ref="L525">IFERROR(
  INDEX('Golf Log'!$E$2:$V$72,
    MATCH(1,
      ('Golf Log'!$A$2:$A$72=$A525)*
      ('Golf Log'!$B$2:$B$72=$B525)*
      ('Golf Log'!$C$2:$C$72=$C525),
    0),
    MATCH($G525,'Golf Log'!$E$1:$V$1,0)
  ),
"")</f>
        <v>6</v>
      </c>
      <c r="M525">
        <f t="shared" si="24"/>
        <v>2</v>
      </c>
      <c r="N525" t="str">
        <f t="shared" si="21"/>
        <v>Double Bogey</v>
      </c>
      <c r="O525" cm="1">
        <f t="array" ref="O525">IFERROR(
  INDEX('Putt Log'!$E$2:$V$72,
    MATCH(1,
      ('Putt Log'!$A$2:$A$72=$A525)*
      ('Putt Log'!$B$2:$B$72=$B525)*
      ('Putt Log'!$C$2:$C$72=$C525),
    0),
    MATCH($G525,'Putt Log'!$E$1:$V$1,0)
  ),
"")</f>
        <v>3</v>
      </c>
      <c r="P525" cm="1">
        <f t="array" ref="P525">IF(K525=3,"",
  IFERROR(
    INDEX('Fairway Log'!$E$2:$V$72,
      MATCH(1,
        ('Fairway Log'!$A$2:$A$72=$A525)*
        ('Fairway Log'!$B$2:$B$72=$B525)*
        ('Fairway Log'!$C$2:$C596=$C525),
      0),
      MATCH($G525,'Fairway Log'!$E$1:$V$1,0)
    ),
  "")
)</f>
        <v>1</v>
      </c>
      <c r="Q525" cm="1">
        <f t="array" ref="Q525">IFERROR(
  INDEX('GIR Log'!$E$2:$V$72,
    MATCH(1,
      ('GIR Log'!$A$2:$A$72=$A525)*
      ('GIR Log'!$B$2:$B$72=$B525)*
      ('GIR Log'!$C$2:$C$72=$C525),
    0),
    MATCH($G525,'GIR Log'!$E$1:$V$1,0)
  ),
"")</f>
        <v>0</v>
      </c>
    </row>
    <row r="526" spans="1:17" x14ac:dyDescent="0.25">
      <c r="A526" s="20" t="s">
        <v>126</v>
      </c>
      <c r="B526" s="2">
        <v>45053</v>
      </c>
      <c r="C526" t="s">
        <v>9</v>
      </c>
      <c r="D526" t="s">
        <v>9</v>
      </c>
      <c r="E526" t="s">
        <v>34</v>
      </c>
      <c r="F526">
        <v>94</v>
      </c>
      <c r="G526" t="s">
        <v>49</v>
      </c>
      <c r="H526" s="9">
        <f t="shared" si="25"/>
        <v>3</v>
      </c>
      <c r="I526" cm="1">
        <f t="array" ref="I526">IFERROR(INDEX(CourseYardages[[Hole 1]:[Hole 18]],
  MATCH(1, (CourseYardages[Course]=C526)*(CourseYardages[Tees]=E526), 0),
  MATCH(G526, CourseYardages[[#Headers],[Hole 1]:[Hole 18]], 0)
),"")</f>
        <v>390</v>
      </c>
      <c r="J526" cm="1">
        <f t="array" ref="J526">IFERROR(INDEX(CourseHandicap[[Hole 1]:[Hole 18]],
  MATCH(1, (CourseHandicap[Course]=C526)*(CourseHandicap[Tees]=E526), 0),
  MATCH(G526, CourseHandicap[[#Headers],[Hole 1]:[Hole 18]], 0)
),"")</f>
        <v>6</v>
      </c>
      <c r="K526" cm="1">
        <f t="array" ref="K526">IFERROR(INDEX(CourseRatings[[Hole 1]:[Hole 18]],
  MATCH(1, (CourseRatings[Course]=C526)*(CourseRatings[Tees]=E526), 0),
  MATCH(G526, CourseRatings[[#Headers],[Hole 1]:[Hole 18]], 0)
),"")</f>
        <v>4</v>
      </c>
      <c r="L526" cm="1">
        <f t="array" ref="L526">IFERROR(
  INDEX('Golf Log'!$E$2:$V$72,
    MATCH(1,
      ('Golf Log'!$A$2:$A$72=$A526)*
      ('Golf Log'!$B$2:$B$72=$B526)*
      ('Golf Log'!$C$2:$C$72=$C526),
    0),
    MATCH($G526,'Golf Log'!$E$1:$V$1,0)
  ),
"")</f>
        <v>7</v>
      </c>
      <c r="M526">
        <f t="shared" si="24"/>
        <v>3</v>
      </c>
      <c r="N526" t="str">
        <f t="shared" si="21"/>
        <v>Triple Bogey</v>
      </c>
      <c r="O526" cm="1">
        <f t="array" ref="O526">IFERROR(
  INDEX('Putt Log'!$E$2:$V$72,
    MATCH(1,
      ('Putt Log'!$A$2:$A$72=$A526)*
      ('Putt Log'!$B$2:$B$72=$B526)*
      ('Putt Log'!$C$2:$C$72=$C526),
    0),
    MATCH($G526,'Putt Log'!$E$1:$V$1,0)
  ),
"")</f>
        <v>2</v>
      </c>
      <c r="P526" t="str" cm="1">
        <f t="array" ref="P526">IF(K526=3,"",
  IFERROR(
    INDEX('Fairway Log'!$E$2:$V$72,
      MATCH(1,
        ('Fairway Log'!$A$2:$A$72=$A526)*
        ('Fairway Log'!$B$2:$B$72=$B526)*
        ('Fairway Log'!$C$2:$C597=$C526),
      0),
      MATCH($G526,'Fairway Log'!$E$1:$V$1,0)
    ),
  "")
)</f>
        <v>→</v>
      </c>
      <c r="Q526" cm="1">
        <f t="array" ref="Q526">IFERROR(
  INDEX('GIR Log'!$E$2:$V$72,
    MATCH(1,
      ('GIR Log'!$A$2:$A$72=$A526)*
      ('GIR Log'!$B$2:$B$72=$B526)*
      ('GIR Log'!$C$2:$C$72=$C526),
    0),
    MATCH($G526,'GIR Log'!$E$1:$V$1,0)
  ),
"")</f>
        <v>0</v>
      </c>
    </row>
    <row r="527" spans="1:17" x14ac:dyDescent="0.25">
      <c r="A527" s="20" t="s">
        <v>126</v>
      </c>
      <c r="B527" s="2">
        <v>45053</v>
      </c>
      <c r="C527" t="s">
        <v>9</v>
      </c>
      <c r="D527" t="s">
        <v>9</v>
      </c>
      <c r="E527" t="s">
        <v>34</v>
      </c>
      <c r="F527">
        <v>94</v>
      </c>
      <c r="G527" t="s">
        <v>50</v>
      </c>
      <c r="H527" s="9">
        <f t="shared" si="25"/>
        <v>4</v>
      </c>
      <c r="I527" cm="1">
        <f t="array" ref="I527">IFERROR(INDEX(CourseYardages[[Hole 1]:[Hole 18]],
  MATCH(1, (CourseYardages[Course]=C527)*(CourseYardages[Tees]=E527), 0),
  MATCH(G527, CourseYardages[[#Headers],[Hole 1]:[Hole 18]], 0)
),"")</f>
        <v>166</v>
      </c>
      <c r="J527" cm="1">
        <f t="array" ref="J527">IFERROR(INDEX(CourseHandicap[[Hole 1]:[Hole 18]],
  MATCH(1, (CourseHandicap[Course]=C527)*(CourseHandicap[Tees]=E527), 0),
  MATCH(G527, CourseHandicap[[#Headers],[Hole 1]:[Hole 18]], 0)
),"")</f>
        <v>14</v>
      </c>
      <c r="K527" cm="1">
        <f t="array" ref="K527">IFERROR(INDEX(CourseRatings[[Hole 1]:[Hole 18]],
  MATCH(1, (CourseRatings[Course]=C527)*(CourseRatings[Tees]=E527), 0),
  MATCH(G527, CourseRatings[[#Headers],[Hole 1]:[Hole 18]], 0)
),"")</f>
        <v>3</v>
      </c>
      <c r="L527" cm="1">
        <f t="array" ref="L527">IFERROR(
  INDEX('Golf Log'!$E$2:$V$72,
    MATCH(1,
      ('Golf Log'!$A$2:$A$72=$A527)*
      ('Golf Log'!$B$2:$B$72=$B527)*
      ('Golf Log'!$C$2:$C$72=$C527),
    0),
    MATCH($G527,'Golf Log'!$E$1:$V$1,0)
  ),
"")</f>
        <v>3</v>
      </c>
      <c r="M527">
        <f t="shared" si="24"/>
        <v>0</v>
      </c>
      <c r="N527" t="str">
        <f t="shared" si="21"/>
        <v>Par</v>
      </c>
      <c r="O527" cm="1">
        <f t="array" ref="O527">IFERROR(
  INDEX('Putt Log'!$E$2:$V$72,
    MATCH(1,
      ('Putt Log'!$A$2:$A$72=$A527)*
      ('Putt Log'!$B$2:$B$72=$B527)*
      ('Putt Log'!$C$2:$C$72=$C527),
    0),
    MATCH($G527,'Putt Log'!$E$1:$V$1,0)
  ),
"")</f>
        <v>1</v>
      </c>
      <c r="P527" t="str" cm="1">
        <f t="array" ref="P527">IF(K527=3,"",
  IFERROR(
    INDEX('Fairway Log'!$E$2:$V$72,
      MATCH(1,
        ('Fairway Log'!$A$2:$A$72=$A527)*
        ('Fairway Log'!$B$2:$B$72=$B527)*
        ('Fairway Log'!$C$2:$C598=$C527),
      0),
      MATCH($G527,'Fairway Log'!$E$1:$V$1,0)
    ),
  "")
)</f>
        <v/>
      </c>
      <c r="Q527" cm="1">
        <f t="array" ref="Q527">IFERROR(
  INDEX('GIR Log'!$E$2:$V$72,
    MATCH(1,
      ('GIR Log'!$A$2:$A$72=$A527)*
      ('GIR Log'!$B$2:$B$72=$B527)*
      ('GIR Log'!$C$2:$C$72=$C527),
    0),
    MATCH($G527,'GIR Log'!$E$1:$V$1,0)
  ),
"")</f>
        <v>0</v>
      </c>
    </row>
    <row r="528" spans="1:17" x14ac:dyDescent="0.25">
      <c r="A528" s="20" t="s">
        <v>126</v>
      </c>
      <c r="B528" s="2">
        <v>45053</v>
      </c>
      <c r="C528" t="s">
        <v>9</v>
      </c>
      <c r="D528" t="s">
        <v>9</v>
      </c>
      <c r="E528" t="s">
        <v>34</v>
      </c>
      <c r="F528">
        <v>94</v>
      </c>
      <c r="G528" t="s">
        <v>51</v>
      </c>
      <c r="H528" s="9">
        <f t="shared" si="25"/>
        <v>5</v>
      </c>
      <c r="I528" cm="1">
        <f t="array" ref="I528">IFERROR(INDEX(CourseYardages[[Hole 1]:[Hole 18]],
  MATCH(1, (CourseYardages[Course]=C528)*(CourseYardages[Tees]=E528), 0),
  MATCH(G528, CourseYardages[[#Headers],[Hole 1]:[Hole 18]], 0)
),"")</f>
        <v>347</v>
      </c>
      <c r="J528" cm="1">
        <f t="array" ref="J528">IFERROR(INDEX(CourseHandicap[[Hole 1]:[Hole 18]],
  MATCH(1, (CourseHandicap[Course]=C528)*(CourseHandicap[Tees]=E528), 0),
  MATCH(G528, CourseHandicap[[#Headers],[Hole 1]:[Hole 18]], 0)
),"")</f>
        <v>10</v>
      </c>
      <c r="K528" cm="1">
        <f t="array" ref="K528">IFERROR(INDEX(CourseRatings[[Hole 1]:[Hole 18]],
  MATCH(1, (CourseRatings[Course]=C528)*(CourseRatings[Tees]=E528), 0),
  MATCH(G528, CourseRatings[[#Headers],[Hole 1]:[Hole 18]], 0)
),"")</f>
        <v>4</v>
      </c>
      <c r="L528" cm="1">
        <f t="array" ref="L528">IFERROR(
  INDEX('Golf Log'!$E$2:$V$72,
    MATCH(1,
      ('Golf Log'!$A$2:$A$72=$A528)*
      ('Golf Log'!$B$2:$B$72=$B528)*
      ('Golf Log'!$C$2:$C$72=$C528),
    0),
    MATCH($G528,'Golf Log'!$E$1:$V$1,0)
  ),
"")</f>
        <v>5</v>
      </c>
      <c r="M528">
        <f t="shared" si="24"/>
        <v>1</v>
      </c>
      <c r="N528" t="str">
        <f t="shared" si="21"/>
        <v>Bogey</v>
      </c>
      <c r="O528" cm="1">
        <f t="array" ref="O528">IFERROR(
  INDEX('Putt Log'!$E$2:$V$72,
    MATCH(1,
      ('Putt Log'!$A$2:$A$72=$A528)*
      ('Putt Log'!$B$2:$B$72=$B528)*
      ('Putt Log'!$C$2:$C$72=$C528),
    0),
    MATCH($G528,'Putt Log'!$E$1:$V$1,0)
  ),
"")</f>
        <v>2</v>
      </c>
      <c r="P528" t="str" cm="1">
        <f t="array" ref="P528">IF(K528=3,"",
  IFERROR(
    INDEX('Fairway Log'!$E$2:$V$72,
      MATCH(1,
        ('Fairway Log'!$A$2:$A$72=$A528)*
        ('Fairway Log'!$B$2:$B$72=$B528)*
        ('Fairway Log'!$C$2:$C599=$C528),
      0),
      MATCH($G528,'Fairway Log'!$E$1:$V$1,0)
    ),
  "")
)</f>
        <v>←</v>
      </c>
      <c r="Q528" cm="1">
        <f t="array" ref="Q528">IFERROR(
  INDEX('GIR Log'!$E$2:$V$72,
    MATCH(1,
      ('GIR Log'!$A$2:$A$72=$A528)*
      ('GIR Log'!$B$2:$B$72=$B528)*
      ('GIR Log'!$C$2:$C$72=$C528),
    0),
    MATCH($G528,'GIR Log'!$E$1:$V$1,0)
  ),
"")</f>
        <v>0</v>
      </c>
    </row>
    <row r="529" spans="1:17" x14ac:dyDescent="0.25">
      <c r="A529" s="20" t="s">
        <v>126</v>
      </c>
      <c r="B529" s="2">
        <v>45053</v>
      </c>
      <c r="C529" t="s">
        <v>9</v>
      </c>
      <c r="D529" t="s">
        <v>9</v>
      </c>
      <c r="E529" t="s">
        <v>34</v>
      </c>
      <c r="F529">
        <v>94</v>
      </c>
      <c r="G529" t="s">
        <v>52</v>
      </c>
      <c r="H529" s="9">
        <f t="shared" si="25"/>
        <v>6</v>
      </c>
      <c r="I529" cm="1">
        <f t="array" ref="I529">IFERROR(INDEX(CourseYardages[[Hole 1]:[Hole 18]],
  MATCH(1, (CourseYardages[Course]=C529)*(CourseYardages[Tees]=E529), 0),
  MATCH(G529, CourseYardages[[#Headers],[Hole 1]:[Hole 18]], 0)
),"")</f>
        <v>487</v>
      </c>
      <c r="J529" cm="1">
        <f t="array" ref="J529">IFERROR(INDEX(CourseHandicap[[Hole 1]:[Hole 18]],
  MATCH(1, (CourseHandicap[Course]=C529)*(CourseHandicap[Tees]=E529), 0),
  MATCH(G529, CourseHandicap[[#Headers],[Hole 1]:[Hole 18]], 0)
),"")</f>
        <v>8</v>
      </c>
      <c r="K529" cm="1">
        <f t="array" ref="K529">IFERROR(INDEX(CourseRatings[[Hole 1]:[Hole 18]],
  MATCH(1, (CourseRatings[Course]=C529)*(CourseRatings[Tees]=E529), 0),
  MATCH(G529, CourseRatings[[#Headers],[Hole 1]:[Hole 18]], 0)
),"")</f>
        <v>5</v>
      </c>
      <c r="L529" cm="1">
        <f t="array" ref="L529">IFERROR(
  INDEX('Golf Log'!$E$2:$V$72,
    MATCH(1,
      ('Golf Log'!$A$2:$A$72=$A529)*
      ('Golf Log'!$B$2:$B$72=$B529)*
      ('Golf Log'!$C$2:$C$72=$C529),
    0),
    MATCH($G529,'Golf Log'!$E$1:$V$1,0)
  ),
"")</f>
        <v>5</v>
      </c>
      <c r="M529">
        <f t="shared" si="24"/>
        <v>0</v>
      </c>
      <c r="N529" t="str">
        <f t="shared" si="21"/>
        <v>Par</v>
      </c>
      <c r="O529" cm="1">
        <f t="array" ref="O529">IFERROR(
  INDEX('Putt Log'!$E$2:$V$72,
    MATCH(1,
      ('Putt Log'!$A$2:$A$72=$A529)*
      ('Putt Log'!$B$2:$B$72=$B529)*
      ('Putt Log'!$C$2:$C$72=$C529),
    0),
    MATCH($G529,'Putt Log'!$E$1:$V$1,0)
  ),
"")</f>
        <v>2</v>
      </c>
      <c r="P529" cm="1">
        <f t="array" ref="P529">IF(K529=3,"",
  IFERROR(
    INDEX('Fairway Log'!$E$2:$V$72,
      MATCH(1,
        ('Fairway Log'!$A$2:$A$72=$A529)*
        ('Fairway Log'!$B$2:$B$72=$B529)*
        ('Fairway Log'!$C$2:$C600=$C529),
      0),
      MATCH($G529,'Fairway Log'!$E$1:$V$1,0)
    ),
  "")
)</f>
        <v>1</v>
      </c>
      <c r="Q529" cm="1">
        <f t="array" ref="Q529">IFERROR(
  INDEX('GIR Log'!$E$2:$V$72,
    MATCH(1,
      ('GIR Log'!$A$2:$A$72=$A529)*
      ('GIR Log'!$B$2:$B$72=$B529)*
      ('GIR Log'!$C$2:$C$72=$C529),
    0),
    MATCH($G529,'GIR Log'!$E$1:$V$1,0)
  ),
"")</f>
        <v>1</v>
      </c>
    </row>
    <row r="530" spans="1:17" x14ac:dyDescent="0.25">
      <c r="A530" s="20" t="s">
        <v>126</v>
      </c>
      <c r="B530" s="2">
        <v>45053</v>
      </c>
      <c r="C530" t="s">
        <v>9</v>
      </c>
      <c r="D530" t="s">
        <v>9</v>
      </c>
      <c r="E530" t="s">
        <v>34</v>
      </c>
      <c r="F530">
        <v>94</v>
      </c>
      <c r="G530" t="s">
        <v>53</v>
      </c>
      <c r="H530" s="9">
        <f t="shared" si="25"/>
        <v>7</v>
      </c>
      <c r="I530" cm="1">
        <f t="array" ref="I530">IFERROR(INDEX(CourseYardages[[Hole 1]:[Hole 18]],
  MATCH(1, (CourseYardages[Course]=C530)*(CourseYardages[Tees]=E530), 0),
  MATCH(G530, CourseYardages[[#Headers],[Hole 1]:[Hole 18]], 0)
),"")</f>
        <v>174</v>
      </c>
      <c r="J530" cm="1">
        <f t="array" ref="J530">IFERROR(INDEX(CourseHandicap[[Hole 1]:[Hole 18]],
  MATCH(1, (CourseHandicap[Course]=C530)*(CourseHandicap[Tees]=E530), 0),
  MATCH(G530, CourseHandicap[[#Headers],[Hole 1]:[Hole 18]], 0)
),"")</f>
        <v>16</v>
      </c>
      <c r="K530" cm="1">
        <f t="array" ref="K530">IFERROR(INDEX(CourseRatings[[Hole 1]:[Hole 18]],
  MATCH(1, (CourseRatings[Course]=C530)*(CourseRatings[Tees]=E530), 0),
  MATCH(G530, CourseRatings[[#Headers],[Hole 1]:[Hole 18]], 0)
),"")</f>
        <v>3</v>
      </c>
      <c r="L530" cm="1">
        <f t="array" ref="L530">IFERROR(
  INDEX('Golf Log'!$E$2:$V$72,
    MATCH(1,
      ('Golf Log'!$A$2:$A$72=$A530)*
      ('Golf Log'!$B$2:$B$72=$B530)*
      ('Golf Log'!$C$2:$C$72=$C530),
    0),
    MATCH($G530,'Golf Log'!$E$1:$V$1,0)
  ),
"")</f>
        <v>4</v>
      </c>
      <c r="M530">
        <f t="shared" si="24"/>
        <v>1</v>
      </c>
      <c r="N530" t="str">
        <f t="shared" si="21"/>
        <v>Bogey</v>
      </c>
      <c r="O530" cm="1">
        <f t="array" ref="O530">IFERROR(
  INDEX('Putt Log'!$E$2:$V$72,
    MATCH(1,
      ('Putt Log'!$A$2:$A$72=$A530)*
      ('Putt Log'!$B$2:$B$72=$B530)*
      ('Putt Log'!$C$2:$C$72=$C530),
    0),
    MATCH($G530,'Putt Log'!$E$1:$V$1,0)
  ),
"")</f>
        <v>3</v>
      </c>
      <c r="P530" t="str" cm="1">
        <f t="array" ref="P530">IF(K530=3,"",
  IFERROR(
    INDEX('Fairway Log'!$E$2:$V$72,
      MATCH(1,
        ('Fairway Log'!$A$2:$A$72=$A530)*
        ('Fairway Log'!$B$2:$B$72=$B530)*
        ('Fairway Log'!$C$2:$C601=$C530),
      0),
      MATCH($G530,'Fairway Log'!$E$1:$V$1,0)
    ),
  "")
)</f>
        <v/>
      </c>
      <c r="Q530" cm="1">
        <f t="array" ref="Q530">IFERROR(
  INDEX('GIR Log'!$E$2:$V$72,
    MATCH(1,
      ('GIR Log'!$A$2:$A$72=$A530)*
      ('GIR Log'!$B$2:$B$72=$B530)*
      ('GIR Log'!$C$2:$C$72=$C530),
    0),
    MATCH($G530,'GIR Log'!$E$1:$V$1,0)
  ),
"")</f>
        <v>1</v>
      </c>
    </row>
    <row r="531" spans="1:17" x14ac:dyDescent="0.25">
      <c r="A531" s="20" t="s">
        <v>126</v>
      </c>
      <c r="B531" s="2">
        <v>45053</v>
      </c>
      <c r="C531" t="s">
        <v>9</v>
      </c>
      <c r="D531" t="s">
        <v>9</v>
      </c>
      <c r="E531" t="s">
        <v>34</v>
      </c>
      <c r="F531">
        <v>94</v>
      </c>
      <c r="G531" t="s">
        <v>54</v>
      </c>
      <c r="H531" s="9">
        <f t="shared" si="25"/>
        <v>8</v>
      </c>
      <c r="I531" cm="1">
        <f t="array" ref="I531">IFERROR(INDEX(CourseYardages[[Hole 1]:[Hole 18]],
  MATCH(1, (CourseYardages[Course]=C531)*(CourseYardages[Tees]=E531), 0),
  MATCH(G531, CourseYardages[[#Headers],[Hole 1]:[Hole 18]], 0)
),"")</f>
        <v>360</v>
      </c>
      <c r="J531" cm="1">
        <f t="array" ref="J531">IFERROR(INDEX(CourseHandicap[[Hole 1]:[Hole 18]],
  MATCH(1, (CourseHandicap[Course]=C531)*(CourseHandicap[Tees]=E531), 0),
  MATCH(G531, CourseHandicap[[#Headers],[Hole 1]:[Hole 18]], 0)
),"")</f>
        <v>12</v>
      </c>
      <c r="K531" cm="1">
        <f t="array" ref="K531">IFERROR(INDEX(CourseRatings[[Hole 1]:[Hole 18]],
  MATCH(1, (CourseRatings[Course]=C531)*(CourseRatings[Tees]=E531), 0),
  MATCH(G531, CourseRatings[[#Headers],[Hole 1]:[Hole 18]], 0)
),"")</f>
        <v>4</v>
      </c>
      <c r="L531" cm="1">
        <f t="array" ref="L531">IFERROR(
  INDEX('Golf Log'!$E$2:$V$72,
    MATCH(1,
      ('Golf Log'!$A$2:$A$72=$A531)*
      ('Golf Log'!$B$2:$B$72=$B531)*
      ('Golf Log'!$C$2:$C$72=$C531),
    0),
    MATCH($G531,'Golf Log'!$E$1:$V$1,0)
  ),
"")</f>
        <v>7</v>
      </c>
      <c r="M531">
        <f t="shared" si="24"/>
        <v>3</v>
      </c>
      <c r="N531" t="str">
        <f t="shared" si="21"/>
        <v>Triple Bogey</v>
      </c>
      <c r="O531" cm="1">
        <f t="array" ref="O531">IFERROR(
  INDEX('Putt Log'!$E$2:$V$72,
    MATCH(1,
      ('Putt Log'!$A$2:$A$72=$A531)*
      ('Putt Log'!$B$2:$B$72=$B531)*
      ('Putt Log'!$C$2:$C$72=$C531),
    0),
    MATCH($G531,'Putt Log'!$E$1:$V$1,0)
  ),
"")</f>
        <v>2</v>
      </c>
      <c r="P531" t="str" cm="1">
        <f t="array" ref="P531">IF(K531=3,"",
  IFERROR(
    INDEX('Fairway Log'!$E$2:$V$72,
      MATCH(1,
        ('Fairway Log'!$A$2:$A$72=$A531)*
        ('Fairway Log'!$B$2:$B$72=$B531)*
        ('Fairway Log'!$C$2:$C602=$C531),
      0),
      MATCH($G531,'Fairway Log'!$E$1:$V$1,0)
    ),
  "")
)</f>
        <v>→</v>
      </c>
      <c r="Q531" cm="1">
        <f t="array" ref="Q531">IFERROR(
  INDEX('GIR Log'!$E$2:$V$72,
    MATCH(1,
      ('GIR Log'!$A$2:$A$72=$A531)*
      ('GIR Log'!$B$2:$B$72=$B531)*
      ('GIR Log'!$C$2:$C$72=$C531),
    0),
    MATCH($G531,'GIR Log'!$E$1:$V$1,0)
  ),
"")</f>
        <v>0</v>
      </c>
    </row>
    <row r="532" spans="1:17" x14ac:dyDescent="0.25">
      <c r="A532" s="20" t="s">
        <v>126</v>
      </c>
      <c r="B532" s="2">
        <v>45053</v>
      </c>
      <c r="C532" t="s">
        <v>9</v>
      </c>
      <c r="D532" t="s">
        <v>9</v>
      </c>
      <c r="E532" t="s">
        <v>34</v>
      </c>
      <c r="F532">
        <v>94</v>
      </c>
      <c r="G532" t="s">
        <v>55</v>
      </c>
      <c r="H532" s="9">
        <f t="shared" si="25"/>
        <v>9</v>
      </c>
      <c r="I532" cm="1">
        <f t="array" ref="I532">IFERROR(INDEX(CourseYardages[[Hole 1]:[Hole 18]],
  MATCH(1, (CourseYardages[Course]=C532)*(CourseYardages[Tees]=E532), 0),
  MATCH(G532, CourseYardages[[#Headers],[Hole 1]:[Hole 18]], 0)
),"")</f>
        <v>386</v>
      </c>
      <c r="J532" cm="1">
        <f t="array" ref="J532">IFERROR(INDEX(CourseHandicap[[Hole 1]:[Hole 18]],
  MATCH(1, (CourseHandicap[Course]=C532)*(CourseHandicap[Tees]=E532), 0),
  MATCH(G532, CourseHandicap[[#Headers],[Hole 1]:[Hole 18]], 0)
),"")</f>
        <v>18</v>
      </c>
      <c r="K532" cm="1">
        <f t="array" ref="K532">IFERROR(INDEX(CourseRatings[[Hole 1]:[Hole 18]],
  MATCH(1, (CourseRatings[Course]=C532)*(CourseRatings[Tees]=E532), 0),
  MATCH(G532, CourseRatings[[#Headers],[Hole 1]:[Hole 18]], 0)
),"")</f>
        <v>4</v>
      </c>
      <c r="L532" cm="1">
        <f t="array" ref="L532">IFERROR(
  INDEX('Golf Log'!$E$2:$V$72,
    MATCH(1,
      ('Golf Log'!$A$2:$A$72=$A532)*
      ('Golf Log'!$B$2:$B$72=$B532)*
      ('Golf Log'!$C$2:$C$72=$C532),
    0),
    MATCH($G532,'Golf Log'!$E$1:$V$1,0)
  ),
"")</f>
        <v>5</v>
      </c>
      <c r="M532">
        <f t="shared" si="24"/>
        <v>1</v>
      </c>
      <c r="N532" t="str">
        <f t="shared" si="21"/>
        <v>Bogey</v>
      </c>
      <c r="O532" cm="1">
        <f t="array" ref="O532">IFERROR(
  INDEX('Putt Log'!$E$2:$V$72,
    MATCH(1,
      ('Putt Log'!$A$2:$A$72=$A532)*
      ('Putt Log'!$B$2:$B$72=$B532)*
      ('Putt Log'!$C$2:$C$72=$C532),
    0),
    MATCH($G532,'Putt Log'!$E$1:$V$1,0)
  ),
"")</f>
        <v>2</v>
      </c>
      <c r="P532" t="str" cm="1">
        <f t="array" ref="P532">IF(K532=3,"",
  IFERROR(
    INDEX('Fairway Log'!$E$2:$V$72,
      MATCH(1,
        ('Fairway Log'!$A$2:$A$72=$A532)*
        ('Fairway Log'!$B$2:$B$72=$B532)*
        ('Fairway Log'!$C$2:$C603=$C532),
      0),
      MATCH($G532,'Fairway Log'!$E$1:$V$1,0)
    ),
  "")
)</f>
        <v>→</v>
      </c>
      <c r="Q532" cm="1">
        <f t="array" ref="Q532">IFERROR(
  INDEX('GIR Log'!$E$2:$V$72,
    MATCH(1,
      ('GIR Log'!$A$2:$A$72=$A532)*
      ('GIR Log'!$B$2:$B$72=$B532)*
      ('GIR Log'!$C$2:$C$72=$C532),
    0),
    MATCH($G532,'GIR Log'!$E$1:$V$1,0)
  ),
"")</f>
        <v>0</v>
      </c>
    </row>
    <row r="533" spans="1:17" x14ac:dyDescent="0.25">
      <c r="A533" s="20" t="s">
        <v>126</v>
      </c>
      <c r="B533" s="2">
        <v>45053</v>
      </c>
      <c r="C533" t="s">
        <v>9</v>
      </c>
      <c r="D533" t="s">
        <v>9</v>
      </c>
      <c r="E533" t="s">
        <v>34</v>
      </c>
      <c r="F533">
        <v>94</v>
      </c>
      <c r="G533" t="s">
        <v>56</v>
      </c>
      <c r="H533" s="9">
        <f t="shared" si="25"/>
        <v>10</v>
      </c>
      <c r="I533" cm="1">
        <f t="array" ref="I533">IFERROR(INDEX(CourseYardages[[Hole 1]:[Hole 18]],
  MATCH(1, (CourseYardages[Course]=C533)*(CourseYardages[Tees]=E533), 0),
  MATCH(G533, CourseYardages[[#Headers],[Hole 1]:[Hole 18]], 0)
),"")</f>
        <v>524</v>
      </c>
      <c r="J533" cm="1">
        <f t="array" ref="J533">IFERROR(INDEX(CourseHandicap[[Hole 1]:[Hole 18]],
  MATCH(1, (CourseHandicap[Course]=C533)*(CourseHandicap[Tees]=E533), 0),
  MATCH(G533, CourseHandicap[[#Headers],[Hole 1]:[Hole 18]], 0)
),"")</f>
        <v>3</v>
      </c>
      <c r="K533" cm="1">
        <f t="array" ref="K533">IFERROR(INDEX(CourseRatings[[Hole 1]:[Hole 18]],
  MATCH(1, (CourseRatings[Course]=C533)*(CourseRatings[Tees]=E533), 0),
  MATCH(G533, CourseRatings[[#Headers],[Hole 1]:[Hole 18]], 0)
),"")</f>
        <v>5</v>
      </c>
      <c r="L533" cm="1">
        <f t="array" ref="L533">IFERROR(
  INDEX('Golf Log'!$E$2:$V$72,
    MATCH(1,
      ('Golf Log'!$A$2:$A$72=$A533)*
      ('Golf Log'!$B$2:$B$72=$B533)*
      ('Golf Log'!$C$2:$C$72=$C533),
    0),
    MATCH($G533,'Golf Log'!$E$1:$V$1,0)
  ),
"")</f>
        <v>6</v>
      </c>
      <c r="M533">
        <f t="shared" si="24"/>
        <v>1</v>
      </c>
      <c r="N533" t="str">
        <f t="shared" si="21"/>
        <v>Bogey</v>
      </c>
      <c r="O533" cm="1">
        <f t="array" ref="O533">IFERROR(
  INDEX('Putt Log'!$E$2:$V$72,
    MATCH(1,
      ('Putt Log'!$A$2:$A$72=$A533)*
      ('Putt Log'!$B$2:$B$72=$B533)*
      ('Putt Log'!$C$2:$C$72=$C533),
    0),
    MATCH($G533,'Putt Log'!$E$1:$V$1,0)
  ),
"")</f>
        <v>2</v>
      </c>
      <c r="P533" t="str" cm="1">
        <f t="array" ref="P533">IF(K533=3,"",
  IFERROR(
    INDEX('Fairway Log'!$E$2:$V$72,
      MATCH(1,
        ('Fairway Log'!$A$2:$A$72=$A533)*
        ('Fairway Log'!$B$2:$B$72=$B533)*
        ('Fairway Log'!$C$2:$C604=$C533),
      0),
      MATCH($G533,'Fairway Log'!$E$1:$V$1,0)
    ),
  "")
)</f>
        <v>↑</v>
      </c>
      <c r="Q533" cm="1">
        <f t="array" ref="Q533">IFERROR(
  INDEX('GIR Log'!$E$2:$V$72,
    MATCH(1,
      ('GIR Log'!$A$2:$A$72=$A533)*
      ('GIR Log'!$B$2:$B$72=$B533)*
      ('GIR Log'!$C$2:$C$72=$C533),
    0),
    MATCH($G533,'GIR Log'!$E$1:$V$1,0)
  ),
"")</f>
        <v>0</v>
      </c>
    </row>
    <row r="534" spans="1:17" x14ac:dyDescent="0.25">
      <c r="A534" s="20" t="s">
        <v>126</v>
      </c>
      <c r="B534" s="2">
        <v>45053</v>
      </c>
      <c r="C534" t="s">
        <v>9</v>
      </c>
      <c r="D534" t="s">
        <v>9</v>
      </c>
      <c r="E534" t="s">
        <v>34</v>
      </c>
      <c r="F534">
        <v>94</v>
      </c>
      <c r="G534" t="s">
        <v>57</v>
      </c>
      <c r="H534" s="9">
        <f t="shared" si="25"/>
        <v>11</v>
      </c>
      <c r="I534" cm="1">
        <f t="array" ref="I534">IFERROR(INDEX(CourseYardages[[Hole 1]:[Hole 18]],
  MATCH(1, (CourseYardages[Course]=C534)*(CourseYardages[Tees]=E534), 0),
  MATCH(G534, CourseYardages[[#Headers],[Hole 1]:[Hole 18]], 0)
),"")</f>
        <v>188</v>
      </c>
      <c r="J534" cm="1">
        <f t="array" ref="J534">IFERROR(INDEX(CourseHandicap[[Hole 1]:[Hole 18]],
  MATCH(1, (CourseHandicap[Course]=C534)*(CourseHandicap[Tees]=E534), 0),
  MATCH(G534, CourseHandicap[[#Headers],[Hole 1]:[Hole 18]], 0)
),"")</f>
        <v>11</v>
      </c>
      <c r="K534" cm="1">
        <f t="array" ref="K534">IFERROR(INDEX(CourseRatings[[Hole 1]:[Hole 18]],
  MATCH(1, (CourseRatings[Course]=C534)*(CourseRatings[Tees]=E534), 0),
  MATCH(G534, CourseRatings[[#Headers],[Hole 1]:[Hole 18]], 0)
),"")</f>
        <v>3</v>
      </c>
      <c r="L534" cm="1">
        <f t="array" ref="L534">IFERROR(
  INDEX('Golf Log'!$E$2:$V$72,
    MATCH(1,
      ('Golf Log'!$A$2:$A$72=$A534)*
      ('Golf Log'!$B$2:$B$72=$B534)*
      ('Golf Log'!$C$2:$C$72=$C534),
    0),
    MATCH($G534,'Golf Log'!$E$1:$V$1,0)
  ),
"")</f>
        <v>4</v>
      </c>
      <c r="M534">
        <f t="shared" ref="M534:M595" si="26">IFERROR(L534-K534,"")</f>
        <v>1</v>
      </c>
      <c r="N534" t="str">
        <f t="shared" si="21"/>
        <v>Bogey</v>
      </c>
      <c r="O534" cm="1">
        <f t="array" ref="O534">IFERROR(
  INDEX('Putt Log'!$E$2:$V$72,
    MATCH(1,
      ('Putt Log'!$A$2:$A$72=$A534)*
      ('Putt Log'!$B$2:$B$72=$B534)*
      ('Putt Log'!$C$2:$C$72=$C534),
    0),
    MATCH($G534,'Putt Log'!$E$1:$V$1,0)
  ),
"")</f>
        <v>1</v>
      </c>
      <c r="P534" t="str" cm="1">
        <f t="array" ref="P534">IF(K534=3,"",
  IFERROR(
    INDEX('Fairway Log'!$E$2:$V$72,
      MATCH(1,
        ('Fairway Log'!$A$2:$A$72=$A534)*
        ('Fairway Log'!$B$2:$B$72=$B534)*
        ('Fairway Log'!$C$2:$C605=$C534),
      0),
      MATCH($G534,'Fairway Log'!$E$1:$V$1,0)
    ),
  "")
)</f>
        <v/>
      </c>
      <c r="Q534" cm="1">
        <f t="array" ref="Q534">IFERROR(
  INDEX('GIR Log'!$E$2:$V$72,
    MATCH(1,
      ('GIR Log'!$A$2:$A$72=$A534)*
      ('GIR Log'!$B$2:$B$72=$B534)*
      ('GIR Log'!$C$2:$C$72=$C534),
    0),
    MATCH($G534,'GIR Log'!$E$1:$V$1,0)
  ),
"")</f>
        <v>0</v>
      </c>
    </row>
    <row r="535" spans="1:17" x14ac:dyDescent="0.25">
      <c r="A535" s="20" t="s">
        <v>126</v>
      </c>
      <c r="B535" s="2">
        <v>45053</v>
      </c>
      <c r="C535" t="s">
        <v>9</v>
      </c>
      <c r="D535" t="s">
        <v>9</v>
      </c>
      <c r="E535" t="s">
        <v>34</v>
      </c>
      <c r="F535">
        <v>94</v>
      </c>
      <c r="G535" t="s">
        <v>58</v>
      </c>
      <c r="H535" s="9">
        <f t="shared" si="25"/>
        <v>12</v>
      </c>
      <c r="I535" cm="1">
        <f t="array" ref="I535">IFERROR(INDEX(CourseYardages[[Hole 1]:[Hole 18]],
  MATCH(1, (CourseYardages[Course]=C535)*(CourseYardages[Tees]=E535), 0),
  MATCH(G535, CourseYardages[[#Headers],[Hole 1]:[Hole 18]], 0)
),"")</f>
        <v>313</v>
      </c>
      <c r="J535" cm="1">
        <f t="array" ref="J535">IFERROR(INDEX(CourseHandicap[[Hole 1]:[Hole 18]],
  MATCH(1, (CourseHandicap[Course]=C535)*(CourseHandicap[Tees]=E535), 0),
  MATCH(G535, CourseHandicap[[#Headers],[Hole 1]:[Hole 18]], 0)
),"")</f>
        <v>17</v>
      </c>
      <c r="K535" cm="1">
        <f t="array" ref="K535">IFERROR(INDEX(CourseRatings[[Hole 1]:[Hole 18]],
  MATCH(1, (CourseRatings[Course]=C535)*(CourseRatings[Tees]=E535), 0),
  MATCH(G535, CourseRatings[[#Headers],[Hole 1]:[Hole 18]], 0)
),"")</f>
        <v>4</v>
      </c>
      <c r="L535" cm="1">
        <f t="array" ref="L535">IFERROR(
  INDEX('Golf Log'!$E$2:$V$72,
    MATCH(1,
      ('Golf Log'!$A$2:$A$72=$A535)*
      ('Golf Log'!$B$2:$B$72=$B535)*
      ('Golf Log'!$C$2:$C$72=$C535),
    0),
    MATCH($G535,'Golf Log'!$E$1:$V$1,0)
  ),
"")</f>
        <v>5</v>
      </c>
      <c r="M535">
        <f t="shared" si="26"/>
        <v>1</v>
      </c>
      <c r="N535" t="str">
        <f t="shared" si="21"/>
        <v>Bogey</v>
      </c>
      <c r="O535" cm="1">
        <f t="array" ref="O535">IFERROR(
  INDEX('Putt Log'!$E$2:$V$72,
    MATCH(1,
      ('Putt Log'!$A$2:$A$72=$A535)*
      ('Putt Log'!$B$2:$B$72=$B535)*
      ('Putt Log'!$C$2:$C$72=$C535),
    0),
    MATCH($G535,'Putt Log'!$E$1:$V$1,0)
  ),
"")</f>
        <v>2</v>
      </c>
      <c r="P535" cm="1">
        <f t="array" ref="P535">IF(K535=3,"",
  IFERROR(
    INDEX('Fairway Log'!$E$2:$V$72,
      MATCH(1,
        ('Fairway Log'!$A$2:$A$72=$A535)*
        ('Fairway Log'!$B$2:$B$72=$B535)*
        ('Fairway Log'!$C$2:$C606=$C535),
      0),
      MATCH($G535,'Fairway Log'!$E$1:$V$1,0)
    ),
  "")
)</f>
        <v>1</v>
      </c>
      <c r="Q535" cm="1">
        <f t="array" ref="Q535">IFERROR(
  INDEX('GIR Log'!$E$2:$V$72,
    MATCH(1,
      ('GIR Log'!$A$2:$A$72=$A535)*
      ('GIR Log'!$B$2:$B$72=$B535)*
      ('GIR Log'!$C$2:$C$72=$C535),
    0),
    MATCH($G535,'GIR Log'!$E$1:$V$1,0)
  ),
"")</f>
        <v>0</v>
      </c>
    </row>
    <row r="536" spans="1:17" x14ac:dyDescent="0.25">
      <c r="A536" s="20" t="s">
        <v>126</v>
      </c>
      <c r="B536" s="2">
        <v>45053</v>
      </c>
      <c r="C536" t="s">
        <v>9</v>
      </c>
      <c r="D536" t="s">
        <v>9</v>
      </c>
      <c r="E536" t="s">
        <v>34</v>
      </c>
      <c r="F536">
        <v>94</v>
      </c>
      <c r="G536" t="s">
        <v>59</v>
      </c>
      <c r="H536" s="9">
        <f t="shared" si="25"/>
        <v>13</v>
      </c>
      <c r="I536" cm="1">
        <f t="array" ref="I536">IFERROR(INDEX(CourseYardages[[Hole 1]:[Hole 18]],
  MATCH(1, (CourseYardages[Course]=C536)*(CourseYardages[Tees]=E536), 0),
  MATCH(G536, CourseYardages[[#Headers],[Hole 1]:[Hole 18]], 0)
),"")</f>
        <v>429</v>
      </c>
      <c r="J536" cm="1">
        <f t="array" ref="J536">IFERROR(INDEX(CourseHandicap[[Hole 1]:[Hole 18]],
  MATCH(1, (CourseHandicap[Course]=C536)*(CourseHandicap[Tees]=E536), 0),
  MATCH(G536, CourseHandicap[[#Headers],[Hole 1]:[Hole 18]], 0)
),"")</f>
        <v>1</v>
      </c>
      <c r="K536" cm="1">
        <f t="array" ref="K536">IFERROR(INDEX(CourseRatings[[Hole 1]:[Hole 18]],
  MATCH(1, (CourseRatings[Course]=C536)*(CourseRatings[Tees]=E536), 0),
  MATCH(G536, CourseRatings[[#Headers],[Hole 1]:[Hole 18]], 0)
),"")</f>
        <v>4</v>
      </c>
      <c r="L536" cm="1">
        <f t="array" ref="L536">IFERROR(
  INDEX('Golf Log'!$E$2:$V$72,
    MATCH(1,
      ('Golf Log'!$A$2:$A$72=$A536)*
      ('Golf Log'!$B$2:$B$72=$B536)*
      ('Golf Log'!$C$2:$C$72=$C536),
    0),
    MATCH($G536,'Golf Log'!$E$1:$V$1,0)
  ),
"")</f>
        <v>7</v>
      </c>
      <c r="M536">
        <f t="shared" si="26"/>
        <v>3</v>
      </c>
      <c r="N536" t="str">
        <f t="shared" si="21"/>
        <v>Triple Bogey</v>
      </c>
      <c r="O536" cm="1">
        <f t="array" ref="O536">IFERROR(
  INDEX('Putt Log'!$E$2:$V$72,
    MATCH(1,
      ('Putt Log'!$A$2:$A$72=$A536)*
      ('Putt Log'!$B$2:$B$72=$B536)*
      ('Putt Log'!$C$2:$C$72=$C536),
    0),
    MATCH($G536,'Putt Log'!$E$1:$V$1,0)
  ),
"")</f>
        <v>3</v>
      </c>
      <c r="P536" cm="1">
        <f t="array" ref="P536">IF(K536=3,"",
  IFERROR(
    INDEX('Fairway Log'!$E$2:$V$72,
      MATCH(1,
        ('Fairway Log'!$A$2:$A$72=$A536)*
        ('Fairway Log'!$B$2:$B$72=$B536)*
        ('Fairway Log'!$C$2:$C607=$C536),
      0),
      MATCH($G536,'Fairway Log'!$E$1:$V$1,0)
    ),
  "")
)</f>
        <v>1</v>
      </c>
      <c r="Q536" cm="1">
        <f t="array" ref="Q536">IFERROR(
  INDEX('GIR Log'!$E$2:$V$72,
    MATCH(1,
      ('GIR Log'!$A$2:$A$72=$A536)*
      ('GIR Log'!$B$2:$B$72=$B536)*
      ('GIR Log'!$C$2:$C$72=$C536),
    0),
    MATCH($G536,'GIR Log'!$E$1:$V$1,0)
  ),
"")</f>
        <v>0</v>
      </c>
    </row>
    <row r="537" spans="1:17" x14ac:dyDescent="0.25">
      <c r="A537" s="20" t="s">
        <v>126</v>
      </c>
      <c r="B537" s="2">
        <v>45053</v>
      </c>
      <c r="C537" t="s">
        <v>9</v>
      </c>
      <c r="D537" t="s">
        <v>9</v>
      </c>
      <c r="E537" t="s">
        <v>34</v>
      </c>
      <c r="F537">
        <v>94</v>
      </c>
      <c r="G537" t="s">
        <v>60</v>
      </c>
      <c r="H537" s="9">
        <f t="shared" si="25"/>
        <v>14</v>
      </c>
      <c r="I537" cm="1">
        <f t="array" ref="I537">IFERROR(INDEX(CourseYardages[[Hole 1]:[Hole 18]],
  MATCH(1, (CourseYardages[Course]=C537)*(CourseYardages[Tees]=E537), 0),
  MATCH(G537, CourseYardages[[#Headers],[Hole 1]:[Hole 18]], 0)
),"")</f>
        <v>188</v>
      </c>
      <c r="J537" cm="1">
        <f t="array" ref="J537">IFERROR(INDEX(CourseHandicap[[Hole 1]:[Hole 18]],
  MATCH(1, (CourseHandicap[Course]=C537)*(CourseHandicap[Tees]=E537), 0),
  MATCH(G537, CourseHandicap[[#Headers],[Hole 1]:[Hole 18]], 0)
),"")</f>
        <v>9</v>
      </c>
      <c r="K537" cm="1">
        <f t="array" ref="K537">IFERROR(INDEX(CourseRatings[[Hole 1]:[Hole 18]],
  MATCH(1, (CourseRatings[Course]=C537)*(CourseRatings[Tees]=E537), 0),
  MATCH(G537, CourseRatings[[#Headers],[Hole 1]:[Hole 18]], 0)
),"")</f>
        <v>3</v>
      </c>
      <c r="L537" cm="1">
        <f t="array" ref="L537">IFERROR(
  INDEX('Golf Log'!$E$2:$V$72,
    MATCH(1,
      ('Golf Log'!$A$2:$A$72=$A537)*
      ('Golf Log'!$B$2:$B$72=$B537)*
      ('Golf Log'!$C$2:$C$72=$C537),
    0),
    MATCH($G537,'Golf Log'!$E$1:$V$1,0)
  ),
"")</f>
        <v>4</v>
      </c>
      <c r="M537">
        <f t="shared" si="26"/>
        <v>1</v>
      </c>
      <c r="N537" t="str">
        <f t="shared" si="21"/>
        <v>Bogey</v>
      </c>
      <c r="O537" cm="1">
        <f t="array" ref="O537">IFERROR(
  INDEX('Putt Log'!$E$2:$V$72,
    MATCH(1,
      ('Putt Log'!$A$2:$A$72=$A537)*
      ('Putt Log'!$B$2:$B$72=$B537)*
      ('Putt Log'!$C$2:$C$72=$C537),
    0),
    MATCH($G537,'Putt Log'!$E$1:$V$1,0)
  ),
"")</f>
        <v>1</v>
      </c>
      <c r="P537" t="str" cm="1">
        <f t="array" ref="P537">IF(K537=3,"",
  IFERROR(
    INDEX('Fairway Log'!$E$2:$V$72,
      MATCH(1,
        ('Fairway Log'!$A$2:$A$72=$A537)*
        ('Fairway Log'!$B$2:$B$72=$B537)*
        ('Fairway Log'!$C$2:$C608=$C537),
      0),
      MATCH($G537,'Fairway Log'!$E$1:$V$1,0)
    ),
  "")
)</f>
        <v/>
      </c>
      <c r="Q537" cm="1">
        <f t="array" ref="Q537">IFERROR(
  INDEX('GIR Log'!$E$2:$V$72,
    MATCH(1,
      ('GIR Log'!$A$2:$A$72=$A537)*
      ('GIR Log'!$B$2:$B$72=$B537)*
      ('GIR Log'!$C$2:$C$72=$C537),
    0),
    MATCH($G537,'GIR Log'!$E$1:$V$1,0)
  ),
"")</f>
        <v>0</v>
      </c>
    </row>
    <row r="538" spans="1:17" x14ac:dyDescent="0.25">
      <c r="A538" s="20" t="s">
        <v>126</v>
      </c>
      <c r="B538" s="2">
        <v>45053</v>
      </c>
      <c r="C538" t="s">
        <v>9</v>
      </c>
      <c r="D538" t="s">
        <v>9</v>
      </c>
      <c r="E538" t="s">
        <v>34</v>
      </c>
      <c r="F538">
        <v>94</v>
      </c>
      <c r="G538" t="s">
        <v>61</v>
      </c>
      <c r="H538" s="9">
        <f t="shared" si="25"/>
        <v>15</v>
      </c>
      <c r="I538" cm="1">
        <f t="array" ref="I538">IFERROR(INDEX(CourseYardages[[Hole 1]:[Hole 18]],
  MATCH(1, (CourseYardages[Course]=C538)*(CourseYardages[Tees]=E538), 0),
  MATCH(G538, CourseYardages[[#Headers],[Hole 1]:[Hole 18]], 0)
),"")</f>
        <v>363</v>
      </c>
      <c r="J538" cm="1">
        <f t="array" ref="J538">IFERROR(INDEX(CourseHandicap[[Hole 1]:[Hole 18]],
  MATCH(1, (CourseHandicap[Course]=C538)*(CourseHandicap[Tees]=E538), 0),
  MATCH(G538, CourseHandicap[[#Headers],[Hole 1]:[Hole 18]], 0)
),"")</f>
        <v>7</v>
      </c>
      <c r="K538" cm="1">
        <f t="array" ref="K538">IFERROR(INDEX(CourseRatings[[Hole 1]:[Hole 18]],
  MATCH(1, (CourseRatings[Course]=C538)*(CourseRatings[Tees]=E538), 0),
  MATCH(G538, CourseRatings[[#Headers],[Hole 1]:[Hole 18]], 0)
),"")</f>
        <v>4</v>
      </c>
      <c r="L538" cm="1">
        <f t="array" ref="L538">IFERROR(
  INDEX('Golf Log'!$E$2:$V$72,
    MATCH(1,
      ('Golf Log'!$A$2:$A$72=$A538)*
      ('Golf Log'!$B$2:$B$72=$B538)*
      ('Golf Log'!$C$2:$C$72=$C538),
    0),
    MATCH($G538,'Golf Log'!$E$1:$V$1,0)
  ),
"")</f>
        <v>4</v>
      </c>
      <c r="M538">
        <f t="shared" si="26"/>
        <v>0</v>
      </c>
      <c r="N538" t="str">
        <f t="shared" si="21"/>
        <v>Par</v>
      </c>
      <c r="O538" cm="1">
        <f t="array" ref="O538">IFERROR(
  INDEX('Putt Log'!$E$2:$V$72,
    MATCH(1,
      ('Putt Log'!$A$2:$A$72=$A538)*
      ('Putt Log'!$B$2:$B$72=$B538)*
      ('Putt Log'!$C$2:$C$72=$C538),
    0),
    MATCH($G538,'Putt Log'!$E$1:$V$1,0)
  ),
"")</f>
        <v>1</v>
      </c>
      <c r="P538" cm="1">
        <f t="array" ref="P538">IF(K538=3,"",
  IFERROR(
    INDEX('Fairway Log'!$E$2:$V$72,
      MATCH(1,
        ('Fairway Log'!$A$2:$A$72=$A538)*
        ('Fairway Log'!$B$2:$B$72=$B538)*
        ('Fairway Log'!$C$2:$C609=$C538),
      0),
      MATCH($G538,'Fairway Log'!$E$1:$V$1,0)
    ),
  "")
)</f>
        <v>1</v>
      </c>
      <c r="Q538" cm="1">
        <f t="array" ref="Q538">IFERROR(
  INDEX('GIR Log'!$E$2:$V$72,
    MATCH(1,
      ('GIR Log'!$A$2:$A$72=$A538)*
      ('GIR Log'!$B$2:$B$72=$B538)*
      ('GIR Log'!$C$2:$C$72=$C538),
    0),
    MATCH($G538,'GIR Log'!$E$1:$V$1,0)
  ),
"")</f>
        <v>0</v>
      </c>
    </row>
    <row r="539" spans="1:17" x14ac:dyDescent="0.25">
      <c r="A539" s="20" t="s">
        <v>126</v>
      </c>
      <c r="B539" s="2">
        <v>45053</v>
      </c>
      <c r="C539" t="s">
        <v>9</v>
      </c>
      <c r="D539" t="s">
        <v>9</v>
      </c>
      <c r="E539" t="s">
        <v>34</v>
      </c>
      <c r="F539">
        <v>94</v>
      </c>
      <c r="G539" t="s">
        <v>62</v>
      </c>
      <c r="H539" s="9">
        <f t="shared" si="25"/>
        <v>16</v>
      </c>
      <c r="I539" cm="1">
        <f t="array" ref="I539">IFERROR(INDEX(CourseYardages[[Hole 1]:[Hole 18]],
  MATCH(1, (CourseYardages[Course]=C539)*(CourseYardages[Tees]=E539), 0),
  MATCH(G539, CourseYardages[[#Headers],[Hole 1]:[Hole 18]], 0)
),"")</f>
        <v>353</v>
      </c>
      <c r="J539" cm="1">
        <f t="array" ref="J539">IFERROR(INDEX(CourseHandicap[[Hole 1]:[Hole 18]],
  MATCH(1, (CourseHandicap[Course]=C539)*(CourseHandicap[Tees]=E539), 0),
  MATCH(G539, CourseHandicap[[#Headers],[Hole 1]:[Hole 18]], 0)
),"")</f>
        <v>13</v>
      </c>
      <c r="K539" cm="1">
        <f t="array" ref="K539">IFERROR(INDEX(CourseRatings[[Hole 1]:[Hole 18]],
  MATCH(1, (CourseRatings[Course]=C539)*(CourseRatings[Tees]=E539), 0),
  MATCH(G539, CourseRatings[[#Headers],[Hole 1]:[Hole 18]], 0)
),"")</f>
        <v>4</v>
      </c>
      <c r="L539" cm="1">
        <f t="array" ref="L539">IFERROR(
  INDEX('Golf Log'!$E$2:$V$72,
    MATCH(1,
      ('Golf Log'!$A$2:$A$72=$A539)*
      ('Golf Log'!$B$2:$B$72=$B539)*
      ('Golf Log'!$C$2:$C$72=$C539),
    0),
    MATCH($G539,'Golf Log'!$E$1:$V$1,0)
  ),
"")</f>
        <v>5</v>
      </c>
      <c r="M539">
        <f t="shared" si="26"/>
        <v>1</v>
      </c>
      <c r="N539" t="str">
        <f t="shared" si="21"/>
        <v>Bogey</v>
      </c>
      <c r="O539" cm="1">
        <f t="array" ref="O539">IFERROR(
  INDEX('Putt Log'!$E$2:$V$72,
    MATCH(1,
      ('Putt Log'!$A$2:$A$72=$A539)*
      ('Putt Log'!$B$2:$B$72=$B539)*
      ('Putt Log'!$C$2:$C$72=$C539),
    0),
    MATCH($G539,'Putt Log'!$E$1:$V$1,0)
  ),
"")</f>
        <v>2</v>
      </c>
      <c r="P539" cm="1">
        <f t="array" ref="P539">IF(K539=3,"",
  IFERROR(
    INDEX('Fairway Log'!$E$2:$V$72,
      MATCH(1,
        ('Fairway Log'!$A$2:$A$72=$A539)*
        ('Fairway Log'!$B$2:$B$72=$B539)*
        ('Fairway Log'!$C$2:$C610=$C539),
      0),
      MATCH($G539,'Fairway Log'!$E$1:$V$1,0)
    ),
  "")
)</f>
        <v>0</v>
      </c>
      <c r="Q539" cm="1">
        <f t="array" ref="Q539">IFERROR(
  INDEX('GIR Log'!$E$2:$V$72,
    MATCH(1,
      ('GIR Log'!$A$2:$A$72=$A539)*
      ('GIR Log'!$B$2:$B$72=$B539)*
      ('GIR Log'!$C$2:$C$72=$C539),
    0),
    MATCH($G539,'GIR Log'!$E$1:$V$1,0)
  ),
"")</f>
        <v>0</v>
      </c>
    </row>
    <row r="540" spans="1:17" x14ac:dyDescent="0.25">
      <c r="A540" s="20" t="s">
        <v>126</v>
      </c>
      <c r="B540" s="2">
        <v>45053</v>
      </c>
      <c r="C540" t="s">
        <v>9</v>
      </c>
      <c r="D540" t="s">
        <v>9</v>
      </c>
      <c r="E540" t="s">
        <v>34</v>
      </c>
      <c r="F540">
        <v>94</v>
      </c>
      <c r="G540" t="s">
        <v>63</v>
      </c>
      <c r="H540" s="9">
        <f t="shared" si="25"/>
        <v>17</v>
      </c>
      <c r="I540" cm="1">
        <f t="array" ref="I540">IFERROR(INDEX(CourseYardages[[Hole 1]:[Hole 18]],
  MATCH(1, (CourseYardages[Course]=C540)*(CourseYardages[Tees]=E540), 0),
  MATCH(G540, CourseYardages[[#Headers],[Hole 1]:[Hole 18]], 0)
),"")</f>
        <v>485</v>
      </c>
      <c r="J540" cm="1">
        <f t="array" ref="J540">IFERROR(INDEX(CourseHandicap[[Hole 1]:[Hole 18]],
  MATCH(1, (CourseHandicap[Course]=C540)*(CourseHandicap[Tees]=E540), 0),
  MATCH(G540, CourseHandicap[[#Headers],[Hole 1]:[Hole 18]], 0)
),"")</f>
        <v>5</v>
      </c>
      <c r="K540" cm="1">
        <f t="array" ref="K540">IFERROR(INDEX(CourseRatings[[Hole 1]:[Hole 18]],
  MATCH(1, (CourseRatings[Course]=C540)*(CourseRatings[Tees]=E540), 0),
  MATCH(G540, CourseRatings[[#Headers],[Hole 1]:[Hole 18]], 0)
),"")</f>
        <v>5</v>
      </c>
      <c r="L540" cm="1">
        <f t="array" ref="L540">IFERROR(
  INDEX('Golf Log'!$E$2:$V$72,
    MATCH(1,
      ('Golf Log'!$A$2:$A$72=$A540)*
      ('Golf Log'!$B$2:$B$72=$B540)*
      ('Golf Log'!$C$2:$C$72=$C540),
    0),
    MATCH($G540,'Golf Log'!$E$1:$V$1,0)
  ),
"")</f>
        <v>6</v>
      </c>
      <c r="M540">
        <f t="shared" si="26"/>
        <v>1</v>
      </c>
      <c r="N540" t="str">
        <f t="shared" si="21"/>
        <v>Bogey</v>
      </c>
      <c r="O540" cm="1">
        <f t="array" ref="O540">IFERROR(
  INDEX('Putt Log'!$E$2:$V$72,
    MATCH(1,
      ('Putt Log'!$A$2:$A$72=$A540)*
      ('Putt Log'!$B$2:$B$72=$B540)*
      ('Putt Log'!$C$2:$C$72=$C540),
    0),
    MATCH($G540,'Putt Log'!$E$1:$V$1,0)
  ),
"")</f>
        <v>2</v>
      </c>
      <c r="P540" cm="1">
        <f t="array" ref="P540">IF(K540=3,"",
  IFERROR(
    INDEX('Fairway Log'!$E$2:$V$72,
      MATCH(1,
        ('Fairway Log'!$A$2:$A$72=$A540)*
        ('Fairway Log'!$B$2:$B$72=$B540)*
        ('Fairway Log'!$C$2:$C611=$C540),
      0),
      MATCH($G540,'Fairway Log'!$E$1:$V$1,0)
    ),
  "")
)</f>
        <v>0</v>
      </c>
      <c r="Q540" cm="1">
        <f t="array" ref="Q540">IFERROR(
  INDEX('GIR Log'!$E$2:$V$72,
    MATCH(1,
      ('GIR Log'!$A$2:$A$72=$A540)*
      ('GIR Log'!$B$2:$B$72=$B540)*
      ('GIR Log'!$C$2:$C$72=$C540),
    0),
    MATCH($G540,'GIR Log'!$E$1:$V$1,0)
  ),
"")</f>
        <v>0</v>
      </c>
    </row>
    <row r="541" spans="1:17" x14ac:dyDescent="0.25">
      <c r="A541" s="20" t="s">
        <v>126</v>
      </c>
      <c r="B541" s="2">
        <v>45053</v>
      </c>
      <c r="C541" t="s">
        <v>9</v>
      </c>
      <c r="D541" t="s">
        <v>9</v>
      </c>
      <c r="E541" t="s">
        <v>34</v>
      </c>
      <c r="F541">
        <v>94</v>
      </c>
      <c r="G541" t="s">
        <v>64</v>
      </c>
      <c r="H541" s="9">
        <f t="shared" si="25"/>
        <v>18</v>
      </c>
      <c r="I541" cm="1">
        <f t="array" ref="I541">IFERROR(INDEX(CourseYardages[[Hole 1]:[Hole 18]],
  MATCH(1, (CourseYardages[Course]=C541)*(CourseYardages[Tees]=E541), 0),
  MATCH(G541, CourseYardages[[#Headers],[Hole 1]:[Hole 18]], 0)
),"")</f>
        <v>366</v>
      </c>
      <c r="J541" cm="1">
        <f t="array" ref="J541">IFERROR(INDEX(CourseHandicap[[Hole 1]:[Hole 18]],
  MATCH(1, (CourseHandicap[Course]=C541)*(CourseHandicap[Tees]=E541), 0),
  MATCH(G541, CourseHandicap[[#Headers],[Hole 1]:[Hole 18]], 0)
),"")</f>
        <v>15</v>
      </c>
      <c r="K541" cm="1">
        <f t="array" ref="K541">IFERROR(INDEX(CourseRatings[[Hole 1]:[Hole 18]],
  MATCH(1, (CourseRatings[Course]=C541)*(CourseRatings[Tees]=E541), 0),
  MATCH(G541, CourseRatings[[#Headers],[Hole 1]:[Hole 18]], 0)
),"")</f>
        <v>4</v>
      </c>
      <c r="L541" cm="1">
        <f t="array" ref="L541">IFERROR(
  INDEX('Golf Log'!$E$2:$V$72,
    MATCH(1,
      ('Golf Log'!$A$2:$A$72=$A541)*
      ('Golf Log'!$B$2:$B$72=$B541)*
      ('Golf Log'!$C$2:$C$72=$C541),
    0),
    MATCH($G541,'Golf Log'!$E$1:$V$1,0)
  ),
"")</f>
        <v>4</v>
      </c>
      <c r="M541">
        <f t="shared" si="26"/>
        <v>0</v>
      </c>
      <c r="N541" t="str">
        <f t="shared" si="21"/>
        <v>Par</v>
      </c>
      <c r="O541" cm="1">
        <f t="array" ref="O541">IFERROR(
  INDEX('Putt Log'!$E$2:$V$72,
    MATCH(1,
      ('Putt Log'!$A$2:$A$72=$A541)*
      ('Putt Log'!$B$2:$B$72=$B541)*
      ('Putt Log'!$C$2:$C$72=$C541),
    0),
    MATCH($G541,'Putt Log'!$E$1:$V$1,0)
  ),
"")</f>
        <v>2</v>
      </c>
      <c r="P541" cm="1">
        <f t="array" ref="P541">IF(K541=3,"",
  IFERROR(
    INDEX('Fairway Log'!$E$2:$V$72,
      MATCH(1,
        ('Fairway Log'!$A$2:$A$72=$A541)*
        ('Fairway Log'!$B$2:$B$72=$B541)*
        ('Fairway Log'!$C$2:$C612=$C541),
      0),
      MATCH($G541,'Fairway Log'!$E$1:$V$1,0)
    ),
  "")
)</f>
        <v>0</v>
      </c>
      <c r="Q541" cm="1">
        <f t="array" ref="Q541">IFERROR(
  INDEX('GIR Log'!$E$2:$V$72,
    MATCH(1,
      ('GIR Log'!$A$2:$A$72=$A541)*
      ('GIR Log'!$B$2:$B$72=$B541)*
      ('GIR Log'!$C$2:$C$72=$C541),
    0),
    MATCH($G541,'GIR Log'!$E$1:$V$1,0)
  ),
"")</f>
        <v>0</v>
      </c>
    </row>
    <row r="542" spans="1:17" x14ac:dyDescent="0.25">
      <c r="A542" s="20" t="s">
        <v>126</v>
      </c>
      <c r="B542" s="2">
        <v>45050</v>
      </c>
      <c r="C542" t="s">
        <v>3</v>
      </c>
      <c r="D542" t="s">
        <v>3</v>
      </c>
      <c r="E542" t="s">
        <v>34</v>
      </c>
      <c r="F542">
        <v>89</v>
      </c>
      <c r="G542" t="s">
        <v>47</v>
      </c>
      <c r="H542" s="9">
        <f t="shared" si="25"/>
        <v>1</v>
      </c>
      <c r="I542" cm="1">
        <f t="array" ref="I542">IFERROR(INDEX(CourseYardages[[Hole 1]:[Hole 18]],
  MATCH(1, (CourseYardages[Course]=C542)*(CourseYardages[Tees]=E542), 0),
  MATCH(G542, CourseYardages[[#Headers],[Hole 1]:[Hole 18]], 0)
),"")</f>
        <v>354</v>
      </c>
      <c r="J542" cm="1">
        <f t="array" ref="J542">IFERROR(INDEX(CourseHandicap[[Hole 1]:[Hole 18]],
  MATCH(1, (CourseHandicap[Course]=C542)*(CourseHandicap[Tees]=E542), 0),
  MATCH(G542, CourseHandicap[[#Headers],[Hole 1]:[Hole 18]], 0)
),"")</f>
        <v>15</v>
      </c>
      <c r="K542" cm="1">
        <f t="array" ref="K542">IFERROR(INDEX(CourseRatings[[Hole 1]:[Hole 18]],
  MATCH(1, (CourseRatings[Course]=C542)*(CourseRatings[Tees]=E542), 0),
  MATCH(G542, CourseRatings[[#Headers],[Hole 1]:[Hole 18]], 0)
),"")</f>
        <v>4</v>
      </c>
      <c r="L542" cm="1">
        <f t="array" ref="L542">IFERROR(
  INDEX('Golf Log'!$E$2:$V$72,
    MATCH(1,
      ('Golf Log'!$A$2:$A$72=$A542)*
      ('Golf Log'!$B$2:$B$72=$B542)*
      ('Golf Log'!$C$2:$C$72=$C542),
    0),
    MATCH($G542,'Golf Log'!$E$1:$V$1,0)
  ),
"")</f>
        <v>5</v>
      </c>
      <c r="M542">
        <f t="shared" si="26"/>
        <v>1</v>
      </c>
      <c r="N542" t="str">
        <f t="shared" si="21"/>
        <v>Bogey</v>
      </c>
      <c r="O542" cm="1">
        <f t="array" ref="O542">IFERROR(
  INDEX('Putt Log'!$E$2:$V$72,
    MATCH(1,
      ('Putt Log'!$A$2:$A$72=$A542)*
      ('Putt Log'!$B$2:$B$72=$B542)*
      ('Putt Log'!$C$2:$C$72=$C542),
    0),
    MATCH($G542,'Putt Log'!$E$1:$V$1,0)
  ),
"")</f>
        <v>2</v>
      </c>
      <c r="P542" t="str" cm="1">
        <f t="array" ref="P542">IF(K542=3,"",
  IFERROR(
    INDEX('Fairway Log'!$E$2:$V$72,
      MATCH(1,
        ('Fairway Log'!$A$2:$A$72=$A542)*
        ('Fairway Log'!$B$2:$B$72=$B542)*
        ('Fairway Log'!$C$2:$C613=$C542),
      0),
      MATCH($G542,'Fairway Log'!$E$1:$V$1,0)
    ),
  "")
)</f>
        <v>↓</v>
      </c>
      <c r="Q542" cm="1">
        <f t="array" ref="Q542">IFERROR(
  INDEX('GIR Log'!$E$2:$V$72,
    MATCH(1,
      ('GIR Log'!$A$2:$A$72=$A542)*
      ('GIR Log'!$B$2:$B$72=$B542)*
      ('GIR Log'!$C$2:$C$72=$C542),
    0),
    MATCH($G542,'GIR Log'!$E$1:$V$1,0)
  ),
"")</f>
        <v>0</v>
      </c>
    </row>
    <row r="543" spans="1:17" x14ac:dyDescent="0.25">
      <c r="A543" s="20" t="s">
        <v>126</v>
      </c>
      <c r="B543" s="2">
        <v>45050</v>
      </c>
      <c r="C543" t="s">
        <v>3</v>
      </c>
      <c r="D543" t="s">
        <v>3</v>
      </c>
      <c r="E543" t="s">
        <v>34</v>
      </c>
      <c r="F543">
        <v>89</v>
      </c>
      <c r="G543" t="s">
        <v>48</v>
      </c>
      <c r="H543" s="9">
        <f t="shared" si="25"/>
        <v>2</v>
      </c>
      <c r="I543" cm="1">
        <f t="array" ref="I543">IFERROR(INDEX(CourseYardages[[Hole 1]:[Hole 18]],
  MATCH(1, (CourseYardages[Course]=C543)*(CourseYardages[Tees]=E543), 0),
  MATCH(G543, CourseYardages[[#Headers],[Hole 1]:[Hole 18]], 0)
),"")</f>
        <v>380</v>
      </c>
      <c r="J543" cm="1">
        <f t="array" ref="J543">IFERROR(INDEX(CourseHandicap[[Hole 1]:[Hole 18]],
  MATCH(1, (CourseHandicap[Course]=C543)*(CourseHandicap[Tees]=E543), 0),
  MATCH(G543, CourseHandicap[[#Headers],[Hole 1]:[Hole 18]], 0)
),"")</f>
        <v>3</v>
      </c>
      <c r="K543" cm="1">
        <f t="array" ref="K543">IFERROR(INDEX(CourseRatings[[Hole 1]:[Hole 18]],
  MATCH(1, (CourseRatings[Course]=C543)*(CourseRatings[Tees]=E543), 0),
  MATCH(G543, CourseRatings[[#Headers],[Hole 1]:[Hole 18]], 0)
),"")</f>
        <v>4</v>
      </c>
      <c r="L543" cm="1">
        <f t="array" ref="L543">IFERROR(
  INDEX('Golf Log'!$E$2:$V$72,
    MATCH(1,
      ('Golf Log'!$A$2:$A$72=$A543)*
      ('Golf Log'!$B$2:$B$72=$B543)*
      ('Golf Log'!$C$2:$C$72=$C543),
    0),
    MATCH($G543,'Golf Log'!$E$1:$V$1,0)
  ),
"")</f>
        <v>5</v>
      </c>
      <c r="M543">
        <f t="shared" si="26"/>
        <v>1</v>
      </c>
      <c r="N543" t="str">
        <f t="shared" si="21"/>
        <v>Bogey</v>
      </c>
      <c r="O543" cm="1">
        <f t="array" ref="O543">IFERROR(
  INDEX('Putt Log'!$E$2:$V$72,
    MATCH(1,
      ('Putt Log'!$A$2:$A$72=$A543)*
      ('Putt Log'!$B$2:$B$72=$B543)*
      ('Putt Log'!$C$2:$C$72=$C543),
    0),
    MATCH($G543,'Putt Log'!$E$1:$V$1,0)
  ),
"")</f>
        <v>1</v>
      </c>
      <c r="P543" t="str" cm="1">
        <f t="array" ref="P543">IF(K543=3,"",
  IFERROR(
    INDEX('Fairway Log'!$E$2:$V$72,
      MATCH(1,
        ('Fairway Log'!$A$2:$A$72=$A543)*
        ('Fairway Log'!$B$2:$B$72=$B543)*
        ('Fairway Log'!$C$2:$C614=$C543),
      0),
      MATCH($G543,'Fairway Log'!$E$1:$V$1,0)
    ),
  "")
)</f>
        <v>→</v>
      </c>
      <c r="Q543" cm="1">
        <f t="array" ref="Q543">IFERROR(
  INDEX('GIR Log'!$E$2:$V$72,
    MATCH(1,
      ('GIR Log'!$A$2:$A$72=$A543)*
      ('GIR Log'!$B$2:$B$72=$B543)*
      ('GIR Log'!$C$2:$C$72=$C543),
    0),
    MATCH($G543,'GIR Log'!$E$1:$V$1,0)
  ),
"")</f>
        <v>0</v>
      </c>
    </row>
    <row r="544" spans="1:17" x14ac:dyDescent="0.25">
      <c r="A544" s="20" t="s">
        <v>126</v>
      </c>
      <c r="B544" s="2">
        <v>45050</v>
      </c>
      <c r="C544" t="s">
        <v>3</v>
      </c>
      <c r="D544" t="s">
        <v>3</v>
      </c>
      <c r="E544" t="s">
        <v>34</v>
      </c>
      <c r="F544">
        <v>89</v>
      </c>
      <c r="G544" t="s">
        <v>49</v>
      </c>
      <c r="H544" s="9">
        <f t="shared" si="25"/>
        <v>3</v>
      </c>
      <c r="I544" cm="1">
        <f t="array" ref="I544">IFERROR(INDEX(CourseYardages[[Hole 1]:[Hole 18]],
  MATCH(1, (CourseYardages[Course]=C544)*(CourseYardages[Tees]=E544), 0),
  MATCH(G544, CourseYardages[[#Headers],[Hole 1]:[Hole 18]], 0)
),"")</f>
        <v>153</v>
      </c>
      <c r="J544" cm="1">
        <f t="array" ref="J544">IFERROR(INDEX(CourseHandicap[[Hole 1]:[Hole 18]],
  MATCH(1, (CourseHandicap[Course]=C544)*(CourseHandicap[Tees]=E544), 0),
  MATCH(G544, CourseHandicap[[#Headers],[Hole 1]:[Hole 18]], 0)
),"")</f>
        <v>17</v>
      </c>
      <c r="K544" cm="1">
        <f t="array" ref="K544">IFERROR(INDEX(CourseRatings[[Hole 1]:[Hole 18]],
  MATCH(1, (CourseRatings[Course]=C544)*(CourseRatings[Tees]=E544), 0),
  MATCH(G544, CourseRatings[[#Headers],[Hole 1]:[Hole 18]], 0)
),"")</f>
        <v>3</v>
      </c>
      <c r="L544" cm="1">
        <f t="array" ref="L544">IFERROR(
  INDEX('Golf Log'!$E$2:$V$72,
    MATCH(1,
      ('Golf Log'!$A$2:$A$72=$A544)*
      ('Golf Log'!$B$2:$B$72=$B544)*
      ('Golf Log'!$C$2:$C$72=$C544),
    0),
    MATCH($G544,'Golf Log'!$E$1:$V$1,0)
  ),
"")</f>
        <v>3</v>
      </c>
      <c r="M544">
        <f t="shared" si="26"/>
        <v>0</v>
      </c>
      <c r="N544" t="str">
        <f t="shared" si="21"/>
        <v>Par</v>
      </c>
      <c r="O544" cm="1">
        <f t="array" ref="O544">IFERROR(
  INDEX('Putt Log'!$E$2:$V$72,
    MATCH(1,
      ('Putt Log'!$A$2:$A$72=$A544)*
      ('Putt Log'!$B$2:$B$72=$B544)*
      ('Putt Log'!$C$2:$C$72=$C544),
    0),
    MATCH($G544,'Putt Log'!$E$1:$V$1,0)
  ),
"")</f>
        <v>2</v>
      </c>
      <c r="P544" t="str" cm="1">
        <f t="array" ref="P544">IF(K544=3,"",
  IFERROR(
    INDEX('Fairway Log'!$E$2:$V$72,
      MATCH(1,
        ('Fairway Log'!$A$2:$A$72=$A544)*
        ('Fairway Log'!$B$2:$B$72=$B544)*
        ('Fairway Log'!$C$2:$C615=$C544),
      0),
      MATCH($G544,'Fairway Log'!$E$1:$V$1,0)
    ),
  "")
)</f>
        <v/>
      </c>
      <c r="Q544" cm="1">
        <f t="array" ref="Q544">IFERROR(
  INDEX('GIR Log'!$E$2:$V$72,
    MATCH(1,
      ('GIR Log'!$A$2:$A$72=$A544)*
      ('GIR Log'!$B$2:$B$72=$B544)*
      ('GIR Log'!$C$2:$C$72=$C544),
    0),
    MATCH($G544,'GIR Log'!$E$1:$V$1,0)
  ),
"")</f>
        <v>1</v>
      </c>
    </row>
    <row r="545" spans="1:17" x14ac:dyDescent="0.25">
      <c r="A545" s="20" t="s">
        <v>126</v>
      </c>
      <c r="B545" s="2">
        <v>45050</v>
      </c>
      <c r="C545" t="s">
        <v>3</v>
      </c>
      <c r="D545" t="s">
        <v>3</v>
      </c>
      <c r="E545" t="s">
        <v>34</v>
      </c>
      <c r="F545">
        <v>89</v>
      </c>
      <c r="G545" t="s">
        <v>50</v>
      </c>
      <c r="H545" s="9">
        <f t="shared" si="25"/>
        <v>4</v>
      </c>
      <c r="I545" cm="1">
        <f t="array" ref="I545">IFERROR(INDEX(CourseYardages[[Hole 1]:[Hole 18]],
  MATCH(1, (CourseYardages[Course]=C545)*(CourseYardages[Tees]=E545), 0),
  MATCH(G545, CourseYardages[[#Headers],[Hole 1]:[Hole 18]], 0)
),"")</f>
        <v>363</v>
      </c>
      <c r="J545" cm="1">
        <f t="array" ref="J545">IFERROR(INDEX(CourseHandicap[[Hole 1]:[Hole 18]],
  MATCH(1, (CourseHandicap[Course]=C545)*(CourseHandicap[Tees]=E545), 0),
  MATCH(G545, CourseHandicap[[#Headers],[Hole 1]:[Hole 18]], 0)
),"")</f>
        <v>11</v>
      </c>
      <c r="K545" cm="1">
        <f t="array" ref="K545">IFERROR(INDEX(CourseRatings[[Hole 1]:[Hole 18]],
  MATCH(1, (CourseRatings[Course]=C545)*(CourseRatings[Tees]=E545), 0),
  MATCH(G545, CourseRatings[[#Headers],[Hole 1]:[Hole 18]], 0)
),"")</f>
        <v>4</v>
      </c>
      <c r="L545" cm="1">
        <f t="array" ref="L545">IFERROR(
  INDEX('Golf Log'!$E$2:$V$72,
    MATCH(1,
      ('Golf Log'!$A$2:$A$72=$A545)*
      ('Golf Log'!$B$2:$B$72=$B545)*
      ('Golf Log'!$C$2:$C$72=$C545),
    0),
    MATCH($G545,'Golf Log'!$E$1:$V$1,0)
  ),
"")</f>
        <v>5</v>
      </c>
      <c r="M545">
        <f t="shared" si="26"/>
        <v>1</v>
      </c>
      <c r="N545" t="str">
        <f t="shared" si="21"/>
        <v>Bogey</v>
      </c>
      <c r="O545" cm="1">
        <f t="array" ref="O545">IFERROR(
  INDEX('Putt Log'!$E$2:$V$72,
    MATCH(1,
      ('Putt Log'!$A$2:$A$72=$A545)*
      ('Putt Log'!$B$2:$B$72=$B545)*
      ('Putt Log'!$C$2:$C$72=$C545),
    0),
    MATCH($G545,'Putt Log'!$E$1:$V$1,0)
  ),
"")</f>
        <v>2</v>
      </c>
      <c r="P545" cm="1">
        <f t="array" ref="P545">IF(K545=3,"",
  IFERROR(
    INDEX('Fairway Log'!$E$2:$V$72,
      MATCH(1,
        ('Fairway Log'!$A$2:$A$72=$A545)*
        ('Fairway Log'!$B$2:$B$72=$B545)*
        ('Fairway Log'!$C$2:$C616=$C545),
      0),
      MATCH($G545,'Fairway Log'!$E$1:$V$1,0)
    ),
  "")
)</f>
        <v>1</v>
      </c>
      <c r="Q545" cm="1">
        <f t="array" ref="Q545">IFERROR(
  INDEX('GIR Log'!$E$2:$V$72,
    MATCH(1,
      ('GIR Log'!$A$2:$A$72=$A545)*
      ('GIR Log'!$B$2:$B$72=$B545)*
      ('GIR Log'!$C$2:$C$72=$C545),
    0),
    MATCH($G545,'GIR Log'!$E$1:$V$1,0)
  ),
"")</f>
        <v>0</v>
      </c>
    </row>
    <row r="546" spans="1:17" x14ac:dyDescent="0.25">
      <c r="A546" s="20" t="s">
        <v>126</v>
      </c>
      <c r="B546" s="2">
        <v>45050</v>
      </c>
      <c r="C546" t="s">
        <v>3</v>
      </c>
      <c r="D546" t="s">
        <v>3</v>
      </c>
      <c r="E546" t="s">
        <v>34</v>
      </c>
      <c r="F546">
        <v>89</v>
      </c>
      <c r="G546" t="s">
        <v>51</v>
      </c>
      <c r="H546" s="9">
        <f t="shared" si="25"/>
        <v>5</v>
      </c>
      <c r="I546" cm="1">
        <f t="array" ref="I546">IFERROR(INDEX(CourseYardages[[Hole 1]:[Hole 18]],
  MATCH(1, (CourseYardages[Course]=C546)*(CourseYardages[Tees]=E546), 0),
  MATCH(G546, CourseYardages[[#Headers],[Hole 1]:[Hole 18]], 0)
),"")</f>
        <v>400</v>
      </c>
      <c r="J546" cm="1">
        <f t="array" ref="J546">IFERROR(INDEX(CourseHandicap[[Hole 1]:[Hole 18]],
  MATCH(1, (CourseHandicap[Course]=C546)*(CourseHandicap[Tees]=E546), 0),
  MATCH(G546, CourseHandicap[[#Headers],[Hole 1]:[Hole 18]], 0)
),"")</f>
        <v>7</v>
      </c>
      <c r="K546" cm="1">
        <f t="array" ref="K546">IFERROR(INDEX(CourseRatings[[Hole 1]:[Hole 18]],
  MATCH(1, (CourseRatings[Course]=C546)*(CourseRatings[Tees]=E546), 0),
  MATCH(G546, CourseRatings[[#Headers],[Hole 1]:[Hole 18]], 0)
),"")</f>
        <v>4</v>
      </c>
      <c r="L546" cm="1">
        <f t="array" ref="L546">IFERROR(
  INDEX('Golf Log'!$E$2:$V$72,
    MATCH(1,
      ('Golf Log'!$A$2:$A$72=$A546)*
      ('Golf Log'!$B$2:$B$72=$B546)*
      ('Golf Log'!$C$2:$C$72=$C546),
    0),
    MATCH($G546,'Golf Log'!$E$1:$V$1,0)
  ),
"")</f>
        <v>5</v>
      </c>
      <c r="M546">
        <f t="shared" si="26"/>
        <v>1</v>
      </c>
      <c r="N546" t="str">
        <f t="shared" si="21"/>
        <v>Bogey</v>
      </c>
      <c r="O546" cm="1">
        <f t="array" ref="O546">IFERROR(
  INDEX('Putt Log'!$E$2:$V$72,
    MATCH(1,
      ('Putt Log'!$A$2:$A$72=$A546)*
      ('Putt Log'!$B$2:$B$72=$B546)*
      ('Putt Log'!$C$2:$C$72=$C546),
    0),
    MATCH($G546,'Putt Log'!$E$1:$V$1,0)
  ),
"")</f>
        <v>2</v>
      </c>
      <c r="P546" cm="1">
        <f t="array" ref="P546">IF(K546=3,"",
  IFERROR(
    INDEX('Fairway Log'!$E$2:$V$72,
      MATCH(1,
        ('Fairway Log'!$A$2:$A$72=$A546)*
        ('Fairway Log'!$B$2:$B$72=$B546)*
        ('Fairway Log'!$C$2:$C617=$C546),
      0),
      MATCH($G546,'Fairway Log'!$E$1:$V$1,0)
    ),
  "")
)</f>
        <v>1</v>
      </c>
      <c r="Q546" cm="1">
        <f t="array" ref="Q546">IFERROR(
  INDEX('GIR Log'!$E$2:$V$72,
    MATCH(1,
      ('GIR Log'!$A$2:$A$72=$A546)*
      ('GIR Log'!$B$2:$B$72=$B546)*
      ('GIR Log'!$C$2:$C$72=$C546),
    0),
    MATCH($G546,'GIR Log'!$E$1:$V$1,0)
  ),
"")</f>
        <v>0</v>
      </c>
    </row>
    <row r="547" spans="1:17" x14ac:dyDescent="0.25">
      <c r="A547" s="20" t="s">
        <v>126</v>
      </c>
      <c r="B547" s="2">
        <v>45050</v>
      </c>
      <c r="C547" t="s">
        <v>3</v>
      </c>
      <c r="D547" t="s">
        <v>3</v>
      </c>
      <c r="E547" t="s">
        <v>34</v>
      </c>
      <c r="F547">
        <v>89</v>
      </c>
      <c r="G547" t="s">
        <v>52</v>
      </c>
      <c r="H547" s="9">
        <f t="shared" si="25"/>
        <v>6</v>
      </c>
      <c r="I547" cm="1">
        <f t="array" ref="I547">IFERROR(INDEX(CourseYardages[[Hole 1]:[Hole 18]],
  MATCH(1, (CourseYardages[Course]=C547)*(CourseYardages[Tees]=E547), 0),
  MATCH(G547, CourseYardages[[#Headers],[Hole 1]:[Hole 18]], 0)
),"")</f>
        <v>190</v>
      </c>
      <c r="J547" cm="1">
        <f t="array" ref="J547">IFERROR(INDEX(CourseHandicap[[Hole 1]:[Hole 18]],
  MATCH(1, (CourseHandicap[Course]=C547)*(CourseHandicap[Tees]=E547), 0),
  MATCH(G547, CourseHandicap[[#Headers],[Hole 1]:[Hole 18]], 0)
),"")</f>
        <v>5</v>
      </c>
      <c r="K547" cm="1">
        <f t="array" ref="K547">IFERROR(INDEX(CourseRatings[[Hole 1]:[Hole 18]],
  MATCH(1, (CourseRatings[Course]=C547)*(CourseRatings[Tees]=E547), 0),
  MATCH(G547, CourseRatings[[#Headers],[Hole 1]:[Hole 18]], 0)
),"")</f>
        <v>3</v>
      </c>
      <c r="L547" cm="1">
        <f t="array" ref="L547">IFERROR(
  INDEX('Golf Log'!$E$2:$V$72,
    MATCH(1,
      ('Golf Log'!$A$2:$A$72=$A547)*
      ('Golf Log'!$B$2:$B$72=$B547)*
      ('Golf Log'!$C$2:$C$72=$C547),
    0),
    MATCH($G547,'Golf Log'!$E$1:$V$1,0)
  ),
"")</f>
        <v>5</v>
      </c>
      <c r="M547">
        <f t="shared" si="26"/>
        <v>2</v>
      </c>
      <c r="N547" t="str">
        <f t="shared" si="21"/>
        <v>Double Bogey</v>
      </c>
      <c r="O547" cm="1">
        <f t="array" ref="O547">IFERROR(
  INDEX('Putt Log'!$E$2:$V$72,
    MATCH(1,
      ('Putt Log'!$A$2:$A$72=$A547)*
      ('Putt Log'!$B$2:$B$72=$B547)*
      ('Putt Log'!$C$2:$C$72=$C547),
    0),
    MATCH($G547,'Putt Log'!$E$1:$V$1,0)
  ),
"")</f>
        <v>2</v>
      </c>
      <c r="P547" t="str" cm="1">
        <f t="array" ref="P547">IF(K547=3,"",
  IFERROR(
    INDEX('Fairway Log'!$E$2:$V$72,
      MATCH(1,
        ('Fairway Log'!$A$2:$A$72=$A547)*
        ('Fairway Log'!$B$2:$B$72=$B547)*
        ('Fairway Log'!$C$2:$C618=$C547),
      0),
      MATCH($G547,'Fairway Log'!$E$1:$V$1,0)
    ),
  "")
)</f>
        <v/>
      </c>
      <c r="Q547" cm="1">
        <f t="array" ref="Q547">IFERROR(
  INDEX('GIR Log'!$E$2:$V$72,
    MATCH(1,
      ('GIR Log'!$A$2:$A$72=$A547)*
      ('GIR Log'!$B$2:$B$72=$B547)*
      ('GIR Log'!$C$2:$C$72=$C547),
    0),
    MATCH($G547,'GIR Log'!$E$1:$V$1,0)
  ),
"")</f>
        <v>0</v>
      </c>
    </row>
    <row r="548" spans="1:17" x14ac:dyDescent="0.25">
      <c r="A548" s="20" t="s">
        <v>126</v>
      </c>
      <c r="B548" s="2">
        <v>45050</v>
      </c>
      <c r="C548" t="s">
        <v>3</v>
      </c>
      <c r="D548" t="s">
        <v>3</v>
      </c>
      <c r="E548" t="s">
        <v>34</v>
      </c>
      <c r="F548">
        <v>89</v>
      </c>
      <c r="G548" t="s">
        <v>53</v>
      </c>
      <c r="H548" s="9">
        <f t="shared" si="25"/>
        <v>7</v>
      </c>
      <c r="I548" cm="1">
        <f t="array" ref="I548">IFERROR(INDEX(CourseYardages[[Hole 1]:[Hole 18]],
  MATCH(1, (CourseYardages[Course]=C548)*(CourseYardages[Tees]=E548), 0),
  MATCH(G548, CourseYardages[[#Headers],[Hole 1]:[Hole 18]], 0)
),"")</f>
        <v>507</v>
      </c>
      <c r="J548" cm="1">
        <f t="array" ref="J548">IFERROR(INDEX(CourseHandicap[[Hole 1]:[Hole 18]],
  MATCH(1, (CourseHandicap[Course]=C548)*(CourseHandicap[Tees]=E548), 0),
  MATCH(G548, CourseHandicap[[#Headers],[Hole 1]:[Hole 18]], 0)
),"")</f>
        <v>9</v>
      </c>
      <c r="K548" cm="1">
        <f t="array" ref="K548">IFERROR(INDEX(CourseRatings[[Hole 1]:[Hole 18]],
  MATCH(1, (CourseRatings[Course]=C548)*(CourseRatings[Tees]=E548), 0),
  MATCH(G548, CourseRatings[[#Headers],[Hole 1]:[Hole 18]], 0)
),"")</f>
        <v>5</v>
      </c>
      <c r="L548" cm="1">
        <f t="array" ref="L548">IFERROR(
  INDEX('Golf Log'!$E$2:$V$72,
    MATCH(1,
      ('Golf Log'!$A$2:$A$72=$A548)*
      ('Golf Log'!$B$2:$B$72=$B548)*
      ('Golf Log'!$C$2:$C$72=$C548),
    0),
    MATCH($G548,'Golf Log'!$E$1:$V$1,0)
  ),
"")</f>
        <v>7</v>
      </c>
      <c r="M548">
        <f t="shared" si="26"/>
        <v>2</v>
      </c>
      <c r="N548" t="str">
        <f t="shared" si="21"/>
        <v>Double Bogey</v>
      </c>
      <c r="O548" cm="1">
        <f t="array" ref="O548">IFERROR(
  INDEX('Putt Log'!$E$2:$V$72,
    MATCH(1,
      ('Putt Log'!$A$2:$A$72=$A548)*
      ('Putt Log'!$B$2:$B$72=$B548)*
      ('Putt Log'!$C$2:$C$72=$C548),
    0),
    MATCH($G548,'Putt Log'!$E$1:$V$1,0)
  ),
"")</f>
        <v>3</v>
      </c>
      <c r="P548" cm="1">
        <f t="array" ref="P548">IF(K548=3,"",
  IFERROR(
    INDEX('Fairway Log'!$E$2:$V$72,
      MATCH(1,
        ('Fairway Log'!$A$2:$A$72=$A548)*
        ('Fairway Log'!$B$2:$B$72=$B548)*
        ('Fairway Log'!$C$2:$C619=$C548),
      0),
      MATCH($G548,'Fairway Log'!$E$1:$V$1,0)
    ),
  "")
)</f>
        <v>1</v>
      </c>
      <c r="Q548" cm="1">
        <f t="array" ref="Q548">IFERROR(
  INDEX('GIR Log'!$E$2:$V$72,
    MATCH(1,
      ('GIR Log'!$A$2:$A$72=$A548)*
      ('GIR Log'!$B$2:$B$72=$B548)*
      ('GIR Log'!$C$2:$C$72=$C548),
    0),
    MATCH($G548,'GIR Log'!$E$1:$V$1,0)
  ),
"")</f>
        <v>0</v>
      </c>
    </row>
    <row r="549" spans="1:17" x14ac:dyDescent="0.25">
      <c r="A549" s="20" t="s">
        <v>126</v>
      </c>
      <c r="B549" s="2">
        <v>45050</v>
      </c>
      <c r="C549" t="s">
        <v>3</v>
      </c>
      <c r="D549" t="s">
        <v>3</v>
      </c>
      <c r="E549" t="s">
        <v>34</v>
      </c>
      <c r="F549">
        <v>89</v>
      </c>
      <c r="G549" t="s">
        <v>54</v>
      </c>
      <c r="H549" s="9">
        <f t="shared" si="25"/>
        <v>8</v>
      </c>
      <c r="I549" cm="1">
        <f t="array" ref="I549">IFERROR(INDEX(CourseYardages[[Hole 1]:[Hole 18]],
  MATCH(1, (CourseYardages[Course]=C549)*(CourseYardages[Tees]=E549), 0),
  MATCH(G549, CourseYardages[[#Headers],[Hole 1]:[Hole 18]], 0)
),"")</f>
        <v>347</v>
      </c>
      <c r="J549" cm="1">
        <f t="array" ref="J549">IFERROR(INDEX(CourseHandicap[[Hole 1]:[Hole 18]],
  MATCH(1, (CourseHandicap[Course]=C549)*(CourseHandicap[Tees]=E549), 0),
  MATCH(G549, CourseHandicap[[#Headers],[Hole 1]:[Hole 18]], 0)
),"")</f>
        <v>13</v>
      </c>
      <c r="K549" cm="1">
        <f t="array" ref="K549">IFERROR(INDEX(CourseRatings[[Hole 1]:[Hole 18]],
  MATCH(1, (CourseRatings[Course]=C549)*(CourseRatings[Tees]=E549), 0),
  MATCH(G549, CourseRatings[[#Headers],[Hole 1]:[Hole 18]], 0)
),"")</f>
        <v>4</v>
      </c>
      <c r="L549" cm="1">
        <f t="array" ref="L549">IFERROR(
  INDEX('Golf Log'!$E$2:$V$72,
    MATCH(1,
      ('Golf Log'!$A$2:$A$72=$A549)*
      ('Golf Log'!$B$2:$B$72=$B549)*
      ('Golf Log'!$C$2:$C$72=$C549),
    0),
    MATCH($G549,'Golf Log'!$E$1:$V$1,0)
  ),
"")</f>
        <v>5</v>
      </c>
      <c r="M549">
        <f t="shared" si="26"/>
        <v>1</v>
      </c>
      <c r="N549" t="str">
        <f t="shared" si="21"/>
        <v>Bogey</v>
      </c>
      <c r="O549" cm="1">
        <f t="array" ref="O549">IFERROR(
  INDEX('Putt Log'!$E$2:$V$72,
    MATCH(1,
      ('Putt Log'!$A$2:$A$72=$A549)*
      ('Putt Log'!$B$2:$B$72=$B549)*
      ('Putt Log'!$C$2:$C$72=$C549),
    0),
    MATCH($G549,'Putt Log'!$E$1:$V$1,0)
  ),
"")</f>
        <v>2</v>
      </c>
      <c r="P549" t="str" cm="1">
        <f t="array" ref="P549">IF(K549=3,"",
  IFERROR(
    INDEX('Fairway Log'!$E$2:$V$72,
      MATCH(1,
        ('Fairway Log'!$A$2:$A$72=$A549)*
        ('Fairway Log'!$B$2:$B$72=$B549)*
        ('Fairway Log'!$C$2:$C620=$C549),
      0),
      MATCH($G549,'Fairway Log'!$E$1:$V$1,0)
    ),
  "")
)</f>
        <v>↑</v>
      </c>
      <c r="Q549" cm="1">
        <f t="array" ref="Q549">IFERROR(
  INDEX('GIR Log'!$E$2:$V$72,
    MATCH(1,
      ('GIR Log'!$A$2:$A$72=$A549)*
      ('GIR Log'!$B$2:$B$72=$B549)*
      ('GIR Log'!$C$2:$C$72=$C549),
    0),
    MATCH($G549,'GIR Log'!$E$1:$V$1,0)
  ),
"")</f>
        <v>0</v>
      </c>
    </row>
    <row r="550" spans="1:17" x14ac:dyDescent="0.25">
      <c r="A550" s="20" t="s">
        <v>126</v>
      </c>
      <c r="B550" s="2">
        <v>45050</v>
      </c>
      <c r="C550" t="s">
        <v>3</v>
      </c>
      <c r="D550" t="s">
        <v>3</v>
      </c>
      <c r="E550" t="s">
        <v>34</v>
      </c>
      <c r="F550">
        <v>89</v>
      </c>
      <c r="G550" t="s">
        <v>55</v>
      </c>
      <c r="H550" s="9">
        <f t="shared" si="25"/>
        <v>9</v>
      </c>
      <c r="I550" cm="1">
        <f t="array" ref="I550">IFERROR(INDEX(CourseYardages[[Hole 1]:[Hole 18]],
  MATCH(1, (CourseYardages[Course]=C550)*(CourseYardages[Tees]=E550), 0),
  MATCH(G550, CourseYardages[[#Headers],[Hole 1]:[Hole 18]], 0)
),"")</f>
        <v>560</v>
      </c>
      <c r="J550" cm="1">
        <f t="array" ref="J550">IFERROR(INDEX(CourseHandicap[[Hole 1]:[Hole 18]],
  MATCH(1, (CourseHandicap[Course]=C550)*(CourseHandicap[Tees]=E550), 0),
  MATCH(G550, CourseHandicap[[#Headers],[Hole 1]:[Hole 18]], 0)
),"")</f>
        <v>1</v>
      </c>
      <c r="K550" cm="1">
        <f t="array" ref="K550">IFERROR(INDEX(CourseRatings[[Hole 1]:[Hole 18]],
  MATCH(1, (CourseRatings[Course]=C550)*(CourseRatings[Tees]=E550), 0),
  MATCH(G550, CourseRatings[[#Headers],[Hole 1]:[Hole 18]], 0)
),"")</f>
        <v>5</v>
      </c>
      <c r="L550" cm="1">
        <f t="array" ref="L550">IFERROR(
  INDEX('Golf Log'!$E$2:$V$72,
    MATCH(1,
      ('Golf Log'!$A$2:$A$72=$A550)*
      ('Golf Log'!$B$2:$B$72=$B550)*
      ('Golf Log'!$C$2:$C$72=$C550),
    0),
    MATCH($G550,'Golf Log'!$E$1:$V$1,0)
  ),
"")</f>
        <v>8</v>
      </c>
      <c r="M550">
        <f t="shared" si="26"/>
        <v>3</v>
      </c>
      <c r="N550" t="str">
        <f t="shared" si="21"/>
        <v>Triple Bogey</v>
      </c>
      <c r="O550" cm="1">
        <f t="array" ref="O550">IFERROR(
  INDEX('Putt Log'!$E$2:$V$72,
    MATCH(1,
      ('Putt Log'!$A$2:$A$72=$A550)*
      ('Putt Log'!$B$2:$B$72=$B550)*
      ('Putt Log'!$C$2:$C$72=$C550),
    0),
    MATCH($G550,'Putt Log'!$E$1:$V$1,0)
  ),
"")</f>
        <v>3</v>
      </c>
      <c r="P550" t="str" cm="1">
        <f t="array" ref="P550">IF(K550=3,"",
  IFERROR(
    INDEX('Fairway Log'!$E$2:$V$72,
      MATCH(1,
        ('Fairway Log'!$A$2:$A$72=$A550)*
        ('Fairway Log'!$B$2:$B$72=$B550)*
        ('Fairway Log'!$C$2:$C621=$C550),
      0),
      MATCH($G550,'Fairway Log'!$E$1:$V$1,0)
    ),
  "")
)</f>
        <v>→</v>
      </c>
      <c r="Q550" cm="1">
        <f t="array" ref="Q550">IFERROR(
  INDEX('GIR Log'!$E$2:$V$72,
    MATCH(1,
      ('GIR Log'!$A$2:$A$72=$A550)*
      ('GIR Log'!$B$2:$B$72=$B550)*
      ('GIR Log'!$C$2:$C$72=$C550),
    0),
    MATCH($G550,'GIR Log'!$E$1:$V$1,0)
  ),
"")</f>
        <v>0</v>
      </c>
    </row>
    <row r="551" spans="1:17" x14ac:dyDescent="0.25">
      <c r="A551" s="20" t="s">
        <v>126</v>
      </c>
      <c r="B551" s="2">
        <v>45050</v>
      </c>
      <c r="C551" t="s">
        <v>3</v>
      </c>
      <c r="D551" t="s">
        <v>3</v>
      </c>
      <c r="E551" t="s">
        <v>34</v>
      </c>
      <c r="F551">
        <v>89</v>
      </c>
      <c r="G551" t="s">
        <v>56</v>
      </c>
      <c r="H551" s="9">
        <f t="shared" si="25"/>
        <v>10</v>
      </c>
      <c r="I551" cm="1">
        <f t="array" ref="I551">IFERROR(INDEX(CourseYardages[[Hole 1]:[Hole 18]],
  MATCH(1, (CourseYardages[Course]=C551)*(CourseYardages[Tees]=E551), 0),
  MATCH(G551, CourseYardages[[#Headers],[Hole 1]:[Hole 18]], 0)
),"")</f>
        <v>343</v>
      </c>
      <c r="J551" cm="1">
        <f t="array" ref="J551">IFERROR(INDEX(CourseHandicap[[Hole 1]:[Hole 18]],
  MATCH(1, (CourseHandicap[Course]=C551)*(CourseHandicap[Tees]=E551), 0),
  MATCH(G551, CourseHandicap[[#Headers],[Hole 1]:[Hole 18]], 0)
),"")</f>
        <v>12</v>
      </c>
      <c r="K551" cm="1">
        <f t="array" ref="K551">IFERROR(INDEX(CourseRatings[[Hole 1]:[Hole 18]],
  MATCH(1, (CourseRatings[Course]=C551)*(CourseRatings[Tees]=E551), 0),
  MATCH(G551, CourseRatings[[#Headers],[Hole 1]:[Hole 18]], 0)
),"")</f>
        <v>4</v>
      </c>
      <c r="L551" cm="1">
        <f t="array" ref="L551">IFERROR(
  INDEX('Golf Log'!$E$2:$V$72,
    MATCH(1,
      ('Golf Log'!$A$2:$A$72=$A551)*
      ('Golf Log'!$B$2:$B$72=$B551)*
      ('Golf Log'!$C$2:$C$72=$C551),
    0),
    MATCH($G551,'Golf Log'!$E$1:$V$1,0)
  ),
"")</f>
        <v>4</v>
      </c>
      <c r="M551">
        <f t="shared" si="26"/>
        <v>0</v>
      </c>
      <c r="N551" t="str">
        <f t="shared" si="21"/>
        <v>Par</v>
      </c>
      <c r="O551" cm="1">
        <f t="array" ref="O551">IFERROR(
  INDEX('Putt Log'!$E$2:$V$72,
    MATCH(1,
      ('Putt Log'!$A$2:$A$72=$A551)*
      ('Putt Log'!$B$2:$B$72=$B551)*
      ('Putt Log'!$C$2:$C$72=$C551),
    0),
    MATCH($G551,'Putt Log'!$E$1:$V$1,0)
  ),
"")</f>
        <v>2</v>
      </c>
      <c r="P551" cm="1">
        <f t="array" ref="P551">IF(K551=3,"",
  IFERROR(
    INDEX('Fairway Log'!$E$2:$V$72,
      MATCH(1,
        ('Fairway Log'!$A$2:$A$72=$A551)*
        ('Fairway Log'!$B$2:$B$72=$B551)*
        ('Fairway Log'!$C$2:$C622=$C551),
      0),
      MATCH($G551,'Fairway Log'!$E$1:$V$1,0)
    ),
  "")
)</f>
        <v>1</v>
      </c>
      <c r="Q551" cm="1">
        <f t="array" ref="Q551">IFERROR(
  INDEX('GIR Log'!$E$2:$V$72,
    MATCH(1,
      ('GIR Log'!$A$2:$A$72=$A551)*
      ('GIR Log'!$B$2:$B$72=$B551)*
      ('GIR Log'!$C$2:$C$72=$C551),
    0),
    MATCH($G551,'GIR Log'!$E$1:$V$1,0)
  ),
"")</f>
        <v>1</v>
      </c>
    </row>
    <row r="552" spans="1:17" x14ac:dyDescent="0.25">
      <c r="A552" s="20" t="s">
        <v>126</v>
      </c>
      <c r="B552" s="2">
        <v>45050</v>
      </c>
      <c r="C552" t="s">
        <v>3</v>
      </c>
      <c r="D552" t="s">
        <v>3</v>
      </c>
      <c r="E552" t="s">
        <v>34</v>
      </c>
      <c r="F552">
        <v>89</v>
      </c>
      <c r="G552" t="s">
        <v>57</v>
      </c>
      <c r="H552" s="9">
        <f t="shared" si="25"/>
        <v>11</v>
      </c>
      <c r="I552" cm="1">
        <f t="array" ref="I552">IFERROR(INDEX(CourseYardages[[Hole 1]:[Hole 18]],
  MATCH(1, (CourseYardages[Course]=C552)*(CourseYardages[Tees]=E552), 0),
  MATCH(G552, CourseYardages[[#Headers],[Hole 1]:[Hole 18]], 0)
),"")</f>
        <v>171</v>
      </c>
      <c r="J552" cm="1">
        <f t="array" ref="J552">IFERROR(INDEX(CourseHandicap[[Hole 1]:[Hole 18]],
  MATCH(1, (CourseHandicap[Course]=C552)*(CourseHandicap[Tees]=E552), 0),
  MATCH(G552, CourseHandicap[[#Headers],[Hole 1]:[Hole 18]], 0)
),"")</f>
        <v>16</v>
      </c>
      <c r="K552" cm="1">
        <f t="array" ref="K552">IFERROR(INDEX(CourseRatings[[Hole 1]:[Hole 18]],
  MATCH(1, (CourseRatings[Course]=C552)*(CourseRatings[Tees]=E552), 0),
  MATCH(G552, CourseRatings[[#Headers],[Hole 1]:[Hole 18]], 0)
),"")</f>
        <v>3</v>
      </c>
      <c r="L552" cm="1">
        <f t="array" ref="L552">IFERROR(
  INDEX('Golf Log'!$E$2:$V$72,
    MATCH(1,
      ('Golf Log'!$A$2:$A$72=$A552)*
      ('Golf Log'!$B$2:$B$72=$B552)*
      ('Golf Log'!$C$2:$C$72=$C552),
    0),
    MATCH($G552,'Golf Log'!$E$1:$V$1,0)
  ),
"")</f>
        <v>4</v>
      </c>
      <c r="M552">
        <f t="shared" si="26"/>
        <v>1</v>
      </c>
      <c r="N552" t="str">
        <f t="shared" si="21"/>
        <v>Bogey</v>
      </c>
      <c r="O552" cm="1">
        <f t="array" ref="O552">IFERROR(
  INDEX('Putt Log'!$E$2:$V$72,
    MATCH(1,
      ('Putt Log'!$A$2:$A$72=$A552)*
      ('Putt Log'!$B$2:$B$72=$B552)*
      ('Putt Log'!$C$2:$C$72=$C552),
    0),
    MATCH($G552,'Putt Log'!$E$1:$V$1,0)
  ),
"")</f>
        <v>3</v>
      </c>
      <c r="P552" t="str" cm="1">
        <f t="array" ref="P552">IF(K552=3,"",
  IFERROR(
    INDEX('Fairway Log'!$E$2:$V$72,
      MATCH(1,
        ('Fairway Log'!$A$2:$A$72=$A552)*
        ('Fairway Log'!$B$2:$B$72=$B552)*
        ('Fairway Log'!$C$2:$C623=$C552),
      0),
      MATCH($G552,'Fairway Log'!$E$1:$V$1,0)
    ),
  "")
)</f>
        <v/>
      </c>
      <c r="Q552" cm="1">
        <f t="array" ref="Q552">IFERROR(
  INDEX('GIR Log'!$E$2:$V$72,
    MATCH(1,
      ('GIR Log'!$A$2:$A$72=$A552)*
      ('GIR Log'!$B$2:$B$72=$B552)*
      ('GIR Log'!$C$2:$C$72=$C552),
    0),
    MATCH($G552,'GIR Log'!$E$1:$V$1,0)
  ),
"")</f>
        <v>1</v>
      </c>
    </row>
    <row r="553" spans="1:17" x14ac:dyDescent="0.25">
      <c r="A553" s="20" t="s">
        <v>126</v>
      </c>
      <c r="B553" s="2">
        <v>45050</v>
      </c>
      <c r="C553" t="s">
        <v>3</v>
      </c>
      <c r="D553" t="s">
        <v>3</v>
      </c>
      <c r="E553" t="s">
        <v>34</v>
      </c>
      <c r="F553">
        <v>89</v>
      </c>
      <c r="G553" t="s">
        <v>58</v>
      </c>
      <c r="H553" s="9">
        <f t="shared" si="25"/>
        <v>12</v>
      </c>
      <c r="I553" cm="1">
        <f t="array" ref="I553">IFERROR(INDEX(CourseYardages[[Hole 1]:[Hole 18]],
  MATCH(1, (CourseYardages[Course]=C553)*(CourseYardages[Tees]=E553), 0),
  MATCH(G553, CourseYardages[[#Headers],[Hole 1]:[Hole 18]], 0)
),"")</f>
        <v>291</v>
      </c>
      <c r="J553" cm="1">
        <f t="array" ref="J553">IFERROR(INDEX(CourseHandicap[[Hole 1]:[Hole 18]],
  MATCH(1, (CourseHandicap[Course]=C553)*(CourseHandicap[Tees]=E553), 0),
  MATCH(G553, CourseHandicap[[#Headers],[Hole 1]:[Hole 18]], 0)
),"")</f>
        <v>18</v>
      </c>
      <c r="K553" cm="1">
        <f t="array" ref="K553">IFERROR(INDEX(CourseRatings[[Hole 1]:[Hole 18]],
  MATCH(1, (CourseRatings[Course]=C553)*(CourseRatings[Tees]=E553), 0),
  MATCH(G553, CourseRatings[[#Headers],[Hole 1]:[Hole 18]], 0)
),"")</f>
        <v>4</v>
      </c>
      <c r="L553" cm="1">
        <f t="array" ref="L553">IFERROR(
  INDEX('Golf Log'!$E$2:$V$72,
    MATCH(1,
      ('Golf Log'!$A$2:$A$72=$A553)*
      ('Golf Log'!$B$2:$B$72=$B553)*
      ('Golf Log'!$C$2:$C$72=$C553),
    0),
    MATCH($G553,'Golf Log'!$E$1:$V$1,0)
  ),
"")</f>
        <v>4</v>
      </c>
      <c r="M553">
        <f t="shared" si="26"/>
        <v>0</v>
      </c>
      <c r="N553" t="str">
        <f t="shared" si="21"/>
        <v>Par</v>
      </c>
      <c r="O553" cm="1">
        <f t="array" ref="O553">IFERROR(
  INDEX('Putt Log'!$E$2:$V$72,
    MATCH(1,
      ('Putt Log'!$A$2:$A$72=$A553)*
      ('Putt Log'!$B$2:$B$72=$B553)*
      ('Putt Log'!$C$2:$C$72=$C553),
    0),
    MATCH($G553,'Putt Log'!$E$1:$V$1,0)
  ),
"")</f>
        <v>2</v>
      </c>
      <c r="P553" t="str" cm="1">
        <f t="array" ref="P553">IF(K553=3,"",
  IFERROR(
    INDEX('Fairway Log'!$E$2:$V$72,
      MATCH(1,
        ('Fairway Log'!$A$2:$A$72=$A553)*
        ('Fairway Log'!$B$2:$B$72=$B553)*
        ('Fairway Log'!$C$2:$C624=$C553),
      0),
      MATCH($G553,'Fairway Log'!$E$1:$V$1,0)
    ),
  "")
)</f>
        <v>↑</v>
      </c>
      <c r="Q553" cm="1">
        <f t="array" ref="Q553">IFERROR(
  INDEX('GIR Log'!$E$2:$V$72,
    MATCH(1,
      ('GIR Log'!$A$2:$A$72=$A553)*
      ('GIR Log'!$B$2:$B$72=$B553)*
      ('GIR Log'!$C$2:$C$72=$C553),
    0),
    MATCH($G553,'GIR Log'!$E$1:$V$1,0)
  ),
"")</f>
        <v>1</v>
      </c>
    </row>
    <row r="554" spans="1:17" x14ac:dyDescent="0.25">
      <c r="A554" s="20" t="s">
        <v>126</v>
      </c>
      <c r="B554" s="2">
        <v>45050</v>
      </c>
      <c r="C554" t="s">
        <v>3</v>
      </c>
      <c r="D554" t="s">
        <v>3</v>
      </c>
      <c r="E554" t="s">
        <v>34</v>
      </c>
      <c r="F554">
        <v>89</v>
      </c>
      <c r="G554" t="s">
        <v>59</v>
      </c>
      <c r="H554" s="9">
        <f t="shared" si="25"/>
        <v>13</v>
      </c>
      <c r="I554" cm="1">
        <f t="array" ref="I554">IFERROR(INDEX(CourseYardages[[Hole 1]:[Hole 18]],
  MATCH(1, (CourseYardages[Course]=C554)*(CourseYardages[Tees]=E554), 0),
  MATCH(G554, CourseYardages[[#Headers],[Hole 1]:[Hole 18]], 0)
),"")</f>
        <v>572</v>
      </c>
      <c r="J554" cm="1">
        <f t="array" ref="J554">IFERROR(INDEX(CourseHandicap[[Hole 1]:[Hole 18]],
  MATCH(1, (CourseHandicap[Course]=C554)*(CourseHandicap[Tees]=E554), 0),
  MATCH(G554, CourseHandicap[[#Headers],[Hole 1]:[Hole 18]], 0)
),"")</f>
        <v>2</v>
      </c>
      <c r="K554" cm="1">
        <f t="array" ref="K554">IFERROR(INDEX(CourseRatings[[Hole 1]:[Hole 18]],
  MATCH(1, (CourseRatings[Course]=C554)*(CourseRatings[Tees]=E554), 0),
  MATCH(G554, CourseRatings[[#Headers],[Hole 1]:[Hole 18]], 0)
),"")</f>
        <v>5</v>
      </c>
      <c r="L554" cm="1">
        <f t="array" ref="L554">IFERROR(
  INDEX('Golf Log'!$E$2:$V$72,
    MATCH(1,
      ('Golf Log'!$A$2:$A$72=$A554)*
      ('Golf Log'!$B$2:$B$72=$B554)*
      ('Golf Log'!$C$2:$C$72=$C554),
    0),
    MATCH($G554,'Golf Log'!$E$1:$V$1,0)
  ),
"")</f>
        <v>6</v>
      </c>
      <c r="M554">
        <f t="shared" si="26"/>
        <v>1</v>
      </c>
      <c r="N554" t="str">
        <f t="shared" si="21"/>
        <v>Bogey</v>
      </c>
      <c r="O554" cm="1">
        <f t="array" ref="O554">IFERROR(
  INDEX('Putt Log'!$E$2:$V$72,
    MATCH(1,
      ('Putt Log'!$A$2:$A$72=$A554)*
      ('Putt Log'!$B$2:$B$72=$B554)*
      ('Putt Log'!$C$2:$C$72=$C554),
    0),
    MATCH($G554,'Putt Log'!$E$1:$V$1,0)
  ),
"")</f>
        <v>2</v>
      </c>
      <c r="P554" t="str" cm="1">
        <f t="array" ref="P554">IF(K554=3,"",
  IFERROR(
    INDEX('Fairway Log'!$E$2:$V$72,
      MATCH(1,
        ('Fairway Log'!$A$2:$A$72=$A554)*
        ('Fairway Log'!$B$2:$B$72=$B554)*
        ('Fairway Log'!$C$2:$C625=$C554),
      0),
      MATCH($G554,'Fairway Log'!$E$1:$V$1,0)
    ),
  "")
)</f>
        <v>→</v>
      </c>
      <c r="Q554" cm="1">
        <f t="array" ref="Q554">IFERROR(
  INDEX('GIR Log'!$E$2:$V$72,
    MATCH(1,
      ('GIR Log'!$A$2:$A$72=$A554)*
      ('GIR Log'!$B$2:$B$72=$B554)*
      ('GIR Log'!$C$2:$C$72=$C554),
    0),
    MATCH($G554,'GIR Log'!$E$1:$V$1,0)
  ),
"")</f>
        <v>0</v>
      </c>
    </row>
    <row r="555" spans="1:17" x14ac:dyDescent="0.25">
      <c r="A555" s="20" t="s">
        <v>126</v>
      </c>
      <c r="B555" s="2">
        <v>45050</v>
      </c>
      <c r="C555" t="s">
        <v>3</v>
      </c>
      <c r="D555" t="s">
        <v>3</v>
      </c>
      <c r="E555" t="s">
        <v>34</v>
      </c>
      <c r="F555">
        <v>89</v>
      </c>
      <c r="G555" t="s">
        <v>60</v>
      </c>
      <c r="H555" s="9">
        <f t="shared" si="25"/>
        <v>14</v>
      </c>
      <c r="I555" cm="1">
        <f t="array" ref="I555">IFERROR(INDEX(CourseYardages[[Hole 1]:[Hole 18]],
  MATCH(1, (CourseYardages[Course]=C555)*(CourseYardages[Tees]=E555), 0),
  MATCH(G555, CourseYardages[[#Headers],[Hole 1]:[Hole 18]], 0)
),"")</f>
        <v>366</v>
      </c>
      <c r="J555" cm="1">
        <f t="array" ref="J555">IFERROR(INDEX(CourseHandicap[[Hole 1]:[Hole 18]],
  MATCH(1, (CourseHandicap[Course]=C555)*(CourseHandicap[Tees]=E555), 0),
  MATCH(G555, CourseHandicap[[#Headers],[Hole 1]:[Hole 18]], 0)
),"")</f>
        <v>14</v>
      </c>
      <c r="K555" cm="1">
        <f t="array" ref="K555">IFERROR(INDEX(CourseRatings[[Hole 1]:[Hole 18]],
  MATCH(1, (CourseRatings[Course]=C555)*(CourseRatings[Tees]=E555), 0),
  MATCH(G555, CourseRatings[[#Headers],[Hole 1]:[Hole 18]], 0)
),"")</f>
        <v>4</v>
      </c>
      <c r="L555" cm="1">
        <f t="array" ref="L555">IFERROR(
  INDEX('Golf Log'!$E$2:$V$72,
    MATCH(1,
      ('Golf Log'!$A$2:$A$72=$A555)*
      ('Golf Log'!$B$2:$B$72=$B555)*
      ('Golf Log'!$C$2:$C$72=$C555),
    0),
    MATCH($G555,'Golf Log'!$E$1:$V$1,0)
  ),
"")</f>
        <v>4</v>
      </c>
      <c r="M555">
        <f t="shared" si="26"/>
        <v>0</v>
      </c>
      <c r="N555" t="str">
        <f t="shared" si="21"/>
        <v>Par</v>
      </c>
      <c r="O555" cm="1">
        <f t="array" ref="O555">IFERROR(
  INDEX('Putt Log'!$E$2:$V$72,
    MATCH(1,
      ('Putt Log'!$A$2:$A$72=$A555)*
      ('Putt Log'!$B$2:$B$72=$B555)*
      ('Putt Log'!$C$2:$C$72=$C555),
    0),
    MATCH($G555,'Putt Log'!$E$1:$V$1,0)
  ),
"")</f>
        <v>2</v>
      </c>
      <c r="P555" cm="1">
        <f t="array" ref="P555">IF(K555=3,"",
  IFERROR(
    INDEX('Fairway Log'!$E$2:$V$72,
      MATCH(1,
        ('Fairway Log'!$A$2:$A$72=$A555)*
        ('Fairway Log'!$B$2:$B$72=$B555)*
        ('Fairway Log'!$C$2:$C626=$C555),
      0),
      MATCH($G555,'Fairway Log'!$E$1:$V$1,0)
    ),
  "")
)</f>
        <v>1</v>
      </c>
      <c r="Q555" cm="1">
        <f t="array" ref="Q555">IFERROR(
  INDEX('GIR Log'!$E$2:$V$72,
    MATCH(1,
      ('GIR Log'!$A$2:$A$72=$A555)*
      ('GIR Log'!$B$2:$B$72=$B555)*
      ('GIR Log'!$C$2:$C$72=$C555),
    0),
    MATCH($G555,'GIR Log'!$E$1:$V$1,0)
  ),
"")</f>
        <v>0</v>
      </c>
    </row>
    <row r="556" spans="1:17" x14ac:dyDescent="0.25">
      <c r="A556" s="20" t="s">
        <v>126</v>
      </c>
      <c r="B556" s="2">
        <v>45050</v>
      </c>
      <c r="C556" t="s">
        <v>3</v>
      </c>
      <c r="D556" t="s">
        <v>3</v>
      </c>
      <c r="E556" t="s">
        <v>34</v>
      </c>
      <c r="F556">
        <v>89</v>
      </c>
      <c r="G556" t="s">
        <v>61</v>
      </c>
      <c r="H556" s="9">
        <f t="shared" si="25"/>
        <v>15</v>
      </c>
      <c r="I556" cm="1">
        <f t="array" ref="I556">IFERROR(INDEX(CourseYardages[[Hole 1]:[Hole 18]],
  MATCH(1, (CourseYardages[Course]=C556)*(CourseYardages[Tees]=E556), 0),
  MATCH(G556, CourseYardages[[#Headers],[Hole 1]:[Hole 18]], 0)
),"")</f>
        <v>207</v>
      </c>
      <c r="J556" cm="1">
        <f t="array" ref="J556">IFERROR(INDEX(CourseHandicap[[Hole 1]:[Hole 18]],
  MATCH(1, (CourseHandicap[Course]=C556)*(CourseHandicap[Tees]=E556), 0),
  MATCH(G556, CourseHandicap[[#Headers],[Hole 1]:[Hole 18]], 0)
),"")</f>
        <v>8</v>
      </c>
      <c r="K556" cm="1">
        <f t="array" ref="K556">IFERROR(INDEX(CourseRatings[[Hole 1]:[Hole 18]],
  MATCH(1, (CourseRatings[Course]=C556)*(CourseRatings[Tees]=E556), 0),
  MATCH(G556, CourseRatings[[#Headers],[Hole 1]:[Hole 18]], 0)
),"")</f>
        <v>3</v>
      </c>
      <c r="L556" cm="1">
        <f t="array" ref="L556">IFERROR(
  INDEX('Golf Log'!$E$2:$V$72,
    MATCH(1,
      ('Golf Log'!$A$2:$A$72=$A556)*
      ('Golf Log'!$B$2:$B$72=$B556)*
      ('Golf Log'!$C$2:$C$72=$C556),
    0),
    MATCH($G556,'Golf Log'!$E$1:$V$1,0)
  ),
"")</f>
        <v>5</v>
      </c>
      <c r="M556">
        <f t="shared" si="26"/>
        <v>2</v>
      </c>
      <c r="N556" t="str">
        <f t="shared" si="21"/>
        <v>Double Bogey</v>
      </c>
      <c r="O556" cm="1">
        <f t="array" ref="O556">IFERROR(
  INDEX('Putt Log'!$E$2:$V$72,
    MATCH(1,
      ('Putt Log'!$A$2:$A$72=$A556)*
      ('Putt Log'!$B$2:$B$72=$B556)*
      ('Putt Log'!$C$2:$C$72=$C556),
    0),
    MATCH($G556,'Putt Log'!$E$1:$V$1,0)
  ),
"")</f>
        <v>2</v>
      </c>
      <c r="P556" t="str" cm="1">
        <f t="array" ref="P556">IF(K556=3,"",
  IFERROR(
    INDEX('Fairway Log'!$E$2:$V$72,
      MATCH(1,
        ('Fairway Log'!$A$2:$A$72=$A556)*
        ('Fairway Log'!$B$2:$B$72=$B556)*
        ('Fairway Log'!$C$2:$C627=$C556),
      0),
      MATCH($G556,'Fairway Log'!$E$1:$V$1,0)
    ),
  "")
)</f>
        <v/>
      </c>
      <c r="Q556" cm="1">
        <f t="array" ref="Q556">IFERROR(
  INDEX('GIR Log'!$E$2:$V$72,
    MATCH(1,
      ('GIR Log'!$A$2:$A$72=$A556)*
      ('GIR Log'!$B$2:$B$72=$B556)*
      ('GIR Log'!$C$2:$C$72=$C556),
    0),
    MATCH($G556,'GIR Log'!$E$1:$V$1,0)
  ),
"")</f>
        <v>0</v>
      </c>
    </row>
    <row r="557" spans="1:17" x14ac:dyDescent="0.25">
      <c r="A557" s="20" t="s">
        <v>126</v>
      </c>
      <c r="B557" s="2">
        <v>45050</v>
      </c>
      <c r="C557" t="s">
        <v>3</v>
      </c>
      <c r="D557" t="s">
        <v>3</v>
      </c>
      <c r="E557" t="s">
        <v>34</v>
      </c>
      <c r="F557">
        <v>89</v>
      </c>
      <c r="G557" t="s">
        <v>62</v>
      </c>
      <c r="H557" s="9">
        <f t="shared" si="25"/>
        <v>16</v>
      </c>
      <c r="I557" cm="1">
        <f t="array" ref="I557">IFERROR(INDEX(CourseYardages[[Hole 1]:[Hole 18]],
  MATCH(1, (CourseYardages[Course]=C557)*(CourseYardages[Tees]=E557), 0),
  MATCH(G557, CourseYardages[[#Headers],[Hole 1]:[Hole 18]], 0)
),"")</f>
        <v>358</v>
      </c>
      <c r="J557" cm="1">
        <f t="array" ref="J557">IFERROR(INDEX(CourseHandicap[[Hole 1]:[Hole 18]],
  MATCH(1, (CourseHandicap[Course]=C557)*(CourseHandicap[Tees]=E557), 0),
  MATCH(G557, CourseHandicap[[#Headers],[Hole 1]:[Hole 18]], 0)
),"")</f>
        <v>10</v>
      </c>
      <c r="K557" cm="1">
        <f t="array" ref="K557">IFERROR(INDEX(CourseRatings[[Hole 1]:[Hole 18]],
  MATCH(1, (CourseRatings[Course]=C557)*(CourseRatings[Tees]=E557), 0),
  MATCH(G557, CourseRatings[[#Headers],[Hole 1]:[Hole 18]], 0)
),"")</f>
        <v>4</v>
      </c>
      <c r="L557" cm="1">
        <f t="array" ref="L557">IFERROR(
  INDEX('Golf Log'!$E$2:$V$72,
    MATCH(1,
      ('Golf Log'!$A$2:$A$72=$A557)*
      ('Golf Log'!$B$2:$B$72=$B557)*
      ('Golf Log'!$C$2:$C$72=$C557),
    0),
    MATCH($G557,'Golf Log'!$E$1:$V$1,0)
  ),
"")</f>
        <v>5</v>
      </c>
      <c r="M557">
        <f t="shared" si="26"/>
        <v>1</v>
      </c>
      <c r="N557" t="str">
        <f t="shared" si="21"/>
        <v>Bogey</v>
      </c>
      <c r="O557" cm="1">
        <f t="array" ref="O557">IFERROR(
  INDEX('Putt Log'!$E$2:$V$72,
    MATCH(1,
      ('Putt Log'!$A$2:$A$72=$A557)*
      ('Putt Log'!$B$2:$B$72=$B557)*
      ('Putt Log'!$C$2:$C$72=$C557),
    0),
    MATCH($G557,'Putt Log'!$E$1:$V$1,0)
  ),
"")</f>
        <v>2</v>
      </c>
      <c r="P557" cm="1">
        <f t="array" ref="P557">IF(K557=3,"",
  IFERROR(
    INDEX('Fairway Log'!$E$2:$V$72,
      MATCH(1,
        ('Fairway Log'!$A$2:$A$72=$A557)*
        ('Fairway Log'!$B$2:$B$72=$B557)*
        ('Fairway Log'!$C$2:$C628=$C557),
      0),
      MATCH($G557,'Fairway Log'!$E$1:$V$1,0)
    ),
  "")
)</f>
        <v>1</v>
      </c>
      <c r="Q557" cm="1">
        <f t="array" ref="Q557">IFERROR(
  INDEX('GIR Log'!$E$2:$V$72,
    MATCH(1,
      ('GIR Log'!$A$2:$A$72=$A557)*
      ('GIR Log'!$B$2:$B$72=$B557)*
      ('GIR Log'!$C$2:$C$72=$C557),
    0),
    MATCH($G557,'GIR Log'!$E$1:$V$1,0)
  ),
"")</f>
        <v>0</v>
      </c>
    </row>
    <row r="558" spans="1:17" x14ac:dyDescent="0.25">
      <c r="A558" s="20" t="s">
        <v>126</v>
      </c>
      <c r="B558" s="2">
        <v>45050</v>
      </c>
      <c r="C558" t="s">
        <v>3</v>
      </c>
      <c r="D558" t="s">
        <v>3</v>
      </c>
      <c r="E558" t="s">
        <v>34</v>
      </c>
      <c r="F558">
        <v>89</v>
      </c>
      <c r="G558" t="s">
        <v>63</v>
      </c>
      <c r="H558" s="9">
        <f t="shared" si="25"/>
        <v>17</v>
      </c>
      <c r="I558" cm="1">
        <f t="array" ref="I558">IFERROR(INDEX(CourseYardages[[Hole 1]:[Hole 18]],
  MATCH(1, (CourseYardages[Course]=C558)*(CourseYardages[Tees]=E558), 0),
  MATCH(G558, CourseYardages[[#Headers],[Hole 1]:[Hole 18]], 0)
),"")</f>
        <v>418</v>
      </c>
      <c r="J558" cm="1">
        <f t="array" ref="J558">IFERROR(INDEX(CourseHandicap[[Hole 1]:[Hole 18]],
  MATCH(1, (CourseHandicap[Course]=C558)*(CourseHandicap[Tees]=E558), 0),
  MATCH(G558, CourseHandicap[[#Headers],[Hole 1]:[Hole 18]], 0)
),"")</f>
        <v>4</v>
      </c>
      <c r="K558" cm="1">
        <f t="array" ref="K558">IFERROR(INDEX(CourseRatings[[Hole 1]:[Hole 18]],
  MATCH(1, (CourseRatings[Course]=C558)*(CourseRatings[Tees]=E558), 0),
  MATCH(G558, CourseRatings[[#Headers],[Hole 1]:[Hole 18]], 0)
),"")</f>
        <v>4</v>
      </c>
      <c r="L558" cm="1">
        <f t="array" ref="L558">IFERROR(
  INDEX('Golf Log'!$E$2:$V$72,
    MATCH(1,
      ('Golf Log'!$A$2:$A$72=$A558)*
      ('Golf Log'!$B$2:$B$72=$B558)*
      ('Golf Log'!$C$2:$C$72=$C558),
    0),
    MATCH($G558,'Golf Log'!$E$1:$V$1,0)
  ),
"")</f>
        <v>5</v>
      </c>
      <c r="M558">
        <f t="shared" si="26"/>
        <v>1</v>
      </c>
      <c r="N558" t="str">
        <f t="shared" si="21"/>
        <v>Bogey</v>
      </c>
      <c r="O558" cm="1">
        <f t="array" ref="O558">IFERROR(
  INDEX('Putt Log'!$E$2:$V$72,
    MATCH(1,
      ('Putt Log'!$A$2:$A$72=$A558)*
      ('Putt Log'!$B$2:$B$72=$B558)*
      ('Putt Log'!$C$2:$C$72=$C558),
    0),
    MATCH($G558,'Putt Log'!$E$1:$V$1,0)
  ),
"")</f>
        <v>2</v>
      </c>
      <c r="P558" cm="1">
        <f t="array" ref="P558">IF(K558=3,"",
  IFERROR(
    INDEX('Fairway Log'!$E$2:$V$72,
      MATCH(1,
        ('Fairway Log'!$A$2:$A$72=$A558)*
        ('Fairway Log'!$B$2:$B$72=$B558)*
        ('Fairway Log'!$C$2:$C629=$C558),
      0),
      MATCH($G558,'Fairway Log'!$E$1:$V$1,0)
    ),
  "")
)</f>
        <v>1</v>
      </c>
      <c r="Q558" cm="1">
        <f t="array" ref="Q558">IFERROR(
  INDEX('GIR Log'!$E$2:$V$72,
    MATCH(1,
      ('GIR Log'!$A$2:$A$72=$A558)*
      ('GIR Log'!$B$2:$B$72=$B558)*
      ('GIR Log'!$C$2:$C$72=$C558),
    0),
    MATCH($G558,'GIR Log'!$E$1:$V$1,0)
  ),
"")</f>
        <v>0</v>
      </c>
    </row>
    <row r="559" spans="1:17" x14ac:dyDescent="0.25">
      <c r="A559" s="20" t="s">
        <v>126</v>
      </c>
      <c r="B559" s="2">
        <v>45050</v>
      </c>
      <c r="C559" t="s">
        <v>3</v>
      </c>
      <c r="D559" t="s">
        <v>3</v>
      </c>
      <c r="E559" t="s">
        <v>34</v>
      </c>
      <c r="F559">
        <v>89</v>
      </c>
      <c r="G559" t="s">
        <v>64</v>
      </c>
      <c r="H559" s="9">
        <f t="shared" si="25"/>
        <v>18</v>
      </c>
      <c r="I559" cm="1">
        <f t="array" ref="I559">IFERROR(INDEX(CourseYardages[[Hole 1]:[Hole 18]],
  MATCH(1, (CourseYardages[Course]=C559)*(CourseYardages[Tees]=E559), 0),
  MATCH(G559, CourseYardages[[#Headers],[Hole 1]:[Hole 18]], 0)
),"")</f>
        <v>398</v>
      </c>
      <c r="J559" cm="1">
        <f t="array" ref="J559">IFERROR(INDEX(CourseHandicap[[Hole 1]:[Hole 18]],
  MATCH(1, (CourseHandicap[Course]=C559)*(CourseHandicap[Tees]=E559), 0),
  MATCH(G559, CourseHandicap[[#Headers],[Hole 1]:[Hole 18]], 0)
),"")</f>
        <v>6</v>
      </c>
      <c r="K559" cm="1">
        <f t="array" ref="K559">IFERROR(INDEX(CourseRatings[[Hole 1]:[Hole 18]],
  MATCH(1, (CourseRatings[Course]=C559)*(CourseRatings[Tees]=E559), 0),
  MATCH(G559, CourseRatings[[#Headers],[Hole 1]:[Hole 18]], 0)
),"")</f>
        <v>4</v>
      </c>
      <c r="L559" cm="1">
        <f t="array" ref="L559">IFERROR(
  INDEX('Golf Log'!$E$2:$V$72,
    MATCH(1,
      ('Golf Log'!$A$2:$A$72=$A559)*
      ('Golf Log'!$B$2:$B$72=$B559)*
      ('Golf Log'!$C$2:$C$72=$C559),
    0),
    MATCH($G559,'Golf Log'!$E$1:$V$1,0)
  ),
"")</f>
        <v>4</v>
      </c>
      <c r="M559">
        <f t="shared" si="26"/>
        <v>0</v>
      </c>
      <c r="N559" t="str">
        <f t="shared" si="21"/>
        <v>Par</v>
      </c>
      <c r="O559" cm="1">
        <f t="array" ref="O559">IFERROR(
  INDEX('Putt Log'!$E$2:$V$72,
    MATCH(1,
      ('Putt Log'!$A$2:$A$72=$A559)*
      ('Putt Log'!$B$2:$B$72=$B559)*
      ('Putt Log'!$C$2:$C$72=$C559),
    0),
    MATCH($G559,'Putt Log'!$E$1:$V$1,0)
  ),
"")</f>
        <v>1</v>
      </c>
      <c r="P559" t="str" cm="1">
        <f t="array" ref="P559">IF(K559=3,"",
  IFERROR(
    INDEX('Fairway Log'!$E$2:$V$72,
      MATCH(1,
        ('Fairway Log'!$A$2:$A$72=$A559)*
        ('Fairway Log'!$B$2:$B$72=$B559)*
        ('Fairway Log'!$C$2:$C630=$C559),
      0),
      MATCH($G559,'Fairway Log'!$E$1:$V$1,0)
    ),
  "")
)</f>
        <v>→</v>
      </c>
      <c r="Q559" cm="1">
        <f t="array" ref="Q559">IFERROR(
  INDEX('GIR Log'!$E$2:$V$72,
    MATCH(1,
      ('GIR Log'!$A$2:$A$72=$A559)*
      ('GIR Log'!$B$2:$B$72=$B559)*
      ('GIR Log'!$C$2:$C$72=$C559),
    0),
    MATCH($G559,'GIR Log'!$E$1:$V$1,0)
  ),
"")</f>
        <v>0</v>
      </c>
    </row>
    <row r="560" spans="1:17" x14ac:dyDescent="0.25">
      <c r="A560" s="20" t="s">
        <v>126</v>
      </c>
      <c r="B560" s="2">
        <v>45048</v>
      </c>
      <c r="C560" t="s">
        <v>5</v>
      </c>
      <c r="D560" t="s">
        <v>5</v>
      </c>
      <c r="E560" t="s">
        <v>34</v>
      </c>
      <c r="F560">
        <v>94</v>
      </c>
      <c r="G560" t="s">
        <v>47</v>
      </c>
      <c r="H560" s="9">
        <f t="shared" si="25"/>
        <v>1</v>
      </c>
      <c r="I560" cm="1">
        <f t="array" ref="I560">IFERROR(INDEX(CourseYardages[[Hole 1]:[Hole 18]],
  MATCH(1, (CourseYardages[Course]=C560)*(CourseYardages[Tees]=E560), 0),
  MATCH(G560, CourseYardages[[#Headers],[Hole 1]:[Hole 18]], 0)
),"")</f>
        <v>432</v>
      </c>
      <c r="J560" cm="1">
        <f t="array" ref="J560">IFERROR(INDEX(CourseHandicap[[Hole 1]:[Hole 18]],
  MATCH(1, (CourseHandicap[Course]=C560)*(CourseHandicap[Tees]=E560), 0),
  MATCH(G560, CourseHandicap[[#Headers],[Hole 1]:[Hole 18]], 0)
),"")</f>
        <v>7</v>
      </c>
      <c r="K560" cm="1">
        <f t="array" ref="K560">IFERROR(INDEX(CourseRatings[[Hole 1]:[Hole 18]],
  MATCH(1, (CourseRatings[Course]=C560)*(CourseRatings[Tees]=E560), 0),
  MATCH(G560, CourseRatings[[#Headers],[Hole 1]:[Hole 18]], 0)
),"")</f>
        <v>4</v>
      </c>
      <c r="L560" cm="1">
        <f t="array" ref="L560">IFERROR(
  INDEX('Golf Log'!$E$2:$V$72,
    MATCH(1,
      ('Golf Log'!$A$2:$A$72=$A560)*
      ('Golf Log'!$B$2:$B$72=$B560)*
      ('Golf Log'!$C$2:$C$72=$C560),
    0),
    MATCH($G560,'Golf Log'!$E$1:$V$1,0)
  ),
"")</f>
        <v>5</v>
      </c>
      <c r="M560">
        <f t="shared" si="26"/>
        <v>1</v>
      </c>
      <c r="N560" t="str">
        <f t="shared" si="21"/>
        <v>Bogey</v>
      </c>
      <c r="O560" cm="1">
        <f t="array" ref="O560">IFERROR(
  INDEX('Putt Log'!$E$2:$V$72,
    MATCH(1,
      ('Putt Log'!$A$2:$A$72=$A560)*
      ('Putt Log'!$B$2:$B$72=$B560)*
      ('Putt Log'!$C$2:$C$72=$C560),
    0),
    MATCH($G560,'Putt Log'!$E$1:$V$1,0)
  ),
"")</f>
        <v>2</v>
      </c>
      <c r="P560" cm="1">
        <f t="array" ref="P560">IF(K560=3,"",
  IFERROR(
    INDEX('Fairway Log'!$E$2:$V$72,
      MATCH(1,
        ('Fairway Log'!$A$2:$A$72=$A560)*
        ('Fairway Log'!$B$2:$B$72=$B560)*
        ('Fairway Log'!$C$2:$C631=$C560),
      0),
      MATCH($G560,'Fairway Log'!$E$1:$V$1,0)
    ),
  "")
)</f>
        <v>1</v>
      </c>
      <c r="Q560" cm="1">
        <f t="array" ref="Q560">IFERROR(
  INDEX('GIR Log'!$E$2:$V$72,
    MATCH(1,
      ('GIR Log'!$A$2:$A$72=$A560)*
      ('GIR Log'!$B$2:$B$72=$B560)*
      ('GIR Log'!$C$2:$C$72=$C560),
    0),
    MATCH($G560,'GIR Log'!$E$1:$V$1,0)
  ),
"")</f>
        <v>0</v>
      </c>
    </row>
    <row r="561" spans="1:17" x14ac:dyDescent="0.25">
      <c r="A561" s="20" t="s">
        <v>126</v>
      </c>
      <c r="B561" s="2">
        <v>45048</v>
      </c>
      <c r="C561" t="s">
        <v>5</v>
      </c>
      <c r="D561" t="s">
        <v>5</v>
      </c>
      <c r="E561" t="s">
        <v>34</v>
      </c>
      <c r="F561">
        <v>94</v>
      </c>
      <c r="G561" t="s">
        <v>48</v>
      </c>
      <c r="H561" s="9">
        <f t="shared" si="25"/>
        <v>2</v>
      </c>
      <c r="I561" cm="1">
        <f t="array" ref="I561">IFERROR(INDEX(CourseYardages[[Hole 1]:[Hole 18]],
  MATCH(1, (CourseYardages[Course]=C561)*(CourseYardages[Tees]=E561), 0),
  MATCH(G561, CourseYardages[[#Headers],[Hole 1]:[Hole 18]], 0)
),"")</f>
        <v>451</v>
      </c>
      <c r="J561" cm="1">
        <f t="array" ref="J561">IFERROR(INDEX(CourseHandicap[[Hole 1]:[Hole 18]],
  MATCH(1, (CourseHandicap[Course]=C561)*(CourseHandicap[Tees]=E561), 0),
  MATCH(G561, CourseHandicap[[#Headers],[Hole 1]:[Hole 18]], 0)
),"")</f>
        <v>3</v>
      </c>
      <c r="K561" cm="1">
        <f t="array" ref="K561">IFERROR(INDEX(CourseRatings[[Hole 1]:[Hole 18]],
  MATCH(1, (CourseRatings[Course]=C561)*(CourseRatings[Tees]=E561), 0),
  MATCH(G561, CourseRatings[[#Headers],[Hole 1]:[Hole 18]], 0)
),"")</f>
        <v>4</v>
      </c>
      <c r="L561" cm="1">
        <f t="array" ref="L561">IFERROR(
  INDEX('Golf Log'!$E$2:$V$72,
    MATCH(1,
      ('Golf Log'!$A$2:$A$72=$A561)*
      ('Golf Log'!$B$2:$B$72=$B561)*
      ('Golf Log'!$C$2:$C$72=$C561),
    0),
    MATCH($G561,'Golf Log'!$E$1:$V$1,0)
  ),
"")</f>
        <v>6</v>
      </c>
      <c r="M561">
        <f t="shared" si="26"/>
        <v>2</v>
      </c>
      <c r="N561" t="str">
        <f t="shared" si="21"/>
        <v>Double Bogey</v>
      </c>
      <c r="O561" cm="1">
        <f t="array" ref="O561">IFERROR(
  INDEX('Putt Log'!$E$2:$V$72,
    MATCH(1,
      ('Putt Log'!$A$2:$A$72=$A561)*
      ('Putt Log'!$B$2:$B$72=$B561)*
      ('Putt Log'!$C$2:$C$72=$C561),
    0),
    MATCH($G561,'Putt Log'!$E$1:$V$1,0)
  ),
"")</f>
        <v>3</v>
      </c>
      <c r="P561" cm="1">
        <f t="array" ref="P561">IF(K561=3,"",
  IFERROR(
    INDEX('Fairway Log'!$E$2:$V$72,
      MATCH(1,
        ('Fairway Log'!$A$2:$A$72=$A561)*
        ('Fairway Log'!$B$2:$B$72=$B561)*
        ('Fairway Log'!$C$2:$C632=$C561),
      0),
      MATCH($G561,'Fairway Log'!$E$1:$V$1,0)
    ),
  "")
)</f>
        <v>1</v>
      </c>
      <c r="Q561" cm="1">
        <f t="array" ref="Q561">IFERROR(
  INDEX('GIR Log'!$E$2:$V$72,
    MATCH(1,
      ('GIR Log'!$A$2:$A$72=$A561)*
      ('GIR Log'!$B$2:$B$72=$B561)*
      ('GIR Log'!$C$2:$C$72=$C561),
    0),
    MATCH($G561,'GIR Log'!$E$1:$V$1,0)
  ),
"")</f>
        <v>0</v>
      </c>
    </row>
    <row r="562" spans="1:17" x14ac:dyDescent="0.25">
      <c r="A562" s="20" t="s">
        <v>126</v>
      </c>
      <c r="B562" s="2">
        <v>45048</v>
      </c>
      <c r="C562" t="s">
        <v>5</v>
      </c>
      <c r="D562" t="s">
        <v>5</v>
      </c>
      <c r="E562" t="s">
        <v>34</v>
      </c>
      <c r="F562">
        <v>94</v>
      </c>
      <c r="G562" t="s">
        <v>49</v>
      </c>
      <c r="H562" s="9">
        <f t="shared" si="25"/>
        <v>3</v>
      </c>
      <c r="I562" cm="1">
        <f t="array" ref="I562">IFERROR(INDEX(CourseYardages[[Hole 1]:[Hole 18]],
  MATCH(1, (CourseYardages[Course]=C562)*(CourseYardages[Tees]=E562), 0),
  MATCH(G562, CourseYardages[[#Headers],[Hole 1]:[Hole 18]], 0)
),"")</f>
        <v>195</v>
      </c>
      <c r="J562" cm="1">
        <f t="array" ref="J562">IFERROR(INDEX(CourseHandicap[[Hole 1]:[Hole 18]],
  MATCH(1, (CourseHandicap[Course]=C562)*(CourseHandicap[Tees]=E562), 0),
  MATCH(G562, CourseHandicap[[#Headers],[Hole 1]:[Hole 18]], 0)
),"")</f>
        <v>13</v>
      </c>
      <c r="K562" cm="1">
        <f t="array" ref="K562">IFERROR(INDEX(CourseRatings[[Hole 1]:[Hole 18]],
  MATCH(1, (CourseRatings[Course]=C562)*(CourseRatings[Tees]=E562), 0),
  MATCH(G562, CourseRatings[[#Headers],[Hole 1]:[Hole 18]], 0)
),"")</f>
        <v>3</v>
      </c>
      <c r="L562" cm="1">
        <f t="array" ref="L562">IFERROR(
  INDEX('Golf Log'!$E$2:$V$72,
    MATCH(1,
      ('Golf Log'!$A$2:$A$72=$A562)*
      ('Golf Log'!$B$2:$B$72=$B562)*
      ('Golf Log'!$C$2:$C$72=$C562),
    0),
    MATCH($G562,'Golf Log'!$E$1:$V$1,0)
  ),
"")</f>
        <v>3</v>
      </c>
      <c r="M562">
        <f t="shared" si="26"/>
        <v>0</v>
      </c>
      <c r="N562" t="str">
        <f t="shared" si="21"/>
        <v>Par</v>
      </c>
      <c r="O562" cm="1">
        <f t="array" ref="O562">IFERROR(
  INDEX('Putt Log'!$E$2:$V$72,
    MATCH(1,
      ('Putt Log'!$A$2:$A$72=$A562)*
      ('Putt Log'!$B$2:$B$72=$B562)*
      ('Putt Log'!$C$2:$C$72=$C562),
    0),
    MATCH($G562,'Putt Log'!$E$1:$V$1,0)
  ),
"")</f>
        <v>2</v>
      </c>
      <c r="P562" t="str" cm="1">
        <f t="array" ref="P562">IF(K562=3,"",
  IFERROR(
    INDEX('Fairway Log'!$E$2:$V$72,
      MATCH(1,
        ('Fairway Log'!$A$2:$A$72=$A562)*
        ('Fairway Log'!$B$2:$B$72=$B562)*
        ('Fairway Log'!$C$2:$C633=$C562),
      0),
      MATCH($G562,'Fairway Log'!$E$1:$V$1,0)
    ),
  "")
)</f>
        <v/>
      </c>
      <c r="Q562" cm="1">
        <f t="array" ref="Q562">IFERROR(
  INDEX('GIR Log'!$E$2:$V$72,
    MATCH(1,
      ('GIR Log'!$A$2:$A$72=$A562)*
      ('GIR Log'!$B$2:$B$72=$B562)*
      ('GIR Log'!$C$2:$C$72=$C562),
    0),
    MATCH($G562,'GIR Log'!$E$1:$V$1,0)
  ),
"")</f>
        <v>1</v>
      </c>
    </row>
    <row r="563" spans="1:17" x14ac:dyDescent="0.25">
      <c r="A563" s="20" t="s">
        <v>126</v>
      </c>
      <c r="B563" s="2">
        <v>45048</v>
      </c>
      <c r="C563" t="s">
        <v>5</v>
      </c>
      <c r="D563" t="s">
        <v>5</v>
      </c>
      <c r="E563" t="s">
        <v>34</v>
      </c>
      <c r="F563">
        <v>94</v>
      </c>
      <c r="G563" t="s">
        <v>50</v>
      </c>
      <c r="H563" s="9">
        <f t="shared" si="25"/>
        <v>4</v>
      </c>
      <c r="I563" cm="1">
        <f t="array" ref="I563">IFERROR(INDEX(CourseYardages[[Hole 1]:[Hole 18]],
  MATCH(1, (CourseYardages[Course]=C563)*(CourseYardages[Tees]=E563), 0),
  MATCH(G563, CourseYardages[[#Headers],[Hole 1]:[Hole 18]], 0)
),"")</f>
        <v>493</v>
      </c>
      <c r="J563" cm="1">
        <f t="array" ref="J563">IFERROR(INDEX(CourseHandicap[[Hole 1]:[Hole 18]],
  MATCH(1, (CourseHandicap[Course]=C563)*(CourseHandicap[Tees]=E563), 0),
  MATCH(G563, CourseHandicap[[#Headers],[Hole 1]:[Hole 18]], 0)
),"")</f>
        <v>15</v>
      </c>
      <c r="K563" cm="1">
        <f t="array" ref="K563">IFERROR(INDEX(CourseRatings[[Hole 1]:[Hole 18]],
  MATCH(1, (CourseRatings[Course]=C563)*(CourseRatings[Tees]=E563), 0),
  MATCH(G563, CourseRatings[[#Headers],[Hole 1]:[Hole 18]], 0)
),"")</f>
        <v>5</v>
      </c>
      <c r="L563" cm="1">
        <f t="array" ref="L563">IFERROR(
  INDEX('Golf Log'!$E$2:$V$72,
    MATCH(1,
      ('Golf Log'!$A$2:$A$72=$A563)*
      ('Golf Log'!$B$2:$B$72=$B563)*
      ('Golf Log'!$C$2:$C$72=$C563),
    0),
    MATCH($G563,'Golf Log'!$E$1:$V$1,0)
  ),
"")</f>
        <v>5</v>
      </c>
      <c r="M563">
        <f t="shared" si="26"/>
        <v>0</v>
      </c>
      <c r="N563" t="str">
        <f t="shared" si="21"/>
        <v>Par</v>
      </c>
      <c r="O563" cm="1">
        <f t="array" ref="O563">IFERROR(
  INDEX('Putt Log'!$E$2:$V$72,
    MATCH(1,
      ('Putt Log'!$A$2:$A$72=$A563)*
      ('Putt Log'!$B$2:$B$72=$B563)*
      ('Putt Log'!$C$2:$C$72=$C563),
    0),
    MATCH($G563,'Putt Log'!$E$1:$V$1,0)
  ),
"")</f>
        <v>2</v>
      </c>
      <c r="P563" cm="1">
        <f t="array" ref="P563">IF(K563=3,"",
  IFERROR(
    INDEX('Fairway Log'!$E$2:$V$72,
      MATCH(1,
        ('Fairway Log'!$A$2:$A$72=$A563)*
        ('Fairway Log'!$B$2:$B$72=$B563)*
        ('Fairway Log'!$C$2:$C634=$C563),
      0),
      MATCH($G563,'Fairway Log'!$E$1:$V$1,0)
    ),
  "")
)</f>
        <v>1</v>
      </c>
      <c r="Q563" cm="1">
        <f t="array" ref="Q563">IFERROR(
  INDEX('GIR Log'!$E$2:$V$72,
    MATCH(1,
      ('GIR Log'!$A$2:$A$72=$A563)*
      ('GIR Log'!$B$2:$B$72=$B563)*
      ('GIR Log'!$C$2:$C$72=$C563),
    0),
    MATCH($G563,'GIR Log'!$E$1:$V$1,0)
  ),
"")</f>
        <v>1</v>
      </c>
    </row>
    <row r="564" spans="1:17" x14ac:dyDescent="0.25">
      <c r="A564" s="20" t="s">
        <v>126</v>
      </c>
      <c r="B564" s="2">
        <v>45048</v>
      </c>
      <c r="C564" t="s">
        <v>5</v>
      </c>
      <c r="D564" t="s">
        <v>5</v>
      </c>
      <c r="E564" t="s">
        <v>34</v>
      </c>
      <c r="F564">
        <v>94</v>
      </c>
      <c r="G564" t="s">
        <v>51</v>
      </c>
      <c r="H564" s="9">
        <f t="shared" si="25"/>
        <v>5</v>
      </c>
      <c r="I564" cm="1">
        <f t="array" ref="I564">IFERROR(INDEX(CourseYardages[[Hole 1]:[Hole 18]],
  MATCH(1, (CourseYardages[Course]=C564)*(CourseYardages[Tees]=E564), 0),
  MATCH(G564, CourseYardages[[#Headers],[Hole 1]:[Hole 18]], 0)
),"")</f>
        <v>306</v>
      </c>
      <c r="J564" cm="1">
        <f t="array" ref="J564">IFERROR(INDEX(CourseHandicap[[Hole 1]:[Hole 18]],
  MATCH(1, (CourseHandicap[Course]=C564)*(CourseHandicap[Tees]=E564), 0),
  MATCH(G564, CourseHandicap[[#Headers],[Hole 1]:[Hole 18]], 0)
),"")</f>
        <v>17</v>
      </c>
      <c r="K564" cm="1">
        <f t="array" ref="K564">IFERROR(INDEX(CourseRatings[[Hole 1]:[Hole 18]],
  MATCH(1, (CourseRatings[Course]=C564)*(CourseRatings[Tees]=E564), 0),
  MATCH(G564, CourseRatings[[#Headers],[Hole 1]:[Hole 18]], 0)
),"")</f>
        <v>4</v>
      </c>
      <c r="L564" cm="1">
        <f t="array" ref="L564">IFERROR(
  INDEX('Golf Log'!$E$2:$V$72,
    MATCH(1,
      ('Golf Log'!$A$2:$A$72=$A564)*
      ('Golf Log'!$B$2:$B$72=$B564)*
      ('Golf Log'!$C$2:$C$72=$C564),
    0),
    MATCH($G564,'Golf Log'!$E$1:$V$1,0)
  ),
"")</f>
        <v>5</v>
      </c>
      <c r="M564">
        <f t="shared" si="26"/>
        <v>1</v>
      </c>
      <c r="N564" t="str">
        <f t="shared" si="21"/>
        <v>Bogey</v>
      </c>
      <c r="O564" cm="1">
        <f t="array" ref="O564">IFERROR(
  INDEX('Putt Log'!$E$2:$V$72,
    MATCH(1,
      ('Putt Log'!$A$2:$A$72=$A564)*
      ('Putt Log'!$B$2:$B$72=$B564)*
      ('Putt Log'!$C$2:$C$72=$C564),
    0),
    MATCH($G564,'Putt Log'!$E$1:$V$1,0)
  ),
"")</f>
        <v>2</v>
      </c>
      <c r="P564" cm="1">
        <f t="array" ref="P564">IF(K564=3,"",
  IFERROR(
    INDEX('Fairway Log'!$E$2:$V$72,
      MATCH(1,
        ('Fairway Log'!$A$2:$A$72=$A564)*
        ('Fairway Log'!$B$2:$B$72=$B564)*
        ('Fairway Log'!$C$2:$C635=$C564),
      0),
      MATCH($G564,'Fairway Log'!$E$1:$V$1,0)
    ),
  "")
)</f>
        <v>1</v>
      </c>
      <c r="Q564" cm="1">
        <f t="array" ref="Q564">IFERROR(
  INDEX('GIR Log'!$E$2:$V$72,
    MATCH(1,
      ('GIR Log'!$A$2:$A$72=$A564)*
      ('GIR Log'!$B$2:$B$72=$B564)*
      ('GIR Log'!$C$2:$C$72=$C564),
    0),
    MATCH($G564,'GIR Log'!$E$1:$V$1,0)
  ),
"")</f>
        <v>0</v>
      </c>
    </row>
    <row r="565" spans="1:17" x14ac:dyDescent="0.25">
      <c r="A565" s="20" t="s">
        <v>126</v>
      </c>
      <c r="B565" s="2">
        <v>45048</v>
      </c>
      <c r="C565" t="s">
        <v>5</v>
      </c>
      <c r="D565" t="s">
        <v>5</v>
      </c>
      <c r="E565" t="s">
        <v>34</v>
      </c>
      <c r="F565">
        <v>94</v>
      </c>
      <c r="G565" t="s">
        <v>52</v>
      </c>
      <c r="H565" s="9">
        <f t="shared" si="25"/>
        <v>6</v>
      </c>
      <c r="I565" cm="1">
        <f t="array" ref="I565">IFERROR(INDEX(CourseYardages[[Hole 1]:[Hole 18]],
  MATCH(1, (CourseYardages[Course]=C565)*(CourseYardages[Tees]=E565), 0),
  MATCH(G565, CourseYardages[[#Headers],[Hole 1]:[Hole 18]], 0)
),"")</f>
        <v>462</v>
      </c>
      <c r="J565" cm="1">
        <f t="array" ref="J565">IFERROR(INDEX(CourseHandicap[[Hole 1]:[Hole 18]],
  MATCH(1, (CourseHandicap[Course]=C565)*(CourseHandicap[Tees]=E565), 0),
  MATCH(G565, CourseHandicap[[#Headers],[Hole 1]:[Hole 18]], 0)
),"")</f>
        <v>1</v>
      </c>
      <c r="K565" cm="1">
        <f t="array" ref="K565">IFERROR(INDEX(CourseRatings[[Hole 1]:[Hole 18]],
  MATCH(1, (CourseRatings[Course]=C565)*(CourseRatings[Tees]=E565), 0),
  MATCH(G565, CourseRatings[[#Headers],[Hole 1]:[Hole 18]], 0)
),"")</f>
        <v>4</v>
      </c>
      <c r="L565" cm="1">
        <f t="array" ref="L565">IFERROR(
  INDEX('Golf Log'!$E$2:$V$72,
    MATCH(1,
      ('Golf Log'!$A$2:$A$72=$A565)*
      ('Golf Log'!$B$2:$B$72=$B565)*
      ('Golf Log'!$C$2:$C$72=$C565),
    0),
    MATCH($G565,'Golf Log'!$E$1:$V$1,0)
  ),
"")</f>
        <v>5</v>
      </c>
      <c r="M565">
        <f t="shared" si="26"/>
        <v>1</v>
      </c>
      <c r="N565" t="str">
        <f t="shared" si="21"/>
        <v>Bogey</v>
      </c>
      <c r="O565" cm="1">
        <f t="array" ref="O565">IFERROR(
  INDEX('Putt Log'!$E$2:$V$72,
    MATCH(1,
      ('Putt Log'!$A$2:$A$72=$A565)*
      ('Putt Log'!$B$2:$B$72=$B565)*
      ('Putt Log'!$C$2:$C$72=$C565),
    0),
    MATCH($G565,'Putt Log'!$E$1:$V$1,0)
  ),
"")</f>
        <v>2</v>
      </c>
      <c r="P565" cm="1">
        <f t="array" ref="P565">IF(K565=3,"",
  IFERROR(
    INDEX('Fairway Log'!$E$2:$V$72,
      MATCH(1,
        ('Fairway Log'!$A$2:$A$72=$A565)*
        ('Fairway Log'!$B$2:$B$72=$B565)*
        ('Fairway Log'!$C$2:$C636=$C565),
      0),
      MATCH($G565,'Fairway Log'!$E$1:$V$1,0)
    ),
  "")
)</f>
        <v>1</v>
      </c>
      <c r="Q565" cm="1">
        <f t="array" ref="Q565">IFERROR(
  INDEX('GIR Log'!$E$2:$V$72,
    MATCH(1,
      ('GIR Log'!$A$2:$A$72=$A565)*
      ('GIR Log'!$B$2:$B$72=$B565)*
      ('GIR Log'!$C$2:$C$72=$C565),
    0),
    MATCH($G565,'GIR Log'!$E$1:$V$1,0)
  ),
"")</f>
        <v>0</v>
      </c>
    </row>
    <row r="566" spans="1:17" x14ac:dyDescent="0.25">
      <c r="A566" s="20" t="s">
        <v>126</v>
      </c>
      <c r="B566" s="2">
        <v>45048</v>
      </c>
      <c r="C566" t="s">
        <v>5</v>
      </c>
      <c r="D566" t="s">
        <v>5</v>
      </c>
      <c r="E566" t="s">
        <v>34</v>
      </c>
      <c r="F566">
        <v>94</v>
      </c>
      <c r="G566" t="s">
        <v>53</v>
      </c>
      <c r="H566" s="9">
        <f t="shared" si="25"/>
        <v>7</v>
      </c>
      <c r="I566" cm="1">
        <f t="array" ref="I566">IFERROR(INDEX(CourseYardages[[Hole 1]:[Hole 18]],
  MATCH(1, (CourseYardages[Course]=C566)*(CourseYardages[Tees]=E566), 0),
  MATCH(G566, CourseYardages[[#Headers],[Hole 1]:[Hole 18]], 0)
),"")</f>
        <v>186</v>
      </c>
      <c r="J566" cm="1">
        <f t="array" ref="J566">IFERROR(INDEX(CourseHandicap[[Hole 1]:[Hole 18]],
  MATCH(1, (CourseHandicap[Course]=C566)*(CourseHandicap[Tees]=E566), 0),
  MATCH(G566, CourseHandicap[[#Headers],[Hole 1]:[Hole 18]], 0)
),"")</f>
        <v>11</v>
      </c>
      <c r="K566" cm="1">
        <f t="array" ref="K566">IFERROR(INDEX(CourseRatings[[Hole 1]:[Hole 18]],
  MATCH(1, (CourseRatings[Course]=C566)*(CourseRatings[Tees]=E566), 0),
  MATCH(G566, CourseRatings[[#Headers],[Hole 1]:[Hole 18]], 0)
),"")</f>
        <v>3</v>
      </c>
      <c r="L566" cm="1">
        <f t="array" ref="L566">IFERROR(
  INDEX('Golf Log'!$E$2:$V$72,
    MATCH(1,
      ('Golf Log'!$A$2:$A$72=$A566)*
      ('Golf Log'!$B$2:$B$72=$B566)*
      ('Golf Log'!$C$2:$C$72=$C566),
    0),
    MATCH($G566,'Golf Log'!$E$1:$V$1,0)
  ),
"")</f>
        <v>4</v>
      </c>
      <c r="M566">
        <f t="shared" si="26"/>
        <v>1</v>
      </c>
      <c r="N566" t="str">
        <f t="shared" si="21"/>
        <v>Bogey</v>
      </c>
      <c r="O566" cm="1">
        <f t="array" ref="O566">IFERROR(
  INDEX('Putt Log'!$E$2:$V$72,
    MATCH(1,
      ('Putt Log'!$A$2:$A$72=$A566)*
      ('Putt Log'!$B$2:$B$72=$B566)*
      ('Putt Log'!$C$2:$C$72=$C566),
    0),
    MATCH($G566,'Putt Log'!$E$1:$V$1,0)
  ),
"")</f>
        <v>1</v>
      </c>
      <c r="P566" t="str" cm="1">
        <f t="array" ref="P566">IF(K566=3,"",
  IFERROR(
    INDEX('Fairway Log'!$E$2:$V$72,
      MATCH(1,
        ('Fairway Log'!$A$2:$A$72=$A566)*
        ('Fairway Log'!$B$2:$B$72=$B566)*
        ('Fairway Log'!$C$2:$C637=$C566),
      0),
      MATCH($G566,'Fairway Log'!$E$1:$V$1,0)
    ),
  "")
)</f>
        <v/>
      </c>
      <c r="Q566" cm="1">
        <f t="array" ref="Q566">IFERROR(
  INDEX('GIR Log'!$E$2:$V$72,
    MATCH(1,
      ('GIR Log'!$A$2:$A$72=$A566)*
      ('GIR Log'!$B$2:$B$72=$B566)*
      ('GIR Log'!$C$2:$C$72=$C566),
    0),
    MATCH($G566,'GIR Log'!$E$1:$V$1,0)
  ),
"")</f>
        <v>0</v>
      </c>
    </row>
    <row r="567" spans="1:17" x14ac:dyDescent="0.25">
      <c r="A567" s="20" t="s">
        <v>126</v>
      </c>
      <c r="B567" s="2">
        <v>45048</v>
      </c>
      <c r="C567" t="s">
        <v>5</v>
      </c>
      <c r="D567" t="s">
        <v>5</v>
      </c>
      <c r="E567" t="s">
        <v>34</v>
      </c>
      <c r="F567">
        <v>94</v>
      </c>
      <c r="G567" t="s">
        <v>54</v>
      </c>
      <c r="H567" s="9">
        <f t="shared" si="25"/>
        <v>8</v>
      </c>
      <c r="I567" cm="1">
        <f t="array" ref="I567">IFERROR(INDEX(CourseYardages[[Hole 1]:[Hole 18]],
  MATCH(1, (CourseYardages[Course]=C567)*(CourseYardages[Tees]=E567), 0),
  MATCH(G567, CourseYardages[[#Headers],[Hole 1]:[Hole 18]], 0)
),"")</f>
        <v>565</v>
      </c>
      <c r="J567" cm="1">
        <f t="array" ref="J567">IFERROR(INDEX(CourseHandicap[[Hole 1]:[Hole 18]],
  MATCH(1, (CourseHandicap[Course]=C567)*(CourseHandicap[Tees]=E567), 0),
  MATCH(G567, CourseHandicap[[#Headers],[Hole 1]:[Hole 18]], 0)
),"")</f>
        <v>5</v>
      </c>
      <c r="K567" cm="1">
        <f t="array" ref="K567">IFERROR(INDEX(CourseRatings[[Hole 1]:[Hole 18]],
  MATCH(1, (CourseRatings[Course]=C567)*(CourseRatings[Tees]=E567), 0),
  MATCH(G567, CourseRatings[[#Headers],[Hole 1]:[Hole 18]], 0)
),"")</f>
        <v>5</v>
      </c>
      <c r="L567" cm="1">
        <f t="array" ref="L567">IFERROR(
  INDEX('Golf Log'!$E$2:$V$72,
    MATCH(1,
      ('Golf Log'!$A$2:$A$72=$A567)*
      ('Golf Log'!$B$2:$B$72=$B567)*
      ('Golf Log'!$C$2:$C$72=$C567),
    0),
    MATCH($G567,'Golf Log'!$E$1:$V$1,0)
  ),
"")</f>
        <v>8</v>
      </c>
      <c r="M567">
        <f t="shared" si="26"/>
        <v>3</v>
      </c>
      <c r="N567" t="str">
        <f t="shared" si="21"/>
        <v>Triple Bogey</v>
      </c>
      <c r="O567" cm="1">
        <f t="array" ref="O567">IFERROR(
  INDEX('Putt Log'!$E$2:$V$72,
    MATCH(1,
      ('Putt Log'!$A$2:$A$72=$A567)*
      ('Putt Log'!$B$2:$B$72=$B567)*
      ('Putt Log'!$C$2:$C$72=$C567),
    0),
    MATCH($G567,'Putt Log'!$E$1:$V$1,0)
  ),
"")</f>
        <v>3</v>
      </c>
      <c r="P567" cm="1">
        <f t="array" ref="P567">IF(K567=3,"",
  IFERROR(
    INDEX('Fairway Log'!$E$2:$V$72,
      MATCH(1,
        ('Fairway Log'!$A$2:$A$72=$A567)*
        ('Fairway Log'!$B$2:$B$72=$B567)*
        ('Fairway Log'!$C$2:$C638=$C567),
      0),
      MATCH($G567,'Fairway Log'!$E$1:$V$1,0)
    ),
  "")
)</f>
        <v>1</v>
      </c>
      <c r="Q567" cm="1">
        <f t="array" ref="Q567">IFERROR(
  INDEX('GIR Log'!$E$2:$V$72,
    MATCH(1,
      ('GIR Log'!$A$2:$A$72=$A567)*
      ('GIR Log'!$B$2:$B$72=$B567)*
      ('GIR Log'!$C$2:$C$72=$C567),
    0),
    MATCH($G567,'GIR Log'!$E$1:$V$1,0)
  ),
"")</f>
        <v>0</v>
      </c>
    </row>
    <row r="568" spans="1:17" x14ac:dyDescent="0.25">
      <c r="A568" s="20" t="s">
        <v>126</v>
      </c>
      <c r="B568" s="2">
        <v>45048</v>
      </c>
      <c r="C568" t="s">
        <v>5</v>
      </c>
      <c r="D568" t="s">
        <v>5</v>
      </c>
      <c r="E568" t="s">
        <v>34</v>
      </c>
      <c r="F568">
        <v>94</v>
      </c>
      <c r="G568" t="s">
        <v>55</v>
      </c>
      <c r="H568" s="9">
        <f t="shared" si="25"/>
        <v>9</v>
      </c>
      <c r="I568" cm="1">
        <f t="array" ref="I568">IFERROR(INDEX(CourseYardages[[Hole 1]:[Hole 18]],
  MATCH(1, (CourseYardages[Course]=C568)*(CourseYardages[Tees]=E568), 0),
  MATCH(G568, CourseYardages[[#Headers],[Hole 1]:[Hole 18]], 0)
),"")</f>
        <v>360</v>
      </c>
      <c r="J568" cm="1">
        <f t="array" ref="J568">IFERROR(INDEX(CourseHandicap[[Hole 1]:[Hole 18]],
  MATCH(1, (CourseHandicap[Course]=C568)*(CourseHandicap[Tees]=E568), 0),
  MATCH(G568, CourseHandicap[[#Headers],[Hole 1]:[Hole 18]], 0)
),"")</f>
        <v>9</v>
      </c>
      <c r="K568" cm="1">
        <f t="array" ref="K568">IFERROR(INDEX(CourseRatings[[Hole 1]:[Hole 18]],
  MATCH(1, (CourseRatings[Course]=C568)*(CourseRatings[Tees]=E568), 0),
  MATCH(G568, CourseRatings[[#Headers],[Hole 1]:[Hole 18]], 0)
),"")</f>
        <v>4</v>
      </c>
      <c r="L568" cm="1">
        <f t="array" ref="L568">IFERROR(
  INDEX('Golf Log'!$E$2:$V$72,
    MATCH(1,
      ('Golf Log'!$A$2:$A$72=$A568)*
      ('Golf Log'!$B$2:$B$72=$B568)*
      ('Golf Log'!$C$2:$C$72=$C568),
    0),
    MATCH($G568,'Golf Log'!$E$1:$V$1,0)
  ),
"")</f>
        <v>4</v>
      </c>
      <c r="M568">
        <f t="shared" si="26"/>
        <v>0</v>
      </c>
      <c r="N568" t="str">
        <f t="shared" si="21"/>
        <v>Par</v>
      </c>
      <c r="O568" cm="1">
        <f t="array" ref="O568">IFERROR(
  INDEX('Putt Log'!$E$2:$V$72,
    MATCH(1,
      ('Putt Log'!$A$2:$A$72=$A568)*
      ('Putt Log'!$B$2:$B$72=$B568)*
      ('Putt Log'!$C$2:$C$72=$C568),
    0),
    MATCH($G568,'Putt Log'!$E$1:$V$1,0)
  ),
"")</f>
        <v>2</v>
      </c>
      <c r="P568" cm="1">
        <f t="array" ref="P568">IF(K568=3,"",
  IFERROR(
    INDEX('Fairway Log'!$E$2:$V$72,
      MATCH(1,
        ('Fairway Log'!$A$2:$A$72=$A568)*
        ('Fairway Log'!$B$2:$B$72=$B568)*
        ('Fairway Log'!$C$2:$C639=$C568),
      0),
      MATCH($G568,'Fairway Log'!$E$1:$V$1,0)
    ),
  "")
)</f>
        <v>1</v>
      </c>
      <c r="Q568" cm="1">
        <f t="array" ref="Q568">IFERROR(
  INDEX('GIR Log'!$E$2:$V$72,
    MATCH(1,
      ('GIR Log'!$A$2:$A$72=$A568)*
      ('GIR Log'!$B$2:$B$72=$B568)*
      ('GIR Log'!$C$2:$C$72=$C568),
    0),
    MATCH($G568,'GIR Log'!$E$1:$V$1,0)
  ),
"")</f>
        <v>1</v>
      </c>
    </row>
    <row r="569" spans="1:17" x14ac:dyDescent="0.25">
      <c r="A569" s="20" t="s">
        <v>126</v>
      </c>
      <c r="B569" s="2">
        <v>45048</v>
      </c>
      <c r="C569" t="s">
        <v>5</v>
      </c>
      <c r="D569" t="s">
        <v>5</v>
      </c>
      <c r="E569" t="s">
        <v>34</v>
      </c>
      <c r="F569">
        <v>94</v>
      </c>
      <c r="G569" t="s">
        <v>56</v>
      </c>
      <c r="H569" s="9">
        <f t="shared" si="25"/>
        <v>10</v>
      </c>
      <c r="I569" cm="1">
        <f t="array" ref="I569">IFERROR(INDEX(CourseYardages[[Hole 1]:[Hole 18]],
  MATCH(1, (CourseYardages[Course]=C569)*(CourseYardages[Tees]=E569), 0),
  MATCH(G569, CourseYardages[[#Headers],[Hole 1]:[Hole 18]], 0)
),"")</f>
        <v>381</v>
      </c>
      <c r="J569" cm="1">
        <f t="array" ref="J569">IFERROR(INDEX(CourseHandicap[[Hole 1]:[Hole 18]],
  MATCH(1, (CourseHandicap[Course]=C569)*(CourseHandicap[Tees]=E569), 0),
  MATCH(G569, CourseHandicap[[#Headers],[Hole 1]:[Hole 18]], 0)
),"")</f>
        <v>12</v>
      </c>
      <c r="K569" cm="1">
        <f t="array" ref="K569">IFERROR(INDEX(CourseRatings[[Hole 1]:[Hole 18]],
  MATCH(1, (CourseRatings[Course]=C569)*(CourseRatings[Tees]=E569), 0),
  MATCH(G569, CourseRatings[[#Headers],[Hole 1]:[Hole 18]], 0)
),"")</f>
        <v>4</v>
      </c>
      <c r="L569" cm="1">
        <f t="array" ref="L569">IFERROR(
  INDEX('Golf Log'!$E$2:$V$72,
    MATCH(1,
      ('Golf Log'!$A$2:$A$72=$A569)*
      ('Golf Log'!$B$2:$B$72=$B569)*
      ('Golf Log'!$C$2:$C$72=$C569),
    0),
    MATCH($G569,'Golf Log'!$E$1:$V$1,0)
  ),
"")</f>
        <v>6</v>
      </c>
      <c r="M569">
        <f t="shared" si="26"/>
        <v>2</v>
      </c>
      <c r="N569" t="str">
        <f t="shared" si="21"/>
        <v>Double Bogey</v>
      </c>
      <c r="O569" cm="1">
        <f t="array" ref="O569">IFERROR(
  INDEX('Putt Log'!$E$2:$V$72,
    MATCH(1,
      ('Putt Log'!$A$2:$A$72=$A569)*
      ('Putt Log'!$B$2:$B$72=$B569)*
      ('Putt Log'!$C$2:$C$72=$C569),
    0),
    MATCH($G569,'Putt Log'!$E$1:$V$1,0)
  ),
"")</f>
        <v>2</v>
      </c>
      <c r="P569" cm="1">
        <f t="array" ref="P569">IF(K569=3,"",
  IFERROR(
    INDEX('Fairway Log'!$E$2:$V$72,
      MATCH(1,
        ('Fairway Log'!$A$2:$A$72=$A569)*
        ('Fairway Log'!$B$2:$B$72=$B569)*
        ('Fairway Log'!$C$2:$C640=$C569),
      0),
      MATCH($G569,'Fairway Log'!$E$1:$V$1,0)
    ),
  "")
)</f>
        <v>1</v>
      </c>
      <c r="Q569" cm="1">
        <f t="array" ref="Q569">IFERROR(
  INDEX('GIR Log'!$E$2:$V$72,
    MATCH(1,
      ('GIR Log'!$A$2:$A$72=$A569)*
      ('GIR Log'!$B$2:$B$72=$B569)*
      ('GIR Log'!$C$2:$C$72=$C569),
    0),
    MATCH($G569,'GIR Log'!$E$1:$V$1,0)
  ),
"")</f>
        <v>0</v>
      </c>
    </row>
    <row r="570" spans="1:17" x14ac:dyDescent="0.25">
      <c r="A570" s="20" t="s">
        <v>126</v>
      </c>
      <c r="B570" s="2">
        <v>45048</v>
      </c>
      <c r="C570" t="s">
        <v>5</v>
      </c>
      <c r="D570" t="s">
        <v>5</v>
      </c>
      <c r="E570" t="s">
        <v>34</v>
      </c>
      <c r="F570">
        <v>94</v>
      </c>
      <c r="G570" t="s">
        <v>57</v>
      </c>
      <c r="H570" s="9">
        <f t="shared" si="25"/>
        <v>11</v>
      </c>
      <c r="I570" cm="1">
        <f t="array" ref="I570">IFERROR(INDEX(CourseYardages[[Hole 1]:[Hole 18]],
  MATCH(1, (CourseYardages[Course]=C570)*(CourseYardages[Tees]=E570), 0),
  MATCH(G570, CourseYardages[[#Headers],[Hole 1]:[Hole 18]], 0)
),"")</f>
        <v>200</v>
      </c>
      <c r="J570" cm="1">
        <f t="array" ref="J570">IFERROR(INDEX(CourseHandicap[[Hole 1]:[Hole 18]],
  MATCH(1, (CourseHandicap[Course]=C570)*(CourseHandicap[Tees]=E570), 0),
  MATCH(G570, CourseHandicap[[#Headers],[Hole 1]:[Hole 18]], 0)
),"")</f>
        <v>16</v>
      </c>
      <c r="K570" cm="1">
        <f t="array" ref="K570">IFERROR(INDEX(CourseRatings[[Hole 1]:[Hole 18]],
  MATCH(1, (CourseRatings[Course]=C570)*(CourseRatings[Tees]=E570), 0),
  MATCH(G570, CourseRatings[[#Headers],[Hole 1]:[Hole 18]], 0)
),"")</f>
        <v>3</v>
      </c>
      <c r="L570" cm="1">
        <f t="array" ref="L570">IFERROR(
  INDEX('Golf Log'!$E$2:$V$72,
    MATCH(1,
      ('Golf Log'!$A$2:$A$72=$A570)*
      ('Golf Log'!$B$2:$B$72=$B570)*
      ('Golf Log'!$C$2:$C$72=$C570),
    0),
    MATCH($G570,'Golf Log'!$E$1:$V$1,0)
  ),
"")</f>
        <v>5</v>
      </c>
      <c r="M570">
        <f t="shared" si="26"/>
        <v>2</v>
      </c>
      <c r="N570" t="str">
        <f t="shared" si="21"/>
        <v>Double Bogey</v>
      </c>
      <c r="O570" cm="1">
        <f t="array" ref="O570">IFERROR(
  INDEX('Putt Log'!$E$2:$V$72,
    MATCH(1,
      ('Putt Log'!$A$2:$A$72=$A570)*
      ('Putt Log'!$B$2:$B$72=$B570)*
      ('Putt Log'!$C$2:$C$72=$C570),
    0),
    MATCH($G570,'Putt Log'!$E$1:$V$1,0)
  ),
"")</f>
        <v>2</v>
      </c>
      <c r="P570" t="str" cm="1">
        <f t="array" ref="P570">IF(K570=3,"",
  IFERROR(
    INDEX('Fairway Log'!$E$2:$V$72,
      MATCH(1,
        ('Fairway Log'!$A$2:$A$72=$A570)*
        ('Fairway Log'!$B$2:$B$72=$B570)*
        ('Fairway Log'!$C$2:$C641=$C570),
      0),
      MATCH($G570,'Fairway Log'!$E$1:$V$1,0)
    ),
  "")
)</f>
        <v/>
      </c>
      <c r="Q570" cm="1">
        <f t="array" ref="Q570">IFERROR(
  INDEX('GIR Log'!$E$2:$V$72,
    MATCH(1,
      ('GIR Log'!$A$2:$A$72=$A570)*
      ('GIR Log'!$B$2:$B$72=$B570)*
      ('GIR Log'!$C$2:$C$72=$C570),
    0),
    MATCH($G570,'GIR Log'!$E$1:$V$1,0)
  ),
"")</f>
        <v>0</v>
      </c>
    </row>
    <row r="571" spans="1:17" x14ac:dyDescent="0.25">
      <c r="A571" s="20" t="s">
        <v>126</v>
      </c>
      <c r="B571" s="2">
        <v>45048</v>
      </c>
      <c r="C571" t="s">
        <v>5</v>
      </c>
      <c r="D571" t="s">
        <v>5</v>
      </c>
      <c r="E571" t="s">
        <v>34</v>
      </c>
      <c r="F571">
        <v>94</v>
      </c>
      <c r="G571" t="s">
        <v>58</v>
      </c>
      <c r="H571" s="9">
        <f t="shared" si="25"/>
        <v>12</v>
      </c>
      <c r="I571" cm="1">
        <f t="array" ref="I571">IFERROR(INDEX(CourseYardages[[Hole 1]:[Hole 18]],
  MATCH(1, (CourseYardages[Course]=C571)*(CourseYardages[Tees]=E571), 0),
  MATCH(G571, CourseYardages[[#Headers],[Hole 1]:[Hole 18]], 0)
),"")</f>
        <v>473</v>
      </c>
      <c r="J571" cm="1">
        <f t="array" ref="J571">IFERROR(INDEX(CourseHandicap[[Hole 1]:[Hole 18]],
  MATCH(1, (CourseHandicap[Course]=C571)*(CourseHandicap[Tees]=E571), 0),
  MATCH(G571, CourseHandicap[[#Headers],[Hole 1]:[Hole 18]], 0)
),"")</f>
        <v>10</v>
      </c>
      <c r="K571" cm="1">
        <f t="array" ref="K571">IFERROR(INDEX(CourseRatings[[Hole 1]:[Hole 18]],
  MATCH(1, (CourseRatings[Course]=C571)*(CourseRatings[Tees]=E571), 0),
  MATCH(G571, CourseRatings[[#Headers],[Hole 1]:[Hole 18]], 0)
),"")</f>
        <v>5</v>
      </c>
      <c r="L571" cm="1">
        <f t="array" ref="L571">IFERROR(
  INDEX('Golf Log'!$E$2:$V$72,
    MATCH(1,
      ('Golf Log'!$A$2:$A$72=$A571)*
      ('Golf Log'!$B$2:$B$72=$B571)*
      ('Golf Log'!$C$2:$C$72=$C571),
    0),
    MATCH($G571,'Golf Log'!$E$1:$V$1,0)
  ),
"")</f>
        <v>7</v>
      </c>
      <c r="M571">
        <f t="shared" si="26"/>
        <v>2</v>
      </c>
      <c r="N571" t="str">
        <f t="shared" si="21"/>
        <v>Double Bogey</v>
      </c>
      <c r="O571" cm="1">
        <f t="array" ref="O571">IFERROR(
  INDEX('Putt Log'!$E$2:$V$72,
    MATCH(1,
      ('Putt Log'!$A$2:$A$72=$A571)*
      ('Putt Log'!$B$2:$B$72=$B571)*
      ('Putt Log'!$C$2:$C$72=$C571),
    0),
    MATCH($G571,'Putt Log'!$E$1:$V$1,0)
  ),
"")</f>
        <v>3</v>
      </c>
      <c r="P571" t="str" cm="1">
        <f t="array" ref="P571">IF(K571=3,"",
  IFERROR(
    INDEX('Fairway Log'!$E$2:$V$72,
      MATCH(1,
        ('Fairway Log'!$A$2:$A$72=$A571)*
        ('Fairway Log'!$B$2:$B$72=$B571)*
        ('Fairway Log'!$C$2:$C642=$C571),
      0),
      MATCH($G571,'Fairway Log'!$E$1:$V$1,0)
    ),
  "")
)</f>
        <v>←</v>
      </c>
      <c r="Q571" cm="1">
        <f t="array" ref="Q571">IFERROR(
  INDEX('GIR Log'!$E$2:$V$72,
    MATCH(1,
      ('GIR Log'!$A$2:$A$72=$A571)*
      ('GIR Log'!$B$2:$B$72=$B571)*
      ('GIR Log'!$C$2:$C$72=$C571),
    0),
    MATCH($G571,'GIR Log'!$E$1:$V$1,0)
  ),
"")</f>
        <v>0</v>
      </c>
    </row>
    <row r="572" spans="1:17" x14ac:dyDescent="0.25">
      <c r="A572" s="20" t="s">
        <v>126</v>
      </c>
      <c r="B572" s="2">
        <v>45048</v>
      </c>
      <c r="C572" t="s">
        <v>5</v>
      </c>
      <c r="D572" t="s">
        <v>5</v>
      </c>
      <c r="E572" t="s">
        <v>34</v>
      </c>
      <c r="F572">
        <v>94</v>
      </c>
      <c r="G572" t="s">
        <v>59</v>
      </c>
      <c r="H572" s="9">
        <f t="shared" si="25"/>
        <v>13</v>
      </c>
      <c r="I572" cm="1">
        <f t="array" ref="I572">IFERROR(INDEX(CourseYardages[[Hole 1]:[Hole 18]],
  MATCH(1, (CourseYardages[Course]=C572)*(CourseYardages[Tees]=E572), 0),
  MATCH(G572, CourseYardages[[#Headers],[Hole 1]:[Hole 18]], 0)
),"")</f>
        <v>362</v>
      </c>
      <c r="J572" cm="1">
        <f t="array" ref="J572">IFERROR(INDEX(CourseHandicap[[Hole 1]:[Hole 18]],
  MATCH(1, (CourseHandicap[Course]=C572)*(CourseHandicap[Tees]=E572), 0),
  MATCH(G572, CourseHandicap[[#Headers],[Hole 1]:[Hole 18]], 0)
),"")</f>
        <v>18</v>
      </c>
      <c r="K572" cm="1">
        <f t="array" ref="K572">IFERROR(INDEX(CourseRatings[[Hole 1]:[Hole 18]],
  MATCH(1, (CourseRatings[Course]=C572)*(CourseRatings[Tees]=E572), 0),
  MATCH(G572, CourseRatings[[#Headers],[Hole 1]:[Hole 18]], 0)
),"")</f>
        <v>4</v>
      </c>
      <c r="L572" cm="1">
        <f t="array" ref="L572">IFERROR(
  INDEX('Golf Log'!$E$2:$V$72,
    MATCH(1,
      ('Golf Log'!$A$2:$A$72=$A572)*
      ('Golf Log'!$B$2:$B$72=$B572)*
      ('Golf Log'!$C$2:$C$72=$C572),
    0),
    MATCH($G572,'Golf Log'!$E$1:$V$1,0)
  ),
"")</f>
        <v>6</v>
      </c>
      <c r="M572">
        <f t="shared" si="26"/>
        <v>2</v>
      </c>
      <c r="N572" t="str">
        <f t="shared" si="21"/>
        <v>Double Bogey</v>
      </c>
      <c r="O572" cm="1">
        <f t="array" ref="O572">IFERROR(
  INDEX('Putt Log'!$E$2:$V$72,
    MATCH(1,
      ('Putt Log'!$A$2:$A$72=$A572)*
      ('Putt Log'!$B$2:$B$72=$B572)*
      ('Putt Log'!$C$2:$C$72=$C572),
    0),
    MATCH($G572,'Putt Log'!$E$1:$V$1,0)
  ),
"")</f>
        <v>2</v>
      </c>
      <c r="P572" t="str" cm="1">
        <f t="array" ref="P572">IF(K572=3,"",
  IFERROR(
    INDEX('Fairway Log'!$E$2:$V$72,
      MATCH(1,
        ('Fairway Log'!$A$2:$A$72=$A572)*
        ('Fairway Log'!$B$2:$B$72=$B572)*
        ('Fairway Log'!$C$2:$C643=$C572),
      0),
      MATCH($G572,'Fairway Log'!$E$1:$V$1,0)
    ),
  "")
)</f>
        <v>→</v>
      </c>
      <c r="Q572" cm="1">
        <f t="array" ref="Q572">IFERROR(
  INDEX('GIR Log'!$E$2:$V$72,
    MATCH(1,
      ('GIR Log'!$A$2:$A$72=$A572)*
      ('GIR Log'!$B$2:$B$72=$B572)*
      ('GIR Log'!$C$2:$C$72=$C572),
    0),
    MATCH($G572,'GIR Log'!$E$1:$V$1,0)
  ),
"")</f>
        <v>0</v>
      </c>
    </row>
    <row r="573" spans="1:17" x14ac:dyDescent="0.25">
      <c r="A573" s="20" t="s">
        <v>126</v>
      </c>
      <c r="B573" s="2">
        <v>45048</v>
      </c>
      <c r="C573" t="s">
        <v>5</v>
      </c>
      <c r="D573" t="s">
        <v>5</v>
      </c>
      <c r="E573" t="s">
        <v>34</v>
      </c>
      <c r="F573">
        <v>94</v>
      </c>
      <c r="G573" t="s">
        <v>60</v>
      </c>
      <c r="H573" s="9">
        <f t="shared" si="25"/>
        <v>14</v>
      </c>
      <c r="I573" cm="1">
        <f t="array" ref="I573">IFERROR(INDEX(CourseYardages[[Hole 1]:[Hole 18]],
  MATCH(1, (CourseYardages[Course]=C573)*(CourseYardages[Tees]=E573), 0),
  MATCH(G573, CourseYardages[[#Headers],[Hole 1]:[Hole 18]], 0)
),"")</f>
        <v>383</v>
      </c>
      <c r="J573" cm="1">
        <f t="array" ref="J573">IFERROR(INDEX(CourseHandicap[[Hole 1]:[Hole 18]],
  MATCH(1, (CourseHandicap[Course]=C573)*(CourseHandicap[Tees]=E573), 0),
  MATCH(G573, CourseHandicap[[#Headers],[Hole 1]:[Hole 18]], 0)
),"")</f>
        <v>8</v>
      </c>
      <c r="K573" cm="1">
        <f t="array" ref="K573">IFERROR(INDEX(CourseRatings[[Hole 1]:[Hole 18]],
  MATCH(1, (CourseRatings[Course]=C573)*(CourseRatings[Tees]=E573), 0),
  MATCH(G573, CourseRatings[[#Headers],[Hole 1]:[Hole 18]], 0)
),"")</f>
        <v>4</v>
      </c>
      <c r="L573" cm="1">
        <f t="array" ref="L573">IFERROR(
  INDEX('Golf Log'!$E$2:$V$72,
    MATCH(1,
      ('Golf Log'!$A$2:$A$72=$A573)*
      ('Golf Log'!$B$2:$B$72=$B573)*
      ('Golf Log'!$C$2:$C$72=$C573),
    0),
    MATCH($G573,'Golf Log'!$E$1:$V$1,0)
  ),
"")</f>
        <v>6</v>
      </c>
      <c r="M573">
        <f t="shared" si="26"/>
        <v>2</v>
      </c>
      <c r="N573" t="str">
        <f t="shared" si="21"/>
        <v>Double Bogey</v>
      </c>
      <c r="O573" cm="1">
        <f t="array" ref="O573">IFERROR(
  INDEX('Putt Log'!$E$2:$V$72,
    MATCH(1,
      ('Putt Log'!$A$2:$A$72=$A573)*
      ('Putt Log'!$B$2:$B$72=$B573)*
      ('Putt Log'!$C$2:$C$72=$C573),
    0),
    MATCH($G573,'Putt Log'!$E$1:$V$1,0)
  ),
"")</f>
        <v>2</v>
      </c>
      <c r="P573" t="str" cm="1">
        <f t="array" ref="P573">IF(K573=3,"",
  IFERROR(
    INDEX('Fairway Log'!$E$2:$V$72,
      MATCH(1,
        ('Fairway Log'!$A$2:$A$72=$A573)*
        ('Fairway Log'!$B$2:$B$72=$B573)*
        ('Fairway Log'!$C$2:$C644=$C573),
      0),
      MATCH($G573,'Fairway Log'!$E$1:$V$1,0)
    ),
  "")
)</f>
        <v>←</v>
      </c>
      <c r="Q573" cm="1">
        <f t="array" ref="Q573">IFERROR(
  INDEX('GIR Log'!$E$2:$V$72,
    MATCH(1,
      ('GIR Log'!$A$2:$A$72=$A573)*
      ('GIR Log'!$B$2:$B$72=$B573)*
      ('GIR Log'!$C$2:$C$72=$C573),
    0),
    MATCH($G573,'GIR Log'!$E$1:$V$1,0)
  ),
"")</f>
        <v>0</v>
      </c>
    </row>
    <row r="574" spans="1:17" x14ac:dyDescent="0.25">
      <c r="A574" s="20" t="s">
        <v>126</v>
      </c>
      <c r="B574" s="2">
        <v>45048</v>
      </c>
      <c r="C574" t="s">
        <v>5</v>
      </c>
      <c r="D574" t="s">
        <v>5</v>
      </c>
      <c r="E574" t="s">
        <v>34</v>
      </c>
      <c r="F574">
        <v>94</v>
      </c>
      <c r="G574" t="s">
        <v>61</v>
      </c>
      <c r="H574" s="9">
        <f t="shared" si="25"/>
        <v>15</v>
      </c>
      <c r="I574" cm="1">
        <f t="array" ref="I574">IFERROR(INDEX(CourseYardages[[Hole 1]:[Hole 18]],
  MATCH(1, (CourseYardages[Course]=C574)*(CourseYardages[Tees]=E574), 0),
  MATCH(G574, CourseYardages[[#Headers],[Hole 1]:[Hole 18]], 0)
),"")</f>
        <v>387</v>
      </c>
      <c r="J574" cm="1">
        <f t="array" ref="J574">IFERROR(INDEX(CourseHandicap[[Hole 1]:[Hole 18]],
  MATCH(1, (CourseHandicap[Course]=C574)*(CourseHandicap[Tees]=E574), 0),
  MATCH(G574, CourseHandicap[[#Headers],[Hole 1]:[Hole 18]], 0)
),"")</f>
        <v>2</v>
      </c>
      <c r="K574" cm="1">
        <f t="array" ref="K574">IFERROR(INDEX(CourseRatings[[Hole 1]:[Hole 18]],
  MATCH(1, (CourseRatings[Course]=C574)*(CourseRatings[Tees]=E574), 0),
  MATCH(G574, CourseRatings[[#Headers],[Hole 1]:[Hole 18]], 0)
),"")</f>
        <v>4</v>
      </c>
      <c r="L574" cm="1">
        <f t="array" ref="L574">IFERROR(
  INDEX('Golf Log'!$E$2:$V$72,
    MATCH(1,
      ('Golf Log'!$A$2:$A$72=$A574)*
      ('Golf Log'!$B$2:$B$72=$B574)*
      ('Golf Log'!$C$2:$C$72=$C574),
    0),
    MATCH($G574,'Golf Log'!$E$1:$V$1,0)
  ),
"")</f>
        <v>5</v>
      </c>
      <c r="M574">
        <f t="shared" si="26"/>
        <v>1</v>
      </c>
      <c r="N574" t="str">
        <f t="shared" si="21"/>
        <v>Bogey</v>
      </c>
      <c r="O574" cm="1">
        <f t="array" ref="O574">IFERROR(
  INDEX('Putt Log'!$E$2:$V$72,
    MATCH(1,
      ('Putt Log'!$A$2:$A$72=$A574)*
      ('Putt Log'!$B$2:$B$72=$B574)*
      ('Putt Log'!$C$2:$C$72=$C574),
    0),
    MATCH($G574,'Putt Log'!$E$1:$V$1,0)
  ),
"")</f>
        <v>1</v>
      </c>
      <c r="P574" t="str" cm="1">
        <f t="array" ref="P574">IF(K574=3,"",
  IFERROR(
    INDEX('Fairway Log'!$E$2:$V$72,
      MATCH(1,
        ('Fairway Log'!$A$2:$A$72=$A574)*
        ('Fairway Log'!$B$2:$B$72=$B574)*
        ('Fairway Log'!$C$2:$C645=$C574),
      0),
      MATCH($G574,'Fairway Log'!$E$1:$V$1,0)
    ),
  "")
)</f>
        <v>←</v>
      </c>
      <c r="Q574" cm="1">
        <f t="array" ref="Q574">IFERROR(
  INDEX('GIR Log'!$E$2:$V$72,
    MATCH(1,
      ('GIR Log'!$A$2:$A$72=$A574)*
      ('GIR Log'!$B$2:$B$72=$B574)*
      ('GIR Log'!$C$2:$C$72=$C574),
    0),
    MATCH($G574,'GIR Log'!$E$1:$V$1,0)
  ),
"")</f>
        <v>0</v>
      </c>
    </row>
    <row r="575" spans="1:17" x14ac:dyDescent="0.25">
      <c r="A575" s="20" t="s">
        <v>126</v>
      </c>
      <c r="B575" s="2">
        <v>45048</v>
      </c>
      <c r="C575" t="s">
        <v>5</v>
      </c>
      <c r="D575" t="s">
        <v>5</v>
      </c>
      <c r="E575" t="s">
        <v>34</v>
      </c>
      <c r="F575">
        <v>94</v>
      </c>
      <c r="G575" t="s">
        <v>62</v>
      </c>
      <c r="H575" s="9">
        <f t="shared" si="25"/>
        <v>16</v>
      </c>
      <c r="I575" cm="1">
        <f t="array" ref="I575">IFERROR(INDEX(CourseYardages[[Hole 1]:[Hole 18]],
  MATCH(1, (CourseYardages[Course]=C575)*(CourseYardages[Tees]=E575), 0),
  MATCH(G575, CourseYardages[[#Headers],[Hole 1]:[Hole 18]], 0)
),"")</f>
        <v>501</v>
      </c>
      <c r="J575" cm="1">
        <f t="array" ref="J575">IFERROR(INDEX(CourseHandicap[[Hole 1]:[Hole 18]],
  MATCH(1, (CourseHandicap[Course]=C575)*(CourseHandicap[Tees]=E575), 0),
  MATCH(G575, CourseHandicap[[#Headers],[Hole 1]:[Hole 18]], 0)
),"")</f>
        <v>4</v>
      </c>
      <c r="K575" cm="1">
        <f t="array" ref="K575">IFERROR(INDEX(CourseRatings[[Hole 1]:[Hole 18]],
  MATCH(1, (CourseRatings[Course]=C575)*(CourseRatings[Tees]=E575), 0),
  MATCH(G575, CourseRatings[[#Headers],[Hole 1]:[Hole 18]], 0)
),"")</f>
        <v>5</v>
      </c>
      <c r="L575" cm="1">
        <f t="array" ref="L575">IFERROR(
  INDEX('Golf Log'!$E$2:$V$72,
    MATCH(1,
      ('Golf Log'!$A$2:$A$72=$A575)*
      ('Golf Log'!$B$2:$B$72=$B575)*
      ('Golf Log'!$C$2:$C$72=$C575),
    0),
    MATCH($G575,'Golf Log'!$E$1:$V$1,0)
  ),
"")</f>
        <v>7</v>
      </c>
      <c r="M575">
        <f t="shared" si="26"/>
        <v>2</v>
      </c>
      <c r="N575" t="str">
        <f t="shared" si="21"/>
        <v>Double Bogey</v>
      </c>
      <c r="O575" cm="1">
        <f t="array" ref="O575">IFERROR(
  INDEX('Putt Log'!$E$2:$V$72,
    MATCH(1,
      ('Putt Log'!$A$2:$A$72=$A575)*
      ('Putt Log'!$B$2:$B$72=$B575)*
      ('Putt Log'!$C$2:$C$72=$C575),
    0),
    MATCH($G575,'Putt Log'!$E$1:$V$1,0)
  ),
"")</f>
        <v>3</v>
      </c>
      <c r="P575" cm="1">
        <f t="array" ref="P575">IF(K575=3,"",
  IFERROR(
    INDEX('Fairway Log'!$E$2:$V$72,
      MATCH(1,
        ('Fairway Log'!$A$2:$A$72=$A575)*
        ('Fairway Log'!$B$2:$B$72=$B575)*
        ('Fairway Log'!$C$2:$C646=$C575),
      0),
      MATCH($G575,'Fairway Log'!$E$1:$V$1,0)
    ),
  "")
)</f>
        <v>1</v>
      </c>
      <c r="Q575" cm="1">
        <f t="array" ref="Q575">IFERROR(
  INDEX('GIR Log'!$E$2:$V$72,
    MATCH(1,
      ('GIR Log'!$A$2:$A$72=$A575)*
      ('GIR Log'!$B$2:$B$72=$B575)*
      ('GIR Log'!$C$2:$C$72=$C575),
    0),
    MATCH($G575,'GIR Log'!$E$1:$V$1,0)
  ),
"")</f>
        <v>0</v>
      </c>
    </row>
    <row r="576" spans="1:17" x14ac:dyDescent="0.25">
      <c r="A576" s="20" t="s">
        <v>126</v>
      </c>
      <c r="B576" s="2">
        <v>45048</v>
      </c>
      <c r="C576" t="s">
        <v>5</v>
      </c>
      <c r="D576" t="s">
        <v>5</v>
      </c>
      <c r="E576" t="s">
        <v>34</v>
      </c>
      <c r="F576">
        <v>94</v>
      </c>
      <c r="G576" t="s">
        <v>63</v>
      </c>
      <c r="H576" s="9">
        <f t="shared" si="25"/>
        <v>17</v>
      </c>
      <c r="I576" cm="1">
        <f t="array" ref="I576">IFERROR(INDEX(CourseYardages[[Hole 1]:[Hole 18]],
  MATCH(1, (CourseYardages[Course]=C576)*(CourseYardages[Tees]=E576), 0),
  MATCH(G576, CourseYardages[[#Headers],[Hole 1]:[Hole 18]], 0)
),"")</f>
        <v>175</v>
      </c>
      <c r="J576" cm="1">
        <f t="array" ref="J576">IFERROR(INDEX(CourseHandicap[[Hole 1]:[Hole 18]],
  MATCH(1, (CourseHandicap[Course]=C576)*(CourseHandicap[Tees]=E576), 0),
  MATCH(G576, CourseHandicap[[#Headers],[Hole 1]:[Hole 18]], 0)
),"")</f>
        <v>14</v>
      </c>
      <c r="K576" cm="1">
        <f t="array" ref="K576">IFERROR(INDEX(CourseRatings[[Hole 1]:[Hole 18]],
  MATCH(1, (CourseRatings[Course]=C576)*(CourseRatings[Tees]=E576), 0),
  MATCH(G576, CourseRatings[[#Headers],[Hole 1]:[Hole 18]], 0)
),"")</f>
        <v>3</v>
      </c>
      <c r="L576" cm="1">
        <f t="array" ref="L576">IFERROR(
  INDEX('Golf Log'!$E$2:$V$72,
    MATCH(1,
      ('Golf Log'!$A$2:$A$72=$A576)*
      ('Golf Log'!$B$2:$B$72=$B576)*
      ('Golf Log'!$C$2:$C$72=$C576),
    0),
    MATCH($G576,'Golf Log'!$E$1:$V$1,0)
  ),
"")</f>
        <v>3</v>
      </c>
      <c r="M576">
        <f t="shared" si="26"/>
        <v>0</v>
      </c>
      <c r="N576" t="str">
        <f t="shared" si="21"/>
        <v>Par</v>
      </c>
      <c r="O576" cm="1">
        <f t="array" ref="O576">IFERROR(
  INDEX('Putt Log'!$E$2:$V$72,
    MATCH(1,
      ('Putt Log'!$A$2:$A$72=$A576)*
      ('Putt Log'!$B$2:$B$72=$B576)*
      ('Putt Log'!$C$2:$C$72=$C576),
    0),
    MATCH($G576,'Putt Log'!$E$1:$V$1,0)
  ),
"")</f>
        <v>1</v>
      </c>
      <c r="P576" t="str" cm="1">
        <f t="array" ref="P576">IF(K576=3,"",
  IFERROR(
    INDEX('Fairway Log'!$E$2:$V$72,
      MATCH(1,
        ('Fairway Log'!$A$2:$A$72=$A576)*
        ('Fairway Log'!$B$2:$B$72=$B576)*
        ('Fairway Log'!$C$2:$C647=$C576),
      0),
      MATCH($G576,'Fairway Log'!$E$1:$V$1,0)
    ),
  "")
)</f>
        <v/>
      </c>
      <c r="Q576" cm="1">
        <f t="array" ref="Q576">IFERROR(
  INDEX('GIR Log'!$E$2:$V$72,
    MATCH(1,
      ('GIR Log'!$A$2:$A$72=$A576)*
      ('GIR Log'!$B$2:$B$72=$B576)*
      ('GIR Log'!$C$2:$C$72=$C576),
    0),
    MATCH($G576,'GIR Log'!$E$1:$V$1,0)
  ),
"")</f>
        <v>0</v>
      </c>
    </row>
    <row r="577" spans="1:17" x14ac:dyDescent="0.25">
      <c r="A577" s="20" t="s">
        <v>126</v>
      </c>
      <c r="B577" s="2">
        <v>45048</v>
      </c>
      <c r="C577" t="s">
        <v>5</v>
      </c>
      <c r="D577" t="s">
        <v>5</v>
      </c>
      <c r="E577" t="s">
        <v>34</v>
      </c>
      <c r="F577">
        <v>94</v>
      </c>
      <c r="G577" t="s">
        <v>64</v>
      </c>
      <c r="H577" s="9">
        <f t="shared" si="25"/>
        <v>18</v>
      </c>
      <c r="I577" cm="1">
        <f t="array" ref="I577">IFERROR(INDEX(CourseYardages[[Hole 1]:[Hole 18]],
  MATCH(1, (CourseYardages[Course]=C577)*(CourseYardages[Tees]=E577), 0),
  MATCH(G577, CourseYardages[[#Headers],[Hole 1]:[Hole 18]], 0)
),"")</f>
        <v>364</v>
      </c>
      <c r="J577" cm="1">
        <f t="array" ref="J577">IFERROR(INDEX(CourseHandicap[[Hole 1]:[Hole 18]],
  MATCH(1, (CourseHandicap[Course]=C577)*(CourseHandicap[Tees]=E577), 0),
  MATCH(G577, CourseHandicap[[#Headers],[Hole 1]:[Hole 18]], 0)
),"")</f>
        <v>6</v>
      </c>
      <c r="K577" cm="1">
        <f t="array" ref="K577">IFERROR(INDEX(CourseRatings[[Hole 1]:[Hole 18]],
  MATCH(1, (CourseRatings[Course]=C577)*(CourseRatings[Tees]=E577), 0),
  MATCH(G577, CourseRatings[[#Headers],[Hole 1]:[Hole 18]], 0)
),"")</f>
        <v>4</v>
      </c>
      <c r="L577" cm="1">
        <f t="array" ref="L577">IFERROR(
  INDEX('Golf Log'!$E$2:$V$72,
    MATCH(1,
      ('Golf Log'!$A$2:$A$72=$A577)*
      ('Golf Log'!$B$2:$B$72=$B577)*
      ('Golf Log'!$C$2:$C$72=$C577),
    0),
    MATCH($G577,'Golf Log'!$E$1:$V$1,0)
  ),
"")</f>
        <v>4</v>
      </c>
      <c r="M577">
        <f t="shared" si="26"/>
        <v>0</v>
      </c>
      <c r="N577" t="str">
        <f t="shared" si="21"/>
        <v>Par</v>
      </c>
      <c r="O577" cm="1">
        <f t="array" ref="O577">IFERROR(
  INDEX('Putt Log'!$E$2:$V$72,
    MATCH(1,
      ('Putt Log'!$A$2:$A$72=$A577)*
      ('Putt Log'!$B$2:$B$72=$B577)*
      ('Putt Log'!$C$2:$C$72=$C577),
    0),
    MATCH($G577,'Putt Log'!$E$1:$V$1,0)
  ),
"")</f>
        <v>1</v>
      </c>
      <c r="P577" t="str" cm="1">
        <f t="array" ref="P577">IF(K577=3,"",
  IFERROR(
    INDEX('Fairway Log'!$E$2:$V$72,
      MATCH(1,
        ('Fairway Log'!$A$2:$A$72=$A577)*
        ('Fairway Log'!$B$2:$B$72=$B577)*
        ('Fairway Log'!$C$2:$C648=$C577),
      0),
      MATCH($G577,'Fairway Log'!$E$1:$V$1,0)
    ),
  "")
)</f>
        <v>←</v>
      </c>
      <c r="Q577" cm="1">
        <f t="array" ref="Q577">IFERROR(
  INDEX('GIR Log'!$E$2:$V$72,
    MATCH(1,
      ('GIR Log'!$A$2:$A$72=$A577)*
      ('GIR Log'!$B$2:$B$72=$B577)*
      ('GIR Log'!$C$2:$C$72=$C577),
    0),
    MATCH($G577,'GIR Log'!$E$1:$V$1,0)
  ),
"")</f>
        <v>0</v>
      </c>
    </row>
    <row r="578" spans="1:17" x14ac:dyDescent="0.25">
      <c r="A578" s="20" t="s">
        <v>126</v>
      </c>
      <c r="B578" s="2">
        <v>45829</v>
      </c>
      <c r="C578" s="12" t="s">
        <v>6</v>
      </c>
      <c r="D578" s="12" t="s">
        <v>75</v>
      </c>
      <c r="E578" s="12" t="s">
        <v>36</v>
      </c>
      <c r="F578">
        <v>76</v>
      </c>
      <c r="G578" s="12" t="s">
        <v>47</v>
      </c>
      <c r="H578" s="9">
        <f t="shared" si="25"/>
        <v>1</v>
      </c>
      <c r="I578" cm="1">
        <f t="array" ref="I578">IFERROR(INDEX(CourseYardages[[Hole 1]:[Hole 18]],
  MATCH(1, (CourseYardages[Course]=C578)*(CourseYardages[Tees]=E578), 0),
  MATCH(G578, CourseYardages[[#Headers],[Hole 1]:[Hole 18]], 0)
),"")</f>
        <v>435</v>
      </c>
      <c r="J578" cm="1">
        <f t="array" ref="J578">IFERROR(INDEX(CourseHandicap[[Hole 1]:[Hole 18]],
  MATCH(1, (CourseHandicap[Course]=C578)*(CourseHandicap[Tees]=E578), 0),
  MATCH(G578, CourseHandicap[[#Headers],[Hole 1]:[Hole 18]], 0)
),"")</f>
        <v>6</v>
      </c>
      <c r="K578" cm="1">
        <f t="array" ref="K578">IFERROR(INDEX(CourseRatings[[Hole 1]:[Hole 18]],
  MATCH(1, (CourseRatings[Course]=C578)*(CourseRatings[Tees]=E578), 0),
  MATCH(G578, CourseRatings[[#Headers],[Hole 1]:[Hole 18]], 0)
),"")</f>
        <v>5</v>
      </c>
      <c r="L578" cm="1">
        <f t="array" ref="L578">IFERROR(
  INDEX('Golf Log'!$E$2:$V$72,
    MATCH(1,
      ('Golf Log'!$A$2:$A$72=$A578)*
      ('Golf Log'!$B$2:$B$72=$B578)*
      ('Golf Log'!$C$2:$C$72=$C578),
    0),
    MATCH($G578,'Golf Log'!$E$1:$V$1,0)
  ),
"")</f>
        <v>6</v>
      </c>
      <c r="M578">
        <f t="shared" si="26"/>
        <v>1</v>
      </c>
      <c r="N578" t="str">
        <f t="shared" si="21"/>
        <v>Bogey</v>
      </c>
      <c r="O578" cm="1">
        <f t="array" ref="O578">IFERROR(
  INDEX('Putt Log'!$E$2:$V$72,
    MATCH(1,
      ('Putt Log'!$A$2:$A$72=$A578)*
      ('Putt Log'!$B$2:$B$72=$B578)*
      ('Putt Log'!$C$2:$C$72=$C578),
    0),
    MATCH($G578,'Putt Log'!$E$1:$V$1,0)
  ),
"")</f>
        <v>2</v>
      </c>
      <c r="P578" cm="1">
        <f t="array" ref="P578">IF(K578=3,"",
  IFERROR(
    INDEX('Fairway Log'!$E$2:$V$72,
      MATCH(1,
        ('Fairway Log'!$A$2:$A$72=$A578)*
        ('Fairway Log'!$B$2:$B$72=$B578)*
        ('Fairway Log'!$C$2:$C649=$C578),
      0),
      MATCH($G578,'Fairway Log'!$E$1:$V$1,0)
    ),
  "")
)</f>
        <v>1</v>
      </c>
      <c r="Q578" t="str" cm="1">
        <f t="array" ref="Q578">IFERROR(
  INDEX('GIR Log'!$E$2:$V$72,
    MATCH(1,
      ('GIR Log'!$A$2:$A$72=$A578)*
      ('GIR Log'!$B$2:$B$72=$B578)*
      ('GIR Log'!$C$2:$C$72=$C578),
    0),
    MATCH($G578,'GIR Log'!$E$1:$V$1,0)
  ),
"")</f>
        <v>↓</v>
      </c>
    </row>
    <row r="579" spans="1:17" x14ac:dyDescent="0.25">
      <c r="A579" s="20" t="s">
        <v>126</v>
      </c>
      <c r="B579" s="2">
        <v>45829</v>
      </c>
      <c r="C579" s="12" t="s">
        <v>6</v>
      </c>
      <c r="D579" s="12" t="s">
        <v>75</v>
      </c>
      <c r="E579" s="12" t="s">
        <v>36</v>
      </c>
      <c r="F579">
        <v>77</v>
      </c>
      <c r="G579" s="12" t="s">
        <v>48</v>
      </c>
      <c r="H579" s="9">
        <f t="shared" ref="H579:H642" si="27">VALUE(RIGHT(G579, LEN(G579) - 5))</f>
        <v>2</v>
      </c>
      <c r="I579" cm="1">
        <f t="array" ref="I579">IFERROR(INDEX(CourseYardages[[Hole 1]:[Hole 18]],
  MATCH(1, (CourseYardages[Course]=C579)*(CourseYardages[Tees]=E579), 0),
  MATCH(G579, CourseYardages[[#Headers],[Hole 1]:[Hole 18]], 0)
),"")</f>
        <v>302</v>
      </c>
      <c r="J579" cm="1">
        <f t="array" ref="J579">IFERROR(INDEX(CourseHandicap[[Hole 1]:[Hole 18]],
  MATCH(1, (CourseHandicap[Course]=C579)*(CourseHandicap[Tees]=E579), 0),
  MATCH(G579, CourseHandicap[[#Headers],[Hole 1]:[Hole 18]], 0)
),"")</f>
        <v>2</v>
      </c>
      <c r="K579" cm="1">
        <f t="array" ref="K579">IFERROR(INDEX(CourseRatings[[Hole 1]:[Hole 18]],
  MATCH(1, (CourseRatings[Course]=C579)*(CourseRatings[Tees]=E579), 0),
  MATCH(G579, CourseRatings[[#Headers],[Hole 1]:[Hole 18]], 0)
),"")</f>
        <v>4</v>
      </c>
      <c r="L579" cm="1">
        <f t="array" ref="L579">IFERROR(
  INDEX('Golf Log'!$E$2:$V$72,
    MATCH(1,
      ('Golf Log'!$A$2:$A$72=$A579)*
      ('Golf Log'!$B$2:$B$72=$B579)*
      ('Golf Log'!$C$2:$C$72=$C579),
    0),
    MATCH($G579,'Golf Log'!$E$1:$V$1,0)
  ),
"")</f>
        <v>3</v>
      </c>
      <c r="M579">
        <f t="shared" si="26"/>
        <v>-1</v>
      </c>
      <c r="N579" t="str">
        <f t="shared" ref="N579:N595" si="28">IF(M579="","",(IF(M579=-2,"Eagle",IF(M579=-1,"Birdie",IF(M579=0,"Par",IF(M579=1,"Bogey",IF(M579=2,"Double Bogey",IF(M579=3,"Triple Bogey",IF(M579&gt;3,"Quad Bogey+")))))))))</f>
        <v>Birdie</v>
      </c>
      <c r="O579" cm="1">
        <f t="array" ref="O579">IFERROR(
  INDEX('Putt Log'!$E$2:$V$72,
    MATCH(1,
      ('Putt Log'!$A$2:$A$72=$A579)*
      ('Putt Log'!$B$2:$B$72=$B579)*
      ('Putt Log'!$C$2:$C$72=$C579),
    0),
    MATCH($G579,'Putt Log'!$E$1:$V$1,0)
  ),
"")</f>
        <v>1</v>
      </c>
      <c r="P579" t="str" cm="1">
        <f t="array" ref="P579">IF(K579=3,"",
  IFERROR(
    INDEX('Fairway Log'!$E$2:$V$72,
      MATCH(1,
        ('Fairway Log'!$A$2:$A$72=$A579)*
        ('Fairway Log'!$B$2:$B$72=$B579)*
        ('Fairway Log'!$C$2:$C650=$C579),
      0),
      MATCH($G579,'Fairway Log'!$E$1:$V$1,0)
    ),
  "")
)</f>
        <v>→</v>
      </c>
      <c r="Q579" cm="1">
        <f t="array" ref="Q579">IFERROR(
  INDEX('GIR Log'!$E$2:$V$72,
    MATCH(1,
      ('GIR Log'!$A$2:$A$72=$A579)*
      ('GIR Log'!$B$2:$B$72=$B579)*
      ('GIR Log'!$C$2:$C$72=$C579),
    0),
    MATCH($G579,'GIR Log'!$E$1:$V$1,0)
  ),
"")</f>
        <v>1</v>
      </c>
    </row>
    <row r="580" spans="1:17" x14ac:dyDescent="0.25">
      <c r="A580" s="20" t="s">
        <v>126</v>
      </c>
      <c r="B580" s="2">
        <v>45829</v>
      </c>
      <c r="C580" s="12" t="s">
        <v>6</v>
      </c>
      <c r="D580" s="12" t="s">
        <v>75</v>
      </c>
      <c r="E580" s="12" t="s">
        <v>36</v>
      </c>
      <c r="F580">
        <v>78</v>
      </c>
      <c r="G580" s="12" t="s">
        <v>49</v>
      </c>
      <c r="H580" s="9">
        <f t="shared" si="27"/>
        <v>3</v>
      </c>
      <c r="I580" cm="1">
        <f t="array" ref="I580">IFERROR(INDEX(CourseYardages[[Hole 1]:[Hole 18]],
  MATCH(1, (CourseYardages[Course]=C580)*(CourseYardages[Tees]=E580), 0),
  MATCH(G580, CourseYardages[[#Headers],[Hole 1]:[Hole 18]], 0)
),"")</f>
        <v>169</v>
      </c>
      <c r="J580" cm="1">
        <f t="array" ref="J580">IFERROR(INDEX(CourseHandicap[[Hole 1]:[Hole 18]],
  MATCH(1, (CourseHandicap[Course]=C580)*(CourseHandicap[Tees]=E580), 0),
  MATCH(G580, CourseHandicap[[#Headers],[Hole 1]:[Hole 18]], 0)
),"")</f>
        <v>14</v>
      </c>
      <c r="K580" cm="1">
        <f t="array" ref="K580">IFERROR(INDEX(CourseRatings[[Hole 1]:[Hole 18]],
  MATCH(1, (CourseRatings[Course]=C580)*(CourseRatings[Tees]=E580), 0),
  MATCH(G580, CourseRatings[[#Headers],[Hole 1]:[Hole 18]], 0)
),"")</f>
        <v>3</v>
      </c>
      <c r="L580" cm="1">
        <f t="array" ref="L580">IFERROR(
  INDEX('Golf Log'!$E$2:$V$72,
    MATCH(1,
      ('Golf Log'!$A$2:$A$72=$A580)*
      ('Golf Log'!$B$2:$B$72=$B580)*
      ('Golf Log'!$C$2:$C$72=$C580),
    0),
    MATCH($G580,'Golf Log'!$E$1:$V$1,0)
  ),
"")</f>
        <v>4</v>
      </c>
      <c r="M580">
        <f t="shared" si="26"/>
        <v>1</v>
      </c>
      <c r="N580" t="str">
        <f t="shared" si="28"/>
        <v>Bogey</v>
      </c>
      <c r="O580" cm="1">
        <f t="array" ref="O580">IFERROR(
  INDEX('Putt Log'!$E$2:$V$72,
    MATCH(1,
      ('Putt Log'!$A$2:$A$72=$A580)*
      ('Putt Log'!$B$2:$B$72=$B580)*
      ('Putt Log'!$C$2:$C$72=$C580),
    0),
    MATCH($G580,'Putt Log'!$E$1:$V$1,0)
  ),
"")</f>
        <v>2</v>
      </c>
      <c r="P580" t="str" cm="1">
        <f t="array" ref="P580">IF(K580=3,"",
  IFERROR(
    INDEX('Fairway Log'!$E$2:$V$72,
      MATCH(1,
        ('Fairway Log'!$A$2:$A$72=$A580)*
        ('Fairway Log'!$B$2:$B$72=$B580)*
        ('Fairway Log'!$C$2:$C651=$C580),
      0),
      MATCH($G580,'Fairway Log'!$E$1:$V$1,0)
    ),
  "")
)</f>
        <v/>
      </c>
      <c r="Q580" t="str" cm="1">
        <f t="array" ref="Q580">IFERROR(
  INDEX('GIR Log'!$E$2:$V$72,
    MATCH(1,
      ('GIR Log'!$A$2:$A$72=$A580)*
      ('GIR Log'!$B$2:$B$72=$B580)*
      ('GIR Log'!$C$2:$C$72=$C580),
    0),
    MATCH($G580,'GIR Log'!$E$1:$V$1,0)
  ),
"")</f>
        <v>↓</v>
      </c>
    </row>
    <row r="581" spans="1:17" x14ac:dyDescent="0.25">
      <c r="A581" s="20" t="s">
        <v>126</v>
      </c>
      <c r="B581" s="2">
        <v>45829</v>
      </c>
      <c r="C581" s="12" t="s">
        <v>6</v>
      </c>
      <c r="D581" s="12" t="s">
        <v>75</v>
      </c>
      <c r="E581" s="12" t="s">
        <v>36</v>
      </c>
      <c r="F581">
        <v>79</v>
      </c>
      <c r="G581" s="12" t="s">
        <v>50</v>
      </c>
      <c r="H581" s="9">
        <f t="shared" si="27"/>
        <v>4</v>
      </c>
      <c r="I581" cm="1">
        <f t="array" ref="I581">IFERROR(INDEX(CourseYardages[[Hole 1]:[Hole 18]],
  MATCH(1, (CourseYardages[Course]=C581)*(CourseYardages[Tees]=E581), 0),
  MATCH(G581, CourseYardages[[#Headers],[Hole 1]:[Hole 18]], 0)
),"")</f>
        <v>483</v>
      </c>
      <c r="J581" cm="1">
        <f t="array" ref="J581">IFERROR(INDEX(CourseHandicap[[Hole 1]:[Hole 18]],
  MATCH(1, (CourseHandicap[Course]=C581)*(CourseHandicap[Tees]=E581), 0),
  MATCH(G581, CourseHandicap[[#Headers],[Hole 1]:[Hole 18]], 0)
),"")</f>
        <v>8</v>
      </c>
      <c r="K581" cm="1">
        <f t="array" ref="K581">IFERROR(INDEX(CourseRatings[[Hole 1]:[Hole 18]],
  MATCH(1, (CourseRatings[Course]=C581)*(CourseRatings[Tees]=E581), 0),
  MATCH(G581, CourseRatings[[#Headers],[Hole 1]:[Hole 18]], 0)
),"")</f>
        <v>5</v>
      </c>
      <c r="L581" cm="1">
        <f t="array" ref="L581">IFERROR(
  INDEX('Golf Log'!$E$2:$V$72,
    MATCH(1,
      ('Golf Log'!$A$2:$A$72=$A581)*
      ('Golf Log'!$B$2:$B$72=$B581)*
      ('Golf Log'!$C$2:$C$72=$C581),
    0),
    MATCH($G581,'Golf Log'!$E$1:$V$1,0)
  ),
"")</f>
        <v>6</v>
      </c>
      <c r="M581">
        <f t="shared" si="26"/>
        <v>1</v>
      </c>
      <c r="N581" t="str">
        <f t="shared" si="28"/>
        <v>Bogey</v>
      </c>
      <c r="O581" cm="1">
        <f t="array" ref="O581">IFERROR(
  INDEX('Putt Log'!$E$2:$V$72,
    MATCH(1,
      ('Putt Log'!$A$2:$A$72=$A581)*
      ('Putt Log'!$B$2:$B$72=$B581)*
      ('Putt Log'!$C$2:$C$72=$C581),
    0),
    MATCH($G581,'Putt Log'!$E$1:$V$1,0)
  ),
"")</f>
        <v>2</v>
      </c>
      <c r="P581" t="str" cm="1">
        <f t="array" ref="P581">IF(K581=3,"",
  IFERROR(
    INDEX('Fairway Log'!$E$2:$V$72,
      MATCH(1,
        ('Fairway Log'!$A$2:$A$72=$A581)*
        ('Fairway Log'!$B$2:$B$72=$B581)*
        ('Fairway Log'!$C$2:$C652=$C581),
      0),
      MATCH($G581,'Fairway Log'!$E$1:$V$1,0)
    ),
  "")
)</f>
        <v>←</v>
      </c>
      <c r="Q581" t="str" cm="1">
        <f t="array" ref="Q581">IFERROR(
  INDEX('GIR Log'!$E$2:$V$72,
    MATCH(1,
      ('GIR Log'!$A$2:$A$72=$A581)*
      ('GIR Log'!$B$2:$B$72=$B581)*
      ('GIR Log'!$C$2:$C$72=$C581),
    0),
    MATCH($G581,'GIR Log'!$E$1:$V$1,0)
  ),
"")</f>
        <v>↓</v>
      </c>
    </row>
    <row r="582" spans="1:17" x14ac:dyDescent="0.25">
      <c r="A582" s="20" t="s">
        <v>126</v>
      </c>
      <c r="B582" s="2">
        <v>45829</v>
      </c>
      <c r="C582" s="12" t="s">
        <v>6</v>
      </c>
      <c r="D582" s="12" t="s">
        <v>75</v>
      </c>
      <c r="E582" s="12" t="s">
        <v>36</v>
      </c>
      <c r="F582">
        <v>80</v>
      </c>
      <c r="G582" s="12" t="s">
        <v>51</v>
      </c>
      <c r="H582" s="9">
        <f t="shared" si="27"/>
        <v>5</v>
      </c>
      <c r="I582" cm="1">
        <f t="array" ref="I582">IFERROR(INDEX(CourseYardages[[Hole 1]:[Hole 18]],
  MATCH(1, (CourseYardages[Course]=C582)*(CourseYardages[Tees]=E582), 0),
  MATCH(G582, CourseYardages[[#Headers],[Hole 1]:[Hole 18]], 0)
),"")</f>
        <v>133</v>
      </c>
      <c r="J582" cm="1">
        <f t="array" ref="J582">IFERROR(INDEX(CourseHandicap[[Hole 1]:[Hole 18]],
  MATCH(1, (CourseHandicap[Course]=C582)*(CourseHandicap[Tees]=E582), 0),
  MATCH(G582, CourseHandicap[[#Headers],[Hole 1]:[Hole 18]], 0)
),"")</f>
        <v>16</v>
      </c>
      <c r="K582" cm="1">
        <f t="array" ref="K582">IFERROR(INDEX(CourseRatings[[Hole 1]:[Hole 18]],
  MATCH(1, (CourseRatings[Course]=C582)*(CourseRatings[Tees]=E582), 0),
  MATCH(G582, CourseRatings[[#Headers],[Hole 1]:[Hole 18]], 0)
),"")</f>
        <v>3</v>
      </c>
      <c r="L582" cm="1">
        <f t="array" ref="L582">IFERROR(
  INDEX('Golf Log'!$E$2:$V$72,
    MATCH(1,
      ('Golf Log'!$A$2:$A$72=$A582)*
      ('Golf Log'!$B$2:$B$72=$B582)*
      ('Golf Log'!$C$2:$C$72=$C582),
    0),
    MATCH($G582,'Golf Log'!$E$1:$V$1,0)
  ),
"")</f>
        <v>4</v>
      </c>
      <c r="M582">
        <f t="shared" si="26"/>
        <v>1</v>
      </c>
      <c r="N582" t="str">
        <f t="shared" si="28"/>
        <v>Bogey</v>
      </c>
      <c r="O582" cm="1">
        <f t="array" ref="O582">IFERROR(
  INDEX('Putt Log'!$E$2:$V$72,
    MATCH(1,
      ('Putt Log'!$A$2:$A$72=$A582)*
      ('Putt Log'!$B$2:$B$72=$B582)*
      ('Putt Log'!$C$2:$C$72=$C582),
    0),
    MATCH($G582,'Putt Log'!$E$1:$V$1,0)
  ),
"")</f>
        <v>2</v>
      </c>
      <c r="P582" t="str" cm="1">
        <f t="array" ref="P582">IF(K582=3,"",
  IFERROR(
    INDEX('Fairway Log'!$E$2:$V$72,
      MATCH(1,
        ('Fairway Log'!$A$2:$A$72=$A582)*
        ('Fairway Log'!$B$2:$B$72=$B582)*
        ('Fairway Log'!$C$2:$C653=$C582),
      0),
      MATCH($G582,'Fairway Log'!$E$1:$V$1,0)
    ),
  "")
)</f>
        <v/>
      </c>
      <c r="Q582" t="str" cm="1">
        <f t="array" ref="Q582">IFERROR(
  INDEX('GIR Log'!$E$2:$V$72,
    MATCH(1,
      ('GIR Log'!$A$2:$A$72=$A582)*
      ('GIR Log'!$B$2:$B$72=$B582)*
      ('GIR Log'!$C$2:$C$72=$C582),
    0),
    MATCH($G582,'GIR Log'!$E$1:$V$1,0)
  ),
"")</f>
        <v>←</v>
      </c>
    </row>
    <row r="583" spans="1:17" x14ac:dyDescent="0.25">
      <c r="A583" s="20" t="s">
        <v>126</v>
      </c>
      <c r="B583" s="2">
        <v>45829</v>
      </c>
      <c r="C583" s="12" t="s">
        <v>6</v>
      </c>
      <c r="D583" s="12" t="s">
        <v>75</v>
      </c>
      <c r="E583" s="12" t="s">
        <v>36</v>
      </c>
      <c r="F583">
        <v>81</v>
      </c>
      <c r="G583" s="12" t="s">
        <v>52</v>
      </c>
      <c r="H583" s="9">
        <f t="shared" si="27"/>
        <v>6</v>
      </c>
      <c r="I583" cm="1">
        <f t="array" ref="I583">IFERROR(INDEX(CourseYardages[[Hole 1]:[Hole 18]],
  MATCH(1, (CourseYardages[Course]=C583)*(CourseYardages[Tees]=E583), 0),
  MATCH(G583, CourseYardages[[#Headers],[Hole 1]:[Hole 18]], 0)
),"")</f>
        <v>375</v>
      </c>
      <c r="J583" cm="1">
        <f t="array" ref="J583">IFERROR(INDEX(CourseHandicap[[Hole 1]:[Hole 18]],
  MATCH(1, (CourseHandicap[Course]=C583)*(CourseHandicap[Tees]=E583), 0),
  MATCH(G583, CourseHandicap[[#Headers],[Hole 1]:[Hole 18]], 0)
),"")</f>
        <v>4</v>
      </c>
      <c r="K583" cm="1">
        <f t="array" ref="K583">IFERROR(INDEX(CourseRatings[[Hole 1]:[Hole 18]],
  MATCH(1, (CourseRatings[Course]=C583)*(CourseRatings[Tees]=E583), 0),
  MATCH(G583, CourseRatings[[#Headers],[Hole 1]:[Hole 18]], 0)
),"")</f>
        <v>4</v>
      </c>
      <c r="L583" cm="1">
        <f t="array" ref="L583">IFERROR(
  INDEX('Golf Log'!$E$2:$V$72,
    MATCH(1,
      ('Golf Log'!$A$2:$A$72=$A583)*
      ('Golf Log'!$B$2:$B$72=$B583)*
      ('Golf Log'!$C$2:$C$72=$C583),
    0),
    MATCH($G583,'Golf Log'!$E$1:$V$1,0)
  ),
"")</f>
        <v>4</v>
      </c>
      <c r="M583">
        <f t="shared" si="26"/>
        <v>0</v>
      </c>
      <c r="N583" t="str">
        <f t="shared" si="28"/>
        <v>Par</v>
      </c>
      <c r="O583" cm="1">
        <f t="array" ref="O583">IFERROR(
  INDEX('Putt Log'!$E$2:$V$72,
    MATCH(1,
      ('Putt Log'!$A$2:$A$72=$A583)*
      ('Putt Log'!$B$2:$B$72=$B583)*
      ('Putt Log'!$C$2:$C$72=$C583),
    0),
    MATCH($G583,'Putt Log'!$E$1:$V$1,0)
  ),
"")</f>
        <v>1</v>
      </c>
      <c r="P583" cm="1">
        <f t="array" ref="P583">IF(K583=3,"",
  IFERROR(
    INDEX('Fairway Log'!$E$2:$V$72,
      MATCH(1,
        ('Fairway Log'!$A$2:$A$72=$A583)*
        ('Fairway Log'!$B$2:$B$72=$B583)*
        ('Fairway Log'!$C$2:$C654=$C583),
      0),
      MATCH($G583,'Fairway Log'!$E$1:$V$1,0)
    ),
  "")
)</f>
        <v>1</v>
      </c>
      <c r="Q583" t="str" cm="1">
        <f t="array" ref="Q583">IFERROR(
  INDEX('GIR Log'!$E$2:$V$72,
    MATCH(1,
      ('GIR Log'!$A$2:$A$72=$A583)*
      ('GIR Log'!$B$2:$B$72=$B583)*
      ('GIR Log'!$C$2:$C$72=$C583),
    0),
    MATCH($G583,'GIR Log'!$E$1:$V$1,0)
  ),
"")</f>
        <v>↓</v>
      </c>
    </row>
    <row r="584" spans="1:17" x14ac:dyDescent="0.25">
      <c r="A584" s="20" t="s">
        <v>126</v>
      </c>
      <c r="B584" s="2">
        <v>45829</v>
      </c>
      <c r="C584" s="12" t="s">
        <v>6</v>
      </c>
      <c r="D584" s="12" t="s">
        <v>75</v>
      </c>
      <c r="E584" s="12" t="s">
        <v>36</v>
      </c>
      <c r="F584">
        <v>82</v>
      </c>
      <c r="G584" s="12" t="s">
        <v>53</v>
      </c>
      <c r="H584" s="9">
        <f t="shared" si="27"/>
        <v>7</v>
      </c>
      <c r="I584" cm="1">
        <f t="array" ref="I584">IFERROR(INDEX(CourseYardages[[Hole 1]:[Hole 18]],
  MATCH(1, (CourseYardages[Course]=C584)*(CourseYardages[Tees]=E584), 0),
  MATCH(G584, CourseYardages[[#Headers],[Hole 1]:[Hole 18]], 0)
),"")</f>
        <v>350</v>
      </c>
      <c r="J584" cm="1">
        <f t="array" ref="J584">IFERROR(INDEX(CourseHandicap[[Hole 1]:[Hole 18]],
  MATCH(1, (CourseHandicap[Course]=C584)*(CourseHandicap[Tees]=E584), 0),
  MATCH(G584, CourseHandicap[[#Headers],[Hole 1]:[Hole 18]], 0)
),"")</f>
        <v>10</v>
      </c>
      <c r="K584" cm="1">
        <f t="array" ref="K584">IFERROR(INDEX(CourseRatings[[Hole 1]:[Hole 18]],
  MATCH(1, (CourseRatings[Course]=C584)*(CourseRatings[Tees]=E584), 0),
  MATCH(G584, CourseRatings[[#Headers],[Hole 1]:[Hole 18]], 0)
),"")</f>
        <v>4</v>
      </c>
      <c r="L584" cm="1">
        <f t="array" ref="L584">IFERROR(
  INDEX('Golf Log'!$E$2:$V$72,
    MATCH(1,
      ('Golf Log'!$A$2:$A$72=$A584)*
      ('Golf Log'!$B$2:$B$72=$B584)*
      ('Golf Log'!$C$2:$C$72=$C584),
    0),
    MATCH($G584,'Golf Log'!$E$1:$V$1,0)
  ),
"")</f>
        <v>4</v>
      </c>
      <c r="M584">
        <f t="shared" si="26"/>
        <v>0</v>
      </c>
      <c r="N584" t="str">
        <f t="shared" si="28"/>
        <v>Par</v>
      </c>
      <c r="O584" cm="1">
        <f t="array" ref="O584">IFERROR(
  INDEX('Putt Log'!$E$2:$V$72,
    MATCH(1,
      ('Putt Log'!$A$2:$A$72=$A584)*
      ('Putt Log'!$B$2:$B$72=$B584)*
      ('Putt Log'!$C$2:$C$72=$C584),
    0),
    MATCH($G584,'Putt Log'!$E$1:$V$1,0)
  ),
"")</f>
        <v>2</v>
      </c>
      <c r="P584" cm="1">
        <f t="array" ref="P584">IF(K584=3,"",
  IFERROR(
    INDEX('Fairway Log'!$E$2:$V$72,
      MATCH(1,
        ('Fairway Log'!$A$2:$A$72=$A584)*
        ('Fairway Log'!$B$2:$B$72=$B584)*
        ('Fairway Log'!$C$2:$C655=$C584),
      0),
      MATCH($G584,'Fairway Log'!$E$1:$V$1,0)
    ),
  "")
)</f>
        <v>1</v>
      </c>
      <c r="Q584" cm="1">
        <f t="array" ref="Q584">IFERROR(
  INDEX('GIR Log'!$E$2:$V$72,
    MATCH(1,
      ('GIR Log'!$A$2:$A$72=$A584)*
      ('GIR Log'!$B$2:$B$72=$B584)*
      ('GIR Log'!$C$2:$C$72=$C584),
    0),
    MATCH($G584,'GIR Log'!$E$1:$V$1,0)
  ),
"")</f>
        <v>1</v>
      </c>
    </row>
    <row r="585" spans="1:17" x14ac:dyDescent="0.25">
      <c r="A585" s="20" t="s">
        <v>126</v>
      </c>
      <c r="B585" s="2">
        <v>45829</v>
      </c>
      <c r="C585" s="12" t="s">
        <v>6</v>
      </c>
      <c r="D585" s="12" t="s">
        <v>75</v>
      </c>
      <c r="E585" s="12" t="s">
        <v>36</v>
      </c>
      <c r="F585">
        <v>83</v>
      </c>
      <c r="G585" s="12" t="s">
        <v>54</v>
      </c>
      <c r="H585" s="9">
        <f t="shared" si="27"/>
        <v>8</v>
      </c>
      <c r="I585" cm="1">
        <f t="array" ref="I585">IFERROR(INDEX(CourseYardages[[Hole 1]:[Hole 18]],
  MATCH(1, (CourseYardages[Course]=C585)*(CourseYardages[Tees]=E585), 0),
  MATCH(G585, CourseYardages[[#Headers],[Hole 1]:[Hole 18]], 0)
),"")</f>
        <v>285</v>
      </c>
      <c r="J585" cm="1">
        <f t="array" ref="J585">IFERROR(INDEX(CourseHandicap[[Hole 1]:[Hole 18]],
  MATCH(1, (CourseHandicap[Course]=C585)*(CourseHandicap[Tees]=E585), 0),
  MATCH(G585, CourseHandicap[[#Headers],[Hole 1]:[Hole 18]], 0)
),"")</f>
        <v>18</v>
      </c>
      <c r="K585" cm="1">
        <f t="array" ref="K585">IFERROR(INDEX(CourseRatings[[Hole 1]:[Hole 18]],
  MATCH(1, (CourseRatings[Course]=C585)*(CourseRatings[Tees]=E585), 0),
  MATCH(G585, CourseRatings[[#Headers],[Hole 1]:[Hole 18]], 0)
),"")</f>
        <v>4</v>
      </c>
      <c r="L585" cm="1">
        <f t="array" ref="L585">IFERROR(
  INDEX('Golf Log'!$E$2:$V$72,
    MATCH(1,
      ('Golf Log'!$A$2:$A$72=$A585)*
      ('Golf Log'!$B$2:$B$72=$B585)*
      ('Golf Log'!$C$2:$C$72=$C585),
    0),
    MATCH($G585,'Golf Log'!$E$1:$V$1,0)
  ),
"")</f>
        <v>4</v>
      </c>
      <c r="M585">
        <f t="shared" si="26"/>
        <v>0</v>
      </c>
      <c r="N585" t="str">
        <f t="shared" si="28"/>
        <v>Par</v>
      </c>
      <c r="O585" cm="1">
        <f t="array" ref="O585">IFERROR(
  INDEX('Putt Log'!$E$2:$V$72,
    MATCH(1,
      ('Putt Log'!$A$2:$A$72=$A585)*
      ('Putt Log'!$B$2:$B$72=$B585)*
      ('Putt Log'!$C$2:$C$72=$C585),
    0),
    MATCH($G585,'Putt Log'!$E$1:$V$1,0)
  ),
"")</f>
        <v>1</v>
      </c>
      <c r="P585" cm="1">
        <f t="array" ref="P585">IF(K585=3,"",
  IFERROR(
    INDEX('Fairway Log'!$E$2:$V$72,
      MATCH(1,
        ('Fairway Log'!$A$2:$A$72=$A585)*
        ('Fairway Log'!$B$2:$B$72=$B585)*
        ('Fairway Log'!$C$2:$C656=$C585),
      0),
      MATCH($G585,'Fairway Log'!$E$1:$V$1,0)
    ),
  "")
)</f>
        <v>1</v>
      </c>
      <c r="Q585" t="str" cm="1">
        <f t="array" ref="Q585">IFERROR(
  INDEX('GIR Log'!$E$2:$V$72,
    MATCH(1,
      ('GIR Log'!$A$2:$A$72=$A585)*
      ('GIR Log'!$B$2:$B$72=$B585)*
      ('GIR Log'!$C$2:$C$72=$C585),
    0),
    MATCH($G585,'GIR Log'!$E$1:$V$1,0)
  ),
"")</f>
        <v>↓</v>
      </c>
    </row>
    <row r="586" spans="1:17" x14ac:dyDescent="0.25">
      <c r="A586" s="20" t="s">
        <v>126</v>
      </c>
      <c r="B586" s="2">
        <v>45829</v>
      </c>
      <c r="C586" s="12" t="s">
        <v>6</v>
      </c>
      <c r="D586" s="12" t="s">
        <v>75</v>
      </c>
      <c r="E586" s="12" t="s">
        <v>36</v>
      </c>
      <c r="F586">
        <v>84</v>
      </c>
      <c r="G586" s="12" t="s">
        <v>55</v>
      </c>
      <c r="H586" s="9">
        <f t="shared" si="27"/>
        <v>9</v>
      </c>
      <c r="I586" cm="1">
        <f t="array" ref="I586">IFERROR(INDEX(CourseYardages[[Hole 1]:[Hole 18]],
  MATCH(1, (CourseYardages[Course]=C586)*(CourseYardages[Tees]=E586), 0),
  MATCH(G586, CourseYardages[[#Headers],[Hole 1]:[Hole 18]], 0)
),"")</f>
        <v>303</v>
      </c>
      <c r="J586" cm="1">
        <f t="array" ref="J586">IFERROR(INDEX(CourseHandicap[[Hole 1]:[Hole 18]],
  MATCH(1, (CourseHandicap[Course]=C586)*(CourseHandicap[Tees]=E586), 0),
  MATCH(G586, CourseHandicap[[#Headers],[Hole 1]:[Hole 18]], 0)
),"")</f>
        <v>12</v>
      </c>
      <c r="K586" cm="1">
        <f t="array" ref="K586">IFERROR(INDEX(CourseRatings[[Hole 1]:[Hole 18]],
  MATCH(1, (CourseRatings[Course]=C586)*(CourseRatings[Tees]=E586), 0),
  MATCH(G586, CourseRatings[[#Headers],[Hole 1]:[Hole 18]], 0)
),"")</f>
        <v>4</v>
      </c>
      <c r="L586" cm="1">
        <f t="array" ref="L586">IFERROR(
  INDEX('Golf Log'!$E$2:$V$72,
    MATCH(1,
      ('Golf Log'!$A$2:$A$72=$A586)*
      ('Golf Log'!$B$2:$B$72=$B586)*
      ('Golf Log'!$C$2:$C$72=$C586),
    0),
    MATCH($G586,'Golf Log'!$E$1:$V$1,0)
  ),
"")</f>
        <v>5</v>
      </c>
      <c r="M586">
        <f t="shared" si="26"/>
        <v>1</v>
      </c>
      <c r="N586" t="str">
        <f t="shared" si="28"/>
        <v>Bogey</v>
      </c>
      <c r="O586" cm="1">
        <f t="array" ref="O586">IFERROR(
  INDEX('Putt Log'!$E$2:$V$72,
    MATCH(1,
      ('Putt Log'!$A$2:$A$72=$A586)*
      ('Putt Log'!$B$2:$B$72=$B586)*
      ('Putt Log'!$C$2:$C$72=$C586),
    0),
    MATCH($G586,'Putt Log'!$E$1:$V$1,0)
  ),
"")</f>
        <v>2</v>
      </c>
      <c r="P586" t="str" cm="1">
        <f t="array" ref="P586">IF(K586=3,"",
  IFERROR(
    INDEX('Fairway Log'!$E$2:$V$72,
      MATCH(1,
        ('Fairway Log'!$A$2:$A$72=$A586)*
        ('Fairway Log'!$B$2:$B$72=$B586)*
        ('Fairway Log'!$C$2:$C657=$C586),
      0),
      MATCH($G586,'Fairway Log'!$E$1:$V$1,0)
    ),
  "")
)</f>
        <v>↓</v>
      </c>
      <c r="Q586" cm="1">
        <f t="array" ref="Q586">IFERROR(
  INDEX('GIR Log'!$E$2:$V$72,
    MATCH(1,
      ('GIR Log'!$A$2:$A$72=$A586)*
      ('GIR Log'!$B$2:$B$72=$B586)*
      ('GIR Log'!$C$2:$C$72=$C586),
    0),
    MATCH($G586,'GIR Log'!$E$1:$V$1,0)
  ),
"")</f>
        <v>1</v>
      </c>
    </row>
    <row r="587" spans="1:17" x14ac:dyDescent="0.25">
      <c r="A587" s="20" t="s">
        <v>126</v>
      </c>
      <c r="B587" s="2">
        <v>45829</v>
      </c>
      <c r="C587" s="12" t="s">
        <v>6</v>
      </c>
      <c r="D587" s="12" t="s">
        <v>75</v>
      </c>
      <c r="E587" s="12" t="s">
        <v>36</v>
      </c>
      <c r="F587">
        <v>85</v>
      </c>
      <c r="G587" s="12" t="s">
        <v>56</v>
      </c>
      <c r="H587" s="9">
        <f t="shared" si="27"/>
        <v>10</v>
      </c>
      <c r="I587" cm="1">
        <f t="array" ref="I587">IFERROR(INDEX(CourseYardages[[Hole 1]:[Hole 18]],
  MATCH(1, (CourseYardages[Course]=C587)*(CourseYardages[Tees]=E587), 0),
  MATCH(G587, CourseYardages[[#Headers],[Hole 1]:[Hole 18]], 0)
),"")</f>
        <v>308</v>
      </c>
      <c r="J587" cm="1">
        <f t="array" ref="J587">IFERROR(INDEX(CourseHandicap[[Hole 1]:[Hole 18]],
  MATCH(1, (CourseHandicap[Course]=C587)*(CourseHandicap[Tees]=E587), 0),
  MATCH(G587, CourseHandicap[[#Headers],[Hole 1]:[Hole 18]], 0)
),"")</f>
        <v>13</v>
      </c>
      <c r="K587" cm="1">
        <f t="array" ref="K587">IFERROR(INDEX(CourseRatings[[Hole 1]:[Hole 18]],
  MATCH(1, (CourseRatings[Course]=C587)*(CourseRatings[Tees]=E587), 0),
  MATCH(G587, CourseRatings[[#Headers],[Hole 1]:[Hole 18]], 0)
),"")</f>
        <v>4</v>
      </c>
      <c r="L587" cm="1">
        <f t="array" ref="L587">IFERROR(
  INDEX('Golf Log'!$E$2:$V$72,
    MATCH(1,
      ('Golf Log'!$A$2:$A$72=$A587)*
      ('Golf Log'!$B$2:$B$72=$B587)*
      ('Golf Log'!$C$2:$C$72=$C587),
    0),
    MATCH($G587,'Golf Log'!$E$1:$V$1,0)
  ),
"")</f>
        <v>4</v>
      </c>
      <c r="M587">
        <f t="shared" si="26"/>
        <v>0</v>
      </c>
      <c r="N587" t="str">
        <f t="shared" si="28"/>
        <v>Par</v>
      </c>
      <c r="O587" cm="1">
        <f t="array" ref="O587">IFERROR(
  INDEX('Putt Log'!$E$2:$V$72,
    MATCH(1,
      ('Putt Log'!$A$2:$A$72=$A587)*
      ('Putt Log'!$B$2:$B$72=$B587)*
      ('Putt Log'!$C$2:$C$72=$C587),
    0),
    MATCH($G587,'Putt Log'!$E$1:$V$1,0)
  ),
"")</f>
        <v>2</v>
      </c>
      <c r="P587" cm="1">
        <f t="array" ref="P587">IF(K587=3,"",
  IFERROR(
    INDEX('Fairway Log'!$E$2:$V$72,
      MATCH(1,
        ('Fairway Log'!$A$2:$A$72=$A587)*
        ('Fairway Log'!$B$2:$B$72=$B587)*
        ('Fairway Log'!$C$2:$C658=$C587),
      0),
      MATCH($G587,'Fairway Log'!$E$1:$V$1,0)
    ),
  "")
)</f>
        <v>1</v>
      </c>
      <c r="Q587" cm="1">
        <f t="array" ref="Q587">IFERROR(
  INDEX('GIR Log'!$E$2:$V$72,
    MATCH(1,
      ('GIR Log'!$A$2:$A$72=$A587)*
      ('GIR Log'!$B$2:$B$72=$B587)*
      ('GIR Log'!$C$2:$C$72=$C587),
    0),
    MATCH($G587,'GIR Log'!$E$1:$V$1,0)
  ),
"")</f>
        <v>1</v>
      </c>
    </row>
    <row r="588" spans="1:17" x14ac:dyDescent="0.25">
      <c r="A588" s="20" t="s">
        <v>126</v>
      </c>
      <c r="B588" s="2">
        <v>45829</v>
      </c>
      <c r="C588" s="12" t="s">
        <v>6</v>
      </c>
      <c r="D588" s="12" t="s">
        <v>75</v>
      </c>
      <c r="E588" s="12" t="s">
        <v>36</v>
      </c>
      <c r="F588">
        <v>86</v>
      </c>
      <c r="G588" s="12" t="s">
        <v>57</v>
      </c>
      <c r="H588" s="9">
        <f t="shared" si="27"/>
        <v>11</v>
      </c>
      <c r="I588" cm="1">
        <f t="array" ref="I588">IFERROR(INDEX(CourseYardages[[Hole 1]:[Hole 18]],
  MATCH(1, (CourseYardages[Course]=C588)*(CourseYardages[Tees]=E588), 0),
  MATCH(G588, CourseYardages[[#Headers],[Hole 1]:[Hole 18]], 0)
),"")</f>
        <v>284</v>
      </c>
      <c r="J588" cm="1">
        <f t="array" ref="J588">IFERROR(INDEX(CourseHandicap[[Hole 1]:[Hole 18]],
  MATCH(1, (CourseHandicap[Course]=C588)*(CourseHandicap[Tees]=E588), 0),
  MATCH(G588, CourseHandicap[[#Headers],[Hole 1]:[Hole 18]], 0)
),"")</f>
        <v>11</v>
      </c>
      <c r="K588" cm="1">
        <f t="array" ref="K588">IFERROR(INDEX(CourseRatings[[Hole 1]:[Hole 18]],
  MATCH(1, (CourseRatings[Course]=C588)*(CourseRatings[Tees]=E588), 0),
  MATCH(G588, CourseRatings[[#Headers],[Hole 1]:[Hole 18]], 0)
),"")</f>
        <v>4</v>
      </c>
      <c r="L588" cm="1">
        <f t="array" ref="L588">IFERROR(
  INDEX('Golf Log'!$E$2:$V$72,
    MATCH(1,
      ('Golf Log'!$A$2:$A$72=$A588)*
      ('Golf Log'!$B$2:$B$72=$B588)*
      ('Golf Log'!$C$2:$C$72=$C588),
    0),
    MATCH($G588,'Golf Log'!$E$1:$V$1,0)
  ),
"")</f>
        <v>3</v>
      </c>
      <c r="M588">
        <f t="shared" si="26"/>
        <v>-1</v>
      </c>
      <c r="N588" t="str">
        <f t="shared" si="28"/>
        <v>Birdie</v>
      </c>
      <c r="O588" cm="1">
        <f t="array" ref="O588">IFERROR(
  INDEX('Putt Log'!$E$2:$V$72,
    MATCH(1,
      ('Putt Log'!$A$2:$A$72=$A588)*
      ('Putt Log'!$B$2:$B$72=$B588)*
      ('Putt Log'!$C$2:$C$72=$C588),
    0),
    MATCH($G588,'Putt Log'!$E$1:$V$1,0)
  ),
"")</f>
        <v>1</v>
      </c>
      <c r="P588" cm="1">
        <f t="array" ref="P588">IF(K588=3,"",
  IFERROR(
    INDEX('Fairway Log'!$E$2:$V$72,
      MATCH(1,
        ('Fairway Log'!$A$2:$A$72=$A588)*
        ('Fairway Log'!$B$2:$B$72=$B588)*
        ('Fairway Log'!$C$2:$C659=$C588),
      0),
      MATCH($G588,'Fairway Log'!$E$1:$V$1,0)
    ),
  "")
)</f>
        <v>1</v>
      </c>
      <c r="Q588" cm="1">
        <f t="array" ref="Q588">IFERROR(
  INDEX('GIR Log'!$E$2:$V$72,
    MATCH(1,
      ('GIR Log'!$A$2:$A$72=$A588)*
      ('GIR Log'!$B$2:$B$72=$B588)*
      ('GIR Log'!$C$2:$C$72=$C588),
    0),
    MATCH($G588,'GIR Log'!$E$1:$V$1,0)
  ),
"")</f>
        <v>1</v>
      </c>
    </row>
    <row r="589" spans="1:17" x14ac:dyDescent="0.25">
      <c r="A589" s="20" t="s">
        <v>126</v>
      </c>
      <c r="B589" s="2">
        <v>45829</v>
      </c>
      <c r="C589" s="12" t="s">
        <v>6</v>
      </c>
      <c r="D589" s="12" t="s">
        <v>75</v>
      </c>
      <c r="E589" s="12" t="s">
        <v>36</v>
      </c>
      <c r="F589">
        <v>87</v>
      </c>
      <c r="G589" s="12" t="s">
        <v>58</v>
      </c>
      <c r="H589" s="9">
        <f t="shared" si="27"/>
        <v>12</v>
      </c>
      <c r="I589" cm="1">
        <f t="array" ref="I589">IFERROR(INDEX(CourseYardages[[Hole 1]:[Hole 18]],
  MATCH(1, (CourseYardages[Course]=C589)*(CourseYardages[Tees]=E589), 0),
  MATCH(G589, CourseYardages[[#Headers],[Hole 1]:[Hole 18]], 0)
),"")</f>
        <v>370</v>
      </c>
      <c r="J589" cm="1">
        <f t="array" ref="J589">IFERROR(INDEX(CourseHandicap[[Hole 1]:[Hole 18]],
  MATCH(1, (CourseHandicap[Course]=C589)*(CourseHandicap[Tees]=E589), 0),
  MATCH(G589, CourseHandicap[[#Headers],[Hole 1]:[Hole 18]], 0)
),"")</f>
        <v>5</v>
      </c>
      <c r="K589" cm="1">
        <f t="array" ref="K589">IFERROR(INDEX(CourseRatings[[Hole 1]:[Hole 18]],
  MATCH(1, (CourseRatings[Course]=C589)*(CourseRatings[Tees]=E589), 0),
  MATCH(G589, CourseRatings[[#Headers],[Hole 1]:[Hole 18]], 0)
),"")</f>
        <v>4</v>
      </c>
      <c r="L589" cm="1">
        <f t="array" ref="L589">IFERROR(
  INDEX('Golf Log'!$E$2:$V$72,
    MATCH(1,
      ('Golf Log'!$A$2:$A$72=$A589)*
      ('Golf Log'!$B$2:$B$72=$B589)*
      ('Golf Log'!$C$2:$C$72=$C589),
    0),
    MATCH($G589,'Golf Log'!$E$1:$V$1,0)
  ),
"")</f>
        <v>4</v>
      </c>
      <c r="M589">
        <f t="shared" si="26"/>
        <v>0</v>
      </c>
      <c r="N589" t="str">
        <f t="shared" si="28"/>
        <v>Par</v>
      </c>
      <c r="O589" cm="1">
        <f t="array" ref="O589">IFERROR(
  INDEX('Putt Log'!$E$2:$V$72,
    MATCH(1,
      ('Putt Log'!$A$2:$A$72=$A589)*
      ('Putt Log'!$B$2:$B$72=$B589)*
      ('Putt Log'!$C$2:$C$72=$C589),
    0),
    MATCH($G589,'Putt Log'!$E$1:$V$1,0)
  ),
"")</f>
        <v>1</v>
      </c>
      <c r="P589" t="str" cm="1">
        <f t="array" ref="P589">IF(K589=3,"",
  IFERROR(
    INDEX('Fairway Log'!$E$2:$V$72,
      MATCH(1,
        ('Fairway Log'!$A$2:$A$72=$A589)*
        ('Fairway Log'!$B$2:$B$72=$B589)*
        ('Fairway Log'!$C$2:$C660=$C589),
      0),
      MATCH($G589,'Fairway Log'!$E$1:$V$1,0)
    ),
  "")
)</f>
        <v>→</v>
      </c>
      <c r="Q589" t="str" cm="1">
        <f t="array" ref="Q589">IFERROR(
  INDEX('GIR Log'!$E$2:$V$72,
    MATCH(1,
      ('GIR Log'!$A$2:$A$72=$A589)*
      ('GIR Log'!$B$2:$B$72=$B589)*
      ('GIR Log'!$C$2:$C$72=$C589),
    0),
    MATCH($G589,'GIR Log'!$E$1:$V$1,0)
  ),
"")</f>
        <v>→</v>
      </c>
    </row>
    <row r="590" spans="1:17" x14ac:dyDescent="0.25">
      <c r="A590" s="20" t="s">
        <v>126</v>
      </c>
      <c r="B590" s="2">
        <v>45829</v>
      </c>
      <c r="C590" s="12" t="s">
        <v>6</v>
      </c>
      <c r="D590" s="12" t="s">
        <v>75</v>
      </c>
      <c r="E590" s="12" t="s">
        <v>36</v>
      </c>
      <c r="F590">
        <v>88</v>
      </c>
      <c r="G590" s="12" t="s">
        <v>59</v>
      </c>
      <c r="H590" s="9">
        <f t="shared" si="27"/>
        <v>13</v>
      </c>
      <c r="I590" cm="1">
        <f t="array" ref="I590">IFERROR(INDEX(CourseYardages[[Hole 1]:[Hole 18]],
  MATCH(1, (CourseYardages[Course]=C590)*(CourseYardages[Tees]=E590), 0),
  MATCH(G590, CourseYardages[[#Headers],[Hole 1]:[Hole 18]], 0)
),"")</f>
        <v>297</v>
      </c>
      <c r="J590" cm="1">
        <f t="array" ref="J590">IFERROR(INDEX(CourseHandicap[[Hole 1]:[Hole 18]],
  MATCH(1, (CourseHandicap[Course]=C590)*(CourseHandicap[Tees]=E590), 0),
  MATCH(G590, CourseHandicap[[#Headers],[Hole 1]:[Hole 18]], 0)
),"")</f>
        <v>9</v>
      </c>
      <c r="K590" cm="1">
        <f t="array" ref="K590">IFERROR(INDEX(CourseRatings[[Hole 1]:[Hole 18]],
  MATCH(1, (CourseRatings[Course]=C590)*(CourseRatings[Tees]=E590), 0),
  MATCH(G590, CourseRatings[[#Headers],[Hole 1]:[Hole 18]], 0)
),"")</f>
        <v>4</v>
      </c>
      <c r="L590" cm="1">
        <f t="array" ref="L590">IFERROR(
  INDEX('Golf Log'!$E$2:$V$72,
    MATCH(1,
      ('Golf Log'!$A$2:$A$72=$A590)*
      ('Golf Log'!$B$2:$B$72=$B590)*
      ('Golf Log'!$C$2:$C$72=$C590),
    0),
    MATCH($G590,'Golf Log'!$E$1:$V$1,0)
  ),
"")</f>
        <v>5</v>
      </c>
      <c r="M590">
        <f t="shared" si="26"/>
        <v>1</v>
      </c>
      <c r="N590" t="str">
        <f t="shared" si="28"/>
        <v>Bogey</v>
      </c>
      <c r="O590" cm="1">
        <f t="array" ref="O590">IFERROR(
  INDEX('Putt Log'!$E$2:$V$72,
    MATCH(1,
      ('Putt Log'!$A$2:$A$72=$A590)*
      ('Putt Log'!$B$2:$B$72=$B590)*
      ('Putt Log'!$C$2:$C$72=$C590),
    0),
    MATCH($G590,'Putt Log'!$E$1:$V$1,0)
  ),
"")</f>
        <v>2</v>
      </c>
      <c r="P590" t="str" cm="1">
        <f t="array" ref="P590">IF(K590=3,"",
  IFERROR(
    INDEX('Fairway Log'!$E$2:$V$72,
      MATCH(1,
        ('Fairway Log'!$A$2:$A$72=$A590)*
        ('Fairway Log'!$B$2:$B$72=$B590)*
        ('Fairway Log'!$C$2:$C661=$C590),
      0),
      MATCH($G590,'Fairway Log'!$E$1:$V$1,0)
    ),
  "")
)</f>
        <v>→</v>
      </c>
      <c r="Q590" t="str" cm="1">
        <f t="array" ref="Q590">IFERROR(
  INDEX('GIR Log'!$E$2:$V$72,
    MATCH(1,
      ('GIR Log'!$A$2:$A$72=$A590)*
      ('GIR Log'!$B$2:$B$72=$B590)*
      ('GIR Log'!$C$2:$C$72=$C590),
    0),
    MATCH($G590,'GIR Log'!$E$1:$V$1,0)
  ),
"")</f>
        <v>↓</v>
      </c>
    </row>
    <row r="591" spans="1:17" x14ac:dyDescent="0.25">
      <c r="A591" s="20" t="s">
        <v>126</v>
      </c>
      <c r="B591" s="2">
        <v>45829</v>
      </c>
      <c r="C591" s="12" t="s">
        <v>6</v>
      </c>
      <c r="D591" s="12" t="s">
        <v>75</v>
      </c>
      <c r="E591" s="12" t="s">
        <v>36</v>
      </c>
      <c r="F591">
        <v>89</v>
      </c>
      <c r="G591" s="12" t="s">
        <v>60</v>
      </c>
      <c r="H591" s="9">
        <f t="shared" si="27"/>
        <v>14</v>
      </c>
      <c r="I591" cm="1">
        <f t="array" ref="I591">IFERROR(INDEX(CourseYardages[[Hole 1]:[Hole 18]],
  MATCH(1, (CourseYardages[Course]=C591)*(CourseYardages[Tees]=E591), 0),
  MATCH(G591, CourseYardages[[#Headers],[Hole 1]:[Hole 18]], 0)
),"")</f>
        <v>158</v>
      </c>
      <c r="J591" cm="1">
        <f t="array" ref="J591">IFERROR(INDEX(CourseHandicap[[Hole 1]:[Hole 18]],
  MATCH(1, (CourseHandicap[Course]=C591)*(CourseHandicap[Tees]=E591), 0),
  MATCH(G591, CourseHandicap[[#Headers],[Hole 1]:[Hole 18]], 0)
),"")</f>
        <v>15</v>
      </c>
      <c r="K591" cm="1">
        <f t="array" ref="K591">IFERROR(INDEX(CourseRatings[[Hole 1]:[Hole 18]],
  MATCH(1, (CourseRatings[Course]=C591)*(CourseRatings[Tees]=E591), 0),
  MATCH(G591, CourseRatings[[#Headers],[Hole 1]:[Hole 18]], 0)
),"")</f>
        <v>3</v>
      </c>
      <c r="L591" cm="1">
        <f t="array" ref="L591">IFERROR(
  INDEX('Golf Log'!$E$2:$V$72,
    MATCH(1,
      ('Golf Log'!$A$2:$A$72=$A591)*
      ('Golf Log'!$B$2:$B$72=$B591)*
      ('Golf Log'!$C$2:$C$72=$C591),
    0),
    MATCH($G591,'Golf Log'!$E$1:$V$1,0)
  ),
"")</f>
        <v>3</v>
      </c>
      <c r="M591">
        <f t="shared" si="26"/>
        <v>0</v>
      </c>
      <c r="N591" t="str">
        <f t="shared" si="28"/>
        <v>Par</v>
      </c>
      <c r="O591" cm="1">
        <f t="array" ref="O591">IFERROR(
  INDEX('Putt Log'!$E$2:$V$72,
    MATCH(1,
      ('Putt Log'!$A$2:$A$72=$A591)*
      ('Putt Log'!$B$2:$B$72=$B591)*
      ('Putt Log'!$C$2:$C$72=$C591),
    0),
    MATCH($G591,'Putt Log'!$E$1:$V$1,0)
  ),
"")</f>
        <v>1</v>
      </c>
      <c r="P591" t="str" cm="1">
        <f t="array" ref="P591">IF(K591=3,"",
  IFERROR(
    INDEX('Fairway Log'!$E$2:$V$72,
      MATCH(1,
        ('Fairway Log'!$A$2:$A$72=$A591)*
        ('Fairway Log'!$B$2:$B$72=$B591)*
        ('Fairway Log'!$C$2:$C662=$C591),
      0),
      MATCH($G591,'Fairway Log'!$E$1:$V$1,0)
    ),
  "")
)</f>
        <v/>
      </c>
      <c r="Q591" t="str" cm="1">
        <f t="array" ref="Q591">IFERROR(
  INDEX('GIR Log'!$E$2:$V$72,
    MATCH(1,
      ('GIR Log'!$A$2:$A$72=$A591)*
      ('GIR Log'!$B$2:$B$72=$B591)*
      ('GIR Log'!$C$2:$C$72=$C591),
    0),
    MATCH($G591,'GIR Log'!$E$1:$V$1,0)
  ),
"")</f>
        <v>↓</v>
      </c>
    </row>
    <row r="592" spans="1:17" x14ac:dyDescent="0.25">
      <c r="A592" s="20" t="s">
        <v>126</v>
      </c>
      <c r="B592" s="2">
        <v>45829</v>
      </c>
      <c r="C592" s="12" t="s">
        <v>6</v>
      </c>
      <c r="D592" s="12" t="s">
        <v>75</v>
      </c>
      <c r="E592" s="12" t="s">
        <v>36</v>
      </c>
      <c r="F592">
        <v>90</v>
      </c>
      <c r="G592" s="12" t="s">
        <v>61</v>
      </c>
      <c r="H592" s="9">
        <f t="shared" si="27"/>
        <v>15</v>
      </c>
      <c r="I592" cm="1">
        <f t="array" ref="I592">IFERROR(INDEX(CourseYardages[[Hole 1]:[Hole 18]],
  MATCH(1, (CourseYardages[Course]=C592)*(CourseYardages[Tees]=E592), 0),
  MATCH(G592, CourseYardages[[#Headers],[Hole 1]:[Hole 18]], 0)
),"")</f>
        <v>404</v>
      </c>
      <c r="J592" cm="1">
        <f t="array" ref="J592">IFERROR(INDEX(CourseHandicap[[Hole 1]:[Hole 18]],
  MATCH(1, (CourseHandicap[Course]=C592)*(CourseHandicap[Tees]=E592), 0),
  MATCH(G592, CourseHandicap[[#Headers],[Hole 1]:[Hole 18]], 0)
),"")</f>
        <v>1</v>
      </c>
      <c r="K592" cm="1">
        <f t="array" ref="K592">IFERROR(INDEX(CourseRatings[[Hole 1]:[Hole 18]],
  MATCH(1, (CourseRatings[Course]=C592)*(CourseRatings[Tees]=E592), 0),
  MATCH(G592, CourseRatings[[#Headers],[Hole 1]:[Hole 18]], 0)
),"")</f>
        <v>4</v>
      </c>
      <c r="L592" cm="1">
        <f t="array" ref="L592">IFERROR(
  INDEX('Golf Log'!$E$2:$V$72,
    MATCH(1,
      ('Golf Log'!$A$2:$A$72=$A592)*
      ('Golf Log'!$B$2:$B$72=$B592)*
      ('Golf Log'!$C$2:$C$72=$C592),
    0),
    MATCH($G592,'Golf Log'!$E$1:$V$1,0)
  ),
"")</f>
        <v>4</v>
      </c>
      <c r="M592">
        <f t="shared" si="26"/>
        <v>0</v>
      </c>
      <c r="N592" t="str">
        <f t="shared" si="28"/>
        <v>Par</v>
      </c>
      <c r="O592" cm="1">
        <f t="array" ref="O592">IFERROR(
  INDEX('Putt Log'!$E$2:$V$72,
    MATCH(1,
      ('Putt Log'!$A$2:$A$72=$A592)*
      ('Putt Log'!$B$2:$B$72=$B592)*
      ('Putt Log'!$C$2:$C$72=$C592),
    0),
    MATCH($G592,'Putt Log'!$E$1:$V$1,0)
  ),
"")</f>
        <v>1</v>
      </c>
      <c r="P592" t="str" cm="1">
        <f t="array" ref="P592">IF(K592=3,"",
  IFERROR(
    INDEX('Fairway Log'!$E$2:$V$72,
      MATCH(1,
        ('Fairway Log'!$A$2:$A$72=$A592)*
        ('Fairway Log'!$B$2:$B$72=$B592)*
        ('Fairway Log'!$C$2:$C663=$C592),
      0),
      MATCH($G592,'Fairway Log'!$E$1:$V$1,0)
    ),
  "")
)</f>
        <v>→</v>
      </c>
      <c r="Q592" t="str" cm="1">
        <f t="array" ref="Q592">IFERROR(
  INDEX('GIR Log'!$E$2:$V$72,
    MATCH(1,
      ('GIR Log'!$A$2:$A$72=$A592)*
      ('GIR Log'!$B$2:$B$72=$B592)*
      ('GIR Log'!$C$2:$C$72=$C592),
    0),
    MATCH($G592,'GIR Log'!$E$1:$V$1,0)
  ),
"")</f>
        <v>←</v>
      </c>
    </row>
    <row r="593" spans="1:17" x14ac:dyDescent="0.25">
      <c r="A593" s="20" t="s">
        <v>126</v>
      </c>
      <c r="B593" s="2">
        <v>45829</v>
      </c>
      <c r="C593" s="12" t="s">
        <v>6</v>
      </c>
      <c r="D593" s="12" t="s">
        <v>75</v>
      </c>
      <c r="E593" s="12" t="s">
        <v>36</v>
      </c>
      <c r="F593">
        <v>91</v>
      </c>
      <c r="G593" s="12" t="s">
        <v>62</v>
      </c>
      <c r="H593" s="9">
        <f t="shared" si="27"/>
        <v>16</v>
      </c>
      <c r="I593" cm="1">
        <f t="array" ref="I593">IFERROR(INDEX(CourseYardages[[Hole 1]:[Hole 18]],
  MATCH(1, (CourseYardages[Course]=C593)*(CourseYardages[Tees]=E593), 0),
  MATCH(G593, CourseYardages[[#Headers],[Hole 1]:[Hole 18]], 0)
),"")</f>
        <v>262</v>
      </c>
      <c r="J593" cm="1">
        <f t="array" ref="J593">IFERROR(INDEX(CourseHandicap[[Hole 1]:[Hole 18]],
  MATCH(1, (CourseHandicap[Course]=C593)*(CourseHandicap[Tees]=E593), 0),
  MATCH(G593, CourseHandicap[[#Headers],[Hole 1]:[Hole 18]], 0)
),"")</f>
        <v>17</v>
      </c>
      <c r="K593" cm="1">
        <f t="array" ref="K593">IFERROR(INDEX(CourseRatings[[Hole 1]:[Hole 18]],
  MATCH(1, (CourseRatings[Course]=C593)*(CourseRatings[Tees]=E593), 0),
  MATCH(G593, CourseRatings[[#Headers],[Hole 1]:[Hole 18]], 0)
),"")</f>
        <v>4</v>
      </c>
      <c r="L593" cm="1">
        <f t="array" ref="L593">IFERROR(
  INDEX('Golf Log'!$E$2:$V$72,
    MATCH(1,
      ('Golf Log'!$A$2:$A$72=$A593)*
      ('Golf Log'!$B$2:$B$72=$B593)*
      ('Golf Log'!$C$2:$C$72=$C593),
    0),
    MATCH($G593,'Golf Log'!$E$1:$V$1,0)
  ),
"")</f>
        <v>4</v>
      </c>
      <c r="M593">
        <f t="shared" si="26"/>
        <v>0</v>
      </c>
      <c r="N593" t="str">
        <f t="shared" si="28"/>
        <v>Par</v>
      </c>
      <c r="O593" cm="1">
        <f t="array" ref="O593">IFERROR(
  INDEX('Putt Log'!$E$2:$V$72,
    MATCH(1,
      ('Putt Log'!$A$2:$A$72=$A593)*
      ('Putt Log'!$B$2:$B$72=$B593)*
      ('Putt Log'!$C$2:$C$72=$C593),
    0),
    MATCH($G593,'Putt Log'!$E$1:$V$1,0)
  ),
"")</f>
        <v>2</v>
      </c>
      <c r="P593" cm="1">
        <f t="array" ref="P593">IF(K593=3,"",
  IFERROR(
    INDEX('Fairway Log'!$E$2:$V$72,
      MATCH(1,
        ('Fairway Log'!$A$2:$A$72=$A593)*
        ('Fairway Log'!$B$2:$B$72=$B593)*
        ('Fairway Log'!$C$2:$C664=$C593),
      0),
      MATCH($G593,'Fairway Log'!$E$1:$V$1,0)
    ),
  "")
)</f>
        <v>1</v>
      </c>
      <c r="Q593" cm="1">
        <f t="array" ref="Q593">IFERROR(
  INDEX('GIR Log'!$E$2:$V$72,
    MATCH(1,
      ('GIR Log'!$A$2:$A$72=$A593)*
      ('GIR Log'!$B$2:$B$72=$B593)*
      ('GIR Log'!$C$2:$C$72=$C593),
    0),
    MATCH($G593,'GIR Log'!$E$1:$V$1,0)
  ),
"")</f>
        <v>1</v>
      </c>
    </row>
    <row r="594" spans="1:17" x14ac:dyDescent="0.25">
      <c r="A594" s="20" t="s">
        <v>126</v>
      </c>
      <c r="B594" s="2">
        <v>45829</v>
      </c>
      <c r="C594" s="12" t="s">
        <v>6</v>
      </c>
      <c r="D594" s="12" t="s">
        <v>75</v>
      </c>
      <c r="E594" s="12" t="s">
        <v>36</v>
      </c>
      <c r="F594">
        <v>92</v>
      </c>
      <c r="G594" s="12" t="s">
        <v>63</v>
      </c>
      <c r="H594" s="9">
        <f t="shared" si="27"/>
        <v>17</v>
      </c>
      <c r="I594" cm="1">
        <f t="array" ref="I594">IFERROR(INDEX(CourseYardages[[Hole 1]:[Hole 18]],
  MATCH(1, (CourseYardages[Course]=C594)*(CourseYardages[Tees]=E594), 0),
  MATCH(G594, CourseYardages[[#Headers],[Hole 1]:[Hole 18]], 0)
),"")</f>
        <v>467</v>
      </c>
      <c r="J594" cm="1">
        <f t="array" ref="J594">IFERROR(INDEX(CourseHandicap[[Hole 1]:[Hole 18]],
  MATCH(1, (CourseHandicap[Course]=C594)*(CourseHandicap[Tees]=E594), 0),
  MATCH(G594, CourseHandicap[[#Headers],[Hole 1]:[Hole 18]], 0)
),"")</f>
        <v>3</v>
      </c>
      <c r="K594" cm="1">
        <f t="array" ref="K594">IFERROR(INDEX(CourseRatings[[Hole 1]:[Hole 18]],
  MATCH(1, (CourseRatings[Course]=C594)*(CourseRatings[Tees]=E594), 0),
  MATCH(G594, CourseRatings[[#Headers],[Hole 1]:[Hole 18]], 0)
),"")</f>
        <v>5</v>
      </c>
      <c r="L594" cm="1">
        <f t="array" ref="L594">IFERROR(
  INDEX('Golf Log'!$E$2:$V$72,
    MATCH(1,
      ('Golf Log'!$A$2:$A$72=$A594)*
      ('Golf Log'!$B$2:$B$72=$B594)*
      ('Golf Log'!$C$2:$C$72=$C594),
    0),
    MATCH($G594,'Golf Log'!$E$1:$V$1,0)
  ),
"")</f>
        <v>5</v>
      </c>
      <c r="M594">
        <f t="shared" si="26"/>
        <v>0</v>
      </c>
      <c r="N594" t="str">
        <f t="shared" si="28"/>
        <v>Par</v>
      </c>
      <c r="O594" cm="1">
        <f t="array" ref="O594">IFERROR(
  INDEX('Putt Log'!$E$2:$V$72,
    MATCH(1,
      ('Putt Log'!$A$2:$A$72=$A594)*
      ('Putt Log'!$B$2:$B$72=$B594)*
      ('Putt Log'!$C$2:$C$72=$C594),
    0),
    MATCH($G594,'Putt Log'!$E$1:$V$1,0)
  ),
"")</f>
        <v>2</v>
      </c>
      <c r="P594" cm="1">
        <f t="array" ref="P594">IF(K594=3,"",
  IFERROR(
    INDEX('Fairway Log'!$E$2:$V$72,
      MATCH(1,
        ('Fairway Log'!$A$2:$A$72=$A594)*
        ('Fairway Log'!$B$2:$B$72=$B594)*
        ('Fairway Log'!$C$2:$C665=$C594),
      0),
      MATCH($G594,'Fairway Log'!$E$1:$V$1,0)
    ),
  "")
)</f>
        <v>1</v>
      </c>
      <c r="Q594" cm="1">
        <f t="array" ref="Q594">IFERROR(
  INDEX('GIR Log'!$E$2:$V$72,
    MATCH(1,
      ('GIR Log'!$A$2:$A$72=$A594)*
      ('GIR Log'!$B$2:$B$72=$B594)*
      ('GIR Log'!$C$2:$C$72=$C594),
    0),
    MATCH($G594,'GIR Log'!$E$1:$V$1,0)
  ),
"")</f>
        <v>1</v>
      </c>
    </row>
    <row r="595" spans="1:17" x14ac:dyDescent="0.25">
      <c r="A595" s="20" t="s">
        <v>126</v>
      </c>
      <c r="B595" s="2">
        <v>45829</v>
      </c>
      <c r="C595" s="12" t="s">
        <v>6</v>
      </c>
      <c r="D595" s="12" t="s">
        <v>75</v>
      </c>
      <c r="E595" s="12" t="s">
        <v>36</v>
      </c>
      <c r="F595">
        <v>93</v>
      </c>
      <c r="G595" s="12" t="s">
        <v>64</v>
      </c>
      <c r="H595" s="9">
        <f t="shared" si="27"/>
        <v>18</v>
      </c>
      <c r="I595" cm="1">
        <f t="array" ref="I595">IFERROR(INDEX(CourseYardages[[Hole 1]:[Hole 18]],
  MATCH(1, (CourseYardages[Course]=C595)*(CourseYardages[Tees]=E595), 0),
  MATCH(G595, CourseYardages[[#Headers],[Hole 1]:[Hole 18]], 0)
),"")</f>
        <v>355</v>
      </c>
      <c r="J595" cm="1">
        <f t="array" ref="J595">IFERROR(INDEX(CourseHandicap[[Hole 1]:[Hole 18]],
  MATCH(1, (CourseHandicap[Course]=C595)*(CourseHandicap[Tees]=E595), 0),
  MATCH(G595, CourseHandicap[[#Headers],[Hole 1]:[Hole 18]], 0)
),"")</f>
        <v>7</v>
      </c>
      <c r="K595" cm="1">
        <f t="array" ref="K595">IFERROR(INDEX(CourseRatings[[Hole 1]:[Hole 18]],
  MATCH(1, (CourseRatings[Course]=C595)*(CourseRatings[Tees]=E595), 0),
  MATCH(G595, CourseRatings[[#Headers],[Hole 1]:[Hole 18]], 0)
),"")</f>
        <v>4</v>
      </c>
      <c r="L595" cm="1">
        <f t="array" ref="L595">IFERROR(
  INDEX('Golf Log'!$E$2:$V$72,
    MATCH(1,
      ('Golf Log'!$A$2:$A$72=$A595)*
      ('Golf Log'!$B$2:$B$72=$B595)*
      ('Golf Log'!$C$2:$C$72=$C595),
    0),
    MATCH($G595,'Golf Log'!$E$1:$V$1,0)
  ),
"")</f>
        <v>4</v>
      </c>
      <c r="M595">
        <f t="shared" si="26"/>
        <v>0</v>
      </c>
      <c r="N595" t="str">
        <f t="shared" si="28"/>
        <v>Par</v>
      </c>
      <c r="O595" cm="1">
        <f t="array" ref="O595">IFERROR(
  INDEX('Putt Log'!$E$2:$V$72,
    MATCH(1,
      ('Putt Log'!$A$2:$A$72=$A595)*
      ('Putt Log'!$B$2:$B$72=$B595)*
      ('Putt Log'!$C$2:$C$72=$C595),
    0),
    MATCH($G595,'Putt Log'!$E$1:$V$1,0)
  ),
"")</f>
        <v>1</v>
      </c>
      <c r="P595" cm="1">
        <f t="array" ref="P595">IF(K595=3,"",
  IFERROR(
    INDEX('Fairway Log'!$E$2:$V$72,
      MATCH(1,
        ('Fairway Log'!$A$2:$A$72=$A595)*
        ('Fairway Log'!$B$2:$B$72=$B595)*
        ('Fairway Log'!$C$2:$C666=$C595),
      0),
      MATCH($G595,'Fairway Log'!$E$1:$V$1,0)
    ),
  "")
)</f>
        <v>1</v>
      </c>
      <c r="Q595" t="str" cm="1">
        <f t="array" ref="Q595">IFERROR(
  INDEX('GIR Log'!$E$2:$V$72,
    MATCH(1,
      ('GIR Log'!$A$2:$A$72=$A595)*
      ('GIR Log'!$B$2:$B$72=$B595)*
      ('GIR Log'!$C$2:$C$72=$C595),
    0),
    MATCH($G595,'GIR Log'!$E$1:$V$1,0)
  ),
"")</f>
        <v>→</v>
      </c>
    </row>
    <row r="596" spans="1:17" x14ac:dyDescent="0.25">
      <c r="A596" s="20" t="s">
        <v>126</v>
      </c>
      <c r="B596" s="2">
        <v>45831</v>
      </c>
      <c r="C596" s="12" t="s">
        <v>5</v>
      </c>
      <c r="D596" s="12" t="s">
        <v>5</v>
      </c>
      <c r="E596" s="12" t="s">
        <v>34</v>
      </c>
      <c r="F596">
        <v>78</v>
      </c>
      <c r="G596" t="s">
        <v>47</v>
      </c>
      <c r="H596" s="9">
        <f t="shared" si="27"/>
        <v>1</v>
      </c>
      <c r="I596" cm="1">
        <f t="array" ref="I596">IFERROR(INDEX(CourseYardages[[Hole 1]:[Hole 18]],
  MATCH(1, (CourseYardages[Course]=C596)*(CourseYardages[Tees]=E596), 0),
  MATCH(G596, CourseYardages[[#Headers],[Hole 1]:[Hole 18]], 0)
),"")</f>
        <v>432</v>
      </c>
      <c r="J596" cm="1">
        <f t="array" ref="J596">IFERROR(INDEX(CourseHandicap[[Hole 1]:[Hole 18]],
  MATCH(1, (CourseHandicap[Course]=C596)*(CourseHandicap[Tees]=E596), 0),
  MATCH(G596, CourseHandicap[[#Headers],[Hole 1]:[Hole 18]], 0)
),"")</f>
        <v>7</v>
      </c>
      <c r="K596" cm="1">
        <f t="array" ref="K596">IFERROR(INDEX(CourseRatings[[Hole 1]:[Hole 18]],
  MATCH(1, (CourseRatings[Course]=C596)*(CourseRatings[Tees]=E596), 0),
  MATCH(G596, CourseRatings[[#Headers],[Hole 1]:[Hole 18]], 0)
),"")</f>
        <v>4</v>
      </c>
      <c r="L596" cm="1">
        <f t="array" ref="L596">IFERROR(
  INDEX('Golf Log'!$E$2:$V$72,
    MATCH(1,
      ('Golf Log'!$A$2:$A$72=$A596)*
      ('Golf Log'!$B$2:$B$72=$B596)*
      ('Golf Log'!$C$2:$C$72=$C596),
    0),
    MATCH($G596,'Golf Log'!$E$1:$V$1,0)
  ),
"")</f>
        <v>6</v>
      </c>
      <c r="M596">
        <f t="shared" ref="M596:M631" si="29">IFERROR(L596-K596,"")</f>
        <v>2</v>
      </c>
      <c r="N596" t="str">
        <f t="shared" ref="N596:N631" si="30">IF(M596="","",(IF(M596=-2,"Eagle",IF(M596=-1,"Birdie",IF(M596=0,"Par",IF(M596=1,"Bogey",IF(M596=2,"Double Bogey",IF(M596=3,"Triple Bogey",IF(M596&gt;3,"Quad Bogey+")))))))))</f>
        <v>Double Bogey</v>
      </c>
      <c r="O596" cm="1">
        <f t="array" ref="O596">IFERROR(
  INDEX('Putt Log'!$E$2:$V$72,
    MATCH(1,
      ('Putt Log'!$A$2:$A$72=$A596)*
      ('Putt Log'!$B$2:$B$72=$B596)*
      ('Putt Log'!$C$2:$C$72=$C596),
    0),
    MATCH($G596,'Putt Log'!$E$1:$V$1,0)
  ),
"")</f>
        <v>2</v>
      </c>
      <c r="P596" t="str" cm="1">
        <f t="array" ref="P596">IF(K596=3,"",
  IFERROR(
    INDEX('Fairway Log'!$E$2:$V$72,
      MATCH(1,
        ('Fairway Log'!$A$2:$A$72=$A596)*
        ('Fairway Log'!$B$2:$B$72=$B596)*
        ('Fairway Log'!$C$2:$C667=$C596),
      0),
      MATCH($G596,'Fairway Log'!$E$1:$V$1,0)
    ),
  "")
)</f>
        <v>→</v>
      </c>
      <c r="Q596" t="str" cm="1">
        <f t="array" ref="Q596">IFERROR(
  INDEX('GIR Log'!$E$2:$V$72,
    MATCH(1,
      ('GIR Log'!$A$2:$A$72=$A596)*
      ('GIR Log'!$B$2:$B$72=$B596)*
      ('GIR Log'!$C$2:$C$72=$C596),
    0),
    MATCH($G596,'GIR Log'!$E$1:$V$1,0)
  ),
"")</f>
        <v>↓</v>
      </c>
    </row>
    <row r="597" spans="1:17" x14ac:dyDescent="0.25">
      <c r="A597" s="20" t="s">
        <v>126</v>
      </c>
      <c r="B597" s="2">
        <v>45831</v>
      </c>
      <c r="C597" s="12" t="s">
        <v>5</v>
      </c>
      <c r="D597" s="12" t="s">
        <v>5</v>
      </c>
      <c r="E597" s="12" t="s">
        <v>34</v>
      </c>
      <c r="F597">
        <v>78</v>
      </c>
      <c r="G597" t="s">
        <v>48</v>
      </c>
      <c r="H597" s="9">
        <f t="shared" si="27"/>
        <v>2</v>
      </c>
      <c r="I597" cm="1">
        <f t="array" ref="I597">IFERROR(INDEX(CourseYardages[[Hole 1]:[Hole 18]],
  MATCH(1, (CourseYardages[Course]=C597)*(CourseYardages[Tees]=E597), 0),
  MATCH(G597, CourseYardages[[#Headers],[Hole 1]:[Hole 18]], 0)
),"")</f>
        <v>451</v>
      </c>
      <c r="J597" cm="1">
        <f t="array" ref="J597">IFERROR(INDEX(CourseHandicap[[Hole 1]:[Hole 18]],
  MATCH(1, (CourseHandicap[Course]=C597)*(CourseHandicap[Tees]=E597), 0),
  MATCH(G597, CourseHandicap[[#Headers],[Hole 1]:[Hole 18]], 0)
),"")</f>
        <v>3</v>
      </c>
      <c r="K597" cm="1">
        <f t="array" ref="K597">IFERROR(INDEX(CourseRatings[[Hole 1]:[Hole 18]],
  MATCH(1, (CourseRatings[Course]=C597)*(CourseRatings[Tees]=E597), 0),
  MATCH(G597, CourseRatings[[#Headers],[Hole 1]:[Hole 18]], 0)
),"")</f>
        <v>4</v>
      </c>
      <c r="L597" cm="1">
        <f t="array" ref="L597">IFERROR(
  INDEX('Golf Log'!$E$2:$V$72,
    MATCH(1,
      ('Golf Log'!$A$2:$A$72=$A597)*
      ('Golf Log'!$B$2:$B$72=$B597)*
      ('Golf Log'!$C$2:$C$72=$C597),
    0),
    MATCH($G597,'Golf Log'!$E$1:$V$1,0)
  ),
"")</f>
        <v>5</v>
      </c>
      <c r="M597">
        <f t="shared" si="29"/>
        <v>1</v>
      </c>
      <c r="N597" t="str">
        <f t="shared" si="30"/>
        <v>Bogey</v>
      </c>
      <c r="O597" cm="1">
        <f t="array" ref="O597">IFERROR(
  INDEX('Putt Log'!$E$2:$V$72,
    MATCH(1,
      ('Putt Log'!$A$2:$A$72=$A597)*
      ('Putt Log'!$B$2:$B$72=$B597)*
      ('Putt Log'!$C$2:$C$72=$C597),
    0),
    MATCH($G597,'Putt Log'!$E$1:$V$1,0)
  ),
"")</f>
        <v>2</v>
      </c>
      <c r="P597" cm="1">
        <f t="array" ref="P597">IF(K597=3,"",
  IFERROR(
    INDEX('Fairway Log'!$E$2:$V$72,
      MATCH(1,
        ('Fairway Log'!$A$2:$A$72=$A597)*
        ('Fairway Log'!$B$2:$B$72=$B597)*
        ('Fairway Log'!$C$2:$C668=$C597),
      0),
      MATCH($G597,'Fairway Log'!$E$1:$V$1,0)
    ),
  "")
)</f>
        <v>1</v>
      </c>
      <c r="Q597" t="str" cm="1">
        <f t="array" ref="Q597">IFERROR(
  INDEX('GIR Log'!$E$2:$V$72,
    MATCH(1,
      ('GIR Log'!$A$2:$A$72=$A597)*
      ('GIR Log'!$B$2:$B$72=$B597)*
      ('GIR Log'!$C$2:$C$72=$C597),
    0),
    MATCH($G597,'GIR Log'!$E$1:$V$1,0)
  ),
"")</f>
        <v>→</v>
      </c>
    </row>
    <row r="598" spans="1:17" x14ac:dyDescent="0.25">
      <c r="A598" s="20" t="s">
        <v>126</v>
      </c>
      <c r="B598" s="2">
        <v>45831</v>
      </c>
      <c r="C598" s="12" t="s">
        <v>5</v>
      </c>
      <c r="D598" s="12" t="s">
        <v>5</v>
      </c>
      <c r="E598" s="12" t="s">
        <v>34</v>
      </c>
      <c r="F598">
        <v>78</v>
      </c>
      <c r="G598" t="s">
        <v>49</v>
      </c>
      <c r="H598" s="9">
        <f t="shared" si="27"/>
        <v>3</v>
      </c>
      <c r="I598" cm="1">
        <f t="array" ref="I598">IFERROR(INDEX(CourseYardages[[Hole 1]:[Hole 18]],
  MATCH(1, (CourseYardages[Course]=C598)*(CourseYardages[Tees]=E598), 0),
  MATCH(G598, CourseYardages[[#Headers],[Hole 1]:[Hole 18]], 0)
),"")</f>
        <v>195</v>
      </c>
      <c r="J598" cm="1">
        <f t="array" ref="J598">IFERROR(INDEX(CourseHandicap[[Hole 1]:[Hole 18]],
  MATCH(1, (CourseHandicap[Course]=C598)*(CourseHandicap[Tees]=E598), 0),
  MATCH(G598, CourseHandicap[[#Headers],[Hole 1]:[Hole 18]], 0)
),"")</f>
        <v>13</v>
      </c>
      <c r="K598" cm="1">
        <f t="array" ref="K598">IFERROR(INDEX(CourseRatings[[Hole 1]:[Hole 18]],
  MATCH(1, (CourseRatings[Course]=C598)*(CourseRatings[Tees]=E598), 0),
  MATCH(G598, CourseRatings[[#Headers],[Hole 1]:[Hole 18]], 0)
),"")</f>
        <v>3</v>
      </c>
      <c r="L598" cm="1">
        <f t="array" ref="L598">IFERROR(
  INDEX('Golf Log'!$E$2:$V$72,
    MATCH(1,
      ('Golf Log'!$A$2:$A$72=$A598)*
      ('Golf Log'!$B$2:$B$72=$B598)*
      ('Golf Log'!$C$2:$C$72=$C598),
    0),
    MATCH($G598,'Golf Log'!$E$1:$V$1,0)
  ),
"")</f>
        <v>4</v>
      </c>
      <c r="M598">
        <f t="shared" si="29"/>
        <v>1</v>
      </c>
      <c r="N598" t="str">
        <f t="shared" si="30"/>
        <v>Bogey</v>
      </c>
      <c r="O598" cm="1">
        <f t="array" ref="O598">IFERROR(
  INDEX('Putt Log'!$E$2:$V$72,
    MATCH(1,
      ('Putt Log'!$A$2:$A$72=$A598)*
      ('Putt Log'!$B$2:$B$72=$B598)*
      ('Putt Log'!$C$2:$C$72=$C598),
    0),
    MATCH($G598,'Putt Log'!$E$1:$V$1,0)
  ),
"")</f>
        <v>2</v>
      </c>
      <c r="P598" t="str" cm="1">
        <f t="array" ref="P598">IF(K598=3,"",
  IFERROR(
    INDEX('Fairway Log'!$E$2:$V$72,
      MATCH(1,
        ('Fairway Log'!$A$2:$A$72=$A598)*
        ('Fairway Log'!$B$2:$B$72=$B598)*
        ('Fairway Log'!$C$2:$C669=$C598),
      0),
      MATCH($G598,'Fairway Log'!$E$1:$V$1,0)
    ),
  "")
)</f>
        <v/>
      </c>
      <c r="Q598" t="str" cm="1">
        <f t="array" ref="Q598">IFERROR(
  INDEX('GIR Log'!$E$2:$V$72,
    MATCH(1,
      ('GIR Log'!$A$2:$A$72=$A598)*
      ('GIR Log'!$B$2:$B$72=$B598)*
      ('GIR Log'!$C$2:$C$72=$C598),
    0),
    MATCH($G598,'GIR Log'!$E$1:$V$1,0)
  ),
"")</f>
        <v>↓</v>
      </c>
    </row>
    <row r="599" spans="1:17" x14ac:dyDescent="0.25">
      <c r="A599" s="20" t="s">
        <v>126</v>
      </c>
      <c r="B599" s="2">
        <v>45831</v>
      </c>
      <c r="C599" s="12" t="s">
        <v>5</v>
      </c>
      <c r="D599" s="12" t="s">
        <v>5</v>
      </c>
      <c r="E599" s="12" t="s">
        <v>34</v>
      </c>
      <c r="F599">
        <v>78</v>
      </c>
      <c r="G599" t="s">
        <v>50</v>
      </c>
      <c r="H599" s="9">
        <f t="shared" si="27"/>
        <v>4</v>
      </c>
      <c r="I599" cm="1">
        <f t="array" ref="I599">IFERROR(INDEX(CourseYardages[[Hole 1]:[Hole 18]],
  MATCH(1, (CourseYardages[Course]=C599)*(CourseYardages[Tees]=E599), 0),
  MATCH(G599, CourseYardages[[#Headers],[Hole 1]:[Hole 18]], 0)
),"")</f>
        <v>493</v>
      </c>
      <c r="J599" cm="1">
        <f t="array" ref="J599">IFERROR(INDEX(CourseHandicap[[Hole 1]:[Hole 18]],
  MATCH(1, (CourseHandicap[Course]=C599)*(CourseHandicap[Tees]=E599), 0),
  MATCH(G599, CourseHandicap[[#Headers],[Hole 1]:[Hole 18]], 0)
),"")</f>
        <v>15</v>
      </c>
      <c r="K599" cm="1">
        <f t="array" ref="K599">IFERROR(INDEX(CourseRatings[[Hole 1]:[Hole 18]],
  MATCH(1, (CourseRatings[Course]=C599)*(CourseRatings[Tees]=E599), 0),
  MATCH(G599, CourseRatings[[#Headers],[Hole 1]:[Hole 18]], 0)
),"")</f>
        <v>5</v>
      </c>
      <c r="L599" cm="1">
        <f t="array" ref="L599">IFERROR(
  INDEX('Golf Log'!$E$2:$V$72,
    MATCH(1,
      ('Golf Log'!$A$2:$A$72=$A599)*
      ('Golf Log'!$B$2:$B$72=$B599)*
      ('Golf Log'!$C$2:$C$72=$C599),
    0),
    MATCH($G599,'Golf Log'!$E$1:$V$1,0)
  ),
"")</f>
        <v>5</v>
      </c>
      <c r="M599">
        <f t="shared" si="29"/>
        <v>0</v>
      </c>
      <c r="N599" t="str">
        <f t="shared" si="30"/>
        <v>Par</v>
      </c>
      <c r="O599" cm="1">
        <f t="array" ref="O599">IFERROR(
  INDEX('Putt Log'!$E$2:$V$72,
    MATCH(1,
      ('Putt Log'!$A$2:$A$72=$A599)*
      ('Putt Log'!$B$2:$B$72=$B599)*
      ('Putt Log'!$C$2:$C$72=$C599),
    0),
    MATCH($G599,'Putt Log'!$E$1:$V$1,0)
  ),
"")</f>
        <v>2</v>
      </c>
      <c r="P599" t="str" cm="1">
        <f t="array" ref="P599">IF(K599=3,"",
  IFERROR(
    INDEX('Fairway Log'!$E$2:$V$72,
      MATCH(1,
        ('Fairway Log'!$A$2:$A$72=$A599)*
        ('Fairway Log'!$B$2:$B$72=$B599)*
        ('Fairway Log'!$C$2:$C670=$C599),
      0),
      MATCH($G599,'Fairway Log'!$E$1:$V$1,0)
    ),
  "")
)</f>
        <v>→</v>
      </c>
      <c r="Q599" cm="1">
        <f t="array" ref="Q599">IFERROR(
  INDEX('GIR Log'!$E$2:$V$72,
    MATCH(1,
      ('GIR Log'!$A$2:$A$72=$A599)*
      ('GIR Log'!$B$2:$B$72=$B599)*
      ('GIR Log'!$C$2:$C$72=$C599),
    0),
    MATCH($G599,'GIR Log'!$E$1:$V$1,0)
  ),
"")</f>
        <v>1</v>
      </c>
    </row>
    <row r="600" spans="1:17" x14ac:dyDescent="0.25">
      <c r="A600" s="20" t="s">
        <v>126</v>
      </c>
      <c r="B600" s="2">
        <v>45831</v>
      </c>
      <c r="C600" s="12" t="s">
        <v>5</v>
      </c>
      <c r="D600" s="12" t="s">
        <v>5</v>
      </c>
      <c r="E600" s="12" t="s">
        <v>34</v>
      </c>
      <c r="F600">
        <v>78</v>
      </c>
      <c r="G600" t="s">
        <v>51</v>
      </c>
      <c r="H600" s="9">
        <f t="shared" si="27"/>
        <v>5</v>
      </c>
      <c r="I600" cm="1">
        <f t="array" ref="I600">IFERROR(INDEX(CourseYardages[[Hole 1]:[Hole 18]],
  MATCH(1, (CourseYardages[Course]=C600)*(CourseYardages[Tees]=E600), 0),
  MATCH(G600, CourseYardages[[#Headers],[Hole 1]:[Hole 18]], 0)
),"")</f>
        <v>306</v>
      </c>
      <c r="J600" cm="1">
        <f t="array" ref="J600">IFERROR(INDEX(CourseHandicap[[Hole 1]:[Hole 18]],
  MATCH(1, (CourseHandicap[Course]=C600)*(CourseHandicap[Tees]=E600), 0),
  MATCH(G600, CourseHandicap[[#Headers],[Hole 1]:[Hole 18]], 0)
),"")</f>
        <v>17</v>
      </c>
      <c r="K600" cm="1">
        <f t="array" ref="K600">IFERROR(INDEX(CourseRatings[[Hole 1]:[Hole 18]],
  MATCH(1, (CourseRatings[Course]=C600)*(CourseRatings[Tees]=E600), 0),
  MATCH(G600, CourseRatings[[#Headers],[Hole 1]:[Hole 18]], 0)
),"")</f>
        <v>4</v>
      </c>
      <c r="L600" cm="1">
        <f t="array" ref="L600">IFERROR(
  INDEX('Golf Log'!$E$2:$V$72,
    MATCH(1,
      ('Golf Log'!$A$2:$A$72=$A600)*
      ('Golf Log'!$B$2:$B$72=$B600)*
      ('Golf Log'!$C$2:$C$72=$C600),
    0),
    MATCH($G600,'Golf Log'!$E$1:$V$1,0)
  ),
"")</f>
        <v>5</v>
      </c>
      <c r="M600">
        <f t="shared" si="29"/>
        <v>1</v>
      </c>
      <c r="N600" t="str">
        <f t="shared" si="30"/>
        <v>Bogey</v>
      </c>
      <c r="O600" cm="1">
        <f t="array" ref="O600">IFERROR(
  INDEX('Putt Log'!$E$2:$V$72,
    MATCH(1,
      ('Putt Log'!$A$2:$A$72=$A600)*
      ('Putt Log'!$B$2:$B$72=$B600)*
      ('Putt Log'!$C$2:$C$72=$C600),
    0),
    MATCH($G600,'Putt Log'!$E$1:$V$1,0)
  ),
"")</f>
        <v>2</v>
      </c>
      <c r="P600" t="str" cm="1">
        <f t="array" ref="P600">IF(K600=3,"",
  IFERROR(
    INDEX('Fairway Log'!$E$2:$V$72,
      MATCH(1,
        ('Fairway Log'!$A$2:$A$72=$A600)*
        ('Fairway Log'!$B$2:$B$72=$B600)*
        ('Fairway Log'!$C$2:$C671=$C600),
      0),
      MATCH($G600,'Fairway Log'!$E$1:$V$1,0)
    ),
  "")
)</f>
        <v>↑</v>
      </c>
      <c r="Q600" t="str" cm="1">
        <f t="array" ref="Q600">IFERROR(
  INDEX('GIR Log'!$E$2:$V$72,
    MATCH(1,
      ('GIR Log'!$A$2:$A$72=$A600)*
      ('GIR Log'!$B$2:$B$72=$B600)*
      ('GIR Log'!$C$2:$C$72=$C600),
    0),
    MATCH($G600,'GIR Log'!$E$1:$V$1,0)
  ),
"")</f>
        <v>↓</v>
      </c>
    </row>
    <row r="601" spans="1:17" x14ac:dyDescent="0.25">
      <c r="A601" s="20" t="s">
        <v>126</v>
      </c>
      <c r="B601" s="2">
        <v>45831</v>
      </c>
      <c r="C601" s="12" t="s">
        <v>5</v>
      </c>
      <c r="D601" s="12" t="s">
        <v>5</v>
      </c>
      <c r="E601" s="12" t="s">
        <v>34</v>
      </c>
      <c r="F601">
        <v>78</v>
      </c>
      <c r="G601" t="s">
        <v>52</v>
      </c>
      <c r="H601" s="9">
        <f t="shared" si="27"/>
        <v>6</v>
      </c>
      <c r="I601" cm="1">
        <f t="array" ref="I601">IFERROR(INDEX(CourseYardages[[Hole 1]:[Hole 18]],
  MATCH(1, (CourseYardages[Course]=C601)*(CourseYardages[Tees]=E601), 0),
  MATCH(G601, CourseYardages[[#Headers],[Hole 1]:[Hole 18]], 0)
),"")</f>
        <v>462</v>
      </c>
      <c r="J601" cm="1">
        <f t="array" ref="J601">IFERROR(INDEX(CourseHandicap[[Hole 1]:[Hole 18]],
  MATCH(1, (CourseHandicap[Course]=C601)*(CourseHandicap[Tees]=E601), 0),
  MATCH(G601, CourseHandicap[[#Headers],[Hole 1]:[Hole 18]], 0)
),"")</f>
        <v>1</v>
      </c>
      <c r="K601" cm="1">
        <f t="array" ref="K601">IFERROR(INDEX(CourseRatings[[Hole 1]:[Hole 18]],
  MATCH(1, (CourseRatings[Course]=C601)*(CourseRatings[Tees]=E601), 0),
  MATCH(G601, CourseRatings[[#Headers],[Hole 1]:[Hole 18]], 0)
),"")</f>
        <v>4</v>
      </c>
      <c r="L601" cm="1">
        <f t="array" ref="L601">IFERROR(
  INDEX('Golf Log'!$E$2:$V$72,
    MATCH(1,
      ('Golf Log'!$A$2:$A$72=$A601)*
      ('Golf Log'!$B$2:$B$72=$B601)*
      ('Golf Log'!$C$2:$C$72=$C601),
    0),
    MATCH($G601,'Golf Log'!$E$1:$V$1,0)
  ),
"")</f>
        <v>4</v>
      </c>
      <c r="M601">
        <f t="shared" si="29"/>
        <v>0</v>
      </c>
      <c r="N601" t="str">
        <f t="shared" si="30"/>
        <v>Par</v>
      </c>
      <c r="O601" cm="1">
        <f t="array" ref="O601">IFERROR(
  INDEX('Putt Log'!$E$2:$V$72,
    MATCH(1,
      ('Putt Log'!$A$2:$A$72=$A601)*
      ('Putt Log'!$B$2:$B$72=$B601)*
      ('Putt Log'!$C$2:$C$72=$C601),
    0),
    MATCH($G601,'Putt Log'!$E$1:$V$1,0)
  ),
"")</f>
        <v>2</v>
      </c>
      <c r="P601" cm="1">
        <f t="array" ref="P601">IF(K601=3,"",
  IFERROR(
    INDEX('Fairway Log'!$E$2:$V$72,
      MATCH(1,
        ('Fairway Log'!$A$2:$A$72=$A601)*
        ('Fairway Log'!$B$2:$B$72=$B601)*
        ('Fairway Log'!$C$2:$C672=$C601),
      0),
      MATCH($G601,'Fairway Log'!$E$1:$V$1,0)
    ),
  "")
)</f>
        <v>1</v>
      </c>
      <c r="Q601" cm="1">
        <f t="array" ref="Q601">IFERROR(
  INDEX('GIR Log'!$E$2:$V$72,
    MATCH(1,
      ('GIR Log'!$A$2:$A$72=$A601)*
      ('GIR Log'!$B$2:$B$72=$B601)*
      ('GIR Log'!$C$2:$C$72=$C601),
    0),
    MATCH($G601,'GIR Log'!$E$1:$V$1,0)
  ),
"")</f>
        <v>1</v>
      </c>
    </row>
    <row r="602" spans="1:17" x14ac:dyDescent="0.25">
      <c r="A602" s="20" t="s">
        <v>126</v>
      </c>
      <c r="B602" s="2">
        <v>45831</v>
      </c>
      <c r="C602" s="12" t="s">
        <v>5</v>
      </c>
      <c r="D602" s="12" t="s">
        <v>5</v>
      </c>
      <c r="E602" s="12" t="s">
        <v>34</v>
      </c>
      <c r="F602">
        <v>78</v>
      </c>
      <c r="G602" t="s">
        <v>53</v>
      </c>
      <c r="H602" s="9">
        <f t="shared" si="27"/>
        <v>7</v>
      </c>
      <c r="I602" cm="1">
        <f t="array" ref="I602">IFERROR(INDEX(CourseYardages[[Hole 1]:[Hole 18]],
  MATCH(1, (CourseYardages[Course]=C602)*(CourseYardages[Tees]=E602), 0),
  MATCH(G602, CourseYardages[[#Headers],[Hole 1]:[Hole 18]], 0)
),"")</f>
        <v>186</v>
      </c>
      <c r="J602" cm="1">
        <f t="array" ref="J602">IFERROR(INDEX(CourseHandicap[[Hole 1]:[Hole 18]],
  MATCH(1, (CourseHandicap[Course]=C602)*(CourseHandicap[Tees]=E602), 0),
  MATCH(G602, CourseHandicap[[#Headers],[Hole 1]:[Hole 18]], 0)
),"")</f>
        <v>11</v>
      </c>
      <c r="K602" cm="1">
        <f t="array" ref="K602">IFERROR(INDEX(CourseRatings[[Hole 1]:[Hole 18]],
  MATCH(1, (CourseRatings[Course]=C602)*(CourseRatings[Tees]=E602), 0),
  MATCH(G602, CourseRatings[[#Headers],[Hole 1]:[Hole 18]], 0)
),"")</f>
        <v>3</v>
      </c>
      <c r="L602" cm="1">
        <f t="array" ref="L602">IFERROR(
  INDEX('Golf Log'!$E$2:$V$72,
    MATCH(1,
      ('Golf Log'!$A$2:$A$72=$A602)*
      ('Golf Log'!$B$2:$B$72=$B602)*
      ('Golf Log'!$C$2:$C$72=$C602),
    0),
    MATCH($G602,'Golf Log'!$E$1:$V$1,0)
  ),
"")</f>
        <v>4</v>
      </c>
      <c r="M602">
        <f t="shared" si="29"/>
        <v>1</v>
      </c>
      <c r="N602" t="str">
        <f t="shared" si="30"/>
        <v>Bogey</v>
      </c>
      <c r="O602" cm="1">
        <f t="array" ref="O602">IFERROR(
  INDEX('Putt Log'!$E$2:$V$72,
    MATCH(1,
      ('Putt Log'!$A$2:$A$72=$A602)*
      ('Putt Log'!$B$2:$B$72=$B602)*
      ('Putt Log'!$C$2:$C$72=$C602),
    0),
    MATCH($G602,'Putt Log'!$E$1:$V$1,0)
  ),
"")</f>
        <v>2</v>
      </c>
      <c r="P602" t="str" cm="1">
        <f t="array" ref="P602">IF(K602=3,"",
  IFERROR(
    INDEX('Fairway Log'!$E$2:$V$72,
      MATCH(1,
        ('Fairway Log'!$A$2:$A$72=$A602)*
        ('Fairway Log'!$B$2:$B$72=$B602)*
        ('Fairway Log'!$C$2:$C673=$C602),
      0),
      MATCH($G602,'Fairway Log'!$E$1:$V$1,0)
    ),
  "")
)</f>
        <v/>
      </c>
      <c r="Q602" t="str" cm="1">
        <f t="array" ref="Q602">IFERROR(
  INDEX('GIR Log'!$E$2:$V$72,
    MATCH(1,
      ('GIR Log'!$A$2:$A$72=$A602)*
      ('GIR Log'!$B$2:$B$72=$B602)*
      ('GIR Log'!$C$2:$C$72=$C602),
    0),
    MATCH($G602,'GIR Log'!$E$1:$V$1,0)
  ),
"")</f>
        <v>→</v>
      </c>
    </row>
    <row r="603" spans="1:17" x14ac:dyDescent="0.25">
      <c r="A603" s="20" t="s">
        <v>126</v>
      </c>
      <c r="B603" s="2">
        <v>45831</v>
      </c>
      <c r="C603" s="12" t="s">
        <v>5</v>
      </c>
      <c r="D603" s="12" t="s">
        <v>5</v>
      </c>
      <c r="E603" s="12" t="s">
        <v>34</v>
      </c>
      <c r="F603">
        <v>78</v>
      </c>
      <c r="G603" t="s">
        <v>54</v>
      </c>
      <c r="H603" s="9">
        <f t="shared" si="27"/>
        <v>8</v>
      </c>
      <c r="I603" cm="1">
        <f t="array" ref="I603">IFERROR(INDEX(CourseYardages[[Hole 1]:[Hole 18]],
  MATCH(1, (CourseYardages[Course]=C603)*(CourseYardages[Tees]=E603), 0),
  MATCH(G603, CourseYardages[[#Headers],[Hole 1]:[Hole 18]], 0)
),"")</f>
        <v>565</v>
      </c>
      <c r="J603" cm="1">
        <f t="array" ref="J603">IFERROR(INDEX(CourseHandicap[[Hole 1]:[Hole 18]],
  MATCH(1, (CourseHandicap[Course]=C603)*(CourseHandicap[Tees]=E603), 0),
  MATCH(G603, CourseHandicap[[#Headers],[Hole 1]:[Hole 18]], 0)
),"")</f>
        <v>5</v>
      </c>
      <c r="K603" cm="1">
        <f t="array" ref="K603">IFERROR(INDEX(CourseRatings[[Hole 1]:[Hole 18]],
  MATCH(1, (CourseRatings[Course]=C603)*(CourseRatings[Tees]=E603), 0),
  MATCH(G603, CourseRatings[[#Headers],[Hole 1]:[Hole 18]], 0)
),"")</f>
        <v>5</v>
      </c>
      <c r="L603" cm="1">
        <f t="array" ref="L603">IFERROR(
  INDEX('Golf Log'!$E$2:$V$72,
    MATCH(1,
      ('Golf Log'!$A$2:$A$72=$A603)*
      ('Golf Log'!$B$2:$B$72=$B603)*
      ('Golf Log'!$C$2:$C$72=$C603),
    0),
    MATCH($G603,'Golf Log'!$E$1:$V$1,0)
  ),
"")</f>
        <v>5</v>
      </c>
      <c r="M603">
        <f t="shared" si="29"/>
        <v>0</v>
      </c>
      <c r="N603" t="str">
        <f t="shared" si="30"/>
        <v>Par</v>
      </c>
      <c r="O603" cm="1">
        <f t="array" ref="O603">IFERROR(
  INDEX('Putt Log'!$E$2:$V$72,
    MATCH(1,
      ('Putt Log'!$A$2:$A$72=$A603)*
      ('Putt Log'!$B$2:$B$72=$B603)*
      ('Putt Log'!$C$2:$C$72=$C603),
    0),
    MATCH($G603,'Putt Log'!$E$1:$V$1,0)
  ),
"")</f>
        <v>2</v>
      </c>
      <c r="P603" cm="1">
        <f t="array" ref="P603">IF(K603=3,"",
  IFERROR(
    INDEX('Fairway Log'!$E$2:$V$72,
      MATCH(1,
        ('Fairway Log'!$A$2:$A$72=$A603)*
        ('Fairway Log'!$B$2:$B$72=$B603)*
        ('Fairway Log'!$C$2:$C674=$C603),
      0),
      MATCH($G603,'Fairway Log'!$E$1:$V$1,0)
    ),
  "")
)</f>
        <v>1</v>
      </c>
      <c r="Q603" cm="1">
        <f t="array" ref="Q603">IFERROR(
  INDEX('GIR Log'!$E$2:$V$72,
    MATCH(1,
      ('GIR Log'!$A$2:$A$72=$A603)*
      ('GIR Log'!$B$2:$B$72=$B603)*
      ('GIR Log'!$C$2:$C$72=$C603),
    0),
    MATCH($G603,'GIR Log'!$E$1:$V$1,0)
  ),
"")</f>
        <v>1</v>
      </c>
    </row>
    <row r="604" spans="1:17" x14ac:dyDescent="0.25">
      <c r="A604" s="20" t="s">
        <v>126</v>
      </c>
      <c r="B604" s="2">
        <v>45831</v>
      </c>
      <c r="C604" s="12" t="s">
        <v>5</v>
      </c>
      <c r="D604" s="12" t="s">
        <v>5</v>
      </c>
      <c r="E604" s="12" t="s">
        <v>34</v>
      </c>
      <c r="F604">
        <v>78</v>
      </c>
      <c r="G604" t="s">
        <v>55</v>
      </c>
      <c r="H604" s="9">
        <f t="shared" si="27"/>
        <v>9</v>
      </c>
      <c r="I604" cm="1">
        <f t="array" ref="I604">IFERROR(INDEX(CourseYardages[[Hole 1]:[Hole 18]],
  MATCH(1, (CourseYardages[Course]=C604)*(CourseYardages[Tees]=E604), 0),
  MATCH(G604, CourseYardages[[#Headers],[Hole 1]:[Hole 18]], 0)
),"")</f>
        <v>360</v>
      </c>
      <c r="J604" cm="1">
        <f t="array" ref="J604">IFERROR(INDEX(CourseHandicap[[Hole 1]:[Hole 18]],
  MATCH(1, (CourseHandicap[Course]=C604)*(CourseHandicap[Tees]=E604), 0),
  MATCH(G604, CourseHandicap[[#Headers],[Hole 1]:[Hole 18]], 0)
),"")</f>
        <v>9</v>
      </c>
      <c r="K604" cm="1">
        <f t="array" ref="K604">IFERROR(INDEX(CourseRatings[[Hole 1]:[Hole 18]],
  MATCH(1, (CourseRatings[Course]=C604)*(CourseRatings[Tees]=E604), 0),
  MATCH(G604, CourseRatings[[#Headers],[Hole 1]:[Hole 18]], 0)
),"")</f>
        <v>4</v>
      </c>
      <c r="L604" cm="1">
        <f t="array" ref="L604">IFERROR(
  INDEX('Golf Log'!$E$2:$V$72,
    MATCH(1,
      ('Golf Log'!$A$2:$A$72=$A604)*
      ('Golf Log'!$B$2:$B$72=$B604)*
      ('Golf Log'!$C$2:$C$72=$C604),
    0),
    MATCH($G604,'Golf Log'!$E$1:$V$1,0)
  ),
"")</f>
        <v>3</v>
      </c>
      <c r="M604">
        <f t="shared" si="29"/>
        <v>-1</v>
      </c>
      <c r="N604" t="str">
        <f t="shared" si="30"/>
        <v>Birdie</v>
      </c>
      <c r="O604" cm="1">
        <f t="array" ref="O604">IFERROR(
  INDEX('Putt Log'!$E$2:$V$72,
    MATCH(1,
      ('Putt Log'!$A$2:$A$72=$A604)*
      ('Putt Log'!$B$2:$B$72=$B604)*
      ('Putt Log'!$C$2:$C$72=$C604),
    0),
    MATCH($G604,'Putt Log'!$E$1:$V$1,0)
  ),
"")</f>
        <v>1</v>
      </c>
      <c r="P604" t="str" cm="1">
        <f t="array" ref="P604">IF(K604=3,"",
  IFERROR(
    INDEX('Fairway Log'!$E$2:$V$72,
      MATCH(1,
        ('Fairway Log'!$A$2:$A$72=$A604)*
        ('Fairway Log'!$B$2:$B$72=$B604)*
        ('Fairway Log'!$C$2:$C675=$C604),
      0),
      MATCH($G604,'Fairway Log'!$E$1:$V$1,0)
    ),
  "")
)</f>
        <v>→</v>
      </c>
      <c r="Q604" cm="1">
        <f t="array" ref="Q604">IFERROR(
  INDEX('GIR Log'!$E$2:$V$72,
    MATCH(1,
      ('GIR Log'!$A$2:$A$72=$A604)*
      ('GIR Log'!$B$2:$B$72=$B604)*
      ('GIR Log'!$C$2:$C$72=$C604),
    0),
    MATCH($G604,'GIR Log'!$E$1:$V$1,0)
  ),
"")</f>
        <v>1</v>
      </c>
    </row>
    <row r="605" spans="1:17" x14ac:dyDescent="0.25">
      <c r="A605" s="20" t="s">
        <v>126</v>
      </c>
      <c r="B605" s="2">
        <v>45831</v>
      </c>
      <c r="C605" s="12" t="s">
        <v>5</v>
      </c>
      <c r="D605" s="12" t="s">
        <v>5</v>
      </c>
      <c r="E605" s="12" t="s">
        <v>34</v>
      </c>
      <c r="F605">
        <v>78</v>
      </c>
      <c r="G605" t="s">
        <v>56</v>
      </c>
      <c r="H605" s="9">
        <f t="shared" si="27"/>
        <v>10</v>
      </c>
      <c r="I605" cm="1">
        <f t="array" ref="I605">IFERROR(INDEX(CourseYardages[[Hole 1]:[Hole 18]],
  MATCH(1, (CourseYardages[Course]=C605)*(CourseYardages[Tees]=E605), 0),
  MATCH(G605, CourseYardages[[#Headers],[Hole 1]:[Hole 18]], 0)
),"")</f>
        <v>381</v>
      </c>
      <c r="J605" cm="1">
        <f t="array" ref="J605">IFERROR(INDEX(CourseHandicap[[Hole 1]:[Hole 18]],
  MATCH(1, (CourseHandicap[Course]=C605)*(CourseHandicap[Tees]=E605), 0),
  MATCH(G605, CourseHandicap[[#Headers],[Hole 1]:[Hole 18]], 0)
),"")</f>
        <v>12</v>
      </c>
      <c r="K605" cm="1">
        <f t="array" ref="K605">IFERROR(INDEX(CourseRatings[[Hole 1]:[Hole 18]],
  MATCH(1, (CourseRatings[Course]=C605)*(CourseRatings[Tees]=E605), 0),
  MATCH(G605, CourseRatings[[#Headers],[Hole 1]:[Hole 18]], 0)
),"")</f>
        <v>4</v>
      </c>
      <c r="L605" cm="1">
        <f t="array" ref="L605">IFERROR(
  INDEX('Golf Log'!$E$2:$V$72,
    MATCH(1,
      ('Golf Log'!$A$2:$A$72=$A605)*
      ('Golf Log'!$B$2:$B$72=$B605)*
      ('Golf Log'!$C$2:$C$72=$C605),
    0),
    MATCH($G605,'Golf Log'!$E$1:$V$1,0)
  ),
"")</f>
        <v>4</v>
      </c>
      <c r="M605">
        <f t="shared" si="29"/>
        <v>0</v>
      </c>
      <c r="N605" t="str">
        <f t="shared" si="30"/>
        <v>Par</v>
      </c>
      <c r="O605" cm="1">
        <f t="array" ref="O605">IFERROR(
  INDEX('Putt Log'!$E$2:$V$72,
    MATCH(1,
      ('Putt Log'!$A$2:$A$72=$A605)*
      ('Putt Log'!$B$2:$B$72=$B605)*
      ('Putt Log'!$C$2:$C$72=$C605),
    0),
    MATCH($G605,'Putt Log'!$E$1:$V$1,0)
  ),
"")</f>
        <v>1</v>
      </c>
      <c r="P605" cm="1">
        <f t="array" ref="P605">IF(K605=3,"",
  IFERROR(
    INDEX('Fairway Log'!$E$2:$V$72,
      MATCH(1,
        ('Fairway Log'!$A$2:$A$72=$A605)*
        ('Fairway Log'!$B$2:$B$72=$B605)*
        ('Fairway Log'!$C$2:$C676=$C605),
      0),
      MATCH($G605,'Fairway Log'!$E$1:$V$1,0)
    ),
  "")
)</f>
        <v>1</v>
      </c>
      <c r="Q605" t="str" cm="1">
        <f t="array" ref="Q605">IFERROR(
  INDEX('GIR Log'!$E$2:$V$72,
    MATCH(1,
      ('GIR Log'!$A$2:$A$72=$A605)*
      ('GIR Log'!$B$2:$B$72=$B605)*
      ('GIR Log'!$C$2:$C$72=$C605),
    0),
    MATCH($G605,'GIR Log'!$E$1:$V$1,0)
  ),
"")</f>
        <v>↓</v>
      </c>
    </row>
    <row r="606" spans="1:17" x14ac:dyDescent="0.25">
      <c r="A606" s="20" t="s">
        <v>126</v>
      </c>
      <c r="B606" s="2">
        <v>45831</v>
      </c>
      <c r="C606" s="12" t="s">
        <v>5</v>
      </c>
      <c r="D606" s="12" t="s">
        <v>5</v>
      </c>
      <c r="E606" s="12" t="s">
        <v>34</v>
      </c>
      <c r="F606">
        <v>78</v>
      </c>
      <c r="G606" t="s">
        <v>57</v>
      </c>
      <c r="H606" s="9">
        <f t="shared" si="27"/>
        <v>11</v>
      </c>
      <c r="I606" cm="1">
        <f t="array" ref="I606">IFERROR(INDEX(CourseYardages[[Hole 1]:[Hole 18]],
  MATCH(1, (CourseYardages[Course]=C606)*(CourseYardages[Tees]=E606), 0),
  MATCH(G606, CourseYardages[[#Headers],[Hole 1]:[Hole 18]], 0)
),"")</f>
        <v>200</v>
      </c>
      <c r="J606" cm="1">
        <f t="array" ref="J606">IFERROR(INDEX(CourseHandicap[[Hole 1]:[Hole 18]],
  MATCH(1, (CourseHandicap[Course]=C606)*(CourseHandicap[Tees]=E606), 0),
  MATCH(G606, CourseHandicap[[#Headers],[Hole 1]:[Hole 18]], 0)
),"")</f>
        <v>16</v>
      </c>
      <c r="K606" cm="1">
        <f t="array" ref="K606">IFERROR(INDEX(CourseRatings[[Hole 1]:[Hole 18]],
  MATCH(1, (CourseRatings[Course]=C606)*(CourseRatings[Tees]=E606), 0),
  MATCH(G606, CourseRatings[[#Headers],[Hole 1]:[Hole 18]], 0)
),"")</f>
        <v>3</v>
      </c>
      <c r="L606" cm="1">
        <f t="array" ref="L606">IFERROR(
  INDEX('Golf Log'!$E$2:$V$72,
    MATCH(1,
      ('Golf Log'!$A$2:$A$72=$A606)*
      ('Golf Log'!$B$2:$B$72=$B606)*
      ('Golf Log'!$C$2:$C$72=$C606),
    0),
    MATCH($G606,'Golf Log'!$E$1:$V$1,0)
  ),
"")</f>
        <v>4</v>
      </c>
      <c r="M606">
        <f t="shared" si="29"/>
        <v>1</v>
      </c>
      <c r="N606" t="str">
        <f t="shared" si="30"/>
        <v>Bogey</v>
      </c>
      <c r="O606" cm="1">
        <f t="array" ref="O606">IFERROR(
  INDEX('Putt Log'!$E$2:$V$72,
    MATCH(1,
      ('Putt Log'!$A$2:$A$72=$A606)*
      ('Putt Log'!$B$2:$B$72=$B606)*
      ('Putt Log'!$C$2:$C$72=$C606),
    0),
    MATCH($G606,'Putt Log'!$E$1:$V$1,0)
  ),
"")</f>
        <v>2</v>
      </c>
      <c r="P606" t="str" cm="1">
        <f t="array" ref="P606">IF(K606=3,"",
  IFERROR(
    INDEX('Fairway Log'!$E$2:$V$72,
      MATCH(1,
        ('Fairway Log'!$A$2:$A$72=$A606)*
        ('Fairway Log'!$B$2:$B$72=$B606)*
        ('Fairway Log'!$C$2:$C677=$C606),
      0),
      MATCH($G606,'Fairway Log'!$E$1:$V$1,0)
    ),
  "")
)</f>
        <v/>
      </c>
      <c r="Q606" t="str" cm="1">
        <f t="array" ref="Q606">IFERROR(
  INDEX('GIR Log'!$E$2:$V$72,
    MATCH(1,
      ('GIR Log'!$A$2:$A$72=$A606)*
      ('GIR Log'!$B$2:$B$72=$B606)*
      ('GIR Log'!$C$2:$C$72=$C606),
    0),
    MATCH($G606,'GIR Log'!$E$1:$V$1,0)
  ),
"")</f>
        <v>→</v>
      </c>
    </row>
    <row r="607" spans="1:17" x14ac:dyDescent="0.25">
      <c r="A607" s="20" t="s">
        <v>126</v>
      </c>
      <c r="B607" s="2">
        <v>45831</v>
      </c>
      <c r="C607" s="12" t="s">
        <v>5</v>
      </c>
      <c r="D607" s="12" t="s">
        <v>5</v>
      </c>
      <c r="E607" s="12" t="s">
        <v>34</v>
      </c>
      <c r="F607">
        <v>78</v>
      </c>
      <c r="G607" t="s">
        <v>58</v>
      </c>
      <c r="H607" s="9">
        <f t="shared" si="27"/>
        <v>12</v>
      </c>
      <c r="I607" cm="1">
        <f t="array" ref="I607">IFERROR(INDEX(CourseYardages[[Hole 1]:[Hole 18]],
  MATCH(1, (CourseYardages[Course]=C607)*(CourseYardages[Tees]=E607), 0),
  MATCH(G607, CourseYardages[[#Headers],[Hole 1]:[Hole 18]], 0)
),"")</f>
        <v>473</v>
      </c>
      <c r="J607" cm="1">
        <f t="array" ref="J607">IFERROR(INDEX(CourseHandicap[[Hole 1]:[Hole 18]],
  MATCH(1, (CourseHandicap[Course]=C607)*(CourseHandicap[Tees]=E607), 0),
  MATCH(G607, CourseHandicap[[#Headers],[Hole 1]:[Hole 18]], 0)
),"")</f>
        <v>10</v>
      </c>
      <c r="K607" cm="1">
        <f t="array" ref="K607">IFERROR(INDEX(CourseRatings[[Hole 1]:[Hole 18]],
  MATCH(1, (CourseRatings[Course]=C607)*(CourseRatings[Tees]=E607), 0),
  MATCH(G607, CourseRatings[[#Headers],[Hole 1]:[Hole 18]], 0)
),"")</f>
        <v>5</v>
      </c>
      <c r="L607" cm="1">
        <f t="array" ref="L607">IFERROR(
  INDEX('Golf Log'!$E$2:$V$72,
    MATCH(1,
      ('Golf Log'!$A$2:$A$72=$A607)*
      ('Golf Log'!$B$2:$B$72=$B607)*
      ('Golf Log'!$C$2:$C$72=$C607),
    0),
    MATCH($G607,'Golf Log'!$E$1:$V$1,0)
  ),
"")</f>
        <v>4</v>
      </c>
      <c r="M607">
        <f t="shared" si="29"/>
        <v>-1</v>
      </c>
      <c r="N607" t="str">
        <f t="shared" si="30"/>
        <v>Birdie</v>
      </c>
      <c r="O607" cm="1">
        <f t="array" ref="O607">IFERROR(
  INDEX('Putt Log'!$E$2:$V$72,
    MATCH(1,
      ('Putt Log'!$A$2:$A$72=$A607)*
      ('Putt Log'!$B$2:$B$72=$B607)*
      ('Putt Log'!$C$2:$C$72=$C607),
    0),
    MATCH($G607,'Putt Log'!$E$1:$V$1,0)
  ),
"")</f>
        <v>1</v>
      </c>
      <c r="P607" cm="1">
        <f t="array" ref="P607">IF(K607=3,"",
  IFERROR(
    INDEX('Fairway Log'!$E$2:$V$72,
      MATCH(1,
        ('Fairway Log'!$A$2:$A$72=$A607)*
        ('Fairway Log'!$B$2:$B$72=$B607)*
        ('Fairway Log'!$C$2:$C678=$C607),
      0),
      MATCH($G607,'Fairway Log'!$E$1:$V$1,0)
    ),
  "")
)</f>
        <v>1</v>
      </c>
      <c r="Q607" cm="1">
        <f t="array" ref="Q607">IFERROR(
  INDEX('GIR Log'!$E$2:$V$72,
    MATCH(1,
      ('GIR Log'!$A$2:$A$72=$A607)*
      ('GIR Log'!$B$2:$B$72=$B607)*
      ('GIR Log'!$C$2:$C$72=$C607),
    0),
    MATCH($G607,'GIR Log'!$E$1:$V$1,0)
  ),
"")</f>
        <v>1</v>
      </c>
    </row>
    <row r="608" spans="1:17" x14ac:dyDescent="0.25">
      <c r="A608" s="20" t="s">
        <v>126</v>
      </c>
      <c r="B608" s="2">
        <v>45831</v>
      </c>
      <c r="C608" s="12" t="s">
        <v>5</v>
      </c>
      <c r="D608" s="12" t="s">
        <v>5</v>
      </c>
      <c r="E608" s="12" t="s">
        <v>34</v>
      </c>
      <c r="F608">
        <v>78</v>
      </c>
      <c r="G608" t="s">
        <v>59</v>
      </c>
      <c r="H608" s="9">
        <f t="shared" si="27"/>
        <v>13</v>
      </c>
      <c r="I608" cm="1">
        <f t="array" ref="I608">IFERROR(INDEX(CourseYardages[[Hole 1]:[Hole 18]],
  MATCH(1, (CourseYardages[Course]=C608)*(CourseYardages[Tees]=E608), 0),
  MATCH(G608, CourseYardages[[#Headers],[Hole 1]:[Hole 18]], 0)
),"")</f>
        <v>362</v>
      </c>
      <c r="J608" cm="1">
        <f t="array" ref="J608">IFERROR(INDEX(CourseHandicap[[Hole 1]:[Hole 18]],
  MATCH(1, (CourseHandicap[Course]=C608)*(CourseHandicap[Tees]=E608), 0),
  MATCH(G608, CourseHandicap[[#Headers],[Hole 1]:[Hole 18]], 0)
),"")</f>
        <v>18</v>
      </c>
      <c r="K608" cm="1">
        <f t="array" ref="K608">IFERROR(INDEX(CourseRatings[[Hole 1]:[Hole 18]],
  MATCH(1, (CourseRatings[Course]=C608)*(CourseRatings[Tees]=E608), 0),
  MATCH(G608, CourseRatings[[#Headers],[Hole 1]:[Hole 18]], 0)
),"")</f>
        <v>4</v>
      </c>
      <c r="L608" cm="1">
        <f t="array" ref="L608">IFERROR(
  INDEX('Golf Log'!$E$2:$V$72,
    MATCH(1,
      ('Golf Log'!$A$2:$A$72=$A608)*
      ('Golf Log'!$B$2:$B$72=$B608)*
      ('Golf Log'!$C$2:$C$72=$C608),
    0),
    MATCH($G608,'Golf Log'!$E$1:$V$1,0)
  ),
"")</f>
        <v>4</v>
      </c>
      <c r="M608">
        <f t="shared" si="29"/>
        <v>0</v>
      </c>
      <c r="N608" t="str">
        <f t="shared" si="30"/>
        <v>Par</v>
      </c>
      <c r="O608" cm="1">
        <f t="array" ref="O608">IFERROR(
  INDEX('Putt Log'!$E$2:$V$72,
    MATCH(1,
      ('Putt Log'!$A$2:$A$72=$A608)*
      ('Putt Log'!$B$2:$B$72=$B608)*
      ('Putt Log'!$C$2:$C$72=$C608),
    0),
    MATCH($G608,'Putt Log'!$E$1:$V$1,0)
  ),
"")</f>
        <v>2</v>
      </c>
      <c r="P608" cm="1">
        <f t="array" ref="P608">IF(K608=3,"",
  IFERROR(
    INDEX('Fairway Log'!$E$2:$V$72,
      MATCH(1,
        ('Fairway Log'!$A$2:$A$72=$A608)*
        ('Fairway Log'!$B$2:$B$72=$B608)*
        ('Fairway Log'!$C$2:$C679=$C608),
      0),
      MATCH($G608,'Fairway Log'!$E$1:$V$1,0)
    ),
  "")
)</f>
        <v>1</v>
      </c>
      <c r="Q608" cm="1">
        <f t="array" ref="Q608">IFERROR(
  INDEX('GIR Log'!$E$2:$V$72,
    MATCH(1,
      ('GIR Log'!$A$2:$A$72=$A608)*
      ('GIR Log'!$B$2:$B$72=$B608)*
      ('GIR Log'!$C$2:$C$72=$C608),
    0),
    MATCH($G608,'GIR Log'!$E$1:$V$1,0)
  ),
"")</f>
        <v>1</v>
      </c>
    </row>
    <row r="609" spans="1:17" x14ac:dyDescent="0.25">
      <c r="A609" s="20" t="s">
        <v>126</v>
      </c>
      <c r="B609" s="2">
        <v>45831</v>
      </c>
      <c r="C609" s="12" t="s">
        <v>5</v>
      </c>
      <c r="D609" s="12" t="s">
        <v>5</v>
      </c>
      <c r="E609" s="12" t="s">
        <v>34</v>
      </c>
      <c r="F609">
        <v>78</v>
      </c>
      <c r="G609" t="s">
        <v>60</v>
      </c>
      <c r="H609" s="9">
        <f t="shared" si="27"/>
        <v>14</v>
      </c>
      <c r="I609" cm="1">
        <f t="array" ref="I609">IFERROR(INDEX(CourseYardages[[Hole 1]:[Hole 18]],
  MATCH(1, (CourseYardages[Course]=C609)*(CourseYardages[Tees]=E609), 0),
  MATCH(G609, CourseYardages[[#Headers],[Hole 1]:[Hole 18]], 0)
),"")</f>
        <v>383</v>
      </c>
      <c r="J609" cm="1">
        <f t="array" ref="J609">IFERROR(INDEX(CourseHandicap[[Hole 1]:[Hole 18]],
  MATCH(1, (CourseHandicap[Course]=C609)*(CourseHandicap[Tees]=E609), 0),
  MATCH(G609, CourseHandicap[[#Headers],[Hole 1]:[Hole 18]], 0)
),"")</f>
        <v>8</v>
      </c>
      <c r="K609" cm="1">
        <f t="array" ref="K609">IFERROR(INDEX(CourseRatings[[Hole 1]:[Hole 18]],
  MATCH(1, (CourseRatings[Course]=C609)*(CourseRatings[Tees]=E609), 0),
  MATCH(G609, CourseRatings[[#Headers],[Hole 1]:[Hole 18]], 0)
),"")</f>
        <v>4</v>
      </c>
      <c r="L609" cm="1">
        <f t="array" ref="L609">IFERROR(
  INDEX('Golf Log'!$E$2:$V$72,
    MATCH(1,
      ('Golf Log'!$A$2:$A$72=$A609)*
      ('Golf Log'!$B$2:$B$72=$B609)*
      ('Golf Log'!$C$2:$C$72=$C609),
    0),
    MATCH($G609,'Golf Log'!$E$1:$V$1,0)
  ),
"")</f>
        <v>4</v>
      </c>
      <c r="M609">
        <f t="shared" si="29"/>
        <v>0</v>
      </c>
      <c r="N609" t="str">
        <f t="shared" si="30"/>
        <v>Par</v>
      </c>
      <c r="O609" cm="1">
        <f t="array" ref="O609">IFERROR(
  INDEX('Putt Log'!$E$2:$V$72,
    MATCH(1,
      ('Putt Log'!$A$2:$A$72=$A609)*
      ('Putt Log'!$B$2:$B$72=$B609)*
      ('Putt Log'!$C$2:$C$72=$C609),
    0),
    MATCH($G609,'Putt Log'!$E$1:$V$1,0)
  ),
"")</f>
        <v>2</v>
      </c>
      <c r="P609" t="str" cm="1">
        <f t="array" ref="P609">IF(K609=3,"",
  IFERROR(
    INDEX('Fairway Log'!$E$2:$V$72,
      MATCH(1,
        ('Fairway Log'!$A$2:$A$72=$A609)*
        ('Fairway Log'!$B$2:$B$72=$B609)*
        ('Fairway Log'!$C$2:$C680=$C609),
      0),
      MATCH($G609,'Fairway Log'!$E$1:$V$1,0)
    ),
  "")
)</f>
        <v>→</v>
      </c>
      <c r="Q609" cm="1">
        <f t="array" ref="Q609">IFERROR(
  INDEX('GIR Log'!$E$2:$V$72,
    MATCH(1,
      ('GIR Log'!$A$2:$A$72=$A609)*
      ('GIR Log'!$B$2:$B$72=$B609)*
      ('GIR Log'!$C$2:$C$72=$C609),
    0),
    MATCH($G609,'GIR Log'!$E$1:$V$1,0)
  ),
"")</f>
        <v>1</v>
      </c>
    </row>
    <row r="610" spans="1:17" x14ac:dyDescent="0.25">
      <c r="A610" s="20" t="s">
        <v>126</v>
      </c>
      <c r="B610" s="2">
        <v>45831</v>
      </c>
      <c r="C610" s="12" t="s">
        <v>5</v>
      </c>
      <c r="D610" s="12" t="s">
        <v>5</v>
      </c>
      <c r="E610" s="12" t="s">
        <v>34</v>
      </c>
      <c r="F610">
        <v>78</v>
      </c>
      <c r="G610" t="s">
        <v>61</v>
      </c>
      <c r="H610" s="9">
        <f t="shared" si="27"/>
        <v>15</v>
      </c>
      <c r="I610" cm="1">
        <f t="array" ref="I610">IFERROR(INDEX(CourseYardages[[Hole 1]:[Hole 18]],
  MATCH(1, (CourseYardages[Course]=C610)*(CourseYardages[Tees]=E610), 0),
  MATCH(G610, CourseYardages[[#Headers],[Hole 1]:[Hole 18]], 0)
),"")</f>
        <v>387</v>
      </c>
      <c r="J610" cm="1">
        <f t="array" ref="J610">IFERROR(INDEX(CourseHandicap[[Hole 1]:[Hole 18]],
  MATCH(1, (CourseHandicap[Course]=C610)*(CourseHandicap[Tees]=E610), 0),
  MATCH(G610, CourseHandicap[[#Headers],[Hole 1]:[Hole 18]], 0)
),"")</f>
        <v>2</v>
      </c>
      <c r="K610" cm="1">
        <f t="array" ref="K610">IFERROR(INDEX(CourseRatings[[Hole 1]:[Hole 18]],
  MATCH(1, (CourseRatings[Course]=C610)*(CourseRatings[Tees]=E610), 0),
  MATCH(G610, CourseRatings[[#Headers],[Hole 1]:[Hole 18]], 0)
),"")</f>
        <v>4</v>
      </c>
      <c r="L610" cm="1">
        <f t="array" ref="L610">IFERROR(
  INDEX('Golf Log'!$E$2:$V$72,
    MATCH(1,
      ('Golf Log'!$A$2:$A$72=$A610)*
      ('Golf Log'!$B$2:$B$72=$B610)*
      ('Golf Log'!$C$2:$C$72=$C610),
    0),
    MATCH($G610,'Golf Log'!$E$1:$V$1,0)
  ),
"")</f>
        <v>5</v>
      </c>
      <c r="M610">
        <f t="shared" si="29"/>
        <v>1</v>
      </c>
      <c r="N610" t="str">
        <f t="shared" si="30"/>
        <v>Bogey</v>
      </c>
      <c r="O610" cm="1">
        <f t="array" ref="O610">IFERROR(
  INDEX('Putt Log'!$E$2:$V$72,
    MATCH(1,
      ('Putt Log'!$A$2:$A$72=$A610)*
      ('Putt Log'!$B$2:$B$72=$B610)*
      ('Putt Log'!$C$2:$C$72=$C610),
    0),
    MATCH($G610,'Putt Log'!$E$1:$V$1,0)
  ),
"")</f>
        <v>2</v>
      </c>
      <c r="P610" t="str" cm="1">
        <f t="array" ref="P610">IF(K610=3,"",
  IFERROR(
    INDEX('Fairway Log'!$E$2:$V$72,
      MATCH(1,
        ('Fairway Log'!$A$2:$A$72=$A610)*
        ('Fairway Log'!$B$2:$B$72=$B610)*
        ('Fairway Log'!$C$2:$C681=$C610),
      0),
      MATCH($G610,'Fairway Log'!$E$1:$V$1,0)
    ),
  "")
)</f>
        <v>→</v>
      </c>
      <c r="Q610" t="str" cm="1">
        <f t="array" ref="Q610">IFERROR(
  INDEX('GIR Log'!$E$2:$V$72,
    MATCH(1,
      ('GIR Log'!$A$2:$A$72=$A610)*
      ('GIR Log'!$B$2:$B$72=$B610)*
      ('GIR Log'!$C$2:$C$72=$C610),
    0),
    MATCH($G610,'GIR Log'!$E$1:$V$1,0)
  ),
"")</f>
        <v>↓</v>
      </c>
    </row>
    <row r="611" spans="1:17" x14ac:dyDescent="0.25">
      <c r="A611" s="20" t="s">
        <v>126</v>
      </c>
      <c r="B611" s="2">
        <v>45831</v>
      </c>
      <c r="C611" s="12" t="s">
        <v>5</v>
      </c>
      <c r="D611" s="12" t="s">
        <v>5</v>
      </c>
      <c r="E611" s="12" t="s">
        <v>34</v>
      </c>
      <c r="F611">
        <v>78</v>
      </c>
      <c r="G611" t="s">
        <v>62</v>
      </c>
      <c r="H611" s="9">
        <f t="shared" si="27"/>
        <v>16</v>
      </c>
      <c r="I611" cm="1">
        <f t="array" ref="I611">IFERROR(INDEX(CourseYardages[[Hole 1]:[Hole 18]],
  MATCH(1, (CourseYardages[Course]=C611)*(CourseYardages[Tees]=E611), 0),
  MATCH(G611, CourseYardages[[#Headers],[Hole 1]:[Hole 18]], 0)
),"")</f>
        <v>501</v>
      </c>
      <c r="J611" cm="1">
        <f t="array" ref="J611">IFERROR(INDEX(CourseHandicap[[Hole 1]:[Hole 18]],
  MATCH(1, (CourseHandicap[Course]=C611)*(CourseHandicap[Tees]=E611), 0),
  MATCH(G611, CourseHandicap[[#Headers],[Hole 1]:[Hole 18]], 0)
),"")</f>
        <v>4</v>
      </c>
      <c r="K611" cm="1">
        <f t="array" ref="K611">IFERROR(INDEX(CourseRatings[[Hole 1]:[Hole 18]],
  MATCH(1, (CourseRatings[Course]=C611)*(CourseRatings[Tees]=E611), 0),
  MATCH(G611, CourseRatings[[#Headers],[Hole 1]:[Hole 18]], 0)
),"")</f>
        <v>5</v>
      </c>
      <c r="L611" cm="1">
        <f t="array" ref="L611">IFERROR(
  INDEX('Golf Log'!$E$2:$V$72,
    MATCH(1,
      ('Golf Log'!$A$2:$A$72=$A611)*
      ('Golf Log'!$B$2:$B$72=$B611)*
      ('Golf Log'!$C$2:$C$72=$C611),
    0),
    MATCH($G611,'Golf Log'!$E$1:$V$1,0)
  ),
"")</f>
        <v>5</v>
      </c>
      <c r="M611">
        <f t="shared" si="29"/>
        <v>0</v>
      </c>
      <c r="N611" t="str">
        <f t="shared" si="30"/>
        <v>Par</v>
      </c>
      <c r="O611" cm="1">
        <f t="array" ref="O611">IFERROR(
  INDEX('Putt Log'!$E$2:$V$72,
    MATCH(1,
      ('Putt Log'!$A$2:$A$72=$A611)*
      ('Putt Log'!$B$2:$B$72=$B611)*
      ('Putt Log'!$C$2:$C$72=$C611),
    0),
    MATCH($G611,'Putt Log'!$E$1:$V$1,0)
  ),
"")</f>
        <v>1</v>
      </c>
      <c r="P611" cm="1">
        <f t="array" ref="P611">IF(K611=3,"",
  IFERROR(
    INDEX('Fairway Log'!$E$2:$V$72,
      MATCH(1,
        ('Fairway Log'!$A$2:$A$72=$A611)*
        ('Fairway Log'!$B$2:$B$72=$B611)*
        ('Fairway Log'!$C$2:$C682=$C611),
      0),
      MATCH($G611,'Fairway Log'!$E$1:$V$1,0)
    ),
  "")
)</f>
        <v>1</v>
      </c>
      <c r="Q611" t="str" cm="1">
        <f t="array" ref="Q611">IFERROR(
  INDEX('GIR Log'!$E$2:$V$72,
    MATCH(1,
      ('GIR Log'!$A$2:$A$72=$A611)*
      ('GIR Log'!$B$2:$B$72=$B611)*
      ('GIR Log'!$C$2:$C$72=$C611),
    0),
    MATCH($G611,'GIR Log'!$E$1:$V$1,0)
  ),
"")</f>
        <v>↓</v>
      </c>
    </row>
    <row r="612" spans="1:17" x14ac:dyDescent="0.25">
      <c r="A612" s="20" t="s">
        <v>126</v>
      </c>
      <c r="B612" s="2">
        <v>45831</v>
      </c>
      <c r="C612" s="12" t="s">
        <v>5</v>
      </c>
      <c r="D612" s="12" t="s">
        <v>5</v>
      </c>
      <c r="E612" s="12" t="s">
        <v>34</v>
      </c>
      <c r="F612">
        <v>78</v>
      </c>
      <c r="G612" t="s">
        <v>63</v>
      </c>
      <c r="H612" s="9">
        <f t="shared" si="27"/>
        <v>17</v>
      </c>
      <c r="I612" cm="1">
        <f t="array" ref="I612">IFERROR(INDEX(CourseYardages[[Hole 1]:[Hole 18]],
  MATCH(1, (CourseYardages[Course]=C612)*(CourseYardages[Tees]=E612), 0),
  MATCH(G612, CourseYardages[[#Headers],[Hole 1]:[Hole 18]], 0)
),"")</f>
        <v>175</v>
      </c>
      <c r="J612" cm="1">
        <f t="array" ref="J612">IFERROR(INDEX(CourseHandicap[[Hole 1]:[Hole 18]],
  MATCH(1, (CourseHandicap[Course]=C612)*(CourseHandicap[Tees]=E612), 0),
  MATCH(G612, CourseHandicap[[#Headers],[Hole 1]:[Hole 18]], 0)
),"")</f>
        <v>14</v>
      </c>
      <c r="K612" cm="1">
        <f t="array" ref="K612">IFERROR(INDEX(CourseRatings[[Hole 1]:[Hole 18]],
  MATCH(1, (CourseRatings[Course]=C612)*(CourseRatings[Tees]=E612), 0),
  MATCH(G612, CourseRatings[[#Headers],[Hole 1]:[Hole 18]], 0)
),"")</f>
        <v>3</v>
      </c>
      <c r="L612" cm="1">
        <f t="array" ref="L612">IFERROR(
  INDEX('Golf Log'!$E$2:$V$72,
    MATCH(1,
      ('Golf Log'!$A$2:$A$72=$A612)*
      ('Golf Log'!$B$2:$B$72=$B612)*
      ('Golf Log'!$C$2:$C$72=$C612),
    0),
    MATCH($G612,'Golf Log'!$E$1:$V$1,0)
  ),
"")</f>
        <v>3</v>
      </c>
      <c r="M612">
        <f t="shared" si="29"/>
        <v>0</v>
      </c>
      <c r="N612" t="str">
        <f t="shared" si="30"/>
        <v>Par</v>
      </c>
      <c r="O612" cm="1">
        <f t="array" ref="O612">IFERROR(
  INDEX('Putt Log'!$E$2:$V$72,
    MATCH(1,
      ('Putt Log'!$A$2:$A$72=$A612)*
      ('Putt Log'!$B$2:$B$72=$B612)*
      ('Putt Log'!$C$2:$C$72=$C612),
    0),
    MATCH($G612,'Putt Log'!$E$1:$V$1,0)
  ),
"")</f>
        <v>2</v>
      </c>
      <c r="P612" t="str" cm="1">
        <f t="array" ref="P612">IF(K612=3,"",
  IFERROR(
    INDEX('Fairway Log'!$E$2:$V$72,
      MATCH(1,
        ('Fairway Log'!$A$2:$A$72=$A612)*
        ('Fairway Log'!$B$2:$B$72=$B612)*
        ('Fairway Log'!$C$2:$C683=$C612),
      0),
      MATCH($G612,'Fairway Log'!$E$1:$V$1,0)
    ),
  "")
)</f>
        <v/>
      </c>
      <c r="Q612" cm="1">
        <f t="array" ref="Q612">IFERROR(
  INDEX('GIR Log'!$E$2:$V$72,
    MATCH(1,
      ('GIR Log'!$A$2:$A$72=$A612)*
      ('GIR Log'!$B$2:$B$72=$B612)*
      ('GIR Log'!$C$2:$C$72=$C612),
    0),
    MATCH($G612,'GIR Log'!$E$1:$V$1,0)
  ),
"")</f>
        <v>1</v>
      </c>
    </row>
    <row r="613" spans="1:17" x14ac:dyDescent="0.25">
      <c r="A613" s="20" t="s">
        <v>126</v>
      </c>
      <c r="B613" s="2">
        <v>45831</v>
      </c>
      <c r="C613" s="12" t="s">
        <v>5</v>
      </c>
      <c r="D613" s="12" t="s">
        <v>5</v>
      </c>
      <c r="E613" s="12" t="s">
        <v>34</v>
      </c>
      <c r="F613">
        <v>78</v>
      </c>
      <c r="G613" t="s">
        <v>64</v>
      </c>
      <c r="H613" s="9">
        <f t="shared" si="27"/>
        <v>18</v>
      </c>
      <c r="I613" cm="1">
        <f t="array" ref="I613">IFERROR(INDEX(CourseYardages[[Hole 1]:[Hole 18]],
  MATCH(1, (CourseYardages[Course]=C613)*(CourseYardages[Tees]=E613), 0),
  MATCH(G613, CourseYardages[[#Headers],[Hole 1]:[Hole 18]], 0)
),"")</f>
        <v>364</v>
      </c>
      <c r="J613" cm="1">
        <f t="array" ref="J613">IFERROR(INDEX(CourseHandicap[[Hole 1]:[Hole 18]],
  MATCH(1, (CourseHandicap[Course]=C613)*(CourseHandicap[Tees]=E613), 0),
  MATCH(G613, CourseHandicap[[#Headers],[Hole 1]:[Hole 18]], 0)
),"")</f>
        <v>6</v>
      </c>
      <c r="K613" cm="1">
        <f t="array" ref="K613">IFERROR(INDEX(CourseRatings[[Hole 1]:[Hole 18]],
  MATCH(1, (CourseRatings[Course]=C613)*(CourseRatings[Tees]=E613), 0),
  MATCH(G613, CourseRatings[[#Headers],[Hole 1]:[Hole 18]], 0)
),"")</f>
        <v>4</v>
      </c>
      <c r="L613" cm="1">
        <f t="array" ref="L613">IFERROR(
  INDEX('Golf Log'!$E$2:$V$72,
    MATCH(1,
      ('Golf Log'!$A$2:$A$72=$A613)*
      ('Golf Log'!$B$2:$B$72=$B613)*
      ('Golf Log'!$C$2:$C$72=$C613),
    0),
    MATCH($G613,'Golf Log'!$E$1:$V$1,0)
  ),
"")</f>
        <v>4</v>
      </c>
      <c r="M613">
        <f t="shared" si="29"/>
        <v>0</v>
      </c>
      <c r="N613" t="str">
        <f t="shared" si="30"/>
        <v>Par</v>
      </c>
      <c r="O613" cm="1">
        <f t="array" ref="O613">IFERROR(
  INDEX('Putt Log'!$E$2:$V$72,
    MATCH(1,
      ('Putt Log'!$A$2:$A$72=$A613)*
      ('Putt Log'!$B$2:$B$72=$B613)*
      ('Putt Log'!$C$2:$C$72=$C613),
    0),
    MATCH($G613,'Putt Log'!$E$1:$V$1,0)
  ),
"")</f>
        <v>2</v>
      </c>
      <c r="P613" cm="1">
        <f t="array" ref="P613">IF(K613=3,"",
  IFERROR(
    INDEX('Fairway Log'!$E$2:$V$72,
      MATCH(1,
        ('Fairway Log'!$A$2:$A$72=$A613)*
        ('Fairway Log'!$B$2:$B$72=$B613)*
        ('Fairway Log'!$C$2:$C684=$C613),
      0),
      MATCH($G613,'Fairway Log'!$E$1:$V$1,0)
    ),
  "")
)</f>
        <v>1</v>
      </c>
      <c r="Q613" cm="1">
        <f t="array" ref="Q613">IFERROR(
  INDEX('GIR Log'!$E$2:$V$72,
    MATCH(1,
      ('GIR Log'!$A$2:$A$72=$A613)*
      ('GIR Log'!$B$2:$B$72=$B613)*
      ('GIR Log'!$C$2:$C$72=$C613),
    0),
    MATCH($G613,'GIR Log'!$E$1:$V$1,0)
  ),
"")</f>
        <v>1</v>
      </c>
    </row>
    <row r="614" spans="1:17" x14ac:dyDescent="0.25">
      <c r="A614" s="20" t="s">
        <v>126</v>
      </c>
      <c r="B614" s="2">
        <v>45844</v>
      </c>
      <c r="C614" s="12" t="s">
        <v>3</v>
      </c>
      <c r="D614" s="12" t="s">
        <v>3</v>
      </c>
      <c r="E614" s="12" t="s">
        <v>36</v>
      </c>
      <c r="F614">
        <v>79</v>
      </c>
      <c r="G614" s="12" t="s">
        <v>47</v>
      </c>
      <c r="H614" s="9">
        <f t="shared" si="27"/>
        <v>1</v>
      </c>
      <c r="I614" cm="1">
        <f t="array" ref="I614">IFERROR(INDEX(CourseYardages[[Hole 1]:[Hole 18]],
  MATCH(1, (CourseYardages[Course]=C614)*(CourseYardages[Tees]=E614), 0),
  MATCH(G614, CourseYardages[[#Headers],[Hole 1]:[Hole 18]], 0)
),"")</f>
        <v>345</v>
      </c>
      <c r="J614" cm="1">
        <f t="array" ref="J614">IFERROR(INDEX(CourseHandicap[[Hole 1]:[Hole 18]],
  MATCH(1, (CourseHandicap[Course]=C614)*(CourseHandicap[Tees]=E614), 0),
  MATCH(G614, CourseHandicap[[#Headers],[Hole 1]:[Hole 18]], 0)
),"")</f>
        <v>15</v>
      </c>
      <c r="K614" cm="1">
        <f t="array" ref="K614">IFERROR(INDEX(CourseRatings[[Hole 1]:[Hole 18]],
  MATCH(1, (CourseRatings[Course]=C614)*(CourseRatings[Tees]=E614), 0),
  MATCH(G614, CourseRatings[[#Headers],[Hole 1]:[Hole 18]], 0)
),"")</f>
        <v>4</v>
      </c>
      <c r="L614" cm="1">
        <f t="array" ref="L614">IFERROR(
  INDEX('Golf Log'!$E$2:$V$72,
    MATCH(1,
      ('Golf Log'!$A$2:$A$72=$A614)*
      ('Golf Log'!$B$2:$B$72=$B614)*
      ('Golf Log'!$C$2:$C$72=$C614),
    0),
    MATCH($G614,'Golf Log'!$E$1:$V$1,0)
  ),
"")</f>
        <v>4</v>
      </c>
      <c r="M614">
        <f t="shared" si="29"/>
        <v>0</v>
      </c>
      <c r="N614" t="str">
        <f t="shared" si="30"/>
        <v>Par</v>
      </c>
      <c r="O614" cm="1">
        <f t="array" ref="O614">IFERROR(
  INDEX('Putt Log'!$E$2:$V$72,
    MATCH(1,
      ('Putt Log'!$A$2:$A$72=$A614)*
      ('Putt Log'!$B$2:$B$72=$B614)*
      ('Putt Log'!$C$2:$C$72=$C614),
    0),
    MATCH($G614,'Putt Log'!$E$1:$V$1,0)
  ),
"")</f>
        <v>2</v>
      </c>
      <c r="P614" cm="1">
        <f t="array" ref="P614">IF(K614=3,"",
  IFERROR(
    INDEX('Fairway Log'!$E$2:$V$72,
      MATCH(1,
        ('Fairway Log'!$A$2:$A$72=$A614)*
        ('Fairway Log'!$B$2:$B$72=$B614)*
        ('Fairway Log'!$C$2:$C685=$C614),
      0),
      MATCH($G614,'Fairway Log'!$E$1:$V$1,0)
    ),
  "")
)</f>
        <v>1</v>
      </c>
      <c r="Q614" cm="1">
        <f t="array" ref="Q614">IFERROR(
  INDEX('GIR Log'!$E$2:$V$72,
    MATCH(1,
      ('GIR Log'!$A$2:$A$72=$A614)*
      ('GIR Log'!$B$2:$B$72=$B614)*
      ('GIR Log'!$C$2:$C$72=$C614),
    0),
    MATCH($G614,'GIR Log'!$E$1:$V$1,0)
  ),
"")</f>
        <v>1</v>
      </c>
    </row>
    <row r="615" spans="1:17" x14ac:dyDescent="0.25">
      <c r="A615" s="20" t="s">
        <v>126</v>
      </c>
      <c r="B615" s="2">
        <v>45844</v>
      </c>
      <c r="C615" s="12" t="s">
        <v>3</v>
      </c>
      <c r="D615" s="12" t="s">
        <v>3</v>
      </c>
      <c r="E615" s="12" t="s">
        <v>36</v>
      </c>
      <c r="F615">
        <v>79</v>
      </c>
      <c r="G615" s="12" t="s">
        <v>48</v>
      </c>
      <c r="H615" s="9">
        <f t="shared" si="27"/>
        <v>2</v>
      </c>
      <c r="I615" cm="1">
        <f t="array" ref="I615">IFERROR(INDEX(CourseYardages[[Hole 1]:[Hole 18]],
  MATCH(1, (CourseYardages[Course]=C615)*(CourseYardages[Tees]=E615), 0),
  MATCH(G615, CourseYardages[[#Headers],[Hole 1]:[Hole 18]], 0)
),"")</f>
        <v>367</v>
      </c>
      <c r="J615" cm="1">
        <f t="array" ref="J615">IFERROR(INDEX(CourseHandicap[[Hole 1]:[Hole 18]],
  MATCH(1, (CourseHandicap[Course]=C615)*(CourseHandicap[Tees]=E615), 0),
  MATCH(G615, CourseHandicap[[#Headers],[Hole 1]:[Hole 18]], 0)
),"")</f>
        <v>3</v>
      </c>
      <c r="K615" cm="1">
        <f t="array" ref="K615">IFERROR(INDEX(CourseRatings[[Hole 1]:[Hole 18]],
  MATCH(1, (CourseRatings[Course]=C615)*(CourseRatings[Tees]=E615), 0),
  MATCH(G615, CourseRatings[[#Headers],[Hole 1]:[Hole 18]], 0)
),"")</f>
        <v>4</v>
      </c>
      <c r="L615" cm="1">
        <f t="array" ref="L615">IFERROR(
  INDEX('Golf Log'!$E$2:$V$72,
    MATCH(1,
      ('Golf Log'!$A$2:$A$72=$A615)*
      ('Golf Log'!$B$2:$B$72=$B615)*
      ('Golf Log'!$C$2:$C$72=$C615),
    0),
    MATCH($G615,'Golf Log'!$E$1:$V$1,0)
  ),
"")</f>
        <v>5</v>
      </c>
      <c r="M615">
        <f t="shared" si="29"/>
        <v>1</v>
      </c>
      <c r="N615" t="str">
        <f t="shared" si="30"/>
        <v>Bogey</v>
      </c>
      <c r="O615" cm="1">
        <f t="array" ref="O615">IFERROR(
  INDEX('Putt Log'!$E$2:$V$72,
    MATCH(1,
      ('Putt Log'!$A$2:$A$72=$A615)*
      ('Putt Log'!$B$2:$B$72=$B615)*
      ('Putt Log'!$C$2:$C$72=$C615),
    0),
    MATCH($G615,'Putt Log'!$E$1:$V$1,0)
  ),
"")</f>
        <v>2</v>
      </c>
      <c r="P615" t="str" cm="1">
        <f t="array" ref="P615">IF(K615=3,"",
  IFERROR(
    INDEX('Fairway Log'!$E$2:$V$72,
      MATCH(1,
        ('Fairway Log'!$A$2:$A$72=$A615)*
        ('Fairway Log'!$B$2:$B$72=$B615)*
        ('Fairway Log'!$C$2:$C686=$C615),
      0),
      MATCH($G615,'Fairway Log'!$E$1:$V$1,0)
    ),
  "")
)</f>
        <v>→</v>
      </c>
      <c r="Q615" t="str" cm="1">
        <f t="array" ref="Q615">IFERROR(
  INDEX('GIR Log'!$E$2:$V$72,
    MATCH(1,
      ('GIR Log'!$A$2:$A$72=$A615)*
      ('GIR Log'!$B$2:$B$72=$B615)*
      ('GIR Log'!$C$2:$C$72=$C615),
    0),
    MATCH($G615,'GIR Log'!$E$1:$V$1,0)
  ),
"")</f>
        <v>↓</v>
      </c>
    </row>
    <row r="616" spans="1:17" x14ac:dyDescent="0.25">
      <c r="A616" s="20" t="s">
        <v>126</v>
      </c>
      <c r="B616" s="2">
        <v>45844</v>
      </c>
      <c r="C616" s="12" t="s">
        <v>3</v>
      </c>
      <c r="D616" s="12" t="s">
        <v>3</v>
      </c>
      <c r="E616" s="12" t="s">
        <v>36</v>
      </c>
      <c r="F616">
        <v>79</v>
      </c>
      <c r="G616" s="12" t="s">
        <v>49</v>
      </c>
      <c r="H616" s="9">
        <f t="shared" si="27"/>
        <v>3</v>
      </c>
      <c r="I616" cm="1">
        <f t="array" ref="I616">IFERROR(INDEX(CourseYardages[[Hole 1]:[Hole 18]],
  MATCH(1, (CourseYardages[Course]=C616)*(CourseYardages[Tees]=E616), 0),
  MATCH(G616, CourseYardages[[#Headers],[Hole 1]:[Hole 18]], 0)
),"")</f>
        <v>133</v>
      </c>
      <c r="J616" cm="1">
        <f t="array" ref="J616">IFERROR(INDEX(CourseHandicap[[Hole 1]:[Hole 18]],
  MATCH(1, (CourseHandicap[Course]=C616)*(CourseHandicap[Tees]=E616), 0),
  MATCH(G616, CourseHandicap[[#Headers],[Hole 1]:[Hole 18]], 0)
),"")</f>
        <v>17</v>
      </c>
      <c r="K616" cm="1">
        <f t="array" ref="K616">IFERROR(INDEX(CourseRatings[[Hole 1]:[Hole 18]],
  MATCH(1, (CourseRatings[Course]=C616)*(CourseRatings[Tees]=E616), 0),
  MATCH(G616, CourseRatings[[#Headers],[Hole 1]:[Hole 18]], 0)
),"")</f>
        <v>3</v>
      </c>
      <c r="L616" cm="1">
        <f t="array" ref="L616">IFERROR(
  INDEX('Golf Log'!$E$2:$V$72,
    MATCH(1,
      ('Golf Log'!$A$2:$A$72=$A616)*
      ('Golf Log'!$B$2:$B$72=$B616)*
      ('Golf Log'!$C$2:$C$72=$C616),
    0),
    MATCH($G616,'Golf Log'!$E$1:$V$1,0)
  ),
"")</f>
        <v>3</v>
      </c>
      <c r="M616">
        <f t="shared" si="29"/>
        <v>0</v>
      </c>
      <c r="N616" t="str">
        <f t="shared" si="30"/>
        <v>Par</v>
      </c>
      <c r="O616" cm="1">
        <f t="array" ref="O616">IFERROR(
  INDEX('Putt Log'!$E$2:$V$72,
    MATCH(1,
      ('Putt Log'!$A$2:$A$72=$A616)*
      ('Putt Log'!$B$2:$B$72=$B616)*
      ('Putt Log'!$C$2:$C$72=$C616),
    0),
    MATCH($G616,'Putt Log'!$E$1:$V$1,0)
  ),
"")</f>
        <v>2</v>
      </c>
      <c r="P616" t="str" cm="1">
        <f t="array" ref="P616">IF(K616=3,"",
  IFERROR(
    INDEX('Fairway Log'!$E$2:$V$72,
      MATCH(1,
        ('Fairway Log'!$A$2:$A$72=$A616)*
        ('Fairway Log'!$B$2:$B$72=$B616)*
        ('Fairway Log'!$C$2:$C687=$C616),
      0),
      MATCH($G616,'Fairway Log'!$E$1:$V$1,0)
    ),
  "")
)</f>
        <v/>
      </c>
      <c r="Q616" cm="1">
        <f t="array" ref="Q616">IFERROR(
  INDEX('GIR Log'!$E$2:$V$72,
    MATCH(1,
      ('GIR Log'!$A$2:$A$72=$A616)*
      ('GIR Log'!$B$2:$B$72=$B616)*
      ('GIR Log'!$C$2:$C$72=$C616),
    0),
    MATCH($G616,'GIR Log'!$E$1:$V$1,0)
  ),
"")</f>
        <v>1</v>
      </c>
    </row>
    <row r="617" spans="1:17" x14ac:dyDescent="0.25">
      <c r="A617" s="20" t="s">
        <v>126</v>
      </c>
      <c r="B617" s="2">
        <v>45844</v>
      </c>
      <c r="C617" s="12" t="s">
        <v>3</v>
      </c>
      <c r="D617" s="12" t="s">
        <v>3</v>
      </c>
      <c r="E617" s="12" t="s">
        <v>36</v>
      </c>
      <c r="F617">
        <v>79</v>
      </c>
      <c r="G617" s="12" t="s">
        <v>50</v>
      </c>
      <c r="H617" s="9">
        <f t="shared" si="27"/>
        <v>4</v>
      </c>
      <c r="I617" cm="1">
        <f t="array" ref="I617">IFERROR(INDEX(CourseYardages[[Hole 1]:[Hole 18]],
  MATCH(1, (CourseYardages[Course]=C617)*(CourseYardages[Tees]=E617), 0),
  MATCH(G617, CourseYardages[[#Headers],[Hole 1]:[Hole 18]], 0)
),"")</f>
        <v>344</v>
      </c>
      <c r="J617" cm="1">
        <f t="array" ref="J617">IFERROR(INDEX(CourseHandicap[[Hole 1]:[Hole 18]],
  MATCH(1, (CourseHandicap[Course]=C617)*(CourseHandicap[Tees]=E617), 0),
  MATCH(G617, CourseHandicap[[#Headers],[Hole 1]:[Hole 18]], 0)
),"")</f>
        <v>11</v>
      </c>
      <c r="K617" cm="1">
        <f t="array" ref="K617">IFERROR(INDEX(CourseRatings[[Hole 1]:[Hole 18]],
  MATCH(1, (CourseRatings[Course]=C617)*(CourseRatings[Tees]=E617), 0),
  MATCH(G617, CourseRatings[[#Headers],[Hole 1]:[Hole 18]], 0)
),"")</f>
        <v>4</v>
      </c>
      <c r="L617" cm="1">
        <f t="array" ref="L617">IFERROR(
  INDEX('Golf Log'!$E$2:$V$72,
    MATCH(1,
      ('Golf Log'!$A$2:$A$72=$A617)*
      ('Golf Log'!$B$2:$B$72=$B617)*
      ('Golf Log'!$C$2:$C$72=$C617),
    0),
    MATCH($G617,'Golf Log'!$E$1:$V$1,0)
  ),
"")</f>
        <v>4</v>
      </c>
      <c r="M617">
        <f t="shared" si="29"/>
        <v>0</v>
      </c>
      <c r="N617" t="str">
        <f t="shared" si="30"/>
        <v>Par</v>
      </c>
      <c r="O617" cm="1">
        <f t="array" ref="O617">IFERROR(
  INDEX('Putt Log'!$E$2:$V$72,
    MATCH(1,
      ('Putt Log'!$A$2:$A$72=$A617)*
      ('Putt Log'!$B$2:$B$72=$B617)*
      ('Putt Log'!$C$2:$C$72=$C617),
    0),
    MATCH($G617,'Putt Log'!$E$1:$V$1,0)
  ),
"")</f>
        <v>1</v>
      </c>
      <c r="P617" t="str" cm="1">
        <f t="array" ref="P617">IF(K617=3,"",
  IFERROR(
    INDEX('Fairway Log'!$E$2:$V$72,
      MATCH(1,
        ('Fairway Log'!$A$2:$A$72=$A617)*
        ('Fairway Log'!$B$2:$B$72=$B617)*
        ('Fairway Log'!$C$2:$C688=$C617),
      0),
      MATCH($G617,'Fairway Log'!$E$1:$V$1,0)
    ),
  "")
)</f>
        <v>→</v>
      </c>
      <c r="Q617" t="str" cm="1">
        <f t="array" ref="Q617">IFERROR(
  INDEX('GIR Log'!$E$2:$V$72,
    MATCH(1,
      ('GIR Log'!$A$2:$A$72=$A617)*
      ('GIR Log'!$B$2:$B$72=$B617)*
      ('GIR Log'!$C$2:$C$72=$C617),
    0),
    MATCH($G617,'GIR Log'!$E$1:$V$1,0)
  ),
"")</f>
        <v>↓</v>
      </c>
    </row>
    <row r="618" spans="1:17" x14ac:dyDescent="0.25">
      <c r="A618" s="20" t="s">
        <v>126</v>
      </c>
      <c r="B618" s="2">
        <v>45844</v>
      </c>
      <c r="C618" s="12" t="s">
        <v>3</v>
      </c>
      <c r="D618" s="12" t="s">
        <v>3</v>
      </c>
      <c r="E618" s="12" t="s">
        <v>36</v>
      </c>
      <c r="F618">
        <v>79</v>
      </c>
      <c r="G618" s="12" t="s">
        <v>51</v>
      </c>
      <c r="H618" s="9">
        <f t="shared" si="27"/>
        <v>5</v>
      </c>
      <c r="I618" cm="1">
        <f t="array" ref="I618">IFERROR(INDEX(CourseYardages[[Hole 1]:[Hole 18]],
  MATCH(1, (CourseYardages[Course]=C618)*(CourseYardages[Tees]=E618), 0),
  MATCH(G618, CourseYardages[[#Headers],[Hole 1]:[Hole 18]], 0)
),"")</f>
        <v>387</v>
      </c>
      <c r="J618" cm="1">
        <f t="array" ref="J618">IFERROR(INDEX(CourseHandicap[[Hole 1]:[Hole 18]],
  MATCH(1, (CourseHandicap[Course]=C618)*(CourseHandicap[Tees]=E618), 0),
  MATCH(G618, CourseHandicap[[#Headers],[Hole 1]:[Hole 18]], 0)
),"")</f>
        <v>7</v>
      </c>
      <c r="K618" cm="1">
        <f t="array" ref="K618">IFERROR(INDEX(CourseRatings[[Hole 1]:[Hole 18]],
  MATCH(1, (CourseRatings[Course]=C618)*(CourseRatings[Tees]=E618), 0),
  MATCH(G618, CourseRatings[[#Headers],[Hole 1]:[Hole 18]], 0)
),"")</f>
        <v>4</v>
      </c>
      <c r="L618" cm="1">
        <f t="array" ref="L618">IFERROR(
  INDEX('Golf Log'!$E$2:$V$72,
    MATCH(1,
      ('Golf Log'!$A$2:$A$72=$A618)*
      ('Golf Log'!$B$2:$B$72=$B618)*
      ('Golf Log'!$C$2:$C$72=$C618),
    0),
    MATCH($G618,'Golf Log'!$E$1:$V$1,0)
  ),
"")</f>
        <v>4</v>
      </c>
      <c r="M618">
        <f t="shared" si="29"/>
        <v>0</v>
      </c>
      <c r="N618" t="str">
        <f t="shared" si="30"/>
        <v>Par</v>
      </c>
      <c r="O618" cm="1">
        <f t="array" ref="O618">IFERROR(
  INDEX('Putt Log'!$E$2:$V$72,
    MATCH(1,
      ('Putt Log'!$A$2:$A$72=$A618)*
      ('Putt Log'!$B$2:$B$72=$B618)*
      ('Putt Log'!$C$2:$C$72=$C618),
    0),
    MATCH($G618,'Putt Log'!$E$1:$V$1,0)
  ),
"")</f>
        <v>1</v>
      </c>
      <c r="P618" cm="1">
        <f t="array" ref="P618">IF(K618=3,"",
  IFERROR(
    INDEX('Fairway Log'!$E$2:$V$72,
      MATCH(1,
        ('Fairway Log'!$A$2:$A$72=$A618)*
        ('Fairway Log'!$B$2:$B$72=$B618)*
        ('Fairway Log'!$C$2:$C689=$C618),
      0),
      MATCH($G618,'Fairway Log'!$E$1:$V$1,0)
    ),
  "")
)</f>
        <v>1</v>
      </c>
      <c r="Q618" t="str" cm="1">
        <f t="array" ref="Q618">IFERROR(
  INDEX('GIR Log'!$E$2:$V$72,
    MATCH(1,
      ('GIR Log'!$A$2:$A$72=$A618)*
      ('GIR Log'!$B$2:$B$72=$B618)*
      ('GIR Log'!$C$2:$C$72=$C618),
    0),
    MATCH($G618,'GIR Log'!$E$1:$V$1,0)
  ),
"")</f>
        <v>↑</v>
      </c>
    </row>
    <row r="619" spans="1:17" x14ac:dyDescent="0.25">
      <c r="A619" s="20" t="s">
        <v>126</v>
      </c>
      <c r="B619" s="2">
        <v>45844</v>
      </c>
      <c r="C619" s="12" t="s">
        <v>3</v>
      </c>
      <c r="D619" s="12" t="s">
        <v>3</v>
      </c>
      <c r="E619" s="12" t="s">
        <v>36</v>
      </c>
      <c r="F619">
        <v>79</v>
      </c>
      <c r="G619" s="12" t="s">
        <v>52</v>
      </c>
      <c r="H619" s="9">
        <f t="shared" si="27"/>
        <v>6</v>
      </c>
      <c r="I619" cm="1">
        <f t="array" ref="I619">IFERROR(INDEX(CourseYardages[[Hole 1]:[Hole 18]],
  MATCH(1, (CourseYardages[Course]=C619)*(CourseYardages[Tees]=E619), 0),
  MATCH(G619, CourseYardages[[#Headers],[Hole 1]:[Hole 18]], 0)
),"")</f>
        <v>178</v>
      </c>
      <c r="J619" cm="1">
        <f t="array" ref="J619">IFERROR(INDEX(CourseHandicap[[Hole 1]:[Hole 18]],
  MATCH(1, (CourseHandicap[Course]=C619)*(CourseHandicap[Tees]=E619), 0),
  MATCH(G619, CourseHandicap[[#Headers],[Hole 1]:[Hole 18]], 0)
),"")</f>
        <v>5</v>
      </c>
      <c r="K619" cm="1">
        <f t="array" ref="K619">IFERROR(INDEX(CourseRatings[[Hole 1]:[Hole 18]],
  MATCH(1, (CourseRatings[Course]=C619)*(CourseRatings[Tees]=E619), 0),
  MATCH(G619, CourseRatings[[#Headers],[Hole 1]:[Hole 18]], 0)
),"")</f>
        <v>3</v>
      </c>
      <c r="L619" cm="1">
        <f t="array" ref="L619">IFERROR(
  INDEX('Golf Log'!$E$2:$V$72,
    MATCH(1,
      ('Golf Log'!$A$2:$A$72=$A619)*
      ('Golf Log'!$B$2:$B$72=$B619)*
      ('Golf Log'!$C$2:$C$72=$C619),
    0),
    MATCH($G619,'Golf Log'!$E$1:$V$1,0)
  ),
"")</f>
        <v>3</v>
      </c>
      <c r="M619">
        <f t="shared" si="29"/>
        <v>0</v>
      </c>
      <c r="N619" t="str">
        <f t="shared" si="30"/>
        <v>Par</v>
      </c>
      <c r="O619" cm="1">
        <f t="array" ref="O619">IFERROR(
  INDEX('Putt Log'!$E$2:$V$72,
    MATCH(1,
      ('Putt Log'!$A$2:$A$72=$A619)*
      ('Putt Log'!$B$2:$B$72=$B619)*
      ('Putt Log'!$C$2:$C$72=$C619),
    0),
    MATCH($G619,'Putt Log'!$E$1:$V$1,0)
  ),
"")</f>
        <v>2</v>
      </c>
      <c r="P619" t="str" cm="1">
        <f t="array" ref="P619">IF(K619=3,"",
  IFERROR(
    INDEX('Fairway Log'!$E$2:$V$72,
      MATCH(1,
        ('Fairway Log'!$A$2:$A$72=$A619)*
        ('Fairway Log'!$B$2:$B$72=$B619)*
        ('Fairway Log'!$C$2:$C690=$C619),
      0),
      MATCH($G619,'Fairway Log'!$E$1:$V$1,0)
    ),
  "")
)</f>
        <v/>
      </c>
      <c r="Q619" cm="1">
        <f t="array" ref="Q619">IFERROR(
  INDEX('GIR Log'!$E$2:$V$72,
    MATCH(1,
      ('GIR Log'!$A$2:$A$72=$A619)*
      ('GIR Log'!$B$2:$B$72=$B619)*
      ('GIR Log'!$C$2:$C$72=$C619),
    0),
    MATCH($G619,'GIR Log'!$E$1:$V$1,0)
  ),
"")</f>
        <v>1</v>
      </c>
    </row>
    <row r="620" spans="1:17" x14ac:dyDescent="0.25">
      <c r="A620" s="20" t="s">
        <v>126</v>
      </c>
      <c r="B620" s="2">
        <v>45844</v>
      </c>
      <c r="C620" s="12" t="s">
        <v>3</v>
      </c>
      <c r="D620" s="12" t="s">
        <v>3</v>
      </c>
      <c r="E620" s="12" t="s">
        <v>36</v>
      </c>
      <c r="F620">
        <v>79</v>
      </c>
      <c r="G620" s="12" t="s">
        <v>53</v>
      </c>
      <c r="H620" s="9">
        <f t="shared" si="27"/>
        <v>7</v>
      </c>
      <c r="I620" cm="1">
        <f t="array" ref="I620">IFERROR(INDEX(CourseYardages[[Hole 1]:[Hole 18]],
  MATCH(1, (CourseYardages[Course]=C620)*(CourseYardages[Tees]=E620), 0),
  MATCH(G620, CourseYardages[[#Headers],[Hole 1]:[Hole 18]], 0)
),"")</f>
        <v>500</v>
      </c>
      <c r="J620" cm="1">
        <f t="array" ref="J620">IFERROR(INDEX(CourseHandicap[[Hole 1]:[Hole 18]],
  MATCH(1, (CourseHandicap[Course]=C620)*(CourseHandicap[Tees]=E620), 0),
  MATCH(G620, CourseHandicap[[#Headers],[Hole 1]:[Hole 18]], 0)
),"")</f>
        <v>9</v>
      </c>
      <c r="K620" cm="1">
        <f t="array" ref="K620">IFERROR(INDEX(CourseRatings[[Hole 1]:[Hole 18]],
  MATCH(1, (CourseRatings[Course]=C620)*(CourseRatings[Tees]=E620), 0),
  MATCH(G620, CourseRatings[[#Headers],[Hole 1]:[Hole 18]], 0)
),"")</f>
        <v>5</v>
      </c>
      <c r="L620" cm="1">
        <f t="array" ref="L620">IFERROR(
  INDEX('Golf Log'!$E$2:$V$72,
    MATCH(1,
      ('Golf Log'!$A$2:$A$72=$A620)*
      ('Golf Log'!$B$2:$B$72=$B620)*
      ('Golf Log'!$C$2:$C$72=$C620),
    0),
    MATCH($G620,'Golf Log'!$E$1:$V$1,0)
  ),
"")</f>
        <v>5</v>
      </c>
      <c r="M620">
        <f t="shared" si="29"/>
        <v>0</v>
      </c>
      <c r="N620" t="str">
        <f t="shared" si="30"/>
        <v>Par</v>
      </c>
      <c r="O620" cm="1">
        <f t="array" ref="O620">IFERROR(
  INDEX('Putt Log'!$E$2:$V$72,
    MATCH(1,
      ('Putt Log'!$A$2:$A$72=$A620)*
      ('Putt Log'!$B$2:$B$72=$B620)*
      ('Putt Log'!$C$2:$C$72=$C620),
    0),
    MATCH($G620,'Putt Log'!$E$1:$V$1,0)
  ),
"")</f>
        <v>2</v>
      </c>
      <c r="P620" t="str" cm="1">
        <f t="array" ref="P620">IF(K620=3,"",
  IFERROR(
    INDEX('Fairway Log'!$E$2:$V$72,
      MATCH(1,
        ('Fairway Log'!$A$2:$A$72=$A620)*
        ('Fairway Log'!$B$2:$B$72=$B620)*
        ('Fairway Log'!$C$2:$C691=$C620),
      0),
      MATCH($G620,'Fairway Log'!$E$1:$V$1,0)
    ),
  "")
)</f>
        <v>→</v>
      </c>
      <c r="Q620" cm="1">
        <f t="array" ref="Q620">IFERROR(
  INDEX('GIR Log'!$E$2:$V$72,
    MATCH(1,
      ('GIR Log'!$A$2:$A$72=$A620)*
      ('GIR Log'!$B$2:$B$72=$B620)*
      ('GIR Log'!$C$2:$C$72=$C620),
    0),
    MATCH($G620,'GIR Log'!$E$1:$V$1,0)
  ),
"")</f>
        <v>1</v>
      </c>
    </row>
    <row r="621" spans="1:17" x14ac:dyDescent="0.25">
      <c r="A621" s="20" t="s">
        <v>126</v>
      </c>
      <c r="B621" s="2">
        <v>45844</v>
      </c>
      <c r="C621" s="12" t="s">
        <v>3</v>
      </c>
      <c r="D621" s="12" t="s">
        <v>3</v>
      </c>
      <c r="E621" s="12" t="s">
        <v>36</v>
      </c>
      <c r="F621">
        <v>79</v>
      </c>
      <c r="G621" s="12" t="s">
        <v>54</v>
      </c>
      <c r="H621" s="9">
        <f t="shared" si="27"/>
        <v>8</v>
      </c>
      <c r="I621" cm="1">
        <f t="array" ref="I621">IFERROR(INDEX(CourseYardages[[Hole 1]:[Hole 18]],
  MATCH(1, (CourseYardages[Course]=C621)*(CourseYardages[Tees]=E621), 0),
  MATCH(G621, CourseYardages[[#Headers],[Hole 1]:[Hole 18]], 0)
),"")</f>
        <v>337</v>
      </c>
      <c r="J621" cm="1">
        <f t="array" ref="J621">IFERROR(INDEX(CourseHandicap[[Hole 1]:[Hole 18]],
  MATCH(1, (CourseHandicap[Course]=C621)*(CourseHandicap[Tees]=E621), 0),
  MATCH(G621, CourseHandicap[[#Headers],[Hole 1]:[Hole 18]], 0)
),"")</f>
        <v>13</v>
      </c>
      <c r="K621" cm="1">
        <f t="array" ref="K621">IFERROR(INDEX(CourseRatings[[Hole 1]:[Hole 18]],
  MATCH(1, (CourseRatings[Course]=C621)*(CourseRatings[Tees]=E621), 0),
  MATCH(G621, CourseRatings[[#Headers],[Hole 1]:[Hole 18]], 0)
),"")</f>
        <v>4</v>
      </c>
      <c r="L621" cm="1">
        <f t="array" ref="L621">IFERROR(
  INDEX('Golf Log'!$E$2:$V$72,
    MATCH(1,
      ('Golf Log'!$A$2:$A$72=$A621)*
      ('Golf Log'!$B$2:$B$72=$B621)*
      ('Golf Log'!$C$2:$C$72=$C621),
    0),
    MATCH($G621,'Golf Log'!$E$1:$V$1,0)
  ),
"")</f>
        <v>4</v>
      </c>
      <c r="M621">
        <f t="shared" si="29"/>
        <v>0</v>
      </c>
      <c r="N621" t="str">
        <f t="shared" si="30"/>
        <v>Par</v>
      </c>
      <c r="O621" cm="1">
        <f t="array" ref="O621">IFERROR(
  INDEX('Putt Log'!$E$2:$V$72,
    MATCH(1,
      ('Putt Log'!$A$2:$A$72=$A621)*
      ('Putt Log'!$B$2:$B$72=$B621)*
      ('Putt Log'!$C$2:$C$72=$C621),
    0),
    MATCH($G621,'Putt Log'!$E$1:$V$1,0)
  ),
"")</f>
        <v>2</v>
      </c>
      <c r="P621" cm="1">
        <f t="array" ref="P621">IF(K621=3,"",
  IFERROR(
    INDEX('Fairway Log'!$E$2:$V$72,
      MATCH(1,
        ('Fairway Log'!$A$2:$A$72=$A621)*
        ('Fairway Log'!$B$2:$B$72=$B621)*
        ('Fairway Log'!$C$2:$C692=$C621),
      0),
      MATCH($G621,'Fairway Log'!$E$1:$V$1,0)
    ),
  "")
)</f>
        <v>1</v>
      </c>
      <c r="Q621" cm="1">
        <f t="array" ref="Q621">IFERROR(
  INDEX('GIR Log'!$E$2:$V$72,
    MATCH(1,
      ('GIR Log'!$A$2:$A$72=$A621)*
      ('GIR Log'!$B$2:$B$72=$B621)*
      ('GIR Log'!$C$2:$C$72=$C621),
    0),
    MATCH($G621,'GIR Log'!$E$1:$V$1,0)
  ),
"")</f>
        <v>1</v>
      </c>
    </row>
    <row r="622" spans="1:17" x14ac:dyDescent="0.25">
      <c r="A622" s="20" t="s">
        <v>126</v>
      </c>
      <c r="B622" s="2">
        <v>45844</v>
      </c>
      <c r="C622" s="12" t="s">
        <v>3</v>
      </c>
      <c r="D622" s="12" t="s">
        <v>3</v>
      </c>
      <c r="E622" s="12" t="s">
        <v>36</v>
      </c>
      <c r="F622">
        <v>79</v>
      </c>
      <c r="G622" s="12" t="s">
        <v>55</v>
      </c>
      <c r="H622" s="9">
        <f t="shared" si="27"/>
        <v>9</v>
      </c>
      <c r="I622" cm="1">
        <f t="array" ref="I622">IFERROR(INDEX(CourseYardages[[Hole 1]:[Hole 18]],
  MATCH(1, (CourseYardages[Course]=C622)*(CourseYardages[Tees]=E622), 0),
  MATCH(G622, CourseYardages[[#Headers],[Hole 1]:[Hole 18]], 0)
),"")</f>
        <v>532</v>
      </c>
      <c r="J622" cm="1">
        <f t="array" ref="J622">IFERROR(INDEX(CourseHandicap[[Hole 1]:[Hole 18]],
  MATCH(1, (CourseHandicap[Course]=C622)*(CourseHandicap[Tees]=E622), 0),
  MATCH(G622, CourseHandicap[[#Headers],[Hole 1]:[Hole 18]], 0)
),"")</f>
        <v>1</v>
      </c>
      <c r="K622" cm="1">
        <f t="array" ref="K622">IFERROR(INDEX(CourseRatings[[Hole 1]:[Hole 18]],
  MATCH(1, (CourseRatings[Course]=C622)*(CourseRatings[Tees]=E622), 0),
  MATCH(G622, CourseRatings[[#Headers],[Hole 1]:[Hole 18]], 0)
),"")</f>
        <v>5</v>
      </c>
      <c r="L622" cm="1">
        <f t="array" ref="L622">IFERROR(
  INDEX('Golf Log'!$E$2:$V$72,
    MATCH(1,
      ('Golf Log'!$A$2:$A$72=$A622)*
      ('Golf Log'!$B$2:$B$72=$B622)*
      ('Golf Log'!$C$2:$C$72=$C622),
    0),
    MATCH($G622,'Golf Log'!$E$1:$V$1,0)
  ),
"")</f>
        <v>7</v>
      </c>
      <c r="M622">
        <f t="shared" si="29"/>
        <v>2</v>
      </c>
      <c r="N622" t="str">
        <f t="shared" si="30"/>
        <v>Double Bogey</v>
      </c>
      <c r="O622" cm="1">
        <f t="array" ref="O622">IFERROR(
  INDEX('Putt Log'!$E$2:$V$72,
    MATCH(1,
      ('Putt Log'!$A$2:$A$72=$A622)*
      ('Putt Log'!$B$2:$B$72=$B622)*
      ('Putt Log'!$C$2:$C$72=$C622),
    0),
    MATCH($G622,'Putt Log'!$E$1:$V$1,0)
  ),
"")</f>
        <v>2</v>
      </c>
      <c r="P622" cm="1">
        <f t="array" ref="P622">IF(K622=3,"",
  IFERROR(
    INDEX('Fairway Log'!$E$2:$V$72,
      MATCH(1,
        ('Fairway Log'!$A$2:$A$72=$A622)*
        ('Fairway Log'!$B$2:$B$72=$B622)*
        ('Fairway Log'!$C$2:$C693=$C622),
      0),
      MATCH($G622,'Fairway Log'!$E$1:$V$1,0)
    ),
  "")
)</f>
        <v>1</v>
      </c>
      <c r="Q622" t="str" cm="1">
        <f t="array" ref="Q622">IFERROR(
  INDEX('GIR Log'!$E$2:$V$72,
    MATCH(1,
      ('GIR Log'!$A$2:$A$72=$A622)*
      ('GIR Log'!$B$2:$B$72=$B622)*
      ('GIR Log'!$C$2:$C$72=$C622),
    0),
    MATCH($G622,'GIR Log'!$E$1:$V$1,0)
  ),
"")</f>
        <v>↓</v>
      </c>
    </row>
    <row r="623" spans="1:17" x14ac:dyDescent="0.25">
      <c r="A623" s="20" t="s">
        <v>126</v>
      </c>
      <c r="B623" s="2">
        <v>45844</v>
      </c>
      <c r="C623" s="12" t="s">
        <v>3</v>
      </c>
      <c r="D623" s="12" t="s">
        <v>3</v>
      </c>
      <c r="E623" s="12" t="s">
        <v>36</v>
      </c>
      <c r="F623">
        <v>79</v>
      </c>
      <c r="G623" s="12" t="s">
        <v>56</v>
      </c>
      <c r="H623" s="9">
        <f t="shared" si="27"/>
        <v>10</v>
      </c>
      <c r="I623" cm="1">
        <f t="array" ref="I623">IFERROR(INDEX(CourseYardages[[Hole 1]:[Hole 18]],
  MATCH(1, (CourseYardages[Course]=C623)*(CourseYardages[Tees]=E623), 0),
  MATCH(G623, CourseYardages[[#Headers],[Hole 1]:[Hole 18]], 0)
),"")</f>
        <v>328</v>
      </c>
      <c r="J623" cm="1">
        <f t="array" ref="J623">IFERROR(INDEX(CourseHandicap[[Hole 1]:[Hole 18]],
  MATCH(1, (CourseHandicap[Course]=C623)*(CourseHandicap[Tees]=E623), 0),
  MATCH(G623, CourseHandicap[[#Headers],[Hole 1]:[Hole 18]], 0)
),"")</f>
        <v>12</v>
      </c>
      <c r="K623" cm="1">
        <f t="array" ref="K623">IFERROR(INDEX(CourseRatings[[Hole 1]:[Hole 18]],
  MATCH(1, (CourseRatings[Course]=C623)*(CourseRatings[Tees]=E623), 0),
  MATCH(G623, CourseRatings[[#Headers],[Hole 1]:[Hole 18]], 0)
),"")</f>
        <v>4</v>
      </c>
      <c r="L623" cm="1">
        <f t="array" ref="L623">IFERROR(
  INDEX('Golf Log'!$E$2:$V$72,
    MATCH(1,
      ('Golf Log'!$A$2:$A$72=$A623)*
      ('Golf Log'!$B$2:$B$72=$B623)*
      ('Golf Log'!$C$2:$C$72=$C623),
    0),
    MATCH($G623,'Golf Log'!$E$1:$V$1,0)
  ),
"")</f>
        <v>4</v>
      </c>
      <c r="M623">
        <f t="shared" si="29"/>
        <v>0</v>
      </c>
      <c r="N623" t="str">
        <f t="shared" si="30"/>
        <v>Par</v>
      </c>
      <c r="O623" cm="1">
        <f t="array" ref="O623">IFERROR(
  INDEX('Putt Log'!$E$2:$V$72,
    MATCH(1,
      ('Putt Log'!$A$2:$A$72=$A623)*
      ('Putt Log'!$B$2:$B$72=$B623)*
      ('Putt Log'!$C$2:$C$72=$C623),
    0),
    MATCH($G623,'Putt Log'!$E$1:$V$1,0)
  ),
"")</f>
        <v>1</v>
      </c>
      <c r="P623" cm="1">
        <f t="array" ref="P623">IF(K623=3,"",
  IFERROR(
    INDEX('Fairway Log'!$E$2:$V$72,
      MATCH(1,
        ('Fairway Log'!$A$2:$A$72=$A623)*
        ('Fairway Log'!$B$2:$B$72=$B623)*
        ('Fairway Log'!$C$2:$C694=$C623),
      0),
      MATCH($G623,'Fairway Log'!$E$1:$V$1,0)
    ),
  "")
)</f>
        <v>1</v>
      </c>
      <c r="Q623" t="str" cm="1">
        <f t="array" ref="Q623">IFERROR(
  INDEX('GIR Log'!$E$2:$V$72,
    MATCH(1,
      ('GIR Log'!$A$2:$A$72=$A623)*
      ('GIR Log'!$B$2:$B$72=$B623)*
      ('GIR Log'!$C$2:$C$72=$C623),
    0),
    MATCH($G623,'GIR Log'!$E$1:$V$1,0)
  ),
"")</f>
        <v>↓</v>
      </c>
    </row>
    <row r="624" spans="1:17" x14ac:dyDescent="0.25">
      <c r="A624" s="20" t="s">
        <v>126</v>
      </c>
      <c r="B624" s="2">
        <v>45844</v>
      </c>
      <c r="C624" s="12" t="s">
        <v>3</v>
      </c>
      <c r="D624" s="12" t="s">
        <v>3</v>
      </c>
      <c r="E624" s="12" t="s">
        <v>36</v>
      </c>
      <c r="F624">
        <v>79</v>
      </c>
      <c r="G624" s="12" t="s">
        <v>57</v>
      </c>
      <c r="H624" s="9">
        <f t="shared" si="27"/>
        <v>11</v>
      </c>
      <c r="I624" cm="1">
        <f t="array" ref="I624">IFERROR(INDEX(CourseYardages[[Hole 1]:[Hole 18]],
  MATCH(1, (CourseYardages[Course]=C624)*(CourseYardages[Tees]=E624), 0),
  MATCH(G624, CourseYardages[[#Headers],[Hole 1]:[Hole 18]], 0)
),"")</f>
        <v>159</v>
      </c>
      <c r="J624" cm="1">
        <f t="array" ref="J624">IFERROR(INDEX(CourseHandicap[[Hole 1]:[Hole 18]],
  MATCH(1, (CourseHandicap[Course]=C624)*(CourseHandicap[Tees]=E624), 0),
  MATCH(G624, CourseHandicap[[#Headers],[Hole 1]:[Hole 18]], 0)
),"")</f>
        <v>16</v>
      </c>
      <c r="K624" cm="1">
        <f t="array" ref="K624">IFERROR(INDEX(CourseRatings[[Hole 1]:[Hole 18]],
  MATCH(1, (CourseRatings[Course]=C624)*(CourseRatings[Tees]=E624), 0),
  MATCH(G624, CourseRatings[[#Headers],[Hole 1]:[Hole 18]], 0)
),"")</f>
        <v>3</v>
      </c>
      <c r="L624" cm="1">
        <f t="array" ref="L624">IFERROR(
  INDEX('Golf Log'!$E$2:$V$72,
    MATCH(1,
      ('Golf Log'!$A$2:$A$72=$A624)*
      ('Golf Log'!$B$2:$B$72=$B624)*
      ('Golf Log'!$C$2:$C$72=$C624),
    0),
    MATCH($G624,'Golf Log'!$E$1:$V$1,0)
  ),
"")</f>
        <v>4</v>
      </c>
      <c r="M624">
        <f t="shared" si="29"/>
        <v>1</v>
      </c>
      <c r="N624" t="str">
        <f t="shared" si="30"/>
        <v>Bogey</v>
      </c>
      <c r="O624" cm="1">
        <f t="array" ref="O624">IFERROR(
  INDEX('Putt Log'!$E$2:$V$72,
    MATCH(1,
      ('Putt Log'!$A$2:$A$72=$A624)*
      ('Putt Log'!$B$2:$B$72=$B624)*
      ('Putt Log'!$C$2:$C$72=$C624),
    0),
    MATCH($G624,'Putt Log'!$E$1:$V$1,0)
  ),
"")</f>
        <v>2</v>
      </c>
      <c r="P624" t="str" cm="1">
        <f t="array" ref="P624">IF(K624=3,"",
  IFERROR(
    INDEX('Fairway Log'!$E$2:$V$72,
      MATCH(1,
        ('Fairway Log'!$A$2:$A$72=$A624)*
        ('Fairway Log'!$B$2:$B$72=$B624)*
        ('Fairway Log'!$C$2:$C695=$C624),
      0),
      MATCH($G624,'Fairway Log'!$E$1:$V$1,0)
    ),
  "")
)</f>
        <v/>
      </c>
      <c r="Q624" t="str" cm="1">
        <f t="array" ref="Q624">IFERROR(
  INDEX('GIR Log'!$E$2:$V$72,
    MATCH(1,
      ('GIR Log'!$A$2:$A$72=$A624)*
      ('GIR Log'!$B$2:$B$72=$B624)*
      ('GIR Log'!$C$2:$C$72=$C624),
    0),
    MATCH($G624,'GIR Log'!$E$1:$V$1,0)
  ),
"")</f>
        <v>→</v>
      </c>
    </row>
    <row r="625" spans="1:17" x14ac:dyDescent="0.25">
      <c r="A625" s="20" t="s">
        <v>126</v>
      </c>
      <c r="B625" s="2">
        <v>45844</v>
      </c>
      <c r="C625" s="12" t="s">
        <v>3</v>
      </c>
      <c r="D625" s="12" t="s">
        <v>3</v>
      </c>
      <c r="E625" s="12" t="s">
        <v>36</v>
      </c>
      <c r="F625">
        <v>79</v>
      </c>
      <c r="G625" s="12" t="s">
        <v>58</v>
      </c>
      <c r="H625" s="9">
        <f t="shared" si="27"/>
        <v>12</v>
      </c>
      <c r="I625" cm="1">
        <f t="array" ref="I625">IFERROR(INDEX(CourseYardages[[Hole 1]:[Hole 18]],
  MATCH(1, (CourseYardages[Course]=C625)*(CourseYardages[Tees]=E625), 0),
  MATCH(G625, CourseYardages[[#Headers],[Hole 1]:[Hole 18]], 0)
),"")</f>
        <v>279</v>
      </c>
      <c r="J625" cm="1">
        <f t="array" ref="J625">IFERROR(INDEX(CourseHandicap[[Hole 1]:[Hole 18]],
  MATCH(1, (CourseHandicap[Course]=C625)*(CourseHandicap[Tees]=E625), 0),
  MATCH(G625, CourseHandicap[[#Headers],[Hole 1]:[Hole 18]], 0)
),"")</f>
        <v>18</v>
      </c>
      <c r="K625" cm="1">
        <f t="array" ref="K625">IFERROR(INDEX(CourseRatings[[Hole 1]:[Hole 18]],
  MATCH(1, (CourseRatings[Course]=C625)*(CourseRatings[Tees]=E625), 0),
  MATCH(G625, CourseRatings[[#Headers],[Hole 1]:[Hole 18]], 0)
),"")</f>
        <v>4</v>
      </c>
      <c r="L625" cm="1">
        <f t="array" ref="L625">IFERROR(
  INDEX('Golf Log'!$E$2:$V$72,
    MATCH(1,
      ('Golf Log'!$A$2:$A$72=$A625)*
      ('Golf Log'!$B$2:$B$72=$B625)*
      ('Golf Log'!$C$2:$C$72=$C625),
    0),
    MATCH($G625,'Golf Log'!$E$1:$V$1,0)
  ),
"")</f>
        <v>4</v>
      </c>
      <c r="M625">
        <f t="shared" si="29"/>
        <v>0</v>
      </c>
      <c r="N625" t="str">
        <f t="shared" si="30"/>
        <v>Par</v>
      </c>
      <c r="O625" cm="1">
        <f t="array" ref="O625">IFERROR(
  INDEX('Putt Log'!$E$2:$V$72,
    MATCH(1,
      ('Putt Log'!$A$2:$A$72=$A625)*
      ('Putt Log'!$B$2:$B$72=$B625)*
      ('Putt Log'!$C$2:$C$72=$C625),
    0),
    MATCH($G625,'Putt Log'!$E$1:$V$1,0)
  ),
"")</f>
        <v>2</v>
      </c>
      <c r="P625" cm="1">
        <f t="array" ref="P625">IF(K625=3,"",
  IFERROR(
    INDEX('Fairway Log'!$E$2:$V$72,
      MATCH(1,
        ('Fairway Log'!$A$2:$A$72=$A625)*
        ('Fairway Log'!$B$2:$B$72=$B625)*
        ('Fairway Log'!$C$2:$C696=$C625),
      0),
      MATCH($G625,'Fairway Log'!$E$1:$V$1,0)
    ),
  "")
)</f>
        <v>1</v>
      </c>
      <c r="Q625" cm="1">
        <f t="array" ref="Q625">IFERROR(
  INDEX('GIR Log'!$E$2:$V$72,
    MATCH(1,
      ('GIR Log'!$A$2:$A$72=$A625)*
      ('GIR Log'!$B$2:$B$72=$B625)*
      ('GIR Log'!$C$2:$C$72=$C625),
    0),
    MATCH($G625,'GIR Log'!$E$1:$V$1,0)
  ),
"")</f>
        <v>1</v>
      </c>
    </row>
    <row r="626" spans="1:17" x14ac:dyDescent="0.25">
      <c r="A626" s="20" t="s">
        <v>126</v>
      </c>
      <c r="B626" s="2">
        <v>45844</v>
      </c>
      <c r="C626" s="12" t="s">
        <v>3</v>
      </c>
      <c r="D626" s="12" t="s">
        <v>3</v>
      </c>
      <c r="E626" s="12" t="s">
        <v>36</v>
      </c>
      <c r="F626">
        <v>79</v>
      </c>
      <c r="G626" s="12" t="s">
        <v>59</v>
      </c>
      <c r="H626" s="9">
        <f t="shared" si="27"/>
        <v>13</v>
      </c>
      <c r="I626" cm="1">
        <f t="array" ref="I626">IFERROR(INDEX(CourseYardages[[Hole 1]:[Hole 18]],
  MATCH(1, (CourseYardages[Course]=C626)*(CourseYardages[Tees]=E626), 0),
  MATCH(G626, CourseYardages[[#Headers],[Hole 1]:[Hole 18]], 0)
),"")</f>
        <v>553</v>
      </c>
      <c r="J626" cm="1">
        <f t="array" ref="J626">IFERROR(INDEX(CourseHandicap[[Hole 1]:[Hole 18]],
  MATCH(1, (CourseHandicap[Course]=C626)*(CourseHandicap[Tees]=E626), 0),
  MATCH(G626, CourseHandicap[[#Headers],[Hole 1]:[Hole 18]], 0)
),"")</f>
        <v>2</v>
      </c>
      <c r="K626" cm="1">
        <f t="array" ref="K626">IFERROR(INDEX(CourseRatings[[Hole 1]:[Hole 18]],
  MATCH(1, (CourseRatings[Course]=C626)*(CourseRatings[Tees]=E626), 0),
  MATCH(G626, CourseRatings[[#Headers],[Hole 1]:[Hole 18]], 0)
),"")</f>
        <v>5</v>
      </c>
      <c r="L626" cm="1">
        <f t="array" ref="L626">IFERROR(
  INDEX('Golf Log'!$E$2:$V$72,
    MATCH(1,
      ('Golf Log'!$A$2:$A$72=$A626)*
      ('Golf Log'!$B$2:$B$72=$B626)*
      ('Golf Log'!$C$2:$C$72=$C626),
    0),
    MATCH($G626,'Golf Log'!$E$1:$V$1,0)
  ),
"")</f>
        <v>6</v>
      </c>
      <c r="M626">
        <f t="shared" si="29"/>
        <v>1</v>
      </c>
      <c r="N626" t="str">
        <f t="shared" si="30"/>
        <v>Bogey</v>
      </c>
      <c r="O626" cm="1">
        <f t="array" ref="O626">IFERROR(
  INDEX('Putt Log'!$E$2:$V$72,
    MATCH(1,
      ('Putt Log'!$A$2:$A$72=$A626)*
      ('Putt Log'!$B$2:$B$72=$B626)*
      ('Putt Log'!$C$2:$C$72=$C626),
    0),
    MATCH($G626,'Putt Log'!$E$1:$V$1,0)
  ),
"")</f>
        <v>2</v>
      </c>
      <c r="P626" t="str" cm="1">
        <f t="array" ref="P626">IF(K626=3,"",
  IFERROR(
    INDEX('Fairway Log'!$E$2:$V$72,
      MATCH(1,
        ('Fairway Log'!$A$2:$A$72=$A626)*
        ('Fairway Log'!$B$2:$B$72=$B626)*
        ('Fairway Log'!$C$2:$C697=$C626),
      0),
      MATCH($G626,'Fairway Log'!$E$1:$V$1,0)
    ),
  "")
)</f>
        <v>→</v>
      </c>
      <c r="Q626" t="str" cm="1">
        <f t="array" ref="Q626">IFERROR(
  INDEX('GIR Log'!$E$2:$V$72,
    MATCH(1,
      ('GIR Log'!$A$2:$A$72=$A626)*
      ('GIR Log'!$B$2:$B$72=$B626)*
      ('GIR Log'!$C$2:$C$72=$C626),
    0),
    MATCH($G626,'GIR Log'!$E$1:$V$1,0)
  ),
"")</f>
        <v>↓</v>
      </c>
    </row>
    <row r="627" spans="1:17" x14ac:dyDescent="0.25">
      <c r="A627" s="20" t="s">
        <v>126</v>
      </c>
      <c r="B627" s="2">
        <v>45844</v>
      </c>
      <c r="C627" s="12" t="s">
        <v>3</v>
      </c>
      <c r="D627" s="12" t="s">
        <v>3</v>
      </c>
      <c r="E627" s="12" t="s">
        <v>36</v>
      </c>
      <c r="F627">
        <v>79</v>
      </c>
      <c r="G627" s="12" t="s">
        <v>60</v>
      </c>
      <c r="H627" s="9">
        <f t="shared" si="27"/>
        <v>14</v>
      </c>
      <c r="I627" cm="1">
        <f t="array" ref="I627">IFERROR(INDEX(CourseYardages[[Hole 1]:[Hole 18]],
  MATCH(1, (CourseYardages[Course]=C627)*(CourseYardages[Tees]=E627), 0),
  MATCH(G627, CourseYardages[[#Headers],[Hole 1]:[Hole 18]], 0)
),"")</f>
        <v>352</v>
      </c>
      <c r="J627" cm="1">
        <f t="array" ref="J627">IFERROR(INDEX(CourseHandicap[[Hole 1]:[Hole 18]],
  MATCH(1, (CourseHandicap[Course]=C627)*(CourseHandicap[Tees]=E627), 0),
  MATCH(G627, CourseHandicap[[#Headers],[Hole 1]:[Hole 18]], 0)
),"")</f>
        <v>14</v>
      </c>
      <c r="K627" cm="1">
        <f t="array" ref="K627">IFERROR(INDEX(CourseRatings[[Hole 1]:[Hole 18]],
  MATCH(1, (CourseRatings[Course]=C627)*(CourseRatings[Tees]=E627), 0),
  MATCH(G627, CourseRatings[[#Headers],[Hole 1]:[Hole 18]], 0)
),"")</f>
        <v>4</v>
      </c>
      <c r="L627" cm="1">
        <f t="array" ref="L627">IFERROR(
  INDEX('Golf Log'!$E$2:$V$72,
    MATCH(1,
      ('Golf Log'!$A$2:$A$72=$A627)*
      ('Golf Log'!$B$2:$B$72=$B627)*
      ('Golf Log'!$C$2:$C$72=$C627),
    0),
    MATCH($G627,'Golf Log'!$E$1:$V$1,0)
  ),
"")</f>
        <v>5</v>
      </c>
      <c r="M627">
        <f t="shared" si="29"/>
        <v>1</v>
      </c>
      <c r="N627" t="str">
        <f t="shared" si="30"/>
        <v>Bogey</v>
      </c>
      <c r="O627" cm="1">
        <f t="array" ref="O627">IFERROR(
  INDEX('Putt Log'!$E$2:$V$72,
    MATCH(1,
      ('Putt Log'!$A$2:$A$72=$A627)*
      ('Putt Log'!$B$2:$B$72=$B627)*
      ('Putt Log'!$C$2:$C$72=$C627),
    0),
    MATCH($G627,'Putt Log'!$E$1:$V$1,0)
  ),
"")</f>
        <v>2</v>
      </c>
      <c r="P627" t="str" cm="1">
        <f t="array" ref="P627">IF(K627=3,"",
  IFERROR(
    INDEX('Fairway Log'!$E$2:$V$72,
      MATCH(1,
        ('Fairway Log'!$A$2:$A$72=$A627)*
        ('Fairway Log'!$B$2:$B$72=$B627)*
        ('Fairway Log'!$C$2:$C698=$C627),
      0),
      MATCH($G627,'Fairway Log'!$E$1:$V$1,0)
    ),
  "")
)</f>
        <v>→</v>
      </c>
      <c r="Q627" t="str" cm="1">
        <f t="array" ref="Q627">IFERROR(
  INDEX('GIR Log'!$E$2:$V$72,
    MATCH(1,
      ('GIR Log'!$A$2:$A$72=$A627)*
      ('GIR Log'!$B$2:$B$72=$B627)*
      ('GIR Log'!$C$2:$C$72=$C627),
    0),
    MATCH($G627,'GIR Log'!$E$1:$V$1,0)
  ),
"")</f>
        <v>↑</v>
      </c>
    </row>
    <row r="628" spans="1:17" x14ac:dyDescent="0.25">
      <c r="A628" s="20" t="s">
        <v>126</v>
      </c>
      <c r="B628" s="2">
        <v>45844</v>
      </c>
      <c r="C628" s="12" t="s">
        <v>3</v>
      </c>
      <c r="D628" s="12" t="s">
        <v>3</v>
      </c>
      <c r="E628" s="12" t="s">
        <v>36</v>
      </c>
      <c r="F628">
        <v>79</v>
      </c>
      <c r="G628" s="12" t="s">
        <v>61</v>
      </c>
      <c r="H628" s="9">
        <f t="shared" si="27"/>
        <v>15</v>
      </c>
      <c r="I628" cm="1">
        <f t="array" ref="I628">IFERROR(INDEX(CourseYardages[[Hole 1]:[Hole 18]],
  MATCH(1, (CourseYardages[Course]=C628)*(CourseYardages[Tees]=E628), 0),
  MATCH(G628, CourseYardages[[#Headers],[Hole 1]:[Hole 18]], 0)
),"")</f>
        <v>165</v>
      </c>
      <c r="J628" cm="1">
        <f t="array" ref="J628">IFERROR(INDEX(CourseHandicap[[Hole 1]:[Hole 18]],
  MATCH(1, (CourseHandicap[Course]=C628)*(CourseHandicap[Tees]=E628), 0),
  MATCH(G628, CourseHandicap[[#Headers],[Hole 1]:[Hole 18]], 0)
),"")</f>
        <v>8</v>
      </c>
      <c r="K628" cm="1">
        <f t="array" ref="K628">IFERROR(INDEX(CourseRatings[[Hole 1]:[Hole 18]],
  MATCH(1, (CourseRatings[Course]=C628)*(CourseRatings[Tees]=E628), 0),
  MATCH(G628, CourseRatings[[#Headers],[Hole 1]:[Hole 18]], 0)
),"")</f>
        <v>3</v>
      </c>
      <c r="L628" cm="1">
        <f t="array" ref="L628">IFERROR(
  INDEX('Golf Log'!$E$2:$V$72,
    MATCH(1,
      ('Golf Log'!$A$2:$A$72=$A628)*
      ('Golf Log'!$B$2:$B$72=$B628)*
      ('Golf Log'!$C$2:$C$72=$C628),
    0),
    MATCH($G628,'Golf Log'!$E$1:$V$1,0)
  ),
"")</f>
        <v>4</v>
      </c>
      <c r="M628">
        <f t="shared" si="29"/>
        <v>1</v>
      </c>
      <c r="N628" t="str">
        <f t="shared" si="30"/>
        <v>Bogey</v>
      </c>
      <c r="O628" cm="1">
        <f t="array" ref="O628">IFERROR(
  INDEX('Putt Log'!$E$2:$V$72,
    MATCH(1,
      ('Putt Log'!$A$2:$A$72=$A628)*
      ('Putt Log'!$B$2:$B$72=$B628)*
      ('Putt Log'!$C$2:$C$72=$C628),
    0),
    MATCH($G628,'Putt Log'!$E$1:$V$1,0)
  ),
"")</f>
        <v>1</v>
      </c>
      <c r="P628" t="str" cm="1">
        <f t="array" ref="P628">IF(K628=3,"",
  IFERROR(
    INDEX('Fairway Log'!$E$2:$V$72,
      MATCH(1,
        ('Fairway Log'!$A$2:$A$72=$A628)*
        ('Fairway Log'!$B$2:$B$72=$B628)*
        ('Fairway Log'!$C$2:$C699=$C628),
      0),
      MATCH($G628,'Fairway Log'!$E$1:$V$1,0)
    ),
  "")
)</f>
        <v/>
      </c>
      <c r="Q628" t="str" cm="1">
        <f t="array" ref="Q628">IFERROR(
  INDEX('GIR Log'!$E$2:$V$72,
    MATCH(1,
      ('GIR Log'!$A$2:$A$72=$A628)*
      ('GIR Log'!$B$2:$B$72=$B628)*
      ('GIR Log'!$C$2:$C$72=$C628),
    0),
    MATCH($G628,'GIR Log'!$E$1:$V$1,0)
  ),
"")</f>
        <v>←</v>
      </c>
    </row>
    <row r="629" spans="1:17" x14ac:dyDescent="0.25">
      <c r="A629" s="20" t="s">
        <v>126</v>
      </c>
      <c r="B629" s="2">
        <v>45844</v>
      </c>
      <c r="C629" s="12" t="s">
        <v>3</v>
      </c>
      <c r="D629" s="12" t="s">
        <v>3</v>
      </c>
      <c r="E629" s="12" t="s">
        <v>36</v>
      </c>
      <c r="F629">
        <v>79</v>
      </c>
      <c r="G629" s="12" t="s">
        <v>62</v>
      </c>
      <c r="H629" s="9">
        <f t="shared" si="27"/>
        <v>16</v>
      </c>
      <c r="I629" cm="1">
        <f t="array" ref="I629">IFERROR(INDEX(CourseYardages[[Hole 1]:[Hole 18]],
  MATCH(1, (CourseYardages[Course]=C629)*(CourseYardages[Tees]=E629), 0),
  MATCH(G629, CourseYardages[[#Headers],[Hole 1]:[Hole 18]], 0)
),"")</f>
        <v>343</v>
      </c>
      <c r="J629" cm="1">
        <f t="array" ref="J629">IFERROR(INDEX(CourseHandicap[[Hole 1]:[Hole 18]],
  MATCH(1, (CourseHandicap[Course]=C629)*(CourseHandicap[Tees]=E629), 0),
  MATCH(G629, CourseHandicap[[#Headers],[Hole 1]:[Hole 18]], 0)
),"")</f>
        <v>10</v>
      </c>
      <c r="K629" cm="1">
        <f t="array" ref="K629">IFERROR(INDEX(CourseRatings[[Hole 1]:[Hole 18]],
  MATCH(1, (CourseRatings[Course]=C629)*(CourseRatings[Tees]=E629), 0),
  MATCH(G629, CourseRatings[[#Headers],[Hole 1]:[Hole 18]], 0)
),"")</f>
        <v>4</v>
      </c>
      <c r="L629" cm="1">
        <f t="array" ref="L629">IFERROR(
  INDEX('Golf Log'!$E$2:$V$72,
    MATCH(1,
      ('Golf Log'!$A$2:$A$72=$A629)*
      ('Golf Log'!$B$2:$B$72=$B629)*
      ('Golf Log'!$C$2:$C$72=$C629),
    0),
    MATCH($G629,'Golf Log'!$E$1:$V$1,0)
  ),
"")</f>
        <v>5</v>
      </c>
      <c r="M629">
        <f t="shared" si="29"/>
        <v>1</v>
      </c>
      <c r="N629" t="str">
        <f t="shared" si="30"/>
        <v>Bogey</v>
      </c>
      <c r="O629" cm="1">
        <f t="array" ref="O629">IFERROR(
  INDEX('Putt Log'!$E$2:$V$72,
    MATCH(1,
      ('Putt Log'!$A$2:$A$72=$A629)*
      ('Putt Log'!$B$2:$B$72=$B629)*
      ('Putt Log'!$C$2:$C$72=$C629),
    0),
    MATCH($G629,'Putt Log'!$E$1:$V$1,0)
  ),
"")</f>
        <v>2</v>
      </c>
      <c r="P629" t="str" cm="1">
        <f t="array" ref="P629">IF(K629=3,"",
  IFERROR(
    INDEX('Fairway Log'!$E$2:$V$72,
      MATCH(1,
        ('Fairway Log'!$A$2:$A$72=$A629)*
        ('Fairway Log'!$B$2:$B$72=$B629)*
        ('Fairway Log'!$C$2:$C700=$C629),
      0),
      MATCH($G629,'Fairway Log'!$E$1:$V$1,0)
    ),
  "")
)</f>
        <v>←</v>
      </c>
      <c r="Q629" t="str" cm="1">
        <f t="array" ref="Q629">IFERROR(
  INDEX('GIR Log'!$E$2:$V$72,
    MATCH(1,
      ('GIR Log'!$A$2:$A$72=$A629)*
      ('GIR Log'!$B$2:$B$72=$B629)*
      ('GIR Log'!$C$2:$C$72=$C629),
    0),
    MATCH($G629,'GIR Log'!$E$1:$V$1,0)
  ),
"")</f>
        <v>↓</v>
      </c>
    </row>
    <row r="630" spans="1:17" x14ac:dyDescent="0.25">
      <c r="A630" s="20" t="s">
        <v>126</v>
      </c>
      <c r="B630" s="2">
        <v>45844</v>
      </c>
      <c r="C630" s="12" t="s">
        <v>3</v>
      </c>
      <c r="D630" s="12" t="s">
        <v>3</v>
      </c>
      <c r="E630" s="12" t="s">
        <v>36</v>
      </c>
      <c r="F630">
        <v>79</v>
      </c>
      <c r="G630" s="12" t="s">
        <v>63</v>
      </c>
      <c r="H630" s="9">
        <f t="shared" si="27"/>
        <v>17</v>
      </c>
      <c r="I630" cm="1">
        <f t="array" ref="I630">IFERROR(INDEX(CourseYardages[[Hole 1]:[Hole 18]],
  MATCH(1, (CourseYardages[Course]=C630)*(CourseYardages[Tees]=E630), 0),
  MATCH(G630, CourseYardages[[#Headers],[Hole 1]:[Hole 18]], 0)
),"")</f>
        <v>408</v>
      </c>
      <c r="J630" cm="1">
        <f t="array" ref="J630">IFERROR(INDEX(CourseHandicap[[Hole 1]:[Hole 18]],
  MATCH(1, (CourseHandicap[Course]=C630)*(CourseHandicap[Tees]=E630), 0),
  MATCH(G630, CourseHandicap[[#Headers],[Hole 1]:[Hole 18]], 0)
),"")</f>
        <v>4</v>
      </c>
      <c r="K630" cm="1">
        <f t="array" ref="K630">IFERROR(INDEX(CourseRatings[[Hole 1]:[Hole 18]],
  MATCH(1, (CourseRatings[Course]=C630)*(CourseRatings[Tees]=E630), 0),
  MATCH(G630, CourseRatings[[#Headers],[Hole 1]:[Hole 18]], 0)
),"")</f>
        <v>4</v>
      </c>
      <c r="L630" cm="1">
        <f t="array" ref="L630">IFERROR(
  INDEX('Golf Log'!$E$2:$V$72,
    MATCH(1,
      ('Golf Log'!$A$2:$A$72=$A630)*
      ('Golf Log'!$B$2:$B$72=$B630)*
      ('Golf Log'!$C$2:$C$72=$C630),
    0),
    MATCH($G630,'Golf Log'!$E$1:$V$1,0)
  ),
"")</f>
        <v>4</v>
      </c>
      <c r="M630">
        <f t="shared" si="29"/>
        <v>0</v>
      </c>
      <c r="N630" t="str">
        <f t="shared" si="30"/>
        <v>Par</v>
      </c>
      <c r="O630" cm="1">
        <f t="array" ref="O630">IFERROR(
  INDEX('Putt Log'!$E$2:$V$72,
    MATCH(1,
      ('Putt Log'!$A$2:$A$72=$A630)*
      ('Putt Log'!$B$2:$B$72=$B630)*
      ('Putt Log'!$C$2:$C$72=$C630),
    0),
    MATCH($G630,'Putt Log'!$E$1:$V$1,0)
  ),
"")</f>
        <v>2</v>
      </c>
      <c r="P630" t="str" cm="1">
        <f t="array" ref="P630">IF(K630=3,"",
  IFERROR(
    INDEX('Fairway Log'!$E$2:$V$72,
      MATCH(1,
        ('Fairway Log'!$A$2:$A$72=$A630)*
        ('Fairway Log'!$B$2:$B$72=$B630)*
        ('Fairway Log'!$C$2:$C701=$C630),
      0),
      MATCH($G630,'Fairway Log'!$E$1:$V$1,0)
    ),
  "")
)</f>
        <v>→</v>
      </c>
      <c r="Q630" cm="1">
        <f t="array" ref="Q630">IFERROR(
  INDEX('GIR Log'!$E$2:$V$72,
    MATCH(1,
      ('GIR Log'!$A$2:$A$72=$A630)*
      ('GIR Log'!$B$2:$B$72=$B630)*
      ('GIR Log'!$C$2:$C$72=$C630),
    0),
    MATCH($G630,'GIR Log'!$E$1:$V$1,0)
  ),
"")</f>
        <v>1</v>
      </c>
    </row>
    <row r="631" spans="1:17" x14ac:dyDescent="0.25">
      <c r="A631" s="20" t="s">
        <v>126</v>
      </c>
      <c r="B631" s="2">
        <v>45844</v>
      </c>
      <c r="C631" s="12" t="s">
        <v>3</v>
      </c>
      <c r="D631" s="12" t="s">
        <v>3</v>
      </c>
      <c r="E631" s="12" t="s">
        <v>36</v>
      </c>
      <c r="F631">
        <v>79</v>
      </c>
      <c r="G631" s="12" t="s">
        <v>64</v>
      </c>
      <c r="H631" s="9">
        <f t="shared" si="27"/>
        <v>18</v>
      </c>
      <c r="I631" cm="1">
        <f t="array" ref="I631">IFERROR(INDEX(CourseYardages[[Hole 1]:[Hole 18]],
  MATCH(1, (CourseYardages[Course]=C631)*(CourseYardages[Tees]=E631), 0),
  MATCH(G631, CourseYardages[[#Headers],[Hole 1]:[Hole 18]], 0)
),"")</f>
        <v>386</v>
      </c>
      <c r="J631" cm="1">
        <f t="array" ref="J631">IFERROR(INDEX(CourseHandicap[[Hole 1]:[Hole 18]],
  MATCH(1, (CourseHandicap[Course]=C631)*(CourseHandicap[Tees]=E631), 0),
  MATCH(G631, CourseHandicap[[#Headers],[Hole 1]:[Hole 18]], 0)
),"")</f>
        <v>6</v>
      </c>
      <c r="K631" cm="1">
        <f t="array" ref="K631">IFERROR(INDEX(CourseRatings[[Hole 1]:[Hole 18]],
  MATCH(1, (CourseRatings[Course]=C631)*(CourseRatings[Tees]=E631), 0),
  MATCH(G631, CourseRatings[[#Headers],[Hole 1]:[Hole 18]], 0)
),"")</f>
        <v>4</v>
      </c>
      <c r="L631" cm="1">
        <f t="array" ref="L631">IFERROR(
  INDEX('Golf Log'!$E$2:$V$72,
    MATCH(1,
      ('Golf Log'!$A$2:$A$72=$A631)*
      ('Golf Log'!$B$2:$B$72=$B631)*
      ('Golf Log'!$C$2:$C$72=$C631),
    0),
    MATCH($G631,'Golf Log'!$E$1:$V$1,0)
  ),
"")</f>
        <v>4</v>
      </c>
      <c r="M631">
        <f t="shared" si="29"/>
        <v>0</v>
      </c>
      <c r="N631" t="str">
        <f t="shared" si="30"/>
        <v>Par</v>
      </c>
      <c r="O631" cm="1">
        <f t="array" ref="O631">IFERROR(
  INDEX('Putt Log'!$E$2:$V$72,
    MATCH(1,
      ('Putt Log'!$A$2:$A$72=$A631)*
      ('Putt Log'!$B$2:$B$72=$B631)*
      ('Putt Log'!$C$2:$C$72=$C631),
    0),
    MATCH($G631,'Putt Log'!$E$1:$V$1,0)
  ),
"")</f>
        <v>2</v>
      </c>
      <c r="P631" cm="1">
        <f t="array" ref="P631">IF(K631=3,"",
  IFERROR(
    INDEX('Fairway Log'!$E$2:$V$72,
      MATCH(1,
        ('Fairway Log'!$A$2:$A$72=$A631)*
        ('Fairway Log'!$B$2:$B$72=$B631)*
        ('Fairway Log'!$C$2:$C702=$C631),
      0),
      MATCH($G631,'Fairway Log'!$E$1:$V$1,0)
    ),
  "")
)</f>
        <v>1</v>
      </c>
      <c r="Q631" cm="1">
        <f t="array" ref="Q631">IFERROR(
  INDEX('GIR Log'!$E$2:$V$72,
    MATCH(1,
      ('GIR Log'!$A$2:$A$72=$A631)*
      ('GIR Log'!$B$2:$B$72=$B631)*
      ('GIR Log'!$C$2:$C$72=$C631),
    0),
    MATCH($G631,'GIR Log'!$E$1:$V$1,0)
  ),
"")</f>
        <v>1</v>
      </c>
    </row>
    <row r="632" spans="1:17" x14ac:dyDescent="0.25">
      <c r="A632" s="20" t="s">
        <v>126</v>
      </c>
      <c r="B632" s="2">
        <v>45857</v>
      </c>
      <c r="C632" s="12" t="s">
        <v>3</v>
      </c>
      <c r="D632" s="12" t="s">
        <v>3</v>
      </c>
      <c r="E632" s="12" t="s">
        <v>36</v>
      </c>
      <c r="F632">
        <v>75</v>
      </c>
      <c r="G632" t="s">
        <v>47</v>
      </c>
      <c r="H632" s="9">
        <f t="shared" si="27"/>
        <v>1</v>
      </c>
      <c r="I632" cm="1">
        <f t="array" ref="I632">IFERROR(INDEX(CourseYardages[[Hole 1]:[Hole 18]],
  MATCH(1, (CourseYardages[Course]=C632)*(CourseYardages[Tees]=E632), 0),
  MATCH(G632, CourseYardages[[#Headers],[Hole 1]:[Hole 18]], 0)
),"")</f>
        <v>345</v>
      </c>
      <c r="J632" cm="1">
        <f t="array" ref="J632">IFERROR(INDEX(CourseHandicap[[Hole 1]:[Hole 18]],
  MATCH(1, (CourseHandicap[Course]=C632)*(CourseHandicap[Tees]=E632), 0),
  MATCH(G632, CourseHandicap[[#Headers],[Hole 1]:[Hole 18]], 0)
),"")</f>
        <v>15</v>
      </c>
      <c r="K632" cm="1">
        <f t="array" ref="K632">IFERROR(INDEX(CourseRatings[[Hole 1]:[Hole 18]],
  MATCH(1, (CourseRatings[Course]=C632)*(CourseRatings[Tees]=E632), 0),
  MATCH(G632, CourseRatings[[#Headers],[Hole 1]:[Hole 18]], 0)
),"")</f>
        <v>4</v>
      </c>
      <c r="L632" cm="1">
        <f t="array" ref="L632">IFERROR(
  INDEX('Golf Log'!$E$2:$V$72,
    MATCH(1,
      ('Golf Log'!$A$2:$A$72=$A632)*
      ('Golf Log'!$B$2:$B$72=$B632)*
      ('Golf Log'!$C$2:$C$72=$C632),
    0),
    MATCH($G632,'Golf Log'!$E$1:$V$1,0)
  ),
"")</f>
        <v>4</v>
      </c>
      <c r="M632">
        <f t="shared" ref="M632:M649" si="31">IFERROR(L632-K632,"")</f>
        <v>0</v>
      </c>
      <c r="N632" t="str">
        <f t="shared" ref="N632:N649" si="32">IF(M632="","",(IF(M632=-2,"Eagle",IF(M632=-1,"Birdie",IF(M632=0,"Par",IF(M632=1,"Bogey",IF(M632=2,"Double Bogey",IF(M632=3,"Triple Bogey",IF(M632&gt;3,"Quad Bogey+")))))))))</f>
        <v>Par</v>
      </c>
      <c r="O632" cm="1">
        <f t="array" ref="O632">IFERROR(
  INDEX('Putt Log'!$E$2:$V$72,
    MATCH(1,
      ('Putt Log'!$A$2:$A$72=$A632)*
      ('Putt Log'!$B$2:$B$72=$B632)*
      ('Putt Log'!$C$2:$C$72=$C632),
    0),
    MATCH($G632,'Putt Log'!$E$1:$V$1,0)
  ),
"")</f>
        <v>2</v>
      </c>
      <c r="P632" cm="1">
        <f t="array" ref="P632">IF(K632=3,"",
  IFERROR(
    INDEX('Fairway Log'!$E$2:$V$72,
      MATCH(1,
        ('Fairway Log'!$A$2:$A$72=$A632)*
        ('Fairway Log'!$B$2:$B$72=$B632)*
        ('Fairway Log'!$C$2:$C703=$C632),
      0),
      MATCH($G632,'Fairway Log'!$E$1:$V$1,0)
    ),
  "")
)</f>
        <v>1</v>
      </c>
      <c r="Q632" cm="1">
        <f t="array" ref="Q632">IFERROR(
  INDEX('GIR Log'!$E$2:$V$72,
    MATCH(1,
      ('GIR Log'!$A$2:$A$72=$A632)*
      ('GIR Log'!$B$2:$B$72=$B632)*
      ('GIR Log'!$C$2:$C$72=$C632),
    0),
    MATCH($G632,'GIR Log'!$E$1:$V$1,0)
  ),
"")</f>
        <v>1</v>
      </c>
    </row>
    <row r="633" spans="1:17" x14ac:dyDescent="0.25">
      <c r="A633" s="20" t="s">
        <v>126</v>
      </c>
      <c r="B633" s="2">
        <v>45857</v>
      </c>
      <c r="C633" s="12" t="s">
        <v>3</v>
      </c>
      <c r="D633" s="12" t="s">
        <v>3</v>
      </c>
      <c r="E633" s="12" t="s">
        <v>36</v>
      </c>
      <c r="F633">
        <v>75</v>
      </c>
      <c r="G633" t="s">
        <v>48</v>
      </c>
      <c r="H633" s="9">
        <f t="shared" si="27"/>
        <v>2</v>
      </c>
      <c r="I633" cm="1">
        <f t="array" ref="I633">IFERROR(INDEX(CourseYardages[[Hole 1]:[Hole 18]],
  MATCH(1, (CourseYardages[Course]=C633)*(CourseYardages[Tees]=E633), 0),
  MATCH(G633, CourseYardages[[#Headers],[Hole 1]:[Hole 18]], 0)
),"")</f>
        <v>367</v>
      </c>
      <c r="J633" cm="1">
        <f t="array" ref="J633">IFERROR(INDEX(CourseHandicap[[Hole 1]:[Hole 18]],
  MATCH(1, (CourseHandicap[Course]=C633)*(CourseHandicap[Tees]=E633), 0),
  MATCH(G633, CourseHandicap[[#Headers],[Hole 1]:[Hole 18]], 0)
),"")</f>
        <v>3</v>
      </c>
      <c r="K633" cm="1">
        <f t="array" ref="K633">IFERROR(INDEX(CourseRatings[[Hole 1]:[Hole 18]],
  MATCH(1, (CourseRatings[Course]=C633)*(CourseRatings[Tees]=E633), 0),
  MATCH(G633, CourseRatings[[#Headers],[Hole 1]:[Hole 18]], 0)
),"")</f>
        <v>4</v>
      </c>
      <c r="L633" cm="1">
        <f t="array" ref="L633">IFERROR(
  INDEX('Golf Log'!$E$2:$V$72,
    MATCH(1,
      ('Golf Log'!$A$2:$A$72=$A633)*
      ('Golf Log'!$B$2:$B$72=$B633)*
      ('Golf Log'!$C$2:$C$72=$C633),
    0),
    MATCH($G633,'Golf Log'!$E$1:$V$1,0)
  ),
"")</f>
        <v>4</v>
      </c>
      <c r="M633">
        <f t="shared" si="31"/>
        <v>0</v>
      </c>
      <c r="N633" t="str">
        <f t="shared" si="32"/>
        <v>Par</v>
      </c>
      <c r="O633" cm="1">
        <f t="array" ref="O633">IFERROR(
  INDEX('Putt Log'!$E$2:$V$72,
    MATCH(1,
      ('Putt Log'!$A$2:$A$72=$A633)*
      ('Putt Log'!$B$2:$B$72=$B633)*
      ('Putt Log'!$C$2:$C$72=$C633),
    0),
    MATCH($G633,'Putt Log'!$E$1:$V$1,0)
  ),
"")</f>
        <v>2</v>
      </c>
      <c r="P633" cm="1">
        <f t="array" ref="P633">IF(K633=3,"",
  IFERROR(
    INDEX('Fairway Log'!$E$2:$V$72,
      MATCH(1,
        ('Fairway Log'!$A$2:$A$72=$A633)*
        ('Fairway Log'!$B$2:$B$72=$B633)*
        ('Fairway Log'!$C$2:$C704=$C633),
      0),
      MATCH($G633,'Fairway Log'!$E$1:$V$1,0)
    ),
  "")
)</f>
        <v>1</v>
      </c>
      <c r="Q633" cm="1">
        <f t="array" ref="Q633">IFERROR(
  INDEX('GIR Log'!$E$2:$V$72,
    MATCH(1,
      ('GIR Log'!$A$2:$A$72=$A633)*
      ('GIR Log'!$B$2:$B$72=$B633)*
      ('GIR Log'!$C$2:$C$72=$C633),
    0),
    MATCH($G633,'GIR Log'!$E$1:$V$1,0)
  ),
"")</f>
        <v>1</v>
      </c>
    </row>
    <row r="634" spans="1:17" x14ac:dyDescent="0.25">
      <c r="A634" s="20" t="s">
        <v>126</v>
      </c>
      <c r="B634" s="2">
        <v>45857</v>
      </c>
      <c r="C634" s="12" t="s">
        <v>3</v>
      </c>
      <c r="D634" s="12" t="s">
        <v>3</v>
      </c>
      <c r="E634" s="12" t="s">
        <v>36</v>
      </c>
      <c r="F634">
        <v>75</v>
      </c>
      <c r="G634" t="s">
        <v>49</v>
      </c>
      <c r="H634" s="9">
        <f t="shared" si="27"/>
        <v>3</v>
      </c>
      <c r="I634" cm="1">
        <f t="array" ref="I634">IFERROR(INDEX(CourseYardages[[Hole 1]:[Hole 18]],
  MATCH(1, (CourseYardages[Course]=C634)*(CourseYardages[Tees]=E634), 0),
  MATCH(G634, CourseYardages[[#Headers],[Hole 1]:[Hole 18]], 0)
),"")</f>
        <v>133</v>
      </c>
      <c r="J634" cm="1">
        <f t="array" ref="J634">IFERROR(INDEX(CourseHandicap[[Hole 1]:[Hole 18]],
  MATCH(1, (CourseHandicap[Course]=C634)*(CourseHandicap[Tees]=E634), 0),
  MATCH(G634, CourseHandicap[[#Headers],[Hole 1]:[Hole 18]], 0)
),"")</f>
        <v>17</v>
      </c>
      <c r="K634" cm="1">
        <f t="array" ref="K634">IFERROR(INDEX(CourseRatings[[Hole 1]:[Hole 18]],
  MATCH(1, (CourseRatings[Course]=C634)*(CourseRatings[Tees]=E634), 0),
  MATCH(G634, CourseRatings[[#Headers],[Hole 1]:[Hole 18]], 0)
),"")</f>
        <v>3</v>
      </c>
      <c r="L634" cm="1">
        <f t="array" ref="L634">IFERROR(
  INDEX('Golf Log'!$E$2:$V$72,
    MATCH(1,
      ('Golf Log'!$A$2:$A$72=$A634)*
      ('Golf Log'!$B$2:$B$72=$B634)*
      ('Golf Log'!$C$2:$C$72=$C634),
    0),
    MATCH($G634,'Golf Log'!$E$1:$V$1,0)
  ),
"")</f>
        <v>4</v>
      </c>
      <c r="M634">
        <f t="shared" si="31"/>
        <v>1</v>
      </c>
      <c r="N634" t="str">
        <f t="shared" si="32"/>
        <v>Bogey</v>
      </c>
      <c r="O634" cm="1">
        <f t="array" ref="O634">IFERROR(
  INDEX('Putt Log'!$E$2:$V$72,
    MATCH(1,
      ('Putt Log'!$A$2:$A$72=$A634)*
      ('Putt Log'!$B$2:$B$72=$B634)*
      ('Putt Log'!$C$2:$C$72=$C634),
    0),
    MATCH($G634,'Putt Log'!$E$1:$V$1,0)
  ),
"")</f>
        <v>2</v>
      </c>
      <c r="P634" t="str" cm="1">
        <f t="array" ref="P634">IF(K634=3,"",
  IFERROR(
    INDEX('Fairway Log'!$E$2:$V$72,
      MATCH(1,
        ('Fairway Log'!$A$2:$A$72=$A634)*
        ('Fairway Log'!$B$2:$B$72=$B634)*
        ('Fairway Log'!$C$2:$C705=$C634),
      0),
      MATCH($G634,'Fairway Log'!$E$1:$V$1,0)
    ),
  "")
)</f>
        <v/>
      </c>
      <c r="Q634" t="str" cm="1">
        <f t="array" ref="Q634">IFERROR(
  INDEX('GIR Log'!$E$2:$V$72,
    MATCH(1,
      ('GIR Log'!$A$2:$A$72=$A634)*
      ('GIR Log'!$B$2:$B$72=$B634)*
      ('GIR Log'!$C$2:$C$72=$C634),
    0),
    MATCH($G634,'GIR Log'!$E$1:$V$1,0)
  ),
"")</f>
        <v>↑</v>
      </c>
    </row>
    <row r="635" spans="1:17" x14ac:dyDescent="0.25">
      <c r="A635" s="20" t="s">
        <v>126</v>
      </c>
      <c r="B635" s="2">
        <v>45857</v>
      </c>
      <c r="C635" s="12" t="s">
        <v>3</v>
      </c>
      <c r="D635" s="12" t="s">
        <v>3</v>
      </c>
      <c r="E635" s="12" t="s">
        <v>36</v>
      </c>
      <c r="F635">
        <v>75</v>
      </c>
      <c r="G635" t="s">
        <v>50</v>
      </c>
      <c r="H635" s="9">
        <f t="shared" si="27"/>
        <v>4</v>
      </c>
      <c r="I635" cm="1">
        <f t="array" ref="I635">IFERROR(INDEX(CourseYardages[[Hole 1]:[Hole 18]],
  MATCH(1, (CourseYardages[Course]=C635)*(CourseYardages[Tees]=E635), 0),
  MATCH(G635, CourseYardages[[#Headers],[Hole 1]:[Hole 18]], 0)
),"")</f>
        <v>344</v>
      </c>
      <c r="J635" cm="1">
        <f t="array" ref="J635">IFERROR(INDEX(CourseHandicap[[Hole 1]:[Hole 18]],
  MATCH(1, (CourseHandicap[Course]=C635)*(CourseHandicap[Tees]=E635), 0),
  MATCH(G635, CourseHandicap[[#Headers],[Hole 1]:[Hole 18]], 0)
),"")</f>
        <v>11</v>
      </c>
      <c r="K635" cm="1">
        <f t="array" ref="K635">IFERROR(INDEX(CourseRatings[[Hole 1]:[Hole 18]],
  MATCH(1, (CourseRatings[Course]=C635)*(CourseRatings[Tees]=E635), 0),
  MATCH(G635, CourseRatings[[#Headers],[Hole 1]:[Hole 18]], 0)
),"")</f>
        <v>4</v>
      </c>
      <c r="L635" cm="1">
        <f t="array" ref="L635">IFERROR(
  INDEX('Golf Log'!$E$2:$V$72,
    MATCH(1,
      ('Golf Log'!$A$2:$A$72=$A635)*
      ('Golf Log'!$B$2:$B$72=$B635)*
      ('Golf Log'!$C$2:$C$72=$C635),
    0),
    MATCH($G635,'Golf Log'!$E$1:$V$1,0)
  ),
"")</f>
        <v>5</v>
      </c>
      <c r="M635">
        <f t="shared" si="31"/>
        <v>1</v>
      </c>
      <c r="N635" t="str">
        <f t="shared" si="32"/>
        <v>Bogey</v>
      </c>
      <c r="O635" cm="1">
        <f t="array" ref="O635">IFERROR(
  INDEX('Putt Log'!$E$2:$V$72,
    MATCH(1,
      ('Putt Log'!$A$2:$A$72=$A635)*
      ('Putt Log'!$B$2:$B$72=$B635)*
      ('Putt Log'!$C$2:$C$72=$C635),
    0),
    MATCH($G635,'Putt Log'!$E$1:$V$1,0)
  ),
"")</f>
        <v>3</v>
      </c>
      <c r="P635" t="str" cm="1">
        <f t="array" ref="P635">IF(K635=3,"",
  IFERROR(
    INDEX('Fairway Log'!$E$2:$V$72,
      MATCH(1,
        ('Fairway Log'!$A$2:$A$72=$A635)*
        ('Fairway Log'!$B$2:$B$72=$B635)*
        ('Fairway Log'!$C$2:$C706=$C635),
      0),
      MATCH($G635,'Fairway Log'!$E$1:$V$1,0)
    ),
  "")
)</f>
        <v>→</v>
      </c>
      <c r="Q635" cm="1">
        <f t="array" ref="Q635">IFERROR(
  INDEX('GIR Log'!$E$2:$V$72,
    MATCH(1,
      ('GIR Log'!$A$2:$A$72=$A635)*
      ('GIR Log'!$B$2:$B$72=$B635)*
      ('GIR Log'!$C$2:$C$72=$C635),
    0),
    MATCH($G635,'GIR Log'!$E$1:$V$1,0)
  ),
"")</f>
        <v>1</v>
      </c>
    </row>
    <row r="636" spans="1:17" x14ac:dyDescent="0.25">
      <c r="A636" s="20" t="s">
        <v>126</v>
      </c>
      <c r="B636" s="2">
        <v>45857</v>
      </c>
      <c r="C636" s="12" t="s">
        <v>3</v>
      </c>
      <c r="D636" s="12" t="s">
        <v>3</v>
      </c>
      <c r="E636" s="12" t="s">
        <v>36</v>
      </c>
      <c r="F636">
        <v>75</v>
      </c>
      <c r="G636" t="s">
        <v>51</v>
      </c>
      <c r="H636" s="9">
        <f t="shared" si="27"/>
        <v>5</v>
      </c>
      <c r="I636" cm="1">
        <f t="array" ref="I636">IFERROR(INDEX(CourseYardages[[Hole 1]:[Hole 18]],
  MATCH(1, (CourseYardages[Course]=C636)*(CourseYardages[Tees]=E636), 0),
  MATCH(G636, CourseYardages[[#Headers],[Hole 1]:[Hole 18]], 0)
),"")</f>
        <v>387</v>
      </c>
      <c r="J636" cm="1">
        <f t="array" ref="J636">IFERROR(INDEX(CourseHandicap[[Hole 1]:[Hole 18]],
  MATCH(1, (CourseHandicap[Course]=C636)*(CourseHandicap[Tees]=E636), 0),
  MATCH(G636, CourseHandicap[[#Headers],[Hole 1]:[Hole 18]], 0)
),"")</f>
        <v>7</v>
      </c>
      <c r="K636" cm="1">
        <f t="array" ref="K636">IFERROR(INDEX(CourseRatings[[Hole 1]:[Hole 18]],
  MATCH(1, (CourseRatings[Course]=C636)*(CourseRatings[Tees]=E636), 0),
  MATCH(G636, CourseRatings[[#Headers],[Hole 1]:[Hole 18]], 0)
),"")</f>
        <v>4</v>
      </c>
      <c r="L636" cm="1">
        <f t="array" ref="L636">IFERROR(
  INDEX('Golf Log'!$E$2:$V$72,
    MATCH(1,
      ('Golf Log'!$A$2:$A$72=$A636)*
      ('Golf Log'!$B$2:$B$72=$B636)*
      ('Golf Log'!$C$2:$C$72=$C636),
    0),
    MATCH($G636,'Golf Log'!$E$1:$V$1,0)
  ),
"")</f>
        <v>4</v>
      </c>
      <c r="M636">
        <f t="shared" si="31"/>
        <v>0</v>
      </c>
      <c r="N636" t="str">
        <f t="shared" si="32"/>
        <v>Par</v>
      </c>
      <c r="O636" cm="1">
        <f t="array" ref="O636">IFERROR(
  INDEX('Putt Log'!$E$2:$V$72,
    MATCH(1,
      ('Putt Log'!$A$2:$A$72=$A636)*
      ('Putt Log'!$B$2:$B$72=$B636)*
      ('Putt Log'!$C$2:$C$72=$C636),
    0),
    MATCH($G636,'Putt Log'!$E$1:$V$1,0)
  ),
"")</f>
        <v>1</v>
      </c>
      <c r="P636" t="str" cm="1">
        <f t="array" ref="P636">IF(K636=3,"",
  IFERROR(
    INDEX('Fairway Log'!$E$2:$V$72,
      MATCH(1,
        ('Fairway Log'!$A$2:$A$72=$A636)*
        ('Fairway Log'!$B$2:$B$72=$B636)*
        ('Fairway Log'!$C$2:$C707=$C636),
      0),
      MATCH($G636,'Fairway Log'!$E$1:$V$1,0)
    ),
  "")
)</f>
        <v>↑</v>
      </c>
      <c r="Q636" t="str" cm="1">
        <f t="array" ref="Q636">IFERROR(
  INDEX('GIR Log'!$E$2:$V$72,
    MATCH(1,
      ('GIR Log'!$A$2:$A$72=$A636)*
      ('GIR Log'!$B$2:$B$72=$B636)*
      ('GIR Log'!$C$2:$C$72=$C636),
    0),
    MATCH($G636,'GIR Log'!$E$1:$V$1,0)
  ),
"")</f>
        <v>↓</v>
      </c>
    </row>
    <row r="637" spans="1:17" x14ac:dyDescent="0.25">
      <c r="A637" s="20" t="s">
        <v>126</v>
      </c>
      <c r="B637" s="2">
        <v>45857</v>
      </c>
      <c r="C637" s="12" t="s">
        <v>3</v>
      </c>
      <c r="D637" s="12" t="s">
        <v>3</v>
      </c>
      <c r="E637" s="12" t="s">
        <v>36</v>
      </c>
      <c r="F637">
        <v>75</v>
      </c>
      <c r="G637" t="s">
        <v>52</v>
      </c>
      <c r="H637" s="9">
        <f t="shared" si="27"/>
        <v>6</v>
      </c>
      <c r="I637" cm="1">
        <f t="array" ref="I637">IFERROR(INDEX(CourseYardages[[Hole 1]:[Hole 18]],
  MATCH(1, (CourseYardages[Course]=C637)*(CourseYardages[Tees]=E637), 0),
  MATCH(G637, CourseYardages[[#Headers],[Hole 1]:[Hole 18]], 0)
),"")</f>
        <v>178</v>
      </c>
      <c r="J637" cm="1">
        <f t="array" ref="J637">IFERROR(INDEX(CourseHandicap[[Hole 1]:[Hole 18]],
  MATCH(1, (CourseHandicap[Course]=C637)*(CourseHandicap[Tees]=E637), 0),
  MATCH(G637, CourseHandicap[[#Headers],[Hole 1]:[Hole 18]], 0)
),"")</f>
        <v>5</v>
      </c>
      <c r="K637" cm="1">
        <f t="array" ref="K637">IFERROR(INDEX(CourseRatings[[Hole 1]:[Hole 18]],
  MATCH(1, (CourseRatings[Course]=C637)*(CourseRatings[Tees]=E637), 0),
  MATCH(G637, CourseRatings[[#Headers],[Hole 1]:[Hole 18]], 0)
),"")</f>
        <v>3</v>
      </c>
      <c r="L637" cm="1">
        <f t="array" ref="L637">IFERROR(
  INDEX('Golf Log'!$E$2:$V$72,
    MATCH(1,
      ('Golf Log'!$A$2:$A$72=$A637)*
      ('Golf Log'!$B$2:$B$72=$B637)*
      ('Golf Log'!$C$2:$C$72=$C637),
    0),
    MATCH($G637,'Golf Log'!$E$1:$V$1,0)
  ),
"")</f>
        <v>3</v>
      </c>
      <c r="M637">
        <f t="shared" si="31"/>
        <v>0</v>
      </c>
      <c r="N637" t="str">
        <f t="shared" si="32"/>
        <v>Par</v>
      </c>
      <c r="O637" cm="1">
        <f t="array" ref="O637">IFERROR(
  INDEX('Putt Log'!$E$2:$V$72,
    MATCH(1,
      ('Putt Log'!$A$2:$A$72=$A637)*
      ('Putt Log'!$B$2:$B$72=$B637)*
      ('Putt Log'!$C$2:$C$72=$C637),
    0),
    MATCH($G637,'Putt Log'!$E$1:$V$1,0)
  ),
"")</f>
        <v>2</v>
      </c>
      <c r="P637" t="str" cm="1">
        <f t="array" ref="P637">IF(K637=3,"",
  IFERROR(
    INDEX('Fairway Log'!$E$2:$V$72,
      MATCH(1,
        ('Fairway Log'!$A$2:$A$72=$A637)*
        ('Fairway Log'!$B$2:$B$72=$B637)*
        ('Fairway Log'!$C$2:$C708=$C637),
      0),
      MATCH($G637,'Fairway Log'!$E$1:$V$1,0)
    ),
  "")
)</f>
        <v/>
      </c>
      <c r="Q637" cm="1">
        <f t="array" ref="Q637">IFERROR(
  INDEX('GIR Log'!$E$2:$V$72,
    MATCH(1,
      ('GIR Log'!$A$2:$A$72=$A637)*
      ('GIR Log'!$B$2:$B$72=$B637)*
      ('GIR Log'!$C$2:$C$72=$C637),
    0),
    MATCH($G637,'GIR Log'!$E$1:$V$1,0)
  ),
"")</f>
        <v>1</v>
      </c>
    </row>
    <row r="638" spans="1:17" x14ac:dyDescent="0.25">
      <c r="A638" s="20" t="s">
        <v>126</v>
      </c>
      <c r="B638" s="2">
        <v>45857</v>
      </c>
      <c r="C638" s="12" t="s">
        <v>3</v>
      </c>
      <c r="D638" s="12" t="s">
        <v>3</v>
      </c>
      <c r="E638" s="12" t="s">
        <v>36</v>
      </c>
      <c r="F638">
        <v>75</v>
      </c>
      <c r="G638" t="s">
        <v>53</v>
      </c>
      <c r="H638" s="9">
        <f t="shared" si="27"/>
        <v>7</v>
      </c>
      <c r="I638" cm="1">
        <f t="array" ref="I638">IFERROR(INDEX(CourseYardages[[Hole 1]:[Hole 18]],
  MATCH(1, (CourseYardages[Course]=C638)*(CourseYardages[Tees]=E638), 0),
  MATCH(G638, CourseYardages[[#Headers],[Hole 1]:[Hole 18]], 0)
),"")</f>
        <v>500</v>
      </c>
      <c r="J638" cm="1">
        <f t="array" ref="J638">IFERROR(INDEX(CourseHandicap[[Hole 1]:[Hole 18]],
  MATCH(1, (CourseHandicap[Course]=C638)*(CourseHandicap[Tees]=E638), 0),
  MATCH(G638, CourseHandicap[[#Headers],[Hole 1]:[Hole 18]], 0)
),"")</f>
        <v>9</v>
      </c>
      <c r="K638" cm="1">
        <f t="array" ref="K638">IFERROR(INDEX(CourseRatings[[Hole 1]:[Hole 18]],
  MATCH(1, (CourseRatings[Course]=C638)*(CourseRatings[Tees]=E638), 0),
  MATCH(G638, CourseRatings[[#Headers],[Hole 1]:[Hole 18]], 0)
),"")</f>
        <v>5</v>
      </c>
      <c r="L638" cm="1">
        <f t="array" ref="L638">IFERROR(
  INDEX('Golf Log'!$E$2:$V$72,
    MATCH(1,
      ('Golf Log'!$A$2:$A$72=$A638)*
      ('Golf Log'!$B$2:$B$72=$B638)*
      ('Golf Log'!$C$2:$C$72=$C638),
    0),
    MATCH($G638,'Golf Log'!$E$1:$V$1,0)
  ),
"")</f>
        <v>5</v>
      </c>
      <c r="M638">
        <f t="shared" si="31"/>
        <v>0</v>
      </c>
      <c r="N638" t="str">
        <f t="shared" si="32"/>
        <v>Par</v>
      </c>
      <c r="O638" cm="1">
        <f t="array" ref="O638">IFERROR(
  INDEX('Putt Log'!$E$2:$V$72,
    MATCH(1,
      ('Putt Log'!$A$2:$A$72=$A638)*
      ('Putt Log'!$B$2:$B$72=$B638)*
      ('Putt Log'!$C$2:$C$72=$C638),
    0),
    MATCH($G638,'Putt Log'!$E$1:$V$1,0)
  ),
"")</f>
        <v>2</v>
      </c>
      <c r="P638" cm="1">
        <f t="array" ref="P638">IF(K638=3,"",
  IFERROR(
    INDEX('Fairway Log'!$E$2:$V$72,
      MATCH(1,
        ('Fairway Log'!$A$2:$A$72=$A638)*
        ('Fairway Log'!$B$2:$B$72=$B638)*
        ('Fairway Log'!$C$2:$C709=$C638),
      0),
      MATCH($G638,'Fairway Log'!$E$1:$V$1,0)
    ),
  "")
)</f>
        <v>1</v>
      </c>
      <c r="Q638" cm="1">
        <f t="array" ref="Q638">IFERROR(
  INDEX('GIR Log'!$E$2:$V$72,
    MATCH(1,
      ('GIR Log'!$A$2:$A$72=$A638)*
      ('GIR Log'!$B$2:$B$72=$B638)*
      ('GIR Log'!$C$2:$C$72=$C638),
    0),
    MATCH($G638,'GIR Log'!$E$1:$V$1,0)
  ),
"")</f>
        <v>1</v>
      </c>
    </row>
    <row r="639" spans="1:17" x14ac:dyDescent="0.25">
      <c r="A639" s="20" t="s">
        <v>126</v>
      </c>
      <c r="B639" s="2">
        <v>45857</v>
      </c>
      <c r="C639" s="12" t="s">
        <v>3</v>
      </c>
      <c r="D639" s="12" t="s">
        <v>3</v>
      </c>
      <c r="E639" s="12" t="s">
        <v>36</v>
      </c>
      <c r="F639">
        <v>75</v>
      </c>
      <c r="G639" t="s">
        <v>54</v>
      </c>
      <c r="H639" s="9">
        <f t="shared" si="27"/>
        <v>8</v>
      </c>
      <c r="I639" cm="1">
        <f t="array" ref="I639">IFERROR(INDEX(CourseYardages[[Hole 1]:[Hole 18]],
  MATCH(1, (CourseYardages[Course]=C639)*(CourseYardages[Tees]=E639), 0),
  MATCH(G639, CourseYardages[[#Headers],[Hole 1]:[Hole 18]], 0)
),"")</f>
        <v>337</v>
      </c>
      <c r="J639" cm="1">
        <f t="array" ref="J639">IFERROR(INDEX(CourseHandicap[[Hole 1]:[Hole 18]],
  MATCH(1, (CourseHandicap[Course]=C639)*(CourseHandicap[Tees]=E639), 0),
  MATCH(G639, CourseHandicap[[#Headers],[Hole 1]:[Hole 18]], 0)
),"")</f>
        <v>13</v>
      </c>
      <c r="K639" cm="1">
        <f t="array" ref="K639">IFERROR(INDEX(CourseRatings[[Hole 1]:[Hole 18]],
  MATCH(1, (CourseRatings[Course]=C639)*(CourseRatings[Tees]=E639), 0),
  MATCH(G639, CourseRatings[[#Headers],[Hole 1]:[Hole 18]], 0)
),"")</f>
        <v>4</v>
      </c>
      <c r="L639" cm="1">
        <f t="array" ref="L639">IFERROR(
  INDEX('Golf Log'!$E$2:$V$72,
    MATCH(1,
      ('Golf Log'!$A$2:$A$72=$A639)*
      ('Golf Log'!$B$2:$B$72=$B639)*
      ('Golf Log'!$C$2:$C$72=$C639),
    0),
    MATCH($G639,'Golf Log'!$E$1:$V$1,0)
  ),
"")</f>
        <v>4</v>
      </c>
      <c r="M639">
        <f t="shared" si="31"/>
        <v>0</v>
      </c>
      <c r="N639" t="str">
        <f t="shared" si="32"/>
        <v>Par</v>
      </c>
      <c r="O639" cm="1">
        <f t="array" ref="O639">IFERROR(
  INDEX('Putt Log'!$E$2:$V$72,
    MATCH(1,
      ('Putt Log'!$A$2:$A$72=$A639)*
      ('Putt Log'!$B$2:$B$72=$B639)*
      ('Putt Log'!$C$2:$C$72=$C639),
    0),
    MATCH($G639,'Putt Log'!$E$1:$V$1,0)
  ),
"")</f>
        <v>2</v>
      </c>
      <c r="P639" cm="1">
        <f t="array" ref="P639">IF(K639=3,"",
  IFERROR(
    INDEX('Fairway Log'!$E$2:$V$72,
      MATCH(1,
        ('Fairway Log'!$A$2:$A$72=$A639)*
        ('Fairway Log'!$B$2:$B$72=$B639)*
        ('Fairway Log'!$C$2:$C710=$C639),
      0),
      MATCH($G639,'Fairway Log'!$E$1:$V$1,0)
    ),
  "")
)</f>
        <v>1</v>
      </c>
      <c r="Q639" cm="1">
        <f t="array" ref="Q639">IFERROR(
  INDEX('GIR Log'!$E$2:$V$72,
    MATCH(1,
      ('GIR Log'!$A$2:$A$72=$A639)*
      ('GIR Log'!$B$2:$B$72=$B639)*
      ('GIR Log'!$C$2:$C$72=$C639),
    0),
    MATCH($G639,'GIR Log'!$E$1:$V$1,0)
  ),
"")</f>
        <v>1</v>
      </c>
    </row>
    <row r="640" spans="1:17" x14ac:dyDescent="0.25">
      <c r="A640" s="20" t="s">
        <v>126</v>
      </c>
      <c r="B640" s="2">
        <v>45857</v>
      </c>
      <c r="C640" s="12" t="s">
        <v>3</v>
      </c>
      <c r="D640" s="12" t="s">
        <v>3</v>
      </c>
      <c r="E640" s="12" t="s">
        <v>36</v>
      </c>
      <c r="F640">
        <v>75</v>
      </c>
      <c r="G640" t="s">
        <v>55</v>
      </c>
      <c r="H640" s="9">
        <f t="shared" si="27"/>
        <v>9</v>
      </c>
      <c r="I640" cm="1">
        <f t="array" ref="I640">IFERROR(INDEX(CourseYardages[[Hole 1]:[Hole 18]],
  MATCH(1, (CourseYardages[Course]=C640)*(CourseYardages[Tees]=E640), 0),
  MATCH(G640, CourseYardages[[#Headers],[Hole 1]:[Hole 18]], 0)
),"")</f>
        <v>532</v>
      </c>
      <c r="J640" cm="1">
        <f t="array" ref="J640">IFERROR(INDEX(CourseHandicap[[Hole 1]:[Hole 18]],
  MATCH(1, (CourseHandicap[Course]=C640)*(CourseHandicap[Tees]=E640), 0),
  MATCH(G640, CourseHandicap[[#Headers],[Hole 1]:[Hole 18]], 0)
),"")</f>
        <v>1</v>
      </c>
      <c r="K640" cm="1">
        <f t="array" ref="K640">IFERROR(INDEX(CourseRatings[[Hole 1]:[Hole 18]],
  MATCH(1, (CourseRatings[Course]=C640)*(CourseRatings[Tees]=E640), 0),
  MATCH(G640, CourseRatings[[#Headers],[Hole 1]:[Hole 18]], 0)
),"")</f>
        <v>5</v>
      </c>
      <c r="L640" cm="1">
        <f t="array" ref="L640">IFERROR(
  INDEX('Golf Log'!$E$2:$V$72,
    MATCH(1,
      ('Golf Log'!$A$2:$A$72=$A640)*
      ('Golf Log'!$B$2:$B$72=$B640)*
      ('Golf Log'!$C$2:$C$72=$C640),
    0),
    MATCH($G640,'Golf Log'!$E$1:$V$1,0)
  ),
"")</f>
        <v>5</v>
      </c>
      <c r="M640">
        <f t="shared" si="31"/>
        <v>0</v>
      </c>
      <c r="N640" t="str">
        <f t="shared" si="32"/>
        <v>Par</v>
      </c>
      <c r="O640" cm="1">
        <f t="array" ref="O640">IFERROR(
  INDEX('Putt Log'!$E$2:$V$72,
    MATCH(1,
      ('Putt Log'!$A$2:$A$72=$A640)*
      ('Putt Log'!$B$2:$B$72=$B640)*
      ('Putt Log'!$C$2:$C$72=$C640),
    0),
    MATCH($G640,'Putt Log'!$E$1:$V$1,0)
  ),
"")</f>
        <v>2</v>
      </c>
      <c r="P640" cm="1">
        <f t="array" ref="P640">IF(K640=3,"",
  IFERROR(
    INDEX('Fairway Log'!$E$2:$V$72,
      MATCH(1,
        ('Fairway Log'!$A$2:$A$72=$A640)*
        ('Fairway Log'!$B$2:$B$72=$B640)*
        ('Fairway Log'!$C$2:$C711=$C640),
      0),
      MATCH($G640,'Fairway Log'!$E$1:$V$1,0)
    ),
  "")
)</f>
        <v>1</v>
      </c>
      <c r="Q640" cm="1">
        <f t="array" ref="Q640">IFERROR(
  INDEX('GIR Log'!$E$2:$V$72,
    MATCH(1,
      ('GIR Log'!$A$2:$A$72=$A640)*
      ('GIR Log'!$B$2:$B$72=$B640)*
      ('GIR Log'!$C$2:$C$72=$C640),
    0),
    MATCH($G640,'GIR Log'!$E$1:$V$1,0)
  ),
"")</f>
        <v>1</v>
      </c>
    </row>
    <row r="641" spans="1:17" x14ac:dyDescent="0.25">
      <c r="A641" s="20" t="s">
        <v>126</v>
      </c>
      <c r="B641" s="2">
        <v>45857</v>
      </c>
      <c r="C641" s="12" t="s">
        <v>3</v>
      </c>
      <c r="D641" s="12" t="s">
        <v>3</v>
      </c>
      <c r="E641" s="12" t="s">
        <v>36</v>
      </c>
      <c r="F641">
        <v>75</v>
      </c>
      <c r="G641" t="s">
        <v>56</v>
      </c>
      <c r="H641" s="9">
        <f t="shared" si="27"/>
        <v>10</v>
      </c>
      <c r="I641" cm="1">
        <f t="array" ref="I641">IFERROR(INDEX(CourseYardages[[Hole 1]:[Hole 18]],
  MATCH(1, (CourseYardages[Course]=C641)*(CourseYardages[Tees]=E641), 0),
  MATCH(G641, CourseYardages[[#Headers],[Hole 1]:[Hole 18]], 0)
),"")</f>
        <v>328</v>
      </c>
      <c r="J641" cm="1">
        <f t="array" ref="J641">IFERROR(INDEX(CourseHandicap[[Hole 1]:[Hole 18]],
  MATCH(1, (CourseHandicap[Course]=C641)*(CourseHandicap[Tees]=E641), 0),
  MATCH(G641, CourseHandicap[[#Headers],[Hole 1]:[Hole 18]], 0)
),"")</f>
        <v>12</v>
      </c>
      <c r="K641" cm="1">
        <f t="array" ref="K641">IFERROR(INDEX(CourseRatings[[Hole 1]:[Hole 18]],
  MATCH(1, (CourseRatings[Course]=C641)*(CourseRatings[Tees]=E641), 0),
  MATCH(G641, CourseRatings[[#Headers],[Hole 1]:[Hole 18]], 0)
),"")</f>
        <v>4</v>
      </c>
      <c r="L641" cm="1">
        <f t="array" ref="L641">IFERROR(
  INDEX('Golf Log'!$E$2:$V$72,
    MATCH(1,
      ('Golf Log'!$A$2:$A$72=$A641)*
      ('Golf Log'!$B$2:$B$72=$B641)*
      ('Golf Log'!$C$2:$C$72=$C641),
    0),
    MATCH($G641,'Golf Log'!$E$1:$V$1,0)
  ),
"")</f>
        <v>4</v>
      </c>
      <c r="M641">
        <f t="shared" si="31"/>
        <v>0</v>
      </c>
      <c r="N641" t="str">
        <f t="shared" si="32"/>
        <v>Par</v>
      </c>
      <c r="O641" cm="1">
        <f t="array" ref="O641">IFERROR(
  INDEX('Putt Log'!$E$2:$V$72,
    MATCH(1,
      ('Putt Log'!$A$2:$A$72=$A641)*
      ('Putt Log'!$B$2:$B$72=$B641)*
      ('Putt Log'!$C$2:$C$72=$C641),
    0),
    MATCH($G641,'Putt Log'!$E$1:$V$1,0)
  ),
"")</f>
        <v>2</v>
      </c>
      <c r="P641" t="str" cm="1">
        <f t="array" ref="P641">IF(K641=3,"",
  IFERROR(
    INDEX('Fairway Log'!$E$2:$V$72,
      MATCH(1,
        ('Fairway Log'!$A$2:$A$72=$A641)*
        ('Fairway Log'!$B$2:$B$72=$B641)*
        ('Fairway Log'!$C$2:$C712=$C641),
      0),
      MATCH($G641,'Fairway Log'!$E$1:$V$1,0)
    ),
  "")
)</f>
        <v>→</v>
      </c>
      <c r="Q641" cm="1">
        <f t="array" ref="Q641">IFERROR(
  INDEX('GIR Log'!$E$2:$V$72,
    MATCH(1,
      ('GIR Log'!$A$2:$A$72=$A641)*
      ('GIR Log'!$B$2:$B$72=$B641)*
      ('GIR Log'!$C$2:$C$72=$C641),
    0),
    MATCH($G641,'GIR Log'!$E$1:$V$1,0)
  ),
"")</f>
        <v>1</v>
      </c>
    </row>
    <row r="642" spans="1:17" x14ac:dyDescent="0.25">
      <c r="A642" s="20" t="s">
        <v>126</v>
      </c>
      <c r="B642" s="2">
        <v>45857</v>
      </c>
      <c r="C642" s="12" t="s">
        <v>3</v>
      </c>
      <c r="D642" s="12" t="s">
        <v>3</v>
      </c>
      <c r="E642" s="12" t="s">
        <v>36</v>
      </c>
      <c r="F642">
        <v>75</v>
      </c>
      <c r="G642" t="s">
        <v>57</v>
      </c>
      <c r="H642" s="9">
        <f t="shared" si="27"/>
        <v>11</v>
      </c>
      <c r="I642" cm="1">
        <f t="array" ref="I642">IFERROR(INDEX(CourseYardages[[Hole 1]:[Hole 18]],
  MATCH(1, (CourseYardages[Course]=C642)*(CourseYardages[Tees]=E642), 0),
  MATCH(G642, CourseYardages[[#Headers],[Hole 1]:[Hole 18]], 0)
),"")</f>
        <v>159</v>
      </c>
      <c r="J642" cm="1">
        <f t="array" ref="J642">IFERROR(INDEX(CourseHandicap[[Hole 1]:[Hole 18]],
  MATCH(1, (CourseHandicap[Course]=C642)*(CourseHandicap[Tees]=E642), 0),
  MATCH(G642, CourseHandicap[[#Headers],[Hole 1]:[Hole 18]], 0)
),"")</f>
        <v>16</v>
      </c>
      <c r="K642" cm="1">
        <f t="array" ref="K642">IFERROR(INDEX(CourseRatings[[Hole 1]:[Hole 18]],
  MATCH(1, (CourseRatings[Course]=C642)*(CourseRatings[Tees]=E642), 0),
  MATCH(G642, CourseRatings[[#Headers],[Hole 1]:[Hole 18]], 0)
),"")</f>
        <v>3</v>
      </c>
      <c r="L642" cm="1">
        <f t="array" ref="L642">IFERROR(
  INDEX('Golf Log'!$E$2:$V$72,
    MATCH(1,
      ('Golf Log'!$A$2:$A$72=$A642)*
      ('Golf Log'!$B$2:$B$72=$B642)*
      ('Golf Log'!$C$2:$C$72=$C642),
    0),
    MATCH($G642,'Golf Log'!$E$1:$V$1,0)
  ),
"")</f>
        <v>3</v>
      </c>
      <c r="M642">
        <f t="shared" si="31"/>
        <v>0</v>
      </c>
      <c r="N642" t="str">
        <f t="shared" si="32"/>
        <v>Par</v>
      </c>
      <c r="O642" cm="1">
        <f t="array" ref="O642">IFERROR(
  INDEX('Putt Log'!$E$2:$V$72,
    MATCH(1,
      ('Putt Log'!$A$2:$A$72=$A642)*
      ('Putt Log'!$B$2:$B$72=$B642)*
      ('Putt Log'!$C$2:$C$72=$C642),
    0),
    MATCH($G642,'Putt Log'!$E$1:$V$1,0)
  ),
"")</f>
        <v>2</v>
      </c>
      <c r="P642" t="str" cm="1">
        <f t="array" ref="P642">IF(K642=3,"",
  IFERROR(
    INDEX('Fairway Log'!$E$2:$V$72,
      MATCH(1,
        ('Fairway Log'!$A$2:$A$72=$A642)*
        ('Fairway Log'!$B$2:$B$72=$B642)*
        ('Fairway Log'!$C$2:$C713=$C642),
      0),
      MATCH($G642,'Fairway Log'!$E$1:$V$1,0)
    ),
  "")
)</f>
        <v/>
      </c>
      <c r="Q642" cm="1">
        <f t="array" ref="Q642">IFERROR(
  INDEX('GIR Log'!$E$2:$V$72,
    MATCH(1,
      ('GIR Log'!$A$2:$A$72=$A642)*
      ('GIR Log'!$B$2:$B$72=$B642)*
      ('GIR Log'!$C$2:$C$72=$C642),
    0),
    MATCH($G642,'GIR Log'!$E$1:$V$1,0)
  ),
"")</f>
        <v>1</v>
      </c>
    </row>
    <row r="643" spans="1:17" x14ac:dyDescent="0.25">
      <c r="A643" s="20" t="s">
        <v>126</v>
      </c>
      <c r="B643" s="2">
        <v>45857</v>
      </c>
      <c r="C643" s="12" t="s">
        <v>3</v>
      </c>
      <c r="D643" s="12" t="s">
        <v>3</v>
      </c>
      <c r="E643" s="12" t="s">
        <v>36</v>
      </c>
      <c r="F643">
        <v>75</v>
      </c>
      <c r="G643" t="s">
        <v>58</v>
      </c>
      <c r="H643" s="9">
        <f t="shared" ref="H643:H667" si="33">VALUE(RIGHT(G643, LEN(G643) - 5))</f>
        <v>12</v>
      </c>
      <c r="I643" cm="1">
        <f t="array" ref="I643">IFERROR(INDEX(CourseYardages[[Hole 1]:[Hole 18]],
  MATCH(1, (CourseYardages[Course]=C643)*(CourseYardages[Tees]=E643), 0),
  MATCH(G643, CourseYardages[[#Headers],[Hole 1]:[Hole 18]], 0)
),"")</f>
        <v>279</v>
      </c>
      <c r="J643" cm="1">
        <f t="array" ref="J643">IFERROR(INDEX(CourseHandicap[[Hole 1]:[Hole 18]],
  MATCH(1, (CourseHandicap[Course]=C643)*(CourseHandicap[Tees]=E643), 0),
  MATCH(G643, CourseHandicap[[#Headers],[Hole 1]:[Hole 18]], 0)
),"")</f>
        <v>18</v>
      </c>
      <c r="K643" cm="1">
        <f t="array" ref="K643">IFERROR(INDEX(CourseRatings[[Hole 1]:[Hole 18]],
  MATCH(1, (CourseRatings[Course]=C643)*(CourseRatings[Tees]=E643), 0),
  MATCH(G643, CourseRatings[[#Headers],[Hole 1]:[Hole 18]], 0)
),"")</f>
        <v>4</v>
      </c>
      <c r="L643" cm="1">
        <f t="array" ref="L643">IFERROR(
  INDEX('Golf Log'!$E$2:$V$72,
    MATCH(1,
      ('Golf Log'!$A$2:$A$72=$A643)*
      ('Golf Log'!$B$2:$B$72=$B643)*
      ('Golf Log'!$C$2:$C$72=$C643),
    0),
    MATCH($G643,'Golf Log'!$E$1:$V$1,0)
  ),
"")</f>
        <v>3</v>
      </c>
      <c r="M643">
        <f t="shared" si="31"/>
        <v>-1</v>
      </c>
      <c r="N643" t="str">
        <f t="shared" si="32"/>
        <v>Birdie</v>
      </c>
      <c r="O643" cm="1">
        <f t="array" ref="O643">IFERROR(
  INDEX('Putt Log'!$E$2:$V$72,
    MATCH(1,
      ('Putt Log'!$A$2:$A$72=$A643)*
      ('Putt Log'!$B$2:$B$72=$B643)*
      ('Putt Log'!$C$2:$C$72=$C643),
    0),
    MATCH($G643,'Putt Log'!$E$1:$V$1,0)
  ),
"")</f>
        <v>1</v>
      </c>
      <c r="P643" cm="1">
        <f t="array" ref="P643">IF(K643=3,"",
  IFERROR(
    INDEX('Fairway Log'!$E$2:$V$72,
      MATCH(1,
        ('Fairway Log'!$A$2:$A$72=$A643)*
        ('Fairway Log'!$B$2:$B$72=$B643)*
        ('Fairway Log'!$C$2:$C714=$C643),
      0),
      MATCH($G643,'Fairway Log'!$E$1:$V$1,0)
    ),
  "")
)</f>
        <v>1</v>
      </c>
      <c r="Q643" cm="1">
        <f t="array" ref="Q643">IFERROR(
  INDEX('GIR Log'!$E$2:$V$72,
    MATCH(1,
      ('GIR Log'!$A$2:$A$72=$A643)*
      ('GIR Log'!$B$2:$B$72=$B643)*
      ('GIR Log'!$C$2:$C$72=$C643),
    0),
    MATCH($G643,'GIR Log'!$E$1:$V$1,0)
  ),
"")</f>
        <v>1</v>
      </c>
    </row>
    <row r="644" spans="1:17" x14ac:dyDescent="0.25">
      <c r="A644" s="20" t="s">
        <v>126</v>
      </c>
      <c r="B644" s="2">
        <v>45857</v>
      </c>
      <c r="C644" s="12" t="s">
        <v>3</v>
      </c>
      <c r="D644" s="12" t="s">
        <v>3</v>
      </c>
      <c r="E644" s="12" t="s">
        <v>36</v>
      </c>
      <c r="F644">
        <v>75</v>
      </c>
      <c r="G644" t="s">
        <v>59</v>
      </c>
      <c r="H644" s="9">
        <f t="shared" si="33"/>
        <v>13</v>
      </c>
      <c r="I644" cm="1">
        <f t="array" ref="I644">IFERROR(INDEX(CourseYardages[[Hole 1]:[Hole 18]],
  MATCH(1, (CourseYardages[Course]=C644)*(CourseYardages[Tees]=E644), 0),
  MATCH(G644, CourseYardages[[#Headers],[Hole 1]:[Hole 18]], 0)
),"")</f>
        <v>553</v>
      </c>
      <c r="J644" cm="1">
        <f t="array" ref="J644">IFERROR(INDEX(CourseHandicap[[Hole 1]:[Hole 18]],
  MATCH(1, (CourseHandicap[Course]=C644)*(CourseHandicap[Tees]=E644), 0),
  MATCH(G644, CourseHandicap[[#Headers],[Hole 1]:[Hole 18]], 0)
),"")</f>
        <v>2</v>
      </c>
      <c r="K644" cm="1">
        <f t="array" ref="K644">IFERROR(INDEX(CourseRatings[[Hole 1]:[Hole 18]],
  MATCH(1, (CourseRatings[Course]=C644)*(CourseRatings[Tees]=E644), 0),
  MATCH(G644, CourseRatings[[#Headers],[Hole 1]:[Hole 18]], 0)
),"")</f>
        <v>5</v>
      </c>
      <c r="L644" cm="1">
        <f t="array" ref="L644">IFERROR(
  INDEX('Golf Log'!$E$2:$V$72,
    MATCH(1,
      ('Golf Log'!$A$2:$A$72=$A644)*
      ('Golf Log'!$B$2:$B$72=$B644)*
      ('Golf Log'!$C$2:$C$72=$C644),
    0),
    MATCH($G644,'Golf Log'!$E$1:$V$1,0)
  ),
"")</f>
        <v>6</v>
      </c>
      <c r="M644">
        <f t="shared" si="31"/>
        <v>1</v>
      </c>
      <c r="N644" t="str">
        <f t="shared" si="32"/>
        <v>Bogey</v>
      </c>
      <c r="O644" cm="1">
        <f t="array" ref="O644">IFERROR(
  INDEX('Putt Log'!$E$2:$V$72,
    MATCH(1,
      ('Putt Log'!$A$2:$A$72=$A644)*
      ('Putt Log'!$B$2:$B$72=$B644)*
      ('Putt Log'!$C$2:$C$72=$C644),
    0),
    MATCH($G644,'Putt Log'!$E$1:$V$1,0)
  ),
"")</f>
        <v>2</v>
      </c>
      <c r="P644" t="str" cm="1">
        <f t="array" ref="P644">IF(K644=3,"",
  IFERROR(
    INDEX('Fairway Log'!$E$2:$V$72,
      MATCH(1,
        ('Fairway Log'!$A$2:$A$72=$A644)*
        ('Fairway Log'!$B$2:$B$72=$B644)*
        ('Fairway Log'!$C$2:$C715=$C644),
      0),
      MATCH($G644,'Fairway Log'!$E$1:$V$1,0)
    ),
  "")
)</f>
        <v>→</v>
      </c>
      <c r="Q644" t="str" cm="1">
        <f t="array" ref="Q644">IFERROR(
  INDEX('GIR Log'!$E$2:$V$72,
    MATCH(1,
      ('GIR Log'!$A$2:$A$72=$A644)*
      ('GIR Log'!$B$2:$B$72=$B644)*
      ('GIR Log'!$C$2:$C$72=$C644),
    0),
    MATCH($G644,'GIR Log'!$E$1:$V$1,0)
  ),
"")</f>
        <v>↓</v>
      </c>
    </row>
    <row r="645" spans="1:17" x14ac:dyDescent="0.25">
      <c r="A645" s="20" t="s">
        <v>126</v>
      </c>
      <c r="B645" s="2">
        <v>45857</v>
      </c>
      <c r="C645" s="12" t="s">
        <v>3</v>
      </c>
      <c r="D645" s="12" t="s">
        <v>3</v>
      </c>
      <c r="E645" s="12" t="s">
        <v>36</v>
      </c>
      <c r="F645">
        <v>75</v>
      </c>
      <c r="G645" t="s">
        <v>60</v>
      </c>
      <c r="H645" s="9">
        <f t="shared" si="33"/>
        <v>14</v>
      </c>
      <c r="I645" cm="1">
        <f t="array" ref="I645">IFERROR(INDEX(CourseYardages[[Hole 1]:[Hole 18]],
  MATCH(1, (CourseYardages[Course]=C645)*(CourseYardages[Tees]=E645), 0),
  MATCH(G645, CourseYardages[[#Headers],[Hole 1]:[Hole 18]], 0)
),"")</f>
        <v>352</v>
      </c>
      <c r="J645" cm="1">
        <f t="array" ref="J645">IFERROR(INDEX(CourseHandicap[[Hole 1]:[Hole 18]],
  MATCH(1, (CourseHandicap[Course]=C645)*(CourseHandicap[Tees]=E645), 0),
  MATCH(G645, CourseHandicap[[#Headers],[Hole 1]:[Hole 18]], 0)
),"")</f>
        <v>14</v>
      </c>
      <c r="K645" cm="1">
        <f t="array" ref="K645">IFERROR(INDEX(CourseRatings[[Hole 1]:[Hole 18]],
  MATCH(1, (CourseRatings[Course]=C645)*(CourseRatings[Tees]=E645), 0),
  MATCH(G645, CourseRatings[[#Headers],[Hole 1]:[Hole 18]], 0)
),"")</f>
        <v>4</v>
      </c>
      <c r="L645" cm="1">
        <f t="array" ref="L645">IFERROR(
  INDEX('Golf Log'!$E$2:$V$72,
    MATCH(1,
      ('Golf Log'!$A$2:$A$72=$A645)*
      ('Golf Log'!$B$2:$B$72=$B645)*
      ('Golf Log'!$C$2:$C$72=$C645),
    0),
    MATCH($G645,'Golf Log'!$E$1:$V$1,0)
  ),
"")</f>
        <v>4</v>
      </c>
      <c r="M645">
        <f t="shared" si="31"/>
        <v>0</v>
      </c>
      <c r="N645" t="str">
        <f t="shared" si="32"/>
        <v>Par</v>
      </c>
      <c r="O645" cm="1">
        <f t="array" ref="O645">IFERROR(
  INDEX('Putt Log'!$E$2:$V$72,
    MATCH(1,
      ('Putt Log'!$A$2:$A$72=$A645)*
      ('Putt Log'!$B$2:$B$72=$B645)*
      ('Putt Log'!$C$2:$C$72=$C645),
    0),
    MATCH($G645,'Putt Log'!$E$1:$V$1,0)
  ),
"")</f>
        <v>1</v>
      </c>
      <c r="P645" cm="1">
        <f t="array" ref="P645">IF(K645=3,"",
  IFERROR(
    INDEX('Fairway Log'!$E$2:$V$72,
      MATCH(1,
        ('Fairway Log'!$A$2:$A$72=$A645)*
        ('Fairway Log'!$B$2:$B$72=$B645)*
        ('Fairway Log'!$C$2:$C716=$C645),
      0),
      MATCH($G645,'Fairway Log'!$E$1:$V$1,0)
    ),
  "")
)</f>
        <v>1</v>
      </c>
      <c r="Q645" t="str" cm="1">
        <f t="array" ref="Q645">IFERROR(
  INDEX('GIR Log'!$E$2:$V$72,
    MATCH(1,
      ('GIR Log'!$A$2:$A$72=$A645)*
      ('GIR Log'!$B$2:$B$72=$B645)*
      ('GIR Log'!$C$2:$C$72=$C645),
    0),
    MATCH($G645,'GIR Log'!$E$1:$V$1,0)
  ),
"")</f>
        <v>↓</v>
      </c>
    </row>
    <row r="646" spans="1:17" x14ac:dyDescent="0.25">
      <c r="A646" s="20" t="s">
        <v>126</v>
      </c>
      <c r="B646" s="2">
        <v>45857</v>
      </c>
      <c r="C646" s="12" t="s">
        <v>3</v>
      </c>
      <c r="D646" s="12" t="s">
        <v>3</v>
      </c>
      <c r="E646" s="12" t="s">
        <v>36</v>
      </c>
      <c r="F646">
        <v>75</v>
      </c>
      <c r="G646" t="s">
        <v>61</v>
      </c>
      <c r="H646" s="9">
        <f t="shared" si="33"/>
        <v>15</v>
      </c>
      <c r="I646" cm="1">
        <f t="array" ref="I646">IFERROR(INDEX(CourseYardages[[Hole 1]:[Hole 18]],
  MATCH(1, (CourseYardages[Course]=C646)*(CourseYardages[Tees]=E646), 0),
  MATCH(G646, CourseYardages[[#Headers],[Hole 1]:[Hole 18]], 0)
),"")</f>
        <v>165</v>
      </c>
      <c r="J646" cm="1">
        <f t="array" ref="J646">IFERROR(INDEX(CourseHandicap[[Hole 1]:[Hole 18]],
  MATCH(1, (CourseHandicap[Course]=C646)*(CourseHandicap[Tees]=E646), 0),
  MATCH(G646, CourseHandicap[[#Headers],[Hole 1]:[Hole 18]], 0)
),"")</f>
        <v>8</v>
      </c>
      <c r="K646" cm="1">
        <f t="array" ref="K646">IFERROR(INDEX(CourseRatings[[Hole 1]:[Hole 18]],
  MATCH(1, (CourseRatings[Course]=C646)*(CourseRatings[Tees]=E646), 0),
  MATCH(G646, CourseRatings[[#Headers],[Hole 1]:[Hole 18]], 0)
),"")</f>
        <v>3</v>
      </c>
      <c r="L646" cm="1">
        <f t="array" ref="L646">IFERROR(
  INDEX('Golf Log'!$E$2:$V$72,
    MATCH(1,
      ('Golf Log'!$A$2:$A$72=$A646)*
      ('Golf Log'!$B$2:$B$72=$B646)*
      ('Golf Log'!$C$2:$C$72=$C646),
    0),
    MATCH($G646,'Golf Log'!$E$1:$V$1,0)
  ),
"")</f>
        <v>4</v>
      </c>
      <c r="M646">
        <f t="shared" si="31"/>
        <v>1</v>
      </c>
      <c r="N646" t="str">
        <f t="shared" si="32"/>
        <v>Bogey</v>
      </c>
      <c r="O646" cm="1">
        <f t="array" ref="O646">IFERROR(
  INDEX('Putt Log'!$E$2:$V$72,
    MATCH(1,
      ('Putt Log'!$A$2:$A$72=$A646)*
      ('Putt Log'!$B$2:$B$72=$B646)*
      ('Putt Log'!$C$2:$C$72=$C646),
    0),
    MATCH($G646,'Putt Log'!$E$1:$V$1,0)
  ),
"")</f>
        <v>2</v>
      </c>
      <c r="P646" t="str" cm="1">
        <f t="array" ref="P646">IF(K646=3,"",
  IFERROR(
    INDEX('Fairway Log'!$E$2:$V$72,
      MATCH(1,
        ('Fairway Log'!$A$2:$A$72=$A646)*
        ('Fairway Log'!$B$2:$B$72=$B646)*
        ('Fairway Log'!$C$2:$C717=$C646),
      0),
      MATCH($G646,'Fairway Log'!$E$1:$V$1,0)
    ),
  "")
)</f>
        <v/>
      </c>
      <c r="Q646" t="str" cm="1">
        <f t="array" ref="Q646">IFERROR(
  INDEX('GIR Log'!$E$2:$V$72,
    MATCH(1,
      ('GIR Log'!$A$2:$A$72=$A646)*
      ('GIR Log'!$B$2:$B$72=$B646)*
      ('GIR Log'!$C$2:$C$72=$C646),
    0),
    MATCH($G646,'GIR Log'!$E$1:$V$1,0)
  ),
"")</f>
        <v>→</v>
      </c>
    </row>
    <row r="647" spans="1:17" x14ac:dyDescent="0.25">
      <c r="A647" s="20" t="s">
        <v>126</v>
      </c>
      <c r="B647" s="2">
        <v>45857</v>
      </c>
      <c r="C647" s="12" t="s">
        <v>3</v>
      </c>
      <c r="D647" s="12" t="s">
        <v>3</v>
      </c>
      <c r="E647" s="12" t="s">
        <v>36</v>
      </c>
      <c r="F647">
        <v>75</v>
      </c>
      <c r="G647" t="s">
        <v>62</v>
      </c>
      <c r="H647" s="9">
        <f t="shared" si="33"/>
        <v>16</v>
      </c>
      <c r="I647" cm="1">
        <f t="array" ref="I647">IFERROR(INDEX(CourseYardages[[Hole 1]:[Hole 18]],
  MATCH(1, (CourseYardages[Course]=C647)*(CourseYardages[Tees]=E647), 0),
  MATCH(G647, CourseYardages[[#Headers],[Hole 1]:[Hole 18]], 0)
),"")</f>
        <v>343</v>
      </c>
      <c r="J647" cm="1">
        <f t="array" ref="J647">IFERROR(INDEX(CourseHandicap[[Hole 1]:[Hole 18]],
  MATCH(1, (CourseHandicap[Course]=C647)*(CourseHandicap[Tees]=E647), 0),
  MATCH(G647, CourseHandicap[[#Headers],[Hole 1]:[Hole 18]], 0)
),"")</f>
        <v>10</v>
      </c>
      <c r="K647" cm="1">
        <f t="array" ref="K647">IFERROR(INDEX(CourseRatings[[Hole 1]:[Hole 18]],
  MATCH(1, (CourseRatings[Course]=C647)*(CourseRatings[Tees]=E647), 0),
  MATCH(G647, CourseRatings[[#Headers],[Hole 1]:[Hole 18]], 0)
),"")</f>
        <v>4</v>
      </c>
      <c r="L647" cm="1">
        <f t="array" ref="L647">IFERROR(
  INDEX('Golf Log'!$E$2:$V$72,
    MATCH(1,
      ('Golf Log'!$A$2:$A$72=$A647)*
      ('Golf Log'!$B$2:$B$72=$B647)*
      ('Golf Log'!$C$2:$C$72=$C647),
    0),
    MATCH($G647,'Golf Log'!$E$1:$V$1,0)
  ),
"")</f>
        <v>5</v>
      </c>
      <c r="M647">
        <f t="shared" si="31"/>
        <v>1</v>
      </c>
      <c r="N647" t="str">
        <f t="shared" si="32"/>
        <v>Bogey</v>
      </c>
      <c r="O647" cm="1">
        <f t="array" ref="O647">IFERROR(
  INDEX('Putt Log'!$E$2:$V$72,
    MATCH(1,
      ('Putt Log'!$A$2:$A$72=$A647)*
      ('Putt Log'!$B$2:$B$72=$B647)*
      ('Putt Log'!$C$2:$C$72=$C647),
    0),
    MATCH($G647,'Putt Log'!$E$1:$V$1,0)
  ),
"")</f>
        <v>2</v>
      </c>
      <c r="P647" t="str" cm="1">
        <f t="array" ref="P647">IF(K647=3,"",
  IFERROR(
    INDEX('Fairway Log'!$E$2:$V$72,
      MATCH(1,
        ('Fairway Log'!$A$2:$A$72=$A647)*
        ('Fairway Log'!$B$2:$B$72=$B647)*
        ('Fairway Log'!$C$2:$C718=$C647),
      0),
      MATCH($G647,'Fairway Log'!$E$1:$V$1,0)
    ),
  "")
)</f>
        <v>→</v>
      </c>
      <c r="Q647" t="str" cm="1">
        <f t="array" ref="Q647">IFERROR(
  INDEX('GIR Log'!$E$2:$V$72,
    MATCH(1,
      ('GIR Log'!$A$2:$A$72=$A647)*
      ('GIR Log'!$B$2:$B$72=$B647)*
      ('GIR Log'!$C$2:$C$72=$C647),
    0),
    MATCH($G647,'GIR Log'!$E$1:$V$1,0)
  ),
"")</f>
        <v>→</v>
      </c>
    </row>
    <row r="648" spans="1:17" x14ac:dyDescent="0.25">
      <c r="A648" s="20" t="s">
        <v>126</v>
      </c>
      <c r="B648" s="2">
        <v>45857</v>
      </c>
      <c r="C648" s="12" t="s">
        <v>3</v>
      </c>
      <c r="D648" s="12" t="s">
        <v>3</v>
      </c>
      <c r="E648" s="12" t="s">
        <v>36</v>
      </c>
      <c r="F648">
        <v>75</v>
      </c>
      <c r="G648" t="s">
        <v>63</v>
      </c>
      <c r="H648" s="9">
        <f t="shared" si="33"/>
        <v>17</v>
      </c>
      <c r="I648" cm="1">
        <f t="array" ref="I648">IFERROR(INDEX(CourseYardages[[Hole 1]:[Hole 18]],
  MATCH(1, (CourseYardages[Course]=C648)*(CourseYardages[Tees]=E648), 0),
  MATCH(G648, CourseYardages[[#Headers],[Hole 1]:[Hole 18]], 0)
),"")</f>
        <v>408</v>
      </c>
      <c r="J648" cm="1">
        <f t="array" ref="J648">IFERROR(INDEX(CourseHandicap[[Hole 1]:[Hole 18]],
  MATCH(1, (CourseHandicap[Course]=C648)*(CourseHandicap[Tees]=E648), 0),
  MATCH(G648, CourseHandicap[[#Headers],[Hole 1]:[Hole 18]], 0)
),"")</f>
        <v>4</v>
      </c>
      <c r="K648" cm="1">
        <f t="array" ref="K648">IFERROR(INDEX(CourseRatings[[Hole 1]:[Hole 18]],
  MATCH(1, (CourseRatings[Course]=C648)*(CourseRatings[Tees]=E648), 0),
  MATCH(G648, CourseRatings[[#Headers],[Hole 1]:[Hole 18]], 0)
),"")</f>
        <v>4</v>
      </c>
      <c r="L648" cm="1">
        <f t="array" ref="L648">IFERROR(
  INDEX('Golf Log'!$E$2:$V$72,
    MATCH(1,
      ('Golf Log'!$A$2:$A$72=$A648)*
      ('Golf Log'!$B$2:$B$72=$B648)*
      ('Golf Log'!$C$2:$C$72=$C648),
    0),
    MATCH($G648,'Golf Log'!$E$1:$V$1,0)
  ),
"")</f>
        <v>4</v>
      </c>
      <c r="M648">
        <f t="shared" si="31"/>
        <v>0</v>
      </c>
      <c r="N648" t="str">
        <f t="shared" si="32"/>
        <v>Par</v>
      </c>
      <c r="O648" cm="1">
        <f t="array" ref="O648">IFERROR(
  INDEX('Putt Log'!$E$2:$V$72,
    MATCH(1,
      ('Putt Log'!$A$2:$A$72=$A648)*
      ('Putt Log'!$B$2:$B$72=$B648)*
      ('Putt Log'!$C$2:$C$72=$C648),
    0),
    MATCH($G648,'Putt Log'!$E$1:$V$1,0)
  ),
"")</f>
        <v>1</v>
      </c>
      <c r="P648" cm="1">
        <f t="array" ref="P648">IF(K648=3,"",
  IFERROR(
    INDEX('Fairway Log'!$E$2:$V$72,
      MATCH(1,
        ('Fairway Log'!$A$2:$A$72=$A648)*
        ('Fairway Log'!$B$2:$B$72=$B648)*
        ('Fairway Log'!$C$2:$C719=$C648),
      0),
      MATCH($G648,'Fairway Log'!$E$1:$V$1,0)
    ),
  "")
)</f>
        <v>1</v>
      </c>
      <c r="Q648" t="str" cm="1">
        <f t="array" ref="Q648">IFERROR(
  INDEX('GIR Log'!$E$2:$V$72,
    MATCH(1,
      ('GIR Log'!$A$2:$A$72=$A648)*
      ('GIR Log'!$B$2:$B$72=$B648)*
      ('GIR Log'!$C$2:$C$72=$C648),
    0),
    MATCH($G648,'GIR Log'!$E$1:$V$1,0)
  ),
"")</f>
        <v>→</v>
      </c>
    </row>
    <row r="649" spans="1:17" x14ac:dyDescent="0.25">
      <c r="A649" s="20" t="s">
        <v>126</v>
      </c>
      <c r="B649" s="2">
        <v>45857</v>
      </c>
      <c r="C649" s="12" t="s">
        <v>3</v>
      </c>
      <c r="D649" s="12" t="s">
        <v>3</v>
      </c>
      <c r="E649" s="12" t="s">
        <v>36</v>
      </c>
      <c r="F649">
        <v>75</v>
      </c>
      <c r="G649" t="s">
        <v>64</v>
      </c>
      <c r="H649" s="9">
        <f t="shared" si="33"/>
        <v>18</v>
      </c>
      <c r="I649" cm="1">
        <f t="array" ref="I649">IFERROR(INDEX(CourseYardages[[Hole 1]:[Hole 18]],
  MATCH(1, (CourseYardages[Course]=C649)*(CourseYardages[Tees]=E649), 0),
  MATCH(G649, CourseYardages[[#Headers],[Hole 1]:[Hole 18]], 0)
),"")</f>
        <v>386</v>
      </c>
      <c r="J649" cm="1">
        <f t="array" ref="J649">IFERROR(INDEX(CourseHandicap[[Hole 1]:[Hole 18]],
  MATCH(1, (CourseHandicap[Course]=C649)*(CourseHandicap[Tees]=E649), 0),
  MATCH(G649, CourseHandicap[[#Headers],[Hole 1]:[Hole 18]], 0)
),"")</f>
        <v>6</v>
      </c>
      <c r="K649" cm="1">
        <f t="array" ref="K649">IFERROR(INDEX(CourseRatings[[Hole 1]:[Hole 18]],
  MATCH(1, (CourseRatings[Course]=C649)*(CourseRatings[Tees]=E649), 0),
  MATCH(G649, CourseRatings[[#Headers],[Hole 1]:[Hole 18]], 0)
),"")</f>
        <v>4</v>
      </c>
      <c r="L649" cm="1">
        <f t="array" ref="L649">IFERROR(
  INDEX('Golf Log'!$E$2:$V$72,
    MATCH(1,
      ('Golf Log'!$A$2:$A$72=$A649)*
      ('Golf Log'!$B$2:$B$72=$B649)*
      ('Golf Log'!$C$2:$C$72=$C649),
    0),
    MATCH($G649,'Golf Log'!$E$1:$V$1,0)
  ),
"")</f>
        <v>4</v>
      </c>
      <c r="M649">
        <f t="shared" si="31"/>
        <v>0</v>
      </c>
      <c r="N649" t="str">
        <f t="shared" si="32"/>
        <v>Par</v>
      </c>
      <c r="O649" cm="1">
        <f t="array" ref="O649">IFERROR(
  INDEX('Putt Log'!$E$2:$V$72,
    MATCH(1,
      ('Putt Log'!$A$2:$A$72=$A649)*
      ('Putt Log'!$B$2:$B$72=$B649)*
      ('Putt Log'!$C$2:$C$72=$C649),
    0),
    MATCH($G649,'Putt Log'!$E$1:$V$1,0)
  ),
"")</f>
        <v>2</v>
      </c>
      <c r="P649" cm="1">
        <f t="array" ref="P649">IF(K649=3,"",
  IFERROR(
    INDEX('Fairway Log'!$E$2:$V$72,
      MATCH(1,
        ('Fairway Log'!$A$2:$A$72=$A649)*
        ('Fairway Log'!$B$2:$B$72=$B649)*
        ('Fairway Log'!$C$2:$C720=$C649),
      0),
      MATCH($G649,'Fairway Log'!$E$1:$V$1,0)
    ),
  "")
)</f>
        <v>1</v>
      </c>
      <c r="Q649" cm="1">
        <f t="array" ref="Q649">IFERROR(
  INDEX('GIR Log'!$E$2:$V$72,
    MATCH(1,
      ('GIR Log'!$A$2:$A$72=$A649)*
      ('GIR Log'!$B$2:$B$72=$B649)*
      ('GIR Log'!$C$2:$C$72=$C649),
    0),
    MATCH($G649,'GIR Log'!$E$1:$V$1,0)
  ),
"")</f>
        <v>1</v>
      </c>
    </row>
    <row r="650" spans="1:17" x14ac:dyDescent="0.25">
      <c r="A650" s="20" t="s">
        <v>126</v>
      </c>
      <c r="B650" s="2">
        <v>45868</v>
      </c>
      <c r="C650" s="12" t="s">
        <v>10</v>
      </c>
      <c r="D650" s="12" t="s">
        <v>10</v>
      </c>
      <c r="E650" s="12" t="s">
        <v>34</v>
      </c>
      <c r="F650">
        <v>81</v>
      </c>
      <c r="G650" s="12" t="s">
        <v>47</v>
      </c>
      <c r="H650" s="9">
        <f t="shared" si="33"/>
        <v>1</v>
      </c>
      <c r="I650" cm="1">
        <f t="array" ref="I650">IFERROR(INDEX(CourseYardages[[Hole 1]:[Hole 18]],
  MATCH(1, (CourseYardages[Course]=C650)*(CourseYardages[Tees]=E650), 0),
  MATCH(G650, CourseYardages[[#Headers],[Hole 1]:[Hole 18]], 0)
),"")</f>
        <v>471</v>
      </c>
      <c r="J650" cm="1">
        <f t="array" ref="J650">IFERROR(INDEX(CourseHandicap[[Hole 1]:[Hole 18]],
  MATCH(1, (CourseHandicap[Course]=C650)*(CourseHandicap[Tees]=E650), 0),
  MATCH(G650, CourseHandicap[[#Headers],[Hole 1]:[Hole 18]], 0)
),"")</f>
        <v>3</v>
      </c>
      <c r="K650" cm="1">
        <f t="array" ref="K650">IFERROR(INDEX(CourseRatings[[Hole 1]:[Hole 18]],
  MATCH(1, (CourseRatings[Course]=C650)*(CourseRatings[Tees]=E650), 0),
  MATCH(G650, CourseRatings[[#Headers],[Hole 1]:[Hole 18]], 0)
),"")</f>
        <v>4</v>
      </c>
      <c r="L650" cm="1">
        <f t="array" ref="L650">IFERROR(
  INDEX('Golf Log'!$E$2:$V$72,
    MATCH(1,
      ('Golf Log'!$A$2:$A$72=$A650)*
      ('Golf Log'!$B$2:$B$72=$B650)*
      ('Golf Log'!$C$2:$C$72=$C650),
    0),
    MATCH($G650,'Golf Log'!$E$1:$V$1,0)
  ),
"")</f>
        <v>4</v>
      </c>
      <c r="M650">
        <f t="shared" ref="M650:M667" si="34">IFERROR(L650-K650,"")</f>
        <v>0</v>
      </c>
      <c r="N650" t="str">
        <f t="shared" ref="N650:N667" si="35">IF(M650="","",(IF(M650=-2,"Eagle",IF(M650=-1,"Birdie",IF(M650=0,"Par",IF(M650=1,"Bogey",IF(M650=2,"Double Bogey",IF(M650=3,"Triple Bogey",IF(M650&gt;3,"Quad Bogey+")))))))))</f>
        <v>Par</v>
      </c>
      <c r="O650" cm="1">
        <f t="array" ref="O650">IFERROR(
  INDEX('Putt Log'!$E$2:$V$72,
    MATCH(1,
      ('Putt Log'!$A$2:$A$72=$A650)*
      ('Putt Log'!$B$2:$B$72=$B650)*
      ('Putt Log'!$C$2:$C$72=$C650),
    0),
    MATCH($G650,'Putt Log'!$E$1:$V$1,0)
  ),
"")</f>
        <v>2</v>
      </c>
      <c r="P650" cm="1">
        <f t="array" ref="P650">IF(K650=3,"",
  IFERROR(
    INDEX('Fairway Log'!$E$2:$V$72,
      MATCH(1,
        ('Fairway Log'!$A$2:$A$72=$A650)*
        ('Fairway Log'!$B$2:$B$72=$B650)*
        ('Fairway Log'!$C$2:$C721=$C650),
      0),
      MATCH($G650,'Fairway Log'!$E$1:$V$1,0)
    ),
  "")
)</f>
        <v>1</v>
      </c>
      <c r="Q650" cm="1">
        <f t="array" ref="Q650">IFERROR(
  INDEX('GIR Log'!$E$2:$V$72,
    MATCH(1,
      ('GIR Log'!$A$2:$A$72=$A650)*
      ('GIR Log'!$B$2:$B$72=$B650)*
      ('GIR Log'!$C$2:$C$72=$C650),
    0),
    MATCH($G650,'GIR Log'!$E$1:$V$1,0)
  ),
"")</f>
        <v>1</v>
      </c>
    </row>
    <row r="651" spans="1:17" x14ac:dyDescent="0.25">
      <c r="A651" s="20" t="s">
        <v>126</v>
      </c>
      <c r="B651" s="2">
        <v>45868</v>
      </c>
      <c r="C651" s="12" t="s">
        <v>10</v>
      </c>
      <c r="D651" s="12" t="s">
        <v>10</v>
      </c>
      <c r="E651" s="12" t="s">
        <v>34</v>
      </c>
      <c r="F651">
        <v>81</v>
      </c>
      <c r="G651" s="12" t="s">
        <v>48</v>
      </c>
      <c r="H651" s="9">
        <f t="shared" si="33"/>
        <v>2</v>
      </c>
      <c r="I651" cm="1">
        <f t="array" ref="I651">IFERROR(INDEX(CourseYardages[[Hole 1]:[Hole 18]],
  MATCH(1, (CourseYardages[Course]=C651)*(CourseYardages[Tees]=E651), 0),
  MATCH(G651, CourseYardages[[#Headers],[Hole 1]:[Hole 18]], 0)
),"")</f>
        <v>401</v>
      </c>
      <c r="J651" cm="1">
        <f t="array" ref="J651">IFERROR(INDEX(CourseHandicap[[Hole 1]:[Hole 18]],
  MATCH(1, (CourseHandicap[Course]=C651)*(CourseHandicap[Tees]=E651), 0),
  MATCH(G651, CourseHandicap[[#Headers],[Hole 1]:[Hole 18]], 0)
),"")</f>
        <v>7</v>
      </c>
      <c r="K651" cm="1">
        <f t="array" ref="K651">IFERROR(INDEX(CourseRatings[[Hole 1]:[Hole 18]],
  MATCH(1, (CourseRatings[Course]=C651)*(CourseRatings[Tees]=E651), 0),
  MATCH(G651, CourseRatings[[#Headers],[Hole 1]:[Hole 18]], 0)
),"")</f>
        <v>4</v>
      </c>
      <c r="L651" cm="1">
        <f t="array" ref="L651">IFERROR(
  INDEX('Golf Log'!$E$2:$V$72,
    MATCH(1,
      ('Golf Log'!$A$2:$A$72=$A651)*
      ('Golf Log'!$B$2:$B$72=$B651)*
      ('Golf Log'!$C$2:$C$72=$C651),
    0),
    MATCH($G651,'Golf Log'!$E$1:$V$1,0)
  ),
"")</f>
        <v>6</v>
      </c>
      <c r="M651">
        <f t="shared" si="34"/>
        <v>2</v>
      </c>
      <c r="N651" t="str">
        <f t="shared" si="35"/>
        <v>Double Bogey</v>
      </c>
      <c r="O651" cm="1">
        <f t="array" ref="O651">IFERROR(
  INDEX('Putt Log'!$E$2:$V$72,
    MATCH(1,
      ('Putt Log'!$A$2:$A$72=$A651)*
      ('Putt Log'!$B$2:$B$72=$B651)*
      ('Putt Log'!$C$2:$C$72=$C651),
    0),
    MATCH($G651,'Putt Log'!$E$1:$V$1,0)
  ),
"")</f>
        <v>2</v>
      </c>
      <c r="P651" t="str" cm="1">
        <f t="array" ref="P651">IF(K651=3,"",
  IFERROR(
    INDEX('Fairway Log'!$E$2:$V$72,
      MATCH(1,
        ('Fairway Log'!$A$2:$A$72=$A651)*
        ('Fairway Log'!$B$2:$B$72=$B651)*
        ('Fairway Log'!$C$2:$C722=$C651),
      0),
      MATCH($G651,'Fairway Log'!$E$1:$V$1,0)
    ),
  "")
)</f>
        <v>→</v>
      </c>
      <c r="Q651" t="str" cm="1">
        <f t="array" ref="Q651">IFERROR(
  INDEX('GIR Log'!$E$2:$V$72,
    MATCH(1,
      ('GIR Log'!$A$2:$A$72=$A651)*
      ('GIR Log'!$B$2:$B$72=$B651)*
      ('GIR Log'!$C$2:$C$72=$C651),
    0),
    MATCH($G651,'GIR Log'!$E$1:$V$1,0)
  ),
"")</f>
        <v>↓</v>
      </c>
    </row>
    <row r="652" spans="1:17" x14ac:dyDescent="0.25">
      <c r="A652" s="20" t="s">
        <v>126</v>
      </c>
      <c r="B652" s="2">
        <v>45868</v>
      </c>
      <c r="C652" s="12" t="s">
        <v>10</v>
      </c>
      <c r="D652" s="12" t="s">
        <v>10</v>
      </c>
      <c r="E652" s="12" t="s">
        <v>34</v>
      </c>
      <c r="F652">
        <v>81</v>
      </c>
      <c r="G652" s="12" t="s">
        <v>49</v>
      </c>
      <c r="H652" s="9">
        <f t="shared" si="33"/>
        <v>3</v>
      </c>
      <c r="I652" cm="1">
        <f t="array" ref="I652">IFERROR(INDEX(CourseYardages[[Hole 1]:[Hole 18]],
  MATCH(1, (CourseYardages[Course]=C652)*(CourseYardages[Tees]=E652), 0),
  MATCH(G652, CourseYardages[[#Headers],[Hole 1]:[Hole 18]], 0)
),"")</f>
        <v>382</v>
      </c>
      <c r="J652" cm="1">
        <f t="array" ref="J652">IFERROR(INDEX(CourseHandicap[[Hole 1]:[Hole 18]],
  MATCH(1, (CourseHandicap[Course]=C652)*(CourseHandicap[Tees]=E652), 0),
  MATCH(G652, CourseHandicap[[#Headers],[Hole 1]:[Hole 18]], 0)
),"")</f>
        <v>11</v>
      </c>
      <c r="K652" cm="1">
        <f t="array" ref="K652">IFERROR(INDEX(CourseRatings[[Hole 1]:[Hole 18]],
  MATCH(1, (CourseRatings[Course]=C652)*(CourseRatings[Tees]=E652), 0),
  MATCH(G652, CourseRatings[[#Headers],[Hole 1]:[Hole 18]], 0)
),"")</f>
        <v>4</v>
      </c>
      <c r="L652" cm="1">
        <f t="array" ref="L652">IFERROR(
  INDEX('Golf Log'!$E$2:$V$72,
    MATCH(1,
      ('Golf Log'!$A$2:$A$72=$A652)*
      ('Golf Log'!$B$2:$B$72=$B652)*
      ('Golf Log'!$C$2:$C$72=$C652),
    0),
    MATCH($G652,'Golf Log'!$E$1:$V$1,0)
  ),
"")</f>
        <v>4</v>
      </c>
      <c r="M652">
        <f t="shared" si="34"/>
        <v>0</v>
      </c>
      <c r="N652" t="str">
        <f t="shared" si="35"/>
        <v>Par</v>
      </c>
      <c r="O652" cm="1">
        <f t="array" ref="O652">IFERROR(
  INDEX('Putt Log'!$E$2:$V$72,
    MATCH(1,
      ('Putt Log'!$A$2:$A$72=$A652)*
      ('Putt Log'!$B$2:$B$72=$B652)*
      ('Putt Log'!$C$2:$C$72=$C652),
    0),
    MATCH($G652,'Putt Log'!$E$1:$V$1,0)
  ),
"")</f>
        <v>1</v>
      </c>
      <c r="P652" cm="1">
        <f t="array" ref="P652">IF(K652=3,"",
  IFERROR(
    INDEX('Fairway Log'!$E$2:$V$72,
      MATCH(1,
        ('Fairway Log'!$A$2:$A$72=$A652)*
        ('Fairway Log'!$B$2:$B$72=$B652)*
        ('Fairway Log'!$C$2:$C723=$C652),
      0),
      MATCH($G652,'Fairway Log'!$E$1:$V$1,0)
    ),
  "")
)</f>
        <v>1</v>
      </c>
      <c r="Q652" t="str" cm="1">
        <f t="array" ref="Q652">IFERROR(
  INDEX('GIR Log'!$E$2:$V$72,
    MATCH(1,
      ('GIR Log'!$A$2:$A$72=$A652)*
      ('GIR Log'!$B$2:$B$72=$B652)*
      ('GIR Log'!$C$2:$C$72=$C652),
    0),
    MATCH($G652,'GIR Log'!$E$1:$V$1,0)
  ),
"")</f>
        <v>↓</v>
      </c>
    </row>
    <row r="653" spans="1:17" x14ac:dyDescent="0.25">
      <c r="A653" s="20" t="s">
        <v>126</v>
      </c>
      <c r="B653" s="2">
        <v>45868</v>
      </c>
      <c r="C653" s="12" t="s">
        <v>10</v>
      </c>
      <c r="D653" s="12" t="s">
        <v>10</v>
      </c>
      <c r="E653" s="12" t="s">
        <v>34</v>
      </c>
      <c r="F653">
        <v>81</v>
      </c>
      <c r="G653" s="12" t="s">
        <v>50</v>
      </c>
      <c r="H653" s="9">
        <f t="shared" si="33"/>
        <v>4</v>
      </c>
      <c r="I653" cm="1">
        <f t="array" ref="I653">IFERROR(INDEX(CourseYardages[[Hole 1]:[Hole 18]],
  MATCH(1, (CourseYardages[Course]=C653)*(CourseYardages[Tees]=E653), 0),
  MATCH(G653, CourseYardages[[#Headers],[Hole 1]:[Hole 18]], 0)
),"")</f>
        <v>181</v>
      </c>
      <c r="J653" cm="1">
        <f t="array" ref="J653">IFERROR(INDEX(CourseHandicap[[Hole 1]:[Hole 18]],
  MATCH(1, (CourseHandicap[Course]=C653)*(CourseHandicap[Tees]=E653), 0),
  MATCH(G653, CourseHandicap[[#Headers],[Hole 1]:[Hole 18]], 0)
),"")</f>
        <v>15</v>
      </c>
      <c r="K653" cm="1">
        <f t="array" ref="K653">IFERROR(INDEX(CourseRatings[[Hole 1]:[Hole 18]],
  MATCH(1, (CourseRatings[Course]=C653)*(CourseRatings[Tees]=E653), 0),
  MATCH(G653, CourseRatings[[#Headers],[Hole 1]:[Hole 18]], 0)
),"")</f>
        <v>3</v>
      </c>
      <c r="L653" cm="1">
        <f t="array" ref="L653">IFERROR(
  INDEX('Golf Log'!$E$2:$V$72,
    MATCH(1,
      ('Golf Log'!$A$2:$A$72=$A653)*
      ('Golf Log'!$B$2:$B$72=$B653)*
      ('Golf Log'!$C$2:$C$72=$C653),
    0),
    MATCH($G653,'Golf Log'!$E$1:$V$1,0)
  ),
"")</f>
        <v>4</v>
      </c>
      <c r="M653">
        <f t="shared" si="34"/>
        <v>1</v>
      </c>
      <c r="N653" t="str">
        <f t="shared" si="35"/>
        <v>Bogey</v>
      </c>
      <c r="O653" cm="1">
        <f t="array" ref="O653">IFERROR(
  INDEX('Putt Log'!$E$2:$V$72,
    MATCH(1,
      ('Putt Log'!$A$2:$A$72=$A653)*
      ('Putt Log'!$B$2:$B$72=$B653)*
      ('Putt Log'!$C$2:$C$72=$C653),
    0),
    MATCH($G653,'Putt Log'!$E$1:$V$1,0)
  ),
"")</f>
        <v>2</v>
      </c>
      <c r="P653" t="str" cm="1">
        <f t="array" ref="P653">IF(K653=3,"",
  IFERROR(
    INDEX('Fairway Log'!$E$2:$V$72,
      MATCH(1,
        ('Fairway Log'!$A$2:$A$72=$A653)*
        ('Fairway Log'!$B$2:$B$72=$B653)*
        ('Fairway Log'!$C$2:$C724=$C653),
      0),
      MATCH($G653,'Fairway Log'!$E$1:$V$1,0)
    ),
  "")
)</f>
        <v/>
      </c>
      <c r="Q653" t="str" cm="1">
        <f t="array" ref="Q653">IFERROR(
  INDEX('GIR Log'!$E$2:$V$72,
    MATCH(1,
      ('GIR Log'!$A$2:$A$72=$A653)*
      ('GIR Log'!$B$2:$B$72=$B653)*
      ('GIR Log'!$C$2:$C$72=$C653),
    0),
    MATCH($G653,'GIR Log'!$E$1:$V$1,0)
  ),
"")</f>
        <v>→</v>
      </c>
    </row>
    <row r="654" spans="1:17" x14ac:dyDescent="0.25">
      <c r="A654" s="20" t="s">
        <v>126</v>
      </c>
      <c r="B654" s="2">
        <v>45868</v>
      </c>
      <c r="C654" s="12" t="s">
        <v>10</v>
      </c>
      <c r="D654" s="12" t="s">
        <v>10</v>
      </c>
      <c r="E654" s="12" t="s">
        <v>34</v>
      </c>
      <c r="F654">
        <v>81</v>
      </c>
      <c r="G654" s="12" t="s">
        <v>51</v>
      </c>
      <c r="H654" s="9">
        <f t="shared" si="33"/>
        <v>5</v>
      </c>
      <c r="I654" cm="1">
        <f t="array" ref="I654">IFERROR(INDEX(CourseYardages[[Hole 1]:[Hole 18]],
  MATCH(1, (CourseYardages[Course]=C654)*(CourseYardages[Tees]=E654), 0),
  MATCH(G654, CourseYardages[[#Headers],[Hole 1]:[Hole 18]], 0)
),"")</f>
        <v>528</v>
      </c>
      <c r="J654" cm="1">
        <f t="array" ref="J654">IFERROR(INDEX(CourseHandicap[[Hole 1]:[Hole 18]],
  MATCH(1, (CourseHandicap[Course]=C654)*(CourseHandicap[Tees]=E654), 0),
  MATCH(G654, CourseHandicap[[#Headers],[Hole 1]:[Hole 18]], 0)
),"")</f>
        <v>5</v>
      </c>
      <c r="K654" cm="1">
        <f t="array" ref="K654">IFERROR(INDEX(CourseRatings[[Hole 1]:[Hole 18]],
  MATCH(1, (CourseRatings[Course]=C654)*(CourseRatings[Tees]=E654), 0),
  MATCH(G654, CourseRatings[[#Headers],[Hole 1]:[Hole 18]], 0)
),"")</f>
        <v>5</v>
      </c>
      <c r="L654" cm="1">
        <f t="array" ref="L654">IFERROR(
  INDEX('Golf Log'!$E$2:$V$72,
    MATCH(1,
      ('Golf Log'!$A$2:$A$72=$A654)*
      ('Golf Log'!$B$2:$B$72=$B654)*
      ('Golf Log'!$C$2:$C$72=$C654),
    0),
    MATCH($G654,'Golf Log'!$E$1:$V$1,0)
  ),
"")</f>
        <v>4</v>
      </c>
      <c r="M654">
        <f t="shared" si="34"/>
        <v>-1</v>
      </c>
      <c r="N654" t="str">
        <f t="shared" si="35"/>
        <v>Birdie</v>
      </c>
      <c r="O654" cm="1">
        <f t="array" ref="O654">IFERROR(
  INDEX('Putt Log'!$E$2:$V$72,
    MATCH(1,
      ('Putt Log'!$A$2:$A$72=$A654)*
      ('Putt Log'!$B$2:$B$72=$B654)*
      ('Putt Log'!$C$2:$C$72=$C654),
    0),
    MATCH($G654,'Putt Log'!$E$1:$V$1,0)
  ),
"")</f>
        <v>2</v>
      </c>
      <c r="P654" cm="1">
        <f t="array" ref="P654">IF(K654=3,"",
  IFERROR(
    INDEX('Fairway Log'!$E$2:$V$72,
      MATCH(1,
        ('Fairway Log'!$A$2:$A$72=$A654)*
        ('Fairway Log'!$B$2:$B$72=$B654)*
        ('Fairway Log'!$C$2:$C725=$C654),
      0),
      MATCH($G654,'Fairway Log'!$E$1:$V$1,0)
    ),
  "")
)</f>
        <v>1</v>
      </c>
      <c r="Q654" cm="1">
        <f t="array" ref="Q654">IFERROR(
  INDEX('GIR Log'!$E$2:$V$72,
    MATCH(1,
      ('GIR Log'!$A$2:$A$72=$A654)*
      ('GIR Log'!$B$2:$B$72=$B654)*
      ('GIR Log'!$C$2:$C$72=$C654),
    0),
    MATCH($G654,'GIR Log'!$E$1:$V$1,0)
  ),
"")</f>
        <v>1</v>
      </c>
    </row>
    <row r="655" spans="1:17" x14ac:dyDescent="0.25">
      <c r="A655" s="20" t="s">
        <v>126</v>
      </c>
      <c r="B655" s="2">
        <v>45868</v>
      </c>
      <c r="C655" s="12" t="s">
        <v>10</v>
      </c>
      <c r="D655" s="12" t="s">
        <v>10</v>
      </c>
      <c r="E655" s="12" t="s">
        <v>34</v>
      </c>
      <c r="F655">
        <v>81</v>
      </c>
      <c r="G655" s="12" t="s">
        <v>52</v>
      </c>
      <c r="H655" s="9">
        <f t="shared" si="33"/>
        <v>6</v>
      </c>
      <c r="I655" cm="1">
        <f t="array" ref="I655">IFERROR(INDEX(CourseYardages[[Hole 1]:[Hole 18]],
  MATCH(1, (CourseYardages[Course]=C655)*(CourseYardages[Tees]=E655), 0),
  MATCH(G655, CourseYardages[[#Headers],[Hole 1]:[Hole 18]], 0)
),"")</f>
        <v>350</v>
      </c>
      <c r="J655" cm="1">
        <f t="array" ref="J655">IFERROR(INDEX(CourseHandicap[[Hole 1]:[Hole 18]],
  MATCH(1, (CourseHandicap[Course]=C655)*(CourseHandicap[Tees]=E655), 0),
  MATCH(G655, CourseHandicap[[#Headers],[Hole 1]:[Hole 18]], 0)
),"")</f>
        <v>9</v>
      </c>
      <c r="K655" cm="1">
        <f t="array" ref="K655">IFERROR(INDEX(CourseRatings[[Hole 1]:[Hole 18]],
  MATCH(1, (CourseRatings[Course]=C655)*(CourseRatings[Tees]=E655), 0),
  MATCH(G655, CourseRatings[[#Headers],[Hole 1]:[Hole 18]], 0)
),"")</f>
        <v>4</v>
      </c>
      <c r="L655" cm="1">
        <f t="array" ref="L655">IFERROR(
  INDEX('Golf Log'!$E$2:$V$72,
    MATCH(1,
      ('Golf Log'!$A$2:$A$72=$A655)*
      ('Golf Log'!$B$2:$B$72=$B655)*
      ('Golf Log'!$C$2:$C$72=$C655),
    0),
    MATCH($G655,'Golf Log'!$E$1:$V$1,0)
  ),
"")</f>
        <v>5</v>
      </c>
      <c r="M655">
        <f t="shared" si="34"/>
        <v>1</v>
      </c>
      <c r="N655" t="str">
        <f t="shared" si="35"/>
        <v>Bogey</v>
      </c>
      <c r="O655" cm="1">
        <f t="array" ref="O655">IFERROR(
  INDEX('Putt Log'!$E$2:$V$72,
    MATCH(1,
      ('Putt Log'!$A$2:$A$72=$A655)*
      ('Putt Log'!$B$2:$B$72=$B655)*
      ('Putt Log'!$C$2:$C$72=$C655),
    0),
    MATCH($G655,'Putt Log'!$E$1:$V$1,0)
  ),
"")</f>
        <v>2</v>
      </c>
      <c r="P655" t="str" cm="1">
        <f t="array" ref="P655">IF(K655=3,"",
  IFERROR(
    INDEX('Fairway Log'!$E$2:$V$72,
      MATCH(1,
        ('Fairway Log'!$A$2:$A$72=$A655)*
        ('Fairway Log'!$B$2:$B$72=$B655)*
        ('Fairway Log'!$C$2:$C726=$C655),
      0),
      MATCH($G655,'Fairway Log'!$E$1:$V$1,0)
    ),
  "")
)</f>
        <v>→</v>
      </c>
      <c r="Q655" t="str" cm="1">
        <f t="array" ref="Q655">IFERROR(
  INDEX('GIR Log'!$E$2:$V$72,
    MATCH(1,
      ('GIR Log'!$A$2:$A$72=$A655)*
      ('GIR Log'!$B$2:$B$72=$B655)*
      ('GIR Log'!$C$2:$C$72=$C655),
    0),
    MATCH($G655,'GIR Log'!$E$1:$V$1,0)
  ),
"")</f>
        <v>→</v>
      </c>
    </row>
    <row r="656" spans="1:17" x14ac:dyDescent="0.25">
      <c r="A656" s="20" t="s">
        <v>126</v>
      </c>
      <c r="B656" s="2">
        <v>45868</v>
      </c>
      <c r="C656" s="12" t="s">
        <v>10</v>
      </c>
      <c r="D656" s="12" t="s">
        <v>10</v>
      </c>
      <c r="E656" s="12" t="s">
        <v>34</v>
      </c>
      <c r="F656">
        <v>81</v>
      </c>
      <c r="G656" s="12" t="s">
        <v>53</v>
      </c>
      <c r="H656" s="9">
        <f t="shared" si="33"/>
        <v>7</v>
      </c>
      <c r="I656" cm="1">
        <f t="array" ref="I656">IFERROR(INDEX(CourseYardages[[Hole 1]:[Hole 18]],
  MATCH(1, (CourseYardages[Course]=C656)*(CourseYardages[Tees]=E656), 0),
  MATCH(G656, CourseYardages[[#Headers],[Hole 1]:[Hole 18]], 0)
),"")</f>
        <v>184</v>
      </c>
      <c r="J656" cm="1">
        <f t="array" ref="J656">IFERROR(INDEX(CourseHandicap[[Hole 1]:[Hole 18]],
  MATCH(1, (CourseHandicap[Course]=C656)*(CourseHandicap[Tees]=E656), 0),
  MATCH(G656, CourseHandicap[[#Headers],[Hole 1]:[Hole 18]], 0)
),"")</f>
        <v>17</v>
      </c>
      <c r="K656" cm="1">
        <f t="array" ref="K656">IFERROR(INDEX(CourseRatings[[Hole 1]:[Hole 18]],
  MATCH(1, (CourseRatings[Course]=C656)*(CourseRatings[Tees]=E656), 0),
  MATCH(G656, CourseRatings[[#Headers],[Hole 1]:[Hole 18]], 0)
),"")</f>
        <v>3</v>
      </c>
      <c r="L656" cm="1">
        <f t="array" ref="L656">IFERROR(
  INDEX('Golf Log'!$E$2:$V$72,
    MATCH(1,
      ('Golf Log'!$A$2:$A$72=$A656)*
      ('Golf Log'!$B$2:$B$72=$B656)*
      ('Golf Log'!$C$2:$C$72=$C656),
    0),
    MATCH($G656,'Golf Log'!$E$1:$V$1,0)
  ),
"")</f>
        <v>3</v>
      </c>
      <c r="M656">
        <f t="shared" si="34"/>
        <v>0</v>
      </c>
      <c r="N656" t="str">
        <f t="shared" si="35"/>
        <v>Par</v>
      </c>
      <c r="O656" cm="1">
        <f t="array" ref="O656">IFERROR(
  INDEX('Putt Log'!$E$2:$V$72,
    MATCH(1,
      ('Putt Log'!$A$2:$A$72=$A656)*
      ('Putt Log'!$B$2:$B$72=$B656)*
      ('Putt Log'!$C$2:$C$72=$C656),
    0),
    MATCH($G656,'Putt Log'!$E$1:$V$1,0)
  ),
"")</f>
        <v>1</v>
      </c>
      <c r="P656" t="str" cm="1">
        <f t="array" ref="P656">IF(K656=3,"",
  IFERROR(
    INDEX('Fairway Log'!$E$2:$V$72,
      MATCH(1,
        ('Fairway Log'!$A$2:$A$72=$A656)*
        ('Fairway Log'!$B$2:$B$72=$B656)*
        ('Fairway Log'!$C$2:$C727=$C656),
      0),
      MATCH($G656,'Fairway Log'!$E$1:$V$1,0)
    ),
  "")
)</f>
        <v/>
      </c>
      <c r="Q656" t="str" cm="1">
        <f t="array" ref="Q656">IFERROR(
  INDEX('GIR Log'!$E$2:$V$72,
    MATCH(1,
      ('GIR Log'!$A$2:$A$72=$A656)*
      ('GIR Log'!$B$2:$B$72=$B656)*
      ('GIR Log'!$C$2:$C$72=$C656),
    0),
    MATCH($G656,'GIR Log'!$E$1:$V$1,0)
  ),
"")</f>
        <v>→</v>
      </c>
    </row>
    <row r="657" spans="1:17" x14ac:dyDescent="0.25">
      <c r="A657" s="20" t="s">
        <v>126</v>
      </c>
      <c r="B657" s="2">
        <v>45868</v>
      </c>
      <c r="C657" s="12" t="s">
        <v>10</v>
      </c>
      <c r="D657" s="12" t="s">
        <v>10</v>
      </c>
      <c r="E657" s="12" t="s">
        <v>34</v>
      </c>
      <c r="F657">
        <v>81</v>
      </c>
      <c r="G657" s="12" t="s">
        <v>54</v>
      </c>
      <c r="H657" s="9">
        <f t="shared" si="33"/>
        <v>8</v>
      </c>
      <c r="I657" cm="1">
        <f t="array" ref="I657">IFERROR(INDEX(CourseYardages[[Hole 1]:[Hole 18]],
  MATCH(1, (CourseYardages[Course]=C657)*(CourseYardages[Tees]=E657), 0),
  MATCH(G657, CourseYardages[[#Headers],[Hole 1]:[Hole 18]], 0)
),"")</f>
        <v>403</v>
      </c>
      <c r="J657" cm="1">
        <f t="array" ref="J657">IFERROR(INDEX(CourseHandicap[[Hole 1]:[Hole 18]],
  MATCH(1, (CourseHandicap[Course]=C657)*(CourseHandicap[Tees]=E657), 0),
  MATCH(G657, CourseHandicap[[#Headers],[Hole 1]:[Hole 18]], 0)
),"")</f>
        <v>13</v>
      </c>
      <c r="K657" cm="1">
        <f t="array" ref="K657">IFERROR(INDEX(CourseRatings[[Hole 1]:[Hole 18]],
  MATCH(1, (CourseRatings[Course]=C657)*(CourseRatings[Tees]=E657), 0),
  MATCH(G657, CourseRatings[[#Headers],[Hole 1]:[Hole 18]], 0)
),"")</f>
        <v>4</v>
      </c>
      <c r="L657" cm="1">
        <f t="array" ref="L657">IFERROR(
  INDEX('Golf Log'!$E$2:$V$72,
    MATCH(1,
      ('Golf Log'!$A$2:$A$72=$A657)*
      ('Golf Log'!$B$2:$B$72=$B657)*
      ('Golf Log'!$C$2:$C$72=$C657),
    0),
    MATCH($G657,'Golf Log'!$E$1:$V$1,0)
  ),
"")</f>
        <v>4</v>
      </c>
      <c r="M657">
        <f t="shared" si="34"/>
        <v>0</v>
      </c>
      <c r="N657" t="str">
        <f t="shared" si="35"/>
        <v>Par</v>
      </c>
      <c r="O657" cm="1">
        <f t="array" ref="O657">IFERROR(
  INDEX('Putt Log'!$E$2:$V$72,
    MATCH(1,
      ('Putt Log'!$A$2:$A$72=$A657)*
      ('Putt Log'!$B$2:$B$72=$B657)*
      ('Putt Log'!$C$2:$C$72=$C657),
    0),
    MATCH($G657,'Putt Log'!$E$1:$V$1,0)
  ),
"")</f>
        <v>1</v>
      </c>
      <c r="P657" cm="1">
        <f t="array" ref="P657">IF(K657=3,"",
  IFERROR(
    INDEX('Fairway Log'!$E$2:$V$72,
      MATCH(1,
        ('Fairway Log'!$A$2:$A$72=$A657)*
        ('Fairway Log'!$B$2:$B$72=$B657)*
        ('Fairway Log'!$C$2:$C728=$C657),
      0),
      MATCH($G657,'Fairway Log'!$E$1:$V$1,0)
    ),
  "")
)</f>
        <v>1</v>
      </c>
      <c r="Q657" t="str" cm="1">
        <f t="array" ref="Q657">IFERROR(
  INDEX('GIR Log'!$E$2:$V$72,
    MATCH(1,
      ('GIR Log'!$A$2:$A$72=$A657)*
      ('GIR Log'!$B$2:$B$72=$B657)*
      ('GIR Log'!$C$2:$C$72=$C657),
    0),
    MATCH($G657,'GIR Log'!$E$1:$V$1,0)
  ),
"")</f>
        <v>→</v>
      </c>
    </row>
    <row r="658" spans="1:17" x14ac:dyDescent="0.25">
      <c r="A658" s="20" t="s">
        <v>126</v>
      </c>
      <c r="B658" s="2">
        <v>45868</v>
      </c>
      <c r="C658" s="12" t="s">
        <v>10</v>
      </c>
      <c r="D658" s="12" t="s">
        <v>10</v>
      </c>
      <c r="E658" s="12" t="s">
        <v>34</v>
      </c>
      <c r="F658">
        <v>81</v>
      </c>
      <c r="G658" s="12" t="s">
        <v>55</v>
      </c>
      <c r="H658" s="9">
        <f t="shared" si="33"/>
        <v>9</v>
      </c>
      <c r="I658" cm="1">
        <f t="array" ref="I658">IFERROR(INDEX(CourseYardages[[Hole 1]:[Hole 18]],
  MATCH(1, (CourseYardages[Course]=C658)*(CourseYardages[Tees]=E658), 0),
  MATCH(G658, CourseYardages[[#Headers],[Hole 1]:[Hole 18]], 0)
),"")</f>
        <v>466</v>
      </c>
      <c r="J658" cm="1">
        <f t="array" ref="J658">IFERROR(INDEX(CourseHandicap[[Hole 1]:[Hole 18]],
  MATCH(1, (CourseHandicap[Course]=C658)*(CourseHandicap[Tees]=E658), 0),
  MATCH(G658, CourseHandicap[[#Headers],[Hole 1]:[Hole 18]], 0)
),"")</f>
        <v>1</v>
      </c>
      <c r="K658" cm="1">
        <f t="array" ref="K658">IFERROR(INDEX(CourseRatings[[Hole 1]:[Hole 18]],
  MATCH(1, (CourseRatings[Course]=C658)*(CourseRatings[Tees]=E658), 0),
  MATCH(G658, CourseRatings[[#Headers],[Hole 1]:[Hole 18]], 0)
),"")</f>
        <v>4</v>
      </c>
      <c r="L658" cm="1">
        <f t="array" ref="L658">IFERROR(
  INDEX('Golf Log'!$E$2:$V$72,
    MATCH(1,
      ('Golf Log'!$A$2:$A$72=$A658)*
      ('Golf Log'!$B$2:$B$72=$B658)*
      ('Golf Log'!$C$2:$C$72=$C658),
    0),
    MATCH($G658,'Golf Log'!$E$1:$V$1,0)
  ),
"")</f>
        <v>6</v>
      </c>
      <c r="M658">
        <f t="shared" si="34"/>
        <v>2</v>
      </c>
      <c r="N658" t="str">
        <f t="shared" si="35"/>
        <v>Double Bogey</v>
      </c>
      <c r="O658" cm="1">
        <f t="array" ref="O658">IFERROR(
  INDEX('Putt Log'!$E$2:$V$72,
    MATCH(1,
      ('Putt Log'!$A$2:$A$72=$A658)*
      ('Putt Log'!$B$2:$B$72=$B658)*
      ('Putt Log'!$C$2:$C$72=$C658),
    0),
    MATCH($G658,'Putt Log'!$E$1:$V$1,0)
  ),
"")</f>
        <v>2</v>
      </c>
      <c r="P658" cm="1">
        <f t="array" ref="P658">IF(K658=3,"",
  IFERROR(
    INDEX('Fairway Log'!$E$2:$V$72,
      MATCH(1,
        ('Fairway Log'!$A$2:$A$72=$A658)*
        ('Fairway Log'!$B$2:$B$72=$B658)*
        ('Fairway Log'!$C$2:$C729=$C658),
      0),
      MATCH($G658,'Fairway Log'!$E$1:$V$1,0)
    ),
  "")
)</f>
        <v>1</v>
      </c>
      <c r="Q658" t="str" cm="1">
        <f t="array" ref="Q658">IFERROR(
  INDEX('GIR Log'!$E$2:$V$72,
    MATCH(1,
      ('GIR Log'!$A$2:$A$72=$A658)*
      ('GIR Log'!$B$2:$B$72=$B658)*
      ('GIR Log'!$C$2:$C$72=$C658),
    0),
    MATCH($G658,'GIR Log'!$E$1:$V$1,0)
  ),
"")</f>
        <v>↓</v>
      </c>
    </row>
    <row r="659" spans="1:17" x14ac:dyDescent="0.25">
      <c r="A659" s="20" t="s">
        <v>126</v>
      </c>
      <c r="B659" s="2">
        <v>45868</v>
      </c>
      <c r="C659" s="12" t="s">
        <v>10</v>
      </c>
      <c r="D659" s="12" t="s">
        <v>10</v>
      </c>
      <c r="E659" s="12" t="s">
        <v>34</v>
      </c>
      <c r="F659">
        <v>81</v>
      </c>
      <c r="G659" s="12" t="s">
        <v>56</v>
      </c>
      <c r="H659" s="9">
        <f t="shared" si="33"/>
        <v>10</v>
      </c>
      <c r="I659" cm="1">
        <f t="array" ref="I659">IFERROR(INDEX(CourseYardages[[Hole 1]:[Hole 18]],
  MATCH(1, (CourseYardages[Course]=C659)*(CourseYardages[Tees]=E659), 0),
  MATCH(G659, CourseYardages[[#Headers],[Hole 1]:[Hole 18]], 0)
),"")</f>
        <v>451</v>
      </c>
      <c r="J659" cm="1">
        <f t="array" ref="J659">IFERROR(INDEX(CourseHandicap[[Hole 1]:[Hole 18]],
  MATCH(1, (CourseHandicap[Course]=C659)*(CourseHandicap[Tees]=E659), 0),
  MATCH(G659, CourseHandicap[[#Headers],[Hole 1]:[Hole 18]], 0)
),"")</f>
        <v>14</v>
      </c>
      <c r="K659" cm="1">
        <f t="array" ref="K659">IFERROR(INDEX(CourseRatings[[Hole 1]:[Hole 18]],
  MATCH(1, (CourseRatings[Course]=C659)*(CourseRatings[Tees]=E659), 0),
  MATCH(G659, CourseRatings[[#Headers],[Hole 1]:[Hole 18]], 0)
),"")</f>
        <v>4</v>
      </c>
      <c r="L659" cm="1">
        <f t="array" ref="L659">IFERROR(
  INDEX('Golf Log'!$E$2:$V$72,
    MATCH(1,
      ('Golf Log'!$A$2:$A$72=$A659)*
      ('Golf Log'!$B$2:$B$72=$B659)*
      ('Golf Log'!$C$2:$C$72=$C659),
    0),
    MATCH($G659,'Golf Log'!$E$1:$V$1,0)
  ),
"")</f>
        <v>4</v>
      </c>
      <c r="M659">
        <f t="shared" si="34"/>
        <v>0</v>
      </c>
      <c r="N659" t="str">
        <f t="shared" si="35"/>
        <v>Par</v>
      </c>
      <c r="O659" cm="1">
        <f t="array" ref="O659">IFERROR(
  INDEX('Putt Log'!$E$2:$V$72,
    MATCH(1,
      ('Putt Log'!$A$2:$A$72=$A659)*
      ('Putt Log'!$B$2:$B$72=$B659)*
      ('Putt Log'!$C$2:$C$72=$C659),
    0),
    MATCH($G659,'Putt Log'!$E$1:$V$1,0)
  ),
"")</f>
        <v>1</v>
      </c>
      <c r="P659" t="str" cm="1">
        <f t="array" ref="P659">IF(K659=3,"",
  IFERROR(
    INDEX('Fairway Log'!$E$2:$V$72,
      MATCH(1,
        ('Fairway Log'!$A$2:$A$72=$A659)*
        ('Fairway Log'!$B$2:$B$72=$B659)*
        ('Fairway Log'!$C$2:$C730=$C659),
      0),
      MATCH($G659,'Fairway Log'!$E$1:$V$1,0)
    ),
  "")
)</f>
        <v>→</v>
      </c>
      <c r="Q659" t="str" cm="1">
        <f t="array" ref="Q659">IFERROR(
  INDEX('GIR Log'!$E$2:$V$72,
    MATCH(1,
      ('GIR Log'!$A$2:$A$72=$A659)*
      ('GIR Log'!$B$2:$B$72=$B659)*
      ('GIR Log'!$C$2:$C$72=$C659),
    0),
    MATCH($G659,'GIR Log'!$E$1:$V$1,0)
  ),
"")</f>
        <v>↓</v>
      </c>
    </row>
    <row r="660" spans="1:17" x14ac:dyDescent="0.25">
      <c r="A660" s="20" t="s">
        <v>126</v>
      </c>
      <c r="B660" s="2">
        <v>45868</v>
      </c>
      <c r="C660" s="12" t="s">
        <v>10</v>
      </c>
      <c r="D660" s="12" t="s">
        <v>10</v>
      </c>
      <c r="E660" s="12" t="s">
        <v>34</v>
      </c>
      <c r="F660">
        <v>81</v>
      </c>
      <c r="G660" s="12" t="s">
        <v>57</v>
      </c>
      <c r="H660" s="9">
        <f t="shared" si="33"/>
        <v>11</v>
      </c>
      <c r="I660" cm="1">
        <f t="array" ref="I660">IFERROR(INDEX(CourseYardages[[Hole 1]:[Hole 18]],
  MATCH(1, (CourseYardages[Course]=C660)*(CourseYardages[Tees]=E660), 0),
  MATCH(G660, CourseYardages[[#Headers],[Hole 1]:[Hole 18]], 0)
),"")</f>
        <v>462</v>
      </c>
      <c r="J660" cm="1">
        <f t="array" ref="J660">IFERROR(INDEX(CourseHandicap[[Hole 1]:[Hole 18]],
  MATCH(1, (CourseHandicap[Course]=C660)*(CourseHandicap[Tees]=E660), 0),
  MATCH(G660, CourseHandicap[[#Headers],[Hole 1]:[Hole 18]], 0)
),"")</f>
        <v>12</v>
      </c>
      <c r="K660" cm="1">
        <f t="array" ref="K660">IFERROR(INDEX(CourseRatings[[Hole 1]:[Hole 18]],
  MATCH(1, (CourseRatings[Course]=C660)*(CourseRatings[Tees]=E660), 0),
  MATCH(G660, CourseRatings[[#Headers],[Hole 1]:[Hole 18]], 0)
),"")</f>
        <v>4</v>
      </c>
      <c r="L660" cm="1">
        <f t="array" ref="L660">IFERROR(
  INDEX('Golf Log'!$E$2:$V$72,
    MATCH(1,
      ('Golf Log'!$A$2:$A$72=$A660)*
      ('Golf Log'!$B$2:$B$72=$B660)*
      ('Golf Log'!$C$2:$C$72=$C660),
    0),
    MATCH($G660,'Golf Log'!$E$1:$V$1,0)
  ),
"")</f>
        <v>5</v>
      </c>
      <c r="M660">
        <f t="shared" si="34"/>
        <v>1</v>
      </c>
      <c r="N660" t="str">
        <f t="shared" si="35"/>
        <v>Bogey</v>
      </c>
      <c r="O660" cm="1">
        <f t="array" ref="O660">IFERROR(
  INDEX('Putt Log'!$E$2:$V$72,
    MATCH(1,
      ('Putt Log'!$A$2:$A$72=$A660)*
      ('Putt Log'!$B$2:$B$72=$B660)*
      ('Putt Log'!$C$2:$C$72=$C660),
    0),
    MATCH($G660,'Putt Log'!$E$1:$V$1,0)
  ),
"")</f>
        <v>1</v>
      </c>
      <c r="P660" t="str" cm="1">
        <f t="array" ref="P660">IF(K660=3,"",
  IFERROR(
    INDEX('Fairway Log'!$E$2:$V$72,
      MATCH(1,
        ('Fairway Log'!$A$2:$A$72=$A660)*
        ('Fairway Log'!$B$2:$B$72=$B660)*
        ('Fairway Log'!$C$2:$C731=$C660),
      0),
      MATCH($G660,'Fairway Log'!$E$1:$V$1,0)
    ),
  "")
)</f>
        <v>→</v>
      </c>
      <c r="Q660" t="str" cm="1">
        <f t="array" ref="Q660">IFERROR(
  INDEX('GIR Log'!$E$2:$V$72,
    MATCH(1,
      ('GIR Log'!$A$2:$A$72=$A660)*
      ('GIR Log'!$B$2:$B$72=$B660)*
      ('GIR Log'!$C$2:$C$72=$C660),
    0),
    MATCH($G660,'GIR Log'!$E$1:$V$1,0)
  ),
"")</f>
        <v>↑</v>
      </c>
    </row>
    <row r="661" spans="1:17" x14ac:dyDescent="0.25">
      <c r="A661" s="20" t="s">
        <v>126</v>
      </c>
      <c r="B661" s="2">
        <v>45868</v>
      </c>
      <c r="C661" s="12" t="s">
        <v>10</v>
      </c>
      <c r="D661" s="12" t="s">
        <v>10</v>
      </c>
      <c r="E661" s="12" t="s">
        <v>34</v>
      </c>
      <c r="F661">
        <v>81</v>
      </c>
      <c r="G661" s="12" t="s">
        <v>58</v>
      </c>
      <c r="H661" s="9">
        <f t="shared" si="33"/>
        <v>12</v>
      </c>
      <c r="I661" cm="1">
        <f t="array" ref="I661">IFERROR(INDEX(CourseYardages[[Hole 1]:[Hole 18]],
  MATCH(1, (CourseYardages[Course]=C661)*(CourseYardages[Tees]=E661), 0),
  MATCH(G661, CourseYardages[[#Headers],[Hole 1]:[Hole 18]], 0)
),"")</f>
        <v>208</v>
      </c>
      <c r="J661" cm="1">
        <f t="array" ref="J661">IFERROR(INDEX(CourseHandicap[[Hole 1]:[Hole 18]],
  MATCH(1, (CourseHandicap[Course]=C661)*(CourseHandicap[Tees]=E661), 0),
  MATCH(G661, CourseHandicap[[#Headers],[Hole 1]:[Hole 18]], 0)
),"")</f>
        <v>16</v>
      </c>
      <c r="K661" cm="1">
        <f t="array" ref="K661">IFERROR(INDEX(CourseRatings[[Hole 1]:[Hole 18]],
  MATCH(1, (CourseRatings[Course]=C661)*(CourseRatings[Tees]=E661), 0),
  MATCH(G661, CourseRatings[[#Headers],[Hole 1]:[Hole 18]], 0)
),"")</f>
        <v>3</v>
      </c>
      <c r="L661" cm="1">
        <f t="array" ref="L661">IFERROR(
  INDEX('Golf Log'!$E$2:$V$72,
    MATCH(1,
      ('Golf Log'!$A$2:$A$72=$A661)*
      ('Golf Log'!$B$2:$B$72=$B661)*
      ('Golf Log'!$C$2:$C$72=$C661),
    0),
    MATCH($G661,'Golf Log'!$E$1:$V$1,0)
  ),
"")</f>
        <v>3</v>
      </c>
      <c r="M661">
        <f t="shared" si="34"/>
        <v>0</v>
      </c>
      <c r="N661" t="str">
        <f t="shared" si="35"/>
        <v>Par</v>
      </c>
      <c r="O661" cm="1">
        <f t="array" ref="O661">IFERROR(
  INDEX('Putt Log'!$E$2:$V$72,
    MATCH(1,
      ('Putt Log'!$A$2:$A$72=$A661)*
      ('Putt Log'!$B$2:$B$72=$B661)*
      ('Putt Log'!$C$2:$C$72=$C661),
    0),
    MATCH($G661,'Putt Log'!$E$1:$V$1,0)
  ),
"")</f>
        <v>1</v>
      </c>
      <c r="P661" t="str" cm="1">
        <f t="array" ref="P661">IF(K661=3,"",
  IFERROR(
    INDEX('Fairway Log'!$E$2:$V$72,
      MATCH(1,
        ('Fairway Log'!$A$2:$A$72=$A661)*
        ('Fairway Log'!$B$2:$B$72=$B661)*
        ('Fairway Log'!$C$2:$C732=$C661),
      0),
      MATCH($G661,'Fairway Log'!$E$1:$V$1,0)
    ),
  "")
)</f>
        <v/>
      </c>
      <c r="Q661" t="str" cm="1">
        <f t="array" ref="Q661">IFERROR(
  INDEX('GIR Log'!$E$2:$V$72,
    MATCH(1,
      ('GIR Log'!$A$2:$A$72=$A661)*
      ('GIR Log'!$B$2:$B$72=$B661)*
      ('GIR Log'!$C$2:$C$72=$C661),
    0),
    MATCH($G661,'GIR Log'!$E$1:$V$1,0)
  ),
"")</f>
        <v>↓</v>
      </c>
    </row>
    <row r="662" spans="1:17" x14ac:dyDescent="0.25">
      <c r="A662" s="20" t="s">
        <v>126</v>
      </c>
      <c r="B662" s="2">
        <v>45868</v>
      </c>
      <c r="C662" s="12" t="s">
        <v>10</v>
      </c>
      <c r="D662" s="12" t="s">
        <v>10</v>
      </c>
      <c r="E662" s="12" t="s">
        <v>34</v>
      </c>
      <c r="F662">
        <v>81</v>
      </c>
      <c r="G662" s="12" t="s">
        <v>59</v>
      </c>
      <c r="H662" s="9">
        <f t="shared" si="33"/>
        <v>13</v>
      </c>
      <c r="I662" cm="1">
        <f t="array" ref="I662">IFERROR(INDEX(CourseYardages[[Hole 1]:[Hole 18]],
  MATCH(1, (CourseYardages[Course]=C662)*(CourseYardages[Tees]=E662), 0),
  MATCH(G662, CourseYardages[[#Headers],[Hole 1]:[Hole 18]], 0)
),"")</f>
        <v>400</v>
      </c>
      <c r="J662" cm="1">
        <f t="array" ref="J662">IFERROR(INDEX(CourseHandicap[[Hole 1]:[Hole 18]],
  MATCH(1, (CourseHandicap[Course]=C662)*(CourseHandicap[Tees]=E662), 0),
  MATCH(G662, CourseHandicap[[#Headers],[Hole 1]:[Hole 18]], 0)
),"")</f>
        <v>6</v>
      </c>
      <c r="K662" cm="1">
        <f t="array" ref="K662">IFERROR(INDEX(CourseRatings[[Hole 1]:[Hole 18]],
  MATCH(1, (CourseRatings[Course]=C662)*(CourseRatings[Tees]=E662), 0),
  MATCH(G662, CourseRatings[[#Headers],[Hole 1]:[Hole 18]], 0)
),"")</f>
        <v>4</v>
      </c>
      <c r="L662" cm="1">
        <f t="array" ref="L662">IFERROR(
  INDEX('Golf Log'!$E$2:$V$72,
    MATCH(1,
      ('Golf Log'!$A$2:$A$72=$A662)*
      ('Golf Log'!$B$2:$B$72=$B662)*
      ('Golf Log'!$C$2:$C$72=$C662),
    0),
    MATCH($G662,'Golf Log'!$E$1:$V$1,0)
  ),
"")</f>
        <v>5</v>
      </c>
      <c r="M662">
        <f t="shared" si="34"/>
        <v>1</v>
      </c>
      <c r="N662" t="str">
        <f t="shared" si="35"/>
        <v>Bogey</v>
      </c>
      <c r="O662" cm="1">
        <f t="array" ref="O662">IFERROR(
  INDEX('Putt Log'!$E$2:$V$72,
    MATCH(1,
      ('Putt Log'!$A$2:$A$72=$A662)*
      ('Putt Log'!$B$2:$B$72=$B662)*
      ('Putt Log'!$C$2:$C$72=$C662),
    0),
    MATCH($G662,'Putt Log'!$E$1:$V$1,0)
  ),
"")</f>
        <v>1</v>
      </c>
      <c r="P662" t="str" cm="1">
        <f t="array" ref="P662">IF(K662=3,"",
  IFERROR(
    INDEX('Fairway Log'!$E$2:$V$72,
      MATCH(1,
        ('Fairway Log'!$A$2:$A$72=$A662)*
        ('Fairway Log'!$B$2:$B$72=$B662)*
        ('Fairway Log'!$C$2:$C733=$C662),
      0),
      MATCH($G662,'Fairway Log'!$E$1:$V$1,0)
    ),
  "")
)</f>
        <v>→</v>
      </c>
      <c r="Q662" t="str" cm="1">
        <f t="array" ref="Q662">IFERROR(
  INDEX('GIR Log'!$E$2:$V$72,
    MATCH(1,
      ('GIR Log'!$A$2:$A$72=$A662)*
      ('GIR Log'!$B$2:$B$72=$B662)*
      ('GIR Log'!$C$2:$C$72=$C662),
    0),
    MATCH($G662,'GIR Log'!$E$1:$V$1,0)
  ),
"")</f>
        <v>↓</v>
      </c>
    </row>
    <row r="663" spans="1:17" x14ac:dyDescent="0.25">
      <c r="A663" s="20" t="s">
        <v>126</v>
      </c>
      <c r="B663" s="2">
        <v>45868</v>
      </c>
      <c r="C663" s="12" t="s">
        <v>10</v>
      </c>
      <c r="D663" s="12" t="s">
        <v>10</v>
      </c>
      <c r="E663" s="12" t="s">
        <v>34</v>
      </c>
      <c r="F663">
        <v>81</v>
      </c>
      <c r="G663" s="12" t="s">
        <v>60</v>
      </c>
      <c r="H663" s="9">
        <f t="shared" si="33"/>
        <v>14</v>
      </c>
      <c r="I663" cm="1">
        <f t="array" ref="I663">IFERROR(INDEX(CourseYardages[[Hole 1]:[Hole 18]],
  MATCH(1, (CourseYardages[Course]=C663)*(CourseYardages[Tees]=E663), 0),
  MATCH(G663, CourseYardages[[#Headers],[Hole 1]:[Hole 18]], 0)
),"")</f>
        <v>435</v>
      </c>
      <c r="J663" cm="1">
        <f t="array" ref="J663">IFERROR(INDEX(CourseHandicap[[Hole 1]:[Hole 18]],
  MATCH(1, (CourseHandicap[Course]=C663)*(CourseHandicap[Tees]=E663), 0),
  MATCH(G663, CourseHandicap[[#Headers],[Hole 1]:[Hole 18]], 0)
),"")</f>
        <v>4</v>
      </c>
      <c r="K663" cm="1">
        <f t="array" ref="K663">IFERROR(INDEX(CourseRatings[[Hole 1]:[Hole 18]],
  MATCH(1, (CourseRatings[Course]=C663)*(CourseRatings[Tees]=E663), 0),
  MATCH(G663, CourseRatings[[#Headers],[Hole 1]:[Hole 18]], 0)
),"")</f>
        <v>4</v>
      </c>
      <c r="L663" cm="1">
        <f t="array" ref="L663">IFERROR(
  INDEX('Golf Log'!$E$2:$V$72,
    MATCH(1,
      ('Golf Log'!$A$2:$A$72=$A663)*
      ('Golf Log'!$B$2:$B$72=$B663)*
      ('Golf Log'!$C$2:$C$72=$C663),
    0),
    MATCH($G663,'Golf Log'!$E$1:$V$1,0)
  ),
"")</f>
        <v>5</v>
      </c>
      <c r="M663">
        <f t="shared" si="34"/>
        <v>1</v>
      </c>
      <c r="N663" t="str">
        <f t="shared" si="35"/>
        <v>Bogey</v>
      </c>
      <c r="O663" cm="1">
        <f t="array" ref="O663">IFERROR(
  INDEX('Putt Log'!$E$2:$V$72,
    MATCH(1,
      ('Putt Log'!$A$2:$A$72=$A663)*
      ('Putt Log'!$B$2:$B$72=$B663)*
      ('Putt Log'!$C$2:$C$72=$C663),
    0),
    MATCH($G663,'Putt Log'!$E$1:$V$1,0)
  ),
"")</f>
        <v>2</v>
      </c>
      <c r="P663" cm="1">
        <f t="array" ref="P663">IF(K663=3,"",
  IFERROR(
    INDEX('Fairway Log'!$E$2:$V$72,
      MATCH(1,
        ('Fairway Log'!$A$2:$A$72=$A663)*
        ('Fairway Log'!$B$2:$B$72=$B663)*
        ('Fairway Log'!$C$2:$C734=$C663),
      0),
      MATCH($G663,'Fairway Log'!$E$1:$V$1,0)
    ),
  "")
)</f>
        <v>1</v>
      </c>
      <c r="Q663" t="str" cm="1">
        <f t="array" ref="Q663">IFERROR(
  INDEX('GIR Log'!$E$2:$V$72,
    MATCH(1,
      ('GIR Log'!$A$2:$A$72=$A663)*
      ('GIR Log'!$B$2:$B$72=$B663)*
      ('GIR Log'!$C$2:$C$72=$C663),
    0),
    MATCH($G663,'GIR Log'!$E$1:$V$1,0)
  ),
"")</f>
        <v>↓</v>
      </c>
    </row>
    <row r="664" spans="1:17" x14ac:dyDescent="0.25">
      <c r="A664" s="20" t="s">
        <v>126</v>
      </c>
      <c r="B664" s="2">
        <v>45868</v>
      </c>
      <c r="C664" s="12" t="s">
        <v>10</v>
      </c>
      <c r="D664" s="12" t="s">
        <v>10</v>
      </c>
      <c r="E664" s="12" t="s">
        <v>34</v>
      </c>
      <c r="F664">
        <v>81</v>
      </c>
      <c r="G664" s="12" t="s">
        <v>61</v>
      </c>
      <c r="H664" s="9">
        <f t="shared" si="33"/>
        <v>15</v>
      </c>
      <c r="I664" cm="1">
        <f t="array" ref="I664">IFERROR(INDEX(CourseYardages[[Hole 1]:[Hole 18]],
  MATCH(1, (CourseYardages[Course]=C664)*(CourseYardages[Tees]=E664), 0),
  MATCH(G664, CourseYardages[[#Headers],[Hole 1]:[Hole 18]], 0)
),"")</f>
        <v>450</v>
      </c>
      <c r="J664" cm="1">
        <f t="array" ref="J664">IFERROR(INDEX(CourseHandicap[[Hole 1]:[Hole 18]],
  MATCH(1, (CourseHandicap[Course]=C664)*(CourseHandicap[Tees]=E664), 0),
  MATCH(G664, CourseHandicap[[#Headers],[Hole 1]:[Hole 18]], 0)
),"")</f>
        <v>2</v>
      </c>
      <c r="K664" cm="1">
        <f t="array" ref="K664">IFERROR(INDEX(CourseRatings[[Hole 1]:[Hole 18]],
  MATCH(1, (CourseRatings[Course]=C664)*(CourseRatings[Tees]=E664), 0),
  MATCH(G664, CourseRatings[[#Headers],[Hole 1]:[Hole 18]], 0)
),"")</f>
        <v>4</v>
      </c>
      <c r="L664" cm="1">
        <f t="array" ref="L664">IFERROR(
  INDEX('Golf Log'!$E$2:$V$72,
    MATCH(1,
      ('Golf Log'!$A$2:$A$72=$A664)*
      ('Golf Log'!$B$2:$B$72=$B664)*
      ('Golf Log'!$C$2:$C$72=$C664),
    0),
    MATCH($G664,'Golf Log'!$E$1:$V$1,0)
  ),
"")</f>
        <v>6</v>
      </c>
      <c r="M664">
        <f t="shared" si="34"/>
        <v>2</v>
      </c>
      <c r="N664" t="str">
        <f t="shared" si="35"/>
        <v>Double Bogey</v>
      </c>
      <c r="O664" cm="1">
        <f t="array" ref="O664">IFERROR(
  INDEX('Putt Log'!$E$2:$V$72,
    MATCH(1,
      ('Putt Log'!$A$2:$A$72=$A664)*
      ('Putt Log'!$B$2:$B$72=$B664)*
      ('Putt Log'!$C$2:$C$72=$C664),
    0),
    MATCH($G664,'Putt Log'!$E$1:$V$1,0)
  ),
"")</f>
        <v>2</v>
      </c>
      <c r="P664" t="str" cm="1">
        <f t="array" ref="P664">IF(K664=3,"",
  IFERROR(
    INDEX('Fairway Log'!$E$2:$V$72,
      MATCH(1,
        ('Fairway Log'!$A$2:$A$72=$A664)*
        ('Fairway Log'!$B$2:$B$72=$B664)*
        ('Fairway Log'!$C$2:$C735=$C664),
      0),
      MATCH($G664,'Fairway Log'!$E$1:$V$1,0)
    ),
  "")
)</f>
        <v>→</v>
      </c>
      <c r="Q664" t="str" cm="1">
        <f t="array" ref="Q664">IFERROR(
  INDEX('GIR Log'!$E$2:$V$72,
    MATCH(1,
      ('GIR Log'!$A$2:$A$72=$A664)*
      ('GIR Log'!$B$2:$B$72=$B664)*
      ('GIR Log'!$C$2:$C$72=$C664),
    0),
    MATCH($G664,'GIR Log'!$E$1:$V$1,0)
  ),
"")</f>
        <v>↓</v>
      </c>
    </row>
    <row r="665" spans="1:17" x14ac:dyDescent="0.25">
      <c r="A665" s="20" t="s">
        <v>126</v>
      </c>
      <c r="B665" s="2">
        <v>45868</v>
      </c>
      <c r="C665" s="12" t="s">
        <v>10</v>
      </c>
      <c r="D665" s="12" t="s">
        <v>10</v>
      </c>
      <c r="E665" s="12" t="s">
        <v>34</v>
      </c>
      <c r="F665">
        <v>81</v>
      </c>
      <c r="G665" s="12" t="s">
        <v>62</v>
      </c>
      <c r="H665" s="9">
        <f t="shared" si="33"/>
        <v>16</v>
      </c>
      <c r="I665" cm="1">
        <f t="array" ref="I665">IFERROR(INDEX(CourseYardages[[Hole 1]:[Hole 18]],
  MATCH(1, (CourseYardages[Course]=C665)*(CourseYardages[Tees]=E665), 0),
  MATCH(G665, CourseYardages[[#Headers],[Hole 1]:[Hole 18]], 0)
),"")</f>
        <v>565</v>
      </c>
      <c r="J665" cm="1">
        <f t="array" ref="J665">IFERROR(INDEX(CourseHandicap[[Hole 1]:[Hole 18]],
  MATCH(1, (CourseHandicap[Course]=C665)*(CourseHandicap[Tees]=E665), 0),
  MATCH(G665, CourseHandicap[[#Headers],[Hole 1]:[Hole 18]], 0)
),"")</f>
        <v>8</v>
      </c>
      <c r="K665" cm="1">
        <f t="array" ref="K665">IFERROR(INDEX(CourseRatings[[Hole 1]:[Hole 18]],
  MATCH(1, (CourseRatings[Course]=C665)*(CourseRatings[Tees]=E665), 0),
  MATCH(G665, CourseRatings[[#Headers],[Hole 1]:[Hole 18]], 0)
),"")</f>
        <v>5</v>
      </c>
      <c r="L665" cm="1">
        <f t="array" ref="L665">IFERROR(
  INDEX('Golf Log'!$E$2:$V$72,
    MATCH(1,
      ('Golf Log'!$A$2:$A$72=$A665)*
      ('Golf Log'!$B$2:$B$72=$B665)*
      ('Golf Log'!$C$2:$C$72=$C665),
    0),
    MATCH($G665,'Golf Log'!$E$1:$V$1,0)
  ),
"")</f>
        <v>5</v>
      </c>
      <c r="M665">
        <f t="shared" si="34"/>
        <v>0</v>
      </c>
      <c r="N665" t="str">
        <f t="shared" si="35"/>
        <v>Par</v>
      </c>
      <c r="O665" cm="1">
        <f t="array" ref="O665">IFERROR(
  INDEX('Putt Log'!$E$2:$V$72,
    MATCH(1,
      ('Putt Log'!$A$2:$A$72=$A665)*
      ('Putt Log'!$B$2:$B$72=$B665)*
      ('Putt Log'!$C$2:$C$72=$C665),
    0),
    MATCH($G665,'Putt Log'!$E$1:$V$1,0)
  ),
"")</f>
        <v>2</v>
      </c>
      <c r="P665" cm="1">
        <f t="array" ref="P665">IF(K665=3,"",
  IFERROR(
    INDEX('Fairway Log'!$E$2:$V$72,
      MATCH(1,
        ('Fairway Log'!$A$2:$A$72=$A665)*
        ('Fairway Log'!$B$2:$B$72=$B665)*
        ('Fairway Log'!$C$2:$C736=$C665),
      0),
      MATCH($G665,'Fairway Log'!$E$1:$V$1,0)
    ),
  "")
)</f>
        <v>1</v>
      </c>
      <c r="Q665" cm="1">
        <f t="array" ref="Q665">IFERROR(
  INDEX('GIR Log'!$E$2:$V$72,
    MATCH(1,
      ('GIR Log'!$A$2:$A$72=$A665)*
      ('GIR Log'!$B$2:$B$72=$B665)*
      ('GIR Log'!$C$2:$C$72=$C665),
    0),
    MATCH($G665,'GIR Log'!$E$1:$V$1,0)
  ),
"")</f>
        <v>1</v>
      </c>
    </row>
    <row r="666" spans="1:17" x14ac:dyDescent="0.25">
      <c r="A666" s="20" t="s">
        <v>126</v>
      </c>
      <c r="B666" s="2">
        <v>45868</v>
      </c>
      <c r="C666" s="12" t="s">
        <v>10</v>
      </c>
      <c r="D666" s="12" t="s">
        <v>10</v>
      </c>
      <c r="E666" s="12" t="s">
        <v>34</v>
      </c>
      <c r="F666">
        <v>81</v>
      </c>
      <c r="G666" s="12" t="s">
        <v>63</v>
      </c>
      <c r="H666" s="9">
        <f t="shared" si="33"/>
        <v>17</v>
      </c>
      <c r="I666" cm="1">
        <f t="array" ref="I666">IFERROR(INDEX(CourseYardages[[Hole 1]:[Hole 18]],
  MATCH(1, (CourseYardages[Course]=C666)*(CourseYardages[Tees]=E666), 0),
  MATCH(G666, CourseYardages[[#Headers],[Hole 1]:[Hole 18]], 0)
),"")</f>
        <v>165</v>
      </c>
      <c r="J666" cm="1">
        <f t="array" ref="J666">IFERROR(INDEX(CourseHandicap[[Hole 1]:[Hole 18]],
  MATCH(1, (CourseHandicap[Course]=C666)*(CourseHandicap[Tees]=E666), 0),
  MATCH(G666, CourseHandicap[[#Headers],[Hole 1]:[Hole 18]], 0)
),"")</f>
        <v>18</v>
      </c>
      <c r="K666" cm="1">
        <f t="array" ref="K666">IFERROR(INDEX(CourseRatings[[Hole 1]:[Hole 18]],
  MATCH(1, (CourseRatings[Course]=C666)*(CourseRatings[Tees]=E666), 0),
  MATCH(G666, CourseRatings[[#Headers],[Hole 1]:[Hole 18]], 0)
),"")</f>
        <v>3</v>
      </c>
      <c r="L666" cm="1">
        <f t="array" ref="L666">IFERROR(
  INDEX('Golf Log'!$E$2:$V$72,
    MATCH(1,
      ('Golf Log'!$A$2:$A$72=$A666)*
      ('Golf Log'!$B$2:$B$72=$B666)*
      ('Golf Log'!$C$2:$C$72=$C666),
    0),
    MATCH($G666,'Golf Log'!$E$1:$V$1,0)
  ),
"")</f>
        <v>3</v>
      </c>
      <c r="M666">
        <f t="shared" si="34"/>
        <v>0</v>
      </c>
      <c r="N666" t="str">
        <f t="shared" si="35"/>
        <v>Par</v>
      </c>
      <c r="O666" cm="1">
        <f t="array" ref="O666">IFERROR(
  INDEX('Putt Log'!$E$2:$V$72,
    MATCH(1,
      ('Putt Log'!$A$2:$A$72=$A666)*
      ('Putt Log'!$B$2:$B$72=$B666)*
      ('Putt Log'!$C$2:$C$72=$C666),
    0),
    MATCH($G666,'Putt Log'!$E$1:$V$1,0)
  ),
"")</f>
        <v>2</v>
      </c>
      <c r="P666" t="str" cm="1">
        <f t="array" ref="P666">IF(K666=3,"",
  IFERROR(
    INDEX('Fairway Log'!$E$2:$V$72,
      MATCH(1,
        ('Fairway Log'!$A$2:$A$72=$A666)*
        ('Fairway Log'!$B$2:$B$72=$B666)*
        ('Fairway Log'!$C$2:$C737=$C666),
      0),
      MATCH($G666,'Fairway Log'!$E$1:$V$1,0)
    ),
  "")
)</f>
        <v/>
      </c>
      <c r="Q666" cm="1">
        <f t="array" ref="Q666">IFERROR(
  INDEX('GIR Log'!$E$2:$V$72,
    MATCH(1,
      ('GIR Log'!$A$2:$A$72=$A666)*
      ('GIR Log'!$B$2:$B$72=$B666)*
      ('GIR Log'!$C$2:$C$72=$C666),
    0),
    MATCH($G666,'GIR Log'!$E$1:$V$1,0)
  ),
"")</f>
        <v>1</v>
      </c>
    </row>
    <row r="667" spans="1:17" x14ac:dyDescent="0.25">
      <c r="A667" s="20" t="s">
        <v>126</v>
      </c>
      <c r="B667" s="2">
        <v>45868</v>
      </c>
      <c r="C667" s="12" t="s">
        <v>10</v>
      </c>
      <c r="D667" s="12" t="s">
        <v>10</v>
      </c>
      <c r="E667" s="12" t="s">
        <v>34</v>
      </c>
      <c r="F667">
        <v>81</v>
      </c>
      <c r="G667" s="12" t="s">
        <v>64</v>
      </c>
      <c r="H667" s="9">
        <f t="shared" si="33"/>
        <v>18</v>
      </c>
      <c r="I667" cm="1">
        <f t="array" ref="I667">IFERROR(INDEX(CourseYardages[[Hole 1]:[Hole 18]],
  MATCH(1, (CourseYardages[Course]=C667)*(CourseYardages[Tees]=E667), 0),
  MATCH(G667, CourseYardages[[#Headers],[Hole 1]:[Hole 18]], 0)
),"")</f>
        <v>419</v>
      </c>
      <c r="J667" cm="1">
        <f t="array" ref="J667">IFERROR(INDEX(CourseHandicap[[Hole 1]:[Hole 18]],
  MATCH(1, (CourseHandicap[Course]=C667)*(CourseHandicap[Tees]=E667), 0),
  MATCH(G667, CourseHandicap[[#Headers],[Hole 1]:[Hole 18]], 0)
),"")</f>
        <v>10</v>
      </c>
      <c r="K667" cm="1">
        <f t="array" ref="K667">IFERROR(INDEX(CourseRatings[[Hole 1]:[Hole 18]],
  MATCH(1, (CourseRatings[Course]=C667)*(CourseRatings[Tees]=E667), 0),
  MATCH(G667, CourseRatings[[#Headers],[Hole 1]:[Hole 18]], 0)
),"")</f>
        <v>4</v>
      </c>
      <c r="L667" cm="1">
        <f t="array" ref="L667">IFERROR(
  INDEX('Golf Log'!$E$2:$V$72,
    MATCH(1,
      ('Golf Log'!$A$2:$A$72=$A667)*
      ('Golf Log'!$B$2:$B$72=$B667)*
      ('Golf Log'!$C$2:$C$72=$C667),
    0),
    MATCH($G667,'Golf Log'!$E$1:$V$1,0)
  ),
"")</f>
        <v>5</v>
      </c>
      <c r="M667">
        <f t="shared" si="34"/>
        <v>1</v>
      </c>
      <c r="N667" t="str">
        <f t="shared" si="35"/>
        <v>Bogey</v>
      </c>
      <c r="O667" cm="1">
        <f t="array" ref="O667">IFERROR(
  INDEX('Putt Log'!$E$2:$V$72,
    MATCH(1,
      ('Putt Log'!$A$2:$A$72=$A667)*
      ('Putt Log'!$B$2:$B$72=$B667)*
      ('Putt Log'!$C$2:$C$72=$C667),
    0),
    MATCH($G667,'Putt Log'!$E$1:$V$1,0)
  ),
"")</f>
        <v>2</v>
      </c>
      <c r="P667" t="str" cm="1">
        <f t="array" ref="P667">IF(K667=3,"",
  IFERROR(
    INDEX('Fairway Log'!$E$2:$V$72,
      MATCH(1,
        ('Fairway Log'!$A$2:$A$72=$A667)*
        ('Fairway Log'!$B$2:$B$72=$B667)*
        ('Fairway Log'!$C$2:$C738=$C667),
      0),
      MATCH($G667,'Fairway Log'!$E$1:$V$1,0)
    ),
  "")
)</f>
        <v>→</v>
      </c>
      <c r="Q667" t="str" cm="1">
        <f t="array" ref="Q667">IFERROR(
  INDEX('GIR Log'!$E$2:$V$72,
    MATCH(1,
      ('GIR Log'!$A$2:$A$72=$A667)*
      ('GIR Log'!$B$2:$B$72=$B667)*
      ('GIR Log'!$C$2:$C$72=$C667),
    0),
    MATCH($G667,'GIR Log'!$E$1:$V$1,0)
  ),
"")</f>
        <v>↓</v>
      </c>
    </row>
    <row r="668" spans="1:17" x14ac:dyDescent="0.25">
      <c r="A668" s="20" t="s">
        <v>126</v>
      </c>
      <c r="B668" s="2">
        <v>45886</v>
      </c>
      <c r="C668" s="12" t="s">
        <v>41</v>
      </c>
      <c r="D668" s="12" t="s">
        <v>79</v>
      </c>
      <c r="E668" s="12" t="s">
        <v>34</v>
      </c>
      <c r="F668">
        <v>83</v>
      </c>
      <c r="G668" t="s">
        <v>47</v>
      </c>
      <c r="H668" s="9">
        <f t="shared" ref="H668:H685" si="36">VALUE(RIGHT(G668, LEN(G668) - 5))</f>
        <v>1</v>
      </c>
      <c r="I668" cm="1">
        <f t="array" ref="I668">IFERROR(INDEX(CourseYardages[[Hole 1]:[Hole 18]],
  MATCH(1, (CourseYardages[Course]=C668)*(CourseYardages[Tees]=E668), 0),
  MATCH(G668, CourseYardages[[#Headers],[Hole 1]:[Hole 18]], 0)
),"")</f>
        <v>423</v>
      </c>
      <c r="J668" cm="1">
        <f t="array" ref="J668">IFERROR(INDEX(CourseHandicap[[Hole 1]:[Hole 18]],
  MATCH(1, (CourseHandicap[Course]=C668)*(CourseHandicap[Tees]=E668), 0),
  MATCH(G668, CourseHandicap[[#Headers],[Hole 1]:[Hole 18]], 0)
),"")</f>
        <v>1</v>
      </c>
      <c r="K668" cm="1">
        <f t="array" ref="K668">IFERROR(INDEX(CourseRatings[[Hole 1]:[Hole 18]],
  MATCH(1, (CourseRatings[Course]=C668)*(CourseRatings[Tees]=E668), 0),
  MATCH(G668, CourseRatings[[#Headers],[Hole 1]:[Hole 18]], 0)
),"")</f>
        <v>4</v>
      </c>
      <c r="L668" cm="1">
        <f t="array" ref="L668">IFERROR(
  INDEX('Golf Log'!$E$2:$V$72,
    MATCH(1,
      ('Golf Log'!$A$2:$A$72=$A668)*
      ('Golf Log'!$B$2:$B$72=$B668)*
      ('Golf Log'!$C$2:$C$72=$C668),
    0),
    MATCH($G668,'Golf Log'!$E$1:$V$1,0)
  ),
"")</f>
        <v>5</v>
      </c>
      <c r="M668">
        <f t="shared" ref="M668:M685" si="37">IFERROR(L668-K668,"")</f>
        <v>1</v>
      </c>
      <c r="N668" t="str">
        <f t="shared" ref="N668:N685" si="38">IF(M668="","",(IF(M668=-2,"Eagle",IF(M668=-1,"Birdie",IF(M668=0,"Par",IF(M668=1,"Bogey",IF(M668=2,"Double Bogey",IF(M668=3,"Triple Bogey",IF(M668&gt;3,"Quad Bogey+")))))))))</f>
        <v>Bogey</v>
      </c>
      <c r="O668" cm="1">
        <f t="array" ref="O668">IFERROR(
  INDEX('Putt Log'!$E$2:$V$72,
    MATCH(1,
      ('Putt Log'!$A$2:$A$72=$A668)*
      ('Putt Log'!$B$2:$B$72=$B668)*
      ('Putt Log'!$C$2:$C$72=$C668),
    0),
    MATCH($G668,'Putt Log'!$E$1:$V$1,0)
  ),
"")</f>
        <v>2</v>
      </c>
      <c r="P668" cm="1">
        <f t="array" ref="P668">IF(K668=3,"",
  IFERROR(
    INDEX('Fairway Log'!$E$2:$V$72,
      MATCH(1,
        ('Fairway Log'!$A$2:$A$72=$A668)*
        ('Fairway Log'!$B$2:$B$72=$B668)*
        ('Fairway Log'!$C$2:$C739=$C668),
      0),
      MATCH($G668,'Fairway Log'!$E$1:$V$1,0)
    ),
  "")
)</f>
        <v>1</v>
      </c>
      <c r="Q668" t="str" cm="1">
        <f t="array" ref="Q668">IFERROR(
  INDEX('GIR Log'!$E$2:$V$72,
    MATCH(1,
      ('GIR Log'!$A$2:$A$72=$A668)*
      ('GIR Log'!$B$2:$B$72=$B668)*
      ('GIR Log'!$C$2:$C$72=$C668),
    0),
    MATCH($G668,'GIR Log'!$E$1:$V$1,0)
  ),
"")</f>
        <v>→</v>
      </c>
    </row>
    <row r="669" spans="1:17" x14ac:dyDescent="0.25">
      <c r="A669" s="20" t="s">
        <v>126</v>
      </c>
      <c r="B669" s="2">
        <v>45886</v>
      </c>
      <c r="C669" s="12" t="s">
        <v>41</v>
      </c>
      <c r="D669" s="12" t="s">
        <v>79</v>
      </c>
      <c r="E669" s="12" t="s">
        <v>34</v>
      </c>
      <c r="F669">
        <v>83</v>
      </c>
      <c r="G669" t="s">
        <v>48</v>
      </c>
      <c r="H669" s="9">
        <f t="shared" si="36"/>
        <v>2</v>
      </c>
      <c r="I669" cm="1">
        <f t="array" ref="I669">IFERROR(INDEX(CourseYardages[[Hole 1]:[Hole 18]],
  MATCH(1, (CourseYardages[Course]=C669)*(CourseYardages[Tees]=E669), 0),
  MATCH(G669, CourseYardages[[#Headers],[Hole 1]:[Hole 18]], 0)
),"")</f>
        <v>338</v>
      </c>
      <c r="J669" cm="1">
        <f t="array" ref="J669">IFERROR(INDEX(CourseHandicap[[Hole 1]:[Hole 18]],
  MATCH(1, (CourseHandicap[Course]=C669)*(CourseHandicap[Tees]=E669), 0),
  MATCH(G669, CourseHandicap[[#Headers],[Hole 1]:[Hole 18]], 0)
),"")</f>
        <v>13</v>
      </c>
      <c r="K669" cm="1">
        <f t="array" ref="K669">IFERROR(INDEX(CourseRatings[[Hole 1]:[Hole 18]],
  MATCH(1, (CourseRatings[Course]=C669)*(CourseRatings[Tees]=E669), 0),
  MATCH(G669, CourseRatings[[#Headers],[Hole 1]:[Hole 18]], 0)
),"")</f>
        <v>4</v>
      </c>
      <c r="L669" cm="1">
        <f t="array" ref="L669">IFERROR(
  INDEX('Golf Log'!$E$2:$V$72,
    MATCH(1,
      ('Golf Log'!$A$2:$A$72=$A669)*
      ('Golf Log'!$B$2:$B$72=$B669)*
      ('Golf Log'!$C$2:$C$72=$C669),
    0),
    MATCH($G669,'Golf Log'!$E$1:$V$1,0)
  ),
"")</f>
        <v>5</v>
      </c>
      <c r="M669">
        <f t="shared" si="37"/>
        <v>1</v>
      </c>
      <c r="N669" t="str">
        <f t="shared" si="38"/>
        <v>Bogey</v>
      </c>
      <c r="O669" cm="1">
        <f t="array" ref="O669">IFERROR(
  INDEX('Putt Log'!$E$2:$V$72,
    MATCH(1,
      ('Putt Log'!$A$2:$A$72=$A669)*
      ('Putt Log'!$B$2:$B$72=$B669)*
      ('Putt Log'!$C$2:$C$72=$C669),
    0),
    MATCH($G669,'Putt Log'!$E$1:$V$1,0)
  ),
"")</f>
        <v>2</v>
      </c>
      <c r="P669" cm="1">
        <f t="array" ref="P669">IF(K669=3,"",
  IFERROR(
    INDEX('Fairway Log'!$E$2:$V$72,
      MATCH(1,
        ('Fairway Log'!$A$2:$A$72=$A669)*
        ('Fairway Log'!$B$2:$B$72=$B669)*
        ('Fairway Log'!$C$2:$C740=$C669),
      0),
      MATCH($G669,'Fairway Log'!$E$1:$V$1,0)
    ),
  "")
)</f>
        <v>1</v>
      </c>
      <c r="Q669" t="str" cm="1">
        <f t="array" ref="Q669">IFERROR(
  INDEX('GIR Log'!$E$2:$V$72,
    MATCH(1,
      ('GIR Log'!$A$2:$A$72=$A669)*
      ('GIR Log'!$B$2:$B$72=$B669)*
      ('GIR Log'!$C$2:$C$72=$C669),
    0),
    MATCH($G669,'GIR Log'!$E$1:$V$1,0)
  ),
"")</f>
        <v>↑</v>
      </c>
    </row>
    <row r="670" spans="1:17" x14ac:dyDescent="0.25">
      <c r="A670" s="20" t="s">
        <v>126</v>
      </c>
      <c r="B670" s="2">
        <v>45886</v>
      </c>
      <c r="C670" s="12" t="s">
        <v>41</v>
      </c>
      <c r="D670" s="12" t="s">
        <v>79</v>
      </c>
      <c r="E670" s="12" t="s">
        <v>34</v>
      </c>
      <c r="F670">
        <v>83</v>
      </c>
      <c r="G670" t="s">
        <v>49</v>
      </c>
      <c r="H670" s="9">
        <f t="shared" si="36"/>
        <v>3</v>
      </c>
      <c r="I670" cm="1">
        <f t="array" ref="I670">IFERROR(INDEX(CourseYardages[[Hole 1]:[Hole 18]],
  MATCH(1, (CourseYardages[Course]=C670)*(CourseYardages[Tees]=E670), 0),
  MATCH(G670, CourseYardages[[#Headers],[Hole 1]:[Hole 18]], 0)
),"")</f>
        <v>187</v>
      </c>
      <c r="J670" cm="1">
        <f t="array" ref="J670">IFERROR(INDEX(CourseHandicap[[Hole 1]:[Hole 18]],
  MATCH(1, (CourseHandicap[Course]=C670)*(CourseHandicap[Tees]=E670), 0),
  MATCH(G670, CourseHandicap[[#Headers],[Hole 1]:[Hole 18]], 0)
),"")</f>
        <v>15</v>
      </c>
      <c r="K670" cm="1">
        <f t="array" ref="K670">IFERROR(INDEX(CourseRatings[[Hole 1]:[Hole 18]],
  MATCH(1, (CourseRatings[Course]=C670)*(CourseRatings[Tees]=E670), 0),
  MATCH(G670, CourseRatings[[#Headers],[Hole 1]:[Hole 18]], 0)
),"")</f>
        <v>3</v>
      </c>
      <c r="L670" cm="1">
        <f t="array" ref="L670">IFERROR(
  INDEX('Golf Log'!$E$2:$V$72,
    MATCH(1,
      ('Golf Log'!$A$2:$A$72=$A670)*
      ('Golf Log'!$B$2:$B$72=$B670)*
      ('Golf Log'!$C$2:$C$72=$C670),
    0),
    MATCH($G670,'Golf Log'!$E$1:$V$1,0)
  ),
"")</f>
        <v>3</v>
      </c>
      <c r="M670">
        <f t="shared" si="37"/>
        <v>0</v>
      </c>
      <c r="N670" t="str">
        <f t="shared" si="38"/>
        <v>Par</v>
      </c>
      <c r="O670" cm="1">
        <f t="array" ref="O670">IFERROR(
  INDEX('Putt Log'!$E$2:$V$72,
    MATCH(1,
      ('Putt Log'!$A$2:$A$72=$A670)*
      ('Putt Log'!$B$2:$B$72=$B670)*
      ('Putt Log'!$C$2:$C$72=$C670),
    0),
    MATCH($G670,'Putt Log'!$E$1:$V$1,0)
  ),
"")</f>
        <v>2</v>
      </c>
      <c r="P670" t="str" cm="1">
        <f t="array" ref="P670">IF(K670=3,"",
  IFERROR(
    INDEX('Fairway Log'!$E$2:$V$72,
      MATCH(1,
        ('Fairway Log'!$A$2:$A$72=$A670)*
        ('Fairway Log'!$B$2:$B$72=$B670)*
        ('Fairway Log'!$C$2:$C741=$C670),
      0),
      MATCH($G670,'Fairway Log'!$E$1:$V$1,0)
    ),
  "")
)</f>
        <v/>
      </c>
      <c r="Q670" cm="1">
        <f t="array" ref="Q670">IFERROR(
  INDEX('GIR Log'!$E$2:$V$72,
    MATCH(1,
      ('GIR Log'!$A$2:$A$72=$A670)*
      ('GIR Log'!$B$2:$B$72=$B670)*
      ('GIR Log'!$C$2:$C$72=$C670),
    0),
    MATCH($G670,'GIR Log'!$E$1:$V$1,0)
  ),
"")</f>
        <v>1</v>
      </c>
    </row>
    <row r="671" spans="1:17" x14ac:dyDescent="0.25">
      <c r="A671" s="20" t="s">
        <v>126</v>
      </c>
      <c r="B671" s="2">
        <v>45886</v>
      </c>
      <c r="C671" s="12" t="s">
        <v>41</v>
      </c>
      <c r="D671" s="12" t="s">
        <v>79</v>
      </c>
      <c r="E671" s="12" t="s">
        <v>34</v>
      </c>
      <c r="F671">
        <v>83</v>
      </c>
      <c r="G671" t="s">
        <v>50</v>
      </c>
      <c r="H671" s="9">
        <f t="shared" si="36"/>
        <v>4</v>
      </c>
      <c r="I671" cm="1">
        <f t="array" ref="I671">IFERROR(INDEX(CourseYardages[[Hole 1]:[Hole 18]],
  MATCH(1, (CourseYardages[Course]=C671)*(CourseYardages[Tees]=E671), 0),
  MATCH(G671, CourseYardages[[#Headers],[Hole 1]:[Hole 18]], 0)
),"")</f>
        <v>520</v>
      </c>
      <c r="J671" cm="1">
        <f t="array" ref="J671">IFERROR(INDEX(CourseHandicap[[Hole 1]:[Hole 18]],
  MATCH(1, (CourseHandicap[Course]=C671)*(CourseHandicap[Tees]=E671), 0),
  MATCH(G671, CourseHandicap[[#Headers],[Hole 1]:[Hole 18]], 0)
),"")</f>
        <v>7</v>
      </c>
      <c r="K671" cm="1">
        <f t="array" ref="K671">IFERROR(INDEX(CourseRatings[[Hole 1]:[Hole 18]],
  MATCH(1, (CourseRatings[Course]=C671)*(CourseRatings[Tees]=E671), 0),
  MATCH(G671, CourseRatings[[#Headers],[Hole 1]:[Hole 18]], 0)
),"")</f>
        <v>5</v>
      </c>
      <c r="L671" cm="1">
        <f t="array" ref="L671">IFERROR(
  INDEX('Golf Log'!$E$2:$V$72,
    MATCH(1,
      ('Golf Log'!$A$2:$A$72=$A671)*
      ('Golf Log'!$B$2:$B$72=$B671)*
      ('Golf Log'!$C$2:$C$72=$C671),
    0),
    MATCH($G671,'Golf Log'!$E$1:$V$1,0)
  ),
"")</f>
        <v>6</v>
      </c>
      <c r="M671">
        <f t="shared" si="37"/>
        <v>1</v>
      </c>
      <c r="N671" t="str">
        <f t="shared" si="38"/>
        <v>Bogey</v>
      </c>
      <c r="O671" cm="1">
        <f t="array" ref="O671">IFERROR(
  INDEX('Putt Log'!$E$2:$V$72,
    MATCH(1,
      ('Putt Log'!$A$2:$A$72=$A671)*
      ('Putt Log'!$B$2:$B$72=$B671)*
      ('Putt Log'!$C$2:$C$72=$C671),
    0),
    MATCH($G671,'Putt Log'!$E$1:$V$1,0)
  ),
"")</f>
        <v>2</v>
      </c>
      <c r="P671" t="str" cm="1">
        <f t="array" ref="P671">IF(K671=3,"",
  IFERROR(
    INDEX('Fairway Log'!$E$2:$V$72,
      MATCH(1,
        ('Fairway Log'!$A$2:$A$72=$A671)*
        ('Fairway Log'!$B$2:$B$72=$B671)*
        ('Fairway Log'!$C$2:$C742=$C671),
      0),
      MATCH($G671,'Fairway Log'!$E$1:$V$1,0)
    ),
  "")
)</f>
        <v>→</v>
      </c>
      <c r="Q671" t="str" cm="1">
        <f t="array" ref="Q671">IFERROR(
  INDEX('GIR Log'!$E$2:$V$72,
    MATCH(1,
      ('GIR Log'!$A$2:$A$72=$A671)*
      ('GIR Log'!$B$2:$B$72=$B671)*
      ('GIR Log'!$C$2:$C$72=$C671),
    0),
    MATCH($G671,'GIR Log'!$E$1:$V$1,0)
  ),
"")</f>
        <v>→</v>
      </c>
    </row>
    <row r="672" spans="1:17" x14ac:dyDescent="0.25">
      <c r="A672" s="20" t="s">
        <v>126</v>
      </c>
      <c r="B672" s="2">
        <v>45886</v>
      </c>
      <c r="C672" s="12" t="s">
        <v>41</v>
      </c>
      <c r="D672" s="12" t="s">
        <v>79</v>
      </c>
      <c r="E672" s="12" t="s">
        <v>34</v>
      </c>
      <c r="F672">
        <v>83</v>
      </c>
      <c r="G672" t="s">
        <v>51</v>
      </c>
      <c r="H672" s="9">
        <f t="shared" si="36"/>
        <v>5</v>
      </c>
      <c r="I672" cm="1">
        <f t="array" ref="I672">IFERROR(INDEX(CourseYardages[[Hole 1]:[Hole 18]],
  MATCH(1, (CourseYardages[Course]=C672)*(CourseYardages[Tees]=E672), 0),
  MATCH(G672, CourseYardages[[#Headers],[Hole 1]:[Hole 18]], 0)
),"")</f>
        <v>349</v>
      </c>
      <c r="J672" cm="1">
        <f t="array" ref="J672">IFERROR(INDEX(CourseHandicap[[Hole 1]:[Hole 18]],
  MATCH(1, (CourseHandicap[Course]=C672)*(CourseHandicap[Tees]=E672), 0),
  MATCH(G672, CourseHandicap[[#Headers],[Hole 1]:[Hole 18]], 0)
),"")</f>
        <v>11</v>
      </c>
      <c r="K672" cm="1">
        <f t="array" ref="K672">IFERROR(INDEX(CourseRatings[[Hole 1]:[Hole 18]],
  MATCH(1, (CourseRatings[Course]=C672)*(CourseRatings[Tees]=E672), 0),
  MATCH(G672, CourseRatings[[#Headers],[Hole 1]:[Hole 18]], 0)
),"")</f>
        <v>4</v>
      </c>
      <c r="L672" cm="1">
        <f t="array" ref="L672">IFERROR(
  INDEX('Golf Log'!$E$2:$V$72,
    MATCH(1,
      ('Golf Log'!$A$2:$A$72=$A672)*
      ('Golf Log'!$B$2:$B$72=$B672)*
      ('Golf Log'!$C$2:$C$72=$C672),
    0),
    MATCH($G672,'Golf Log'!$E$1:$V$1,0)
  ),
"")</f>
        <v>4</v>
      </c>
      <c r="M672">
        <f t="shared" si="37"/>
        <v>0</v>
      </c>
      <c r="N672" t="str">
        <f t="shared" si="38"/>
        <v>Par</v>
      </c>
      <c r="O672" cm="1">
        <f t="array" ref="O672">IFERROR(
  INDEX('Putt Log'!$E$2:$V$72,
    MATCH(1,
      ('Putt Log'!$A$2:$A$72=$A672)*
      ('Putt Log'!$B$2:$B$72=$B672)*
      ('Putt Log'!$C$2:$C$72=$C672),
    0),
    MATCH($G672,'Putt Log'!$E$1:$V$1,0)
  ),
"")</f>
        <v>1</v>
      </c>
      <c r="P672" cm="1">
        <f t="array" ref="P672">IF(K672=3,"",
  IFERROR(
    INDEX('Fairway Log'!$E$2:$V$72,
      MATCH(1,
        ('Fairway Log'!$A$2:$A$72=$A672)*
        ('Fairway Log'!$B$2:$B$72=$B672)*
        ('Fairway Log'!$C$2:$C743=$C672),
      0),
      MATCH($G672,'Fairway Log'!$E$1:$V$1,0)
    ),
  "")
)</f>
        <v>1</v>
      </c>
      <c r="Q672" t="str" cm="1">
        <f t="array" ref="Q672">IFERROR(
  INDEX('GIR Log'!$E$2:$V$72,
    MATCH(1,
      ('GIR Log'!$A$2:$A$72=$A672)*
      ('GIR Log'!$B$2:$B$72=$B672)*
      ('GIR Log'!$C$2:$C$72=$C672),
    0),
    MATCH($G672,'GIR Log'!$E$1:$V$1,0)
  ),
"")</f>
        <v>↑</v>
      </c>
    </row>
    <row r="673" spans="1:17" x14ac:dyDescent="0.25">
      <c r="A673" s="20" t="s">
        <v>126</v>
      </c>
      <c r="B673" s="2">
        <v>45886</v>
      </c>
      <c r="C673" s="12" t="s">
        <v>41</v>
      </c>
      <c r="D673" s="12" t="s">
        <v>79</v>
      </c>
      <c r="E673" s="12" t="s">
        <v>34</v>
      </c>
      <c r="F673">
        <v>83</v>
      </c>
      <c r="G673" t="s">
        <v>52</v>
      </c>
      <c r="H673" s="9">
        <f t="shared" si="36"/>
        <v>6</v>
      </c>
      <c r="I673" cm="1">
        <f t="array" ref="I673">IFERROR(INDEX(CourseYardages[[Hole 1]:[Hole 18]],
  MATCH(1, (CourseYardages[Course]=C673)*(CourseYardages[Tees]=E673), 0),
  MATCH(G673, CourseYardages[[#Headers],[Hole 1]:[Hole 18]], 0)
),"")</f>
        <v>153</v>
      </c>
      <c r="J673" cm="1">
        <f t="array" ref="J673">IFERROR(INDEX(CourseHandicap[[Hole 1]:[Hole 18]],
  MATCH(1, (CourseHandicap[Course]=C673)*(CourseHandicap[Tees]=E673), 0),
  MATCH(G673, CourseHandicap[[#Headers],[Hole 1]:[Hole 18]], 0)
),"")</f>
        <v>17</v>
      </c>
      <c r="K673" cm="1">
        <f t="array" ref="K673">IFERROR(INDEX(CourseRatings[[Hole 1]:[Hole 18]],
  MATCH(1, (CourseRatings[Course]=C673)*(CourseRatings[Tees]=E673), 0),
  MATCH(G673, CourseRatings[[#Headers],[Hole 1]:[Hole 18]], 0)
),"")</f>
        <v>3</v>
      </c>
      <c r="L673" cm="1">
        <f t="array" ref="L673">IFERROR(
  INDEX('Golf Log'!$E$2:$V$72,
    MATCH(1,
      ('Golf Log'!$A$2:$A$72=$A673)*
      ('Golf Log'!$B$2:$B$72=$B673)*
      ('Golf Log'!$C$2:$C$72=$C673),
    0),
    MATCH($G673,'Golf Log'!$E$1:$V$1,0)
  ),
"")</f>
        <v>3</v>
      </c>
      <c r="M673">
        <f t="shared" si="37"/>
        <v>0</v>
      </c>
      <c r="N673" t="str">
        <f t="shared" si="38"/>
        <v>Par</v>
      </c>
      <c r="O673" cm="1">
        <f t="array" ref="O673">IFERROR(
  INDEX('Putt Log'!$E$2:$V$72,
    MATCH(1,
      ('Putt Log'!$A$2:$A$72=$A673)*
      ('Putt Log'!$B$2:$B$72=$B673)*
      ('Putt Log'!$C$2:$C$72=$C673),
    0),
    MATCH($G673,'Putt Log'!$E$1:$V$1,0)
  ),
"")</f>
        <v>2</v>
      </c>
      <c r="P673" t="str" cm="1">
        <f t="array" ref="P673">IF(K673=3,"",
  IFERROR(
    INDEX('Fairway Log'!$E$2:$V$72,
      MATCH(1,
        ('Fairway Log'!$A$2:$A$72=$A673)*
        ('Fairway Log'!$B$2:$B$72=$B673)*
        ('Fairway Log'!$C$2:$C744=$C673),
      0),
      MATCH($G673,'Fairway Log'!$E$1:$V$1,0)
    ),
  "")
)</f>
        <v/>
      </c>
      <c r="Q673" cm="1">
        <f t="array" ref="Q673">IFERROR(
  INDEX('GIR Log'!$E$2:$V$72,
    MATCH(1,
      ('GIR Log'!$A$2:$A$72=$A673)*
      ('GIR Log'!$B$2:$B$72=$B673)*
      ('GIR Log'!$C$2:$C$72=$C673),
    0),
    MATCH($G673,'GIR Log'!$E$1:$V$1,0)
  ),
"")</f>
        <v>1</v>
      </c>
    </row>
    <row r="674" spans="1:17" x14ac:dyDescent="0.25">
      <c r="A674" s="20" t="s">
        <v>126</v>
      </c>
      <c r="B674" s="2">
        <v>45886</v>
      </c>
      <c r="C674" s="12" t="s">
        <v>41</v>
      </c>
      <c r="D674" s="12" t="s">
        <v>79</v>
      </c>
      <c r="E674" s="12" t="s">
        <v>34</v>
      </c>
      <c r="F674">
        <v>83</v>
      </c>
      <c r="G674" t="s">
        <v>53</v>
      </c>
      <c r="H674" s="9">
        <f t="shared" si="36"/>
        <v>7</v>
      </c>
      <c r="I674" cm="1">
        <f t="array" ref="I674">IFERROR(INDEX(CourseYardages[[Hole 1]:[Hole 18]],
  MATCH(1, (CourseYardages[Course]=C674)*(CourseYardages[Tees]=E674), 0),
  MATCH(G674, CourseYardages[[#Headers],[Hole 1]:[Hole 18]], 0)
),"")</f>
        <v>394</v>
      </c>
      <c r="J674" cm="1">
        <f t="array" ref="J674">IFERROR(INDEX(CourseHandicap[[Hole 1]:[Hole 18]],
  MATCH(1, (CourseHandicap[Course]=C674)*(CourseHandicap[Tees]=E674), 0),
  MATCH(G674, CourseHandicap[[#Headers],[Hole 1]:[Hole 18]], 0)
),"")</f>
        <v>9</v>
      </c>
      <c r="K674" cm="1">
        <f t="array" ref="K674">IFERROR(INDEX(CourseRatings[[Hole 1]:[Hole 18]],
  MATCH(1, (CourseRatings[Course]=C674)*(CourseRatings[Tees]=E674), 0),
  MATCH(G674, CourseRatings[[#Headers],[Hole 1]:[Hole 18]], 0)
),"")</f>
        <v>4</v>
      </c>
      <c r="L674" cm="1">
        <f t="array" ref="L674">IFERROR(
  INDEX('Golf Log'!$E$2:$V$72,
    MATCH(1,
      ('Golf Log'!$A$2:$A$72=$A674)*
      ('Golf Log'!$B$2:$B$72=$B674)*
      ('Golf Log'!$C$2:$C$72=$C674),
    0),
    MATCH($G674,'Golf Log'!$E$1:$V$1,0)
  ),
"")</f>
        <v>5</v>
      </c>
      <c r="M674">
        <f t="shared" si="37"/>
        <v>1</v>
      </c>
      <c r="N674" t="str">
        <f t="shared" si="38"/>
        <v>Bogey</v>
      </c>
      <c r="O674" cm="1">
        <f t="array" ref="O674">IFERROR(
  INDEX('Putt Log'!$E$2:$V$72,
    MATCH(1,
      ('Putt Log'!$A$2:$A$72=$A674)*
      ('Putt Log'!$B$2:$B$72=$B674)*
      ('Putt Log'!$C$2:$C$72=$C674),
    0),
    MATCH($G674,'Putt Log'!$E$1:$V$1,0)
  ),
"")</f>
        <v>2</v>
      </c>
      <c r="P674" cm="1">
        <f t="array" ref="P674">IF(K674=3,"",
  IFERROR(
    INDEX('Fairway Log'!$E$2:$V$72,
      MATCH(1,
        ('Fairway Log'!$A$2:$A$72=$A674)*
        ('Fairway Log'!$B$2:$B$72=$B674)*
        ('Fairway Log'!$C$2:$C745=$C674),
      0),
      MATCH($G674,'Fairway Log'!$E$1:$V$1,0)
    ),
  "")
)</f>
        <v>1</v>
      </c>
      <c r="Q674" t="str" cm="1">
        <f t="array" ref="Q674">IFERROR(
  INDEX('GIR Log'!$E$2:$V$72,
    MATCH(1,
      ('GIR Log'!$A$2:$A$72=$A674)*
      ('GIR Log'!$B$2:$B$72=$B674)*
      ('GIR Log'!$C$2:$C$72=$C674),
    0),
    MATCH($G674,'GIR Log'!$E$1:$V$1,0)
  ),
"")</f>
        <v>↑</v>
      </c>
    </row>
    <row r="675" spans="1:17" x14ac:dyDescent="0.25">
      <c r="A675" s="20" t="s">
        <v>126</v>
      </c>
      <c r="B675" s="2">
        <v>45886</v>
      </c>
      <c r="C675" s="12" t="s">
        <v>41</v>
      </c>
      <c r="D675" s="12" t="s">
        <v>79</v>
      </c>
      <c r="E675" s="12" t="s">
        <v>34</v>
      </c>
      <c r="F675">
        <v>83</v>
      </c>
      <c r="G675" t="s">
        <v>54</v>
      </c>
      <c r="H675" s="9">
        <f t="shared" si="36"/>
        <v>8</v>
      </c>
      <c r="I675" cm="1">
        <f t="array" ref="I675">IFERROR(INDEX(CourseYardages[[Hole 1]:[Hole 18]],
  MATCH(1, (CourseYardages[Course]=C675)*(CourseYardages[Tees]=E675), 0),
  MATCH(G675, CourseYardages[[#Headers],[Hole 1]:[Hole 18]], 0)
),"")</f>
        <v>399</v>
      </c>
      <c r="J675" cm="1">
        <f t="array" ref="J675">IFERROR(INDEX(CourseHandicap[[Hole 1]:[Hole 18]],
  MATCH(1, (CourseHandicap[Course]=C675)*(CourseHandicap[Tees]=E675), 0),
  MATCH(G675, CourseHandicap[[#Headers],[Hole 1]:[Hole 18]], 0)
),"")</f>
        <v>3</v>
      </c>
      <c r="K675" cm="1">
        <f t="array" ref="K675">IFERROR(INDEX(CourseRatings[[Hole 1]:[Hole 18]],
  MATCH(1, (CourseRatings[Course]=C675)*(CourseRatings[Tees]=E675), 0),
  MATCH(G675, CourseRatings[[#Headers],[Hole 1]:[Hole 18]], 0)
),"")</f>
        <v>4</v>
      </c>
      <c r="L675" cm="1">
        <f t="array" ref="L675">IFERROR(
  INDEX('Golf Log'!$E$2:$V$72,
    MATCH(1,
      ('Golf Log'!$A$2:$A$72=$A675)*
      ('Golf Log'!$B$2:$B$72=$B675)*
      ('Golf Log'!$C$2:$C$72=$C675),
    0),
    MATCH($G675,'Golf Log'!$E$1:$V$1,0)
  ),
"")</f>
        <v>6</v>
      </c>
      <c r="M675">
        <f t="shared" si="37"/>
        <v>2</v>
      </c>
      <c r="N675" t="str">
        <f t="shared" si="38"/>
        <v>Double Bogey</v>
      </c>
      <c r="O675" cm="1">
        <f t="array" ref="O675">IFERROR(
  INDEX('Putt Log'!$E$2:$V$72,
    MATCH(1,
      ('Putt Log'!$A$2:$A$72=$A675)*
      ('Putt Log'!$B$2:$B$72=$B675)*
      ('Putt Log'!$C$2:$C$72=$C675),
    0),
    MATCH($G675,'Putt Log'!$E$1:$V$1,0)
  ),
"")</f>
        <v>2</v>
      </c>
      <c r="P675" t="str" cm="1">
        <f t="array" ref="P675">IF(K675=3,"",
  IFERROR(
    INDEX('Fairway Log'!$E$2:$V$72,
      MATCH(1,
        ('Fairway Log'!$A$2:$A$72=$A675)*
        ('Fairway Log'!$B$2:$B$72=$B675)*
        ('Fairway Log'!$C$2:$C746=$C675),
      0),
      MATCH($G675,'Fairway Log'!$E$1:$V$1,0)
    ),
  "")
)</f>
        <v>→</v>
      </c>
      <c r="Q675" t="str" cm="1">
        <f t="array" ref="Q675">IFERROR(
  INDEX('GIR Log'!$E$2:$V$72,
    MATCH(1,
      ('GIR Log'!$A$2:$A$72=$A675)*
      ('GIR Log'!$B$2:$B$72=$B675)*
      ('GIR Log'!$C$2:$C$72=$C675),
    0),
    MATCH($G675,'GIR Log'!$E$1:$V$1,0)
  ),
"")</f>
        <v>↓</v>
      </c>
    </row>
    <row r="676" spans="1:17" x14ac:dyDescent="0.25">
      <c r="A676" s="20" t="s">
        <v>126</v>
      </c>
      <c r="B676" s="2">
        <v>45886</v>
      </c>
      <c r="C676" s="12" t="s">
        <v>41</v>
      </c>
      <c r="D676" s="12" t="s">
        <v>79</v>
      </c>
      <c r="E676" s="12" t="s">
        <v>34</v>
      </c>
      <c r="F676">
        <v>83</v>
      </c>
      <c r="G676" t="s">
        <v>55</v>
      </c>
      <c r="H676" s="9">
        <f t="shared" si="36"/>
        <v>9</v>
      </c>
      <c r="I676" cm="1">
        <f t="array" ref="I676">IFERROR(INDEX(CourseYardages[[Hole 1]:[Hole 18]],
  MATCH(1, (CourseYardages[Course]=C676)*(CourseYardages[Tees]=E676), 0),
  MATCH(G676, CourseYardages[[#Headers],[Hole 1]:[Hole 18]], 0)
),"")</f>
        <v>512</v>
      </c>
      <c r="J676" cm="1">
        <f t="array" ref="J676">IFERROR(INDEX(CourseHandicap[[Hole 1]:[Hole 18]],
  MATCH(1, (CourseHandicap[Course]=C676)*(CourseHandicap[Tees]=E676), 0),
  MATCH(G676, CourseHandicap[[#Headers],[Hole 1]:[Hole 18]], 0)
),"")</f>
        <v>5</v>
      </c>
      <c r="K676" cm="1">
        <f t="array" ref="K676">IFERROR(INDEX(CourseRatings[[Hole 1]:[Hole 18]],
  MATCH(1, (CourseRatings[Course]=C676)*(CourseRatings[Tees]=E676), 0),
  MATCH(G676, CourseRatings[[#Headers],[Hole 1]:[Hole 18]], 0)
),"")</f>
        <v>5</v>
      </c>
      <c r="L676" cm="1">
        <f t="array" ref="L676">IFERROR(
  INDEX('Golf Log'!$E$2:$V$72,
    MATCH(1,
      ('Golf Log'!$A$2:$A$72=$A676)*
      ('Golf Log'!$B$2:$B$72=$B676)*
      ('Golf Log'!$C$2:$C$72=$C676),
    0),
    MATCH($G676,'Golf Log'!$E$1:$V$1,0)
  ),
"")</f>
        <v>5</v>
      </c>
      <c r="M676">
        <f t="shared" si="37"/>
        <v>0</v>
      </c>
      <c r="N676" t="str">
        <f t="shared" si="38"/>
        <v>Par</v>
      </c>
      <c r="O676" cm="1">
        <f t="array" ref="O676">IFERROR(
  INDEX('Putt Log'!$E$2:$V$72,
    MATCH(1,
      ('Putt Log'!$A$2:$A$72=$A676)*
      ('Putt Log'!$B$2:$B$72=$B676)*
      ('Putt Log'!$C$2:$C$72=$C676),
    0),
    MATCH($G676,'Putt Log'!$E$1:$V$1,0)
  ),
"")</f>
        <v>2</v>
      </c>
      <c r="P676" cm="1">
        <f t="array" ref="P676">IF(K676=3,"",
  IFERROR(
    INDEX('Fairway Log'!$E$2:$V$72,
      MATCH(1,
        ('Fairway Log'!$A$2:$A$72=$A676)*
        ('Fairway Log'!$B$2:$B$72=$B676)*
        ('Fairway Log'!$C$2:$C747=$C676),
      0),
      MATCH($G676,'Fairway Log'!$E$1:$V$1,0)
    ),
  "")
)</f>
        <v>1</v>
      </c>
      <c r="Q676" cm="1">
        <f t="array" ref="Q676">IFERROR(
  INDEX('GIR Log'!$E$2:$V$72,
    MATCH(1,
      ('GIR Log'!$A$2:$A$72=$A676)*
      ('GIR Log'!$B$2:$B$72=$B676)*
      ('GIR Log'!$C$2:$C$72=$C676),
    0),
    MATCH($G676,'GIR Log'!$E$1:$V$1,0)
  ),
"")</f>
        <v>1</v>
      </c>
    </row>
    <row r="677" spans="1:17" x14ac:dyDescent="0.25">
      <c r="A677" s="20" t="s">
        <v>126</v>
      </c>
      <c r="B677" s="2">
        <v>45886</v>
      </c>
      <c r="C677" s="12" t="s">
        <v>41</v>
      </c>
      <c r="D677" s="12" t="s">
        <v>79</v>
      </c>
      <c r="E677" s="12" t="s">
        <v>34</v>
      </c>
      <c r="F677">
        <v>83</v>
      </c>
      <c r="G677" t="s">
        <v>56</v>
      </c>
      <c r="H677" s="9">
        <f t="shared" si="36"/>
        <v>10</v>
      </c>
      <c r="I677" cm="1">
        <f t="array" ref="I677">IFERROR(INDEX(CourseYardages[[Hole 1]:[Hole 18]],
  MATCH(1, (CourseYardages[Course]=C677)*(CourseYardages[Tees]=E677), 0),
  MATCH(G677, CourseYardages[[#Headers],[Hole 1]:[Hole 18]], 0)
),"")</f>
        <v>326</v>
      </c>
      <c r="J677" cm="1">
        <f t="array" ref="J677">IFERROR(INDEX(CourseHandicap[[Hole 1]:[Hole 18]],
  MATCH(1, (CourseHandicap[Course]=C677)*(CourseHandicap[Tees]=E677), 0),
  MATCH(G677, CourseHandicap[[#Headers],[Hole 1]:[Hole 18]], 0)
),"")</f>
        <v>12</v>
      </c>
      <c r="K677" cm="1">
        <f t="array" ref="K677">IFERROR(INDEX(CourseRatings[[Hole 1]:[Hole 18]],
  MATCH(1, (CourseRatings[Course]=C677)*(CourseRatings[Tees]=E677), 0),
  MATCH(G677, CourseRatings[[#Headers],[Hole 1]:[Hole 18]], 0)
),"")</f>
        <v>4</v>
      </c>
      <c r="L677" cm="1">
        <f t="array" ref="L677">IFERROR(
  INDEX('Golf Log'!$E$2:$V$72,
    MATCH(1,
      ('Golf Log'!$A$2:$A$72=$A677)*
      ('Golf Log'!$B$2:$B$72=$B677)*
      ('Golf Log'!$C$2:$C$72=$C677),
    0),
    MATCH($G677,'Golf Log'!$E$1:$V$1,0)
  ),
"")</f>
        <v>4</v>
      </c>
      <c r="M677">
        <f t="shared" si="37"/>
        <v>0</v>
      </c>
      <c r="N677" t="str">
        <f t="shared" si="38"/>
        <v>Par</v>
      </c>
      <c r="O677" cm="1">
        <f t="array" ref="O677">IFERROR(
  INDEX('Putt Log'!$E$2:$V$72,
    MATCH(1,
      ('Putt Log'!$A$2:$A$72=$A677)*
      ('Putt Log'!$B$2:$B$72=$B677)*
      ('Putt Log'!$C$2:$C$72=$C677),
    0),
    MATCH($G677,'Putt Log'!$E$1:$V$1,0)
  ),
"")</f>
        <v>2</v>
      </c>
      <c r="P677" cm="1">
        <f t="array" ref="P677">IF(K677=3,"",
  IFERROR(
    INDEX('Fairway Log'!$E$2:$V$72,
      MATCH(1,
        ('Fairway Log'!$A$2:$A$72=$A677)*
        ('Fairway Log'!$B$2:$B$72=$B677)*
        ('Fairway Log'!$C$2:$C748=$C677),
      0),
      MATCH($G677,'Fairway Log'!$E$1:$V$1,0)
    ),
  "")
)</f>
        <v>1</v>
      </c>
      <c r="Q677" cm="1">
        <f t="array" ref="Q677">IFERROR(
  INDEX('GIR Log'!$E$2:$V$72,
    MATCH(1,
      ('GIR Log'!$A$2:$A$72=$A677)*
      ('GIR Log'!$B$2:$B$72=$B677)*
      ('GIR Log'!$C$2:$C$72=$C677),
    0),
    MATCH($G677,'GIR Log'!$E$1:$V$1,0)
  ),
"")</f>
        <v>1</v>
      </c>
    </row>
    <row r="678" spans="1:17" x14ac:dyDescent="0.25">
      <c r="A678" s="20" t="s">
        <v>126</v>
      </c>
      <c r="B678" s="2">
        <v>45886</v>
      </c>
      <c r="C678" s="12" t="s">
        <v>41</v>
      </c>
      <c r="D678" s="12" t="s">
        <v>79</v>
      </c>
      <c r="E678" s="12" t="s">
        <v>34</v>
      </c>
      <c r="F678">
        <v>83</v>
      </c>
      <c r="G678" t="s">
        <v>57</v>
      </c>
      <c r="H678" s="9">
        <f t="shared" si="36"/>
        <v>11</v>
      </c>
      <c r="I678" cm="1">
        <f t="array" ref="I678">IFERROR(INDEX(CourseYardages[[Hole 1]:[Hole 18]],
  MATCH(1, (CourseYardages[Course]=C678)*(CourseYardages[Tees]=E678), 0),
  MATCH(G678, CourseYardages[[#Headers],[Hole 1]:[Hole 18]], 0)
),"")</f>
        <v>497</v>
      </c>
      <c r="J678" cm="1">
        <f t="array" ref="J678">IFERROR(INDEX(CourseHandicap[[Hole 1]:[Hole 18]],
  MATCH(1, (CourseHandicap[Course]=C678)*(CourseHandicap[Tees]=E678), 0),
  MATCH(G678, CourseHandicap[[#Headers],[Hole 1]:[Hole 18]], 0)
),"")</f>
        <v>6</v>
      </c>
      <c r="K678" cm="1">
        <f t="array" ref="K678">IFERROR(INDEX(CourseRatings[[Hole 1]:[Hole 18]],
  MATCH(1, (CourseRatings[Course]=C678)*(CourseRatings[Tees]=E678), 0),
  MATCH(G678, CourseRatings[[#Headers],[Hole 1]:[Hole 18]], 0)
),"")</f>
        <v>5</v>
      </c>
      <c r="L678" cm="1">
        <f t="array" ref="L678">IFERROR(
  INDEX('Golf Log'!$E$2:$V$72,
    MATCH(1,
      ('Golf Log'!$A$2:$A$72=$A678)*
      ('Golf Log'!$B$2:$B$72=$B678)*
      ('Golf Log'!$C$2:$C$72=$C678),
    0),
    MATCH($G678,'Golf Log'!$E$1:$V$1,0)
  ),
"")</f>
        <v>5</v>
      </c>
      <c r="M678">
        <f t="shared" si="37"/>
        <v>0</v>
      </c>
      <c r="N678" t="str">
        <f t="shared" si="38"/>
        <v>Par</v>
      </c>
      <c r="O678" cm="1">
        <f t="array" ref="O678">IFERROR(
  INDEX('Putt Log'!$E$2:$V$72,
    MATCH(1,
      ('Putt Log'!$A$2:$A$72=$A678)*
      ('Putt Log'!$B$2:$B$72=$B678)*
      ('Putt Log'!$C$2:$C$72=$C678),
    0),
    MATCH($G678,'Putt Log'!$E$1:$V$1,0)
  ),
"")</f>
        <v>1</v>
      </c>
      <c r="P678" t="str" cm="1">
        <f t="array" ref="P678">IF(K678=3,"",
  IFERROR(
    INDEX('Fairway Log'!$E$2:$V$72,
      MATCH(1,
        ('Fairway Log'!$A$2:$A$72=$A678)*
        ('Fairway Log'!$B$2:$B$72=$B678)*
        ('Fairway Log'!$C$2:$C749=$C678),
      0),
      MATCH($G678,'Fairway Log'!$E$1:$V$1,0)
    ),
  "")
)</f>
        <v>→</v>
      </c>
      <c r="Q678" t="str" cm="1">
        <f t="array" ref="Q678">IFERROR(
  INDEX('GIR Log'!$E$2:$V$72,
    MATCH(1,
      ('GIR Log'!$A$2:$A$72=$A678)*
      ('GIR Log'!$B$2:$B$72=$B678)*
      ('GIR Log'!$C$2:$C$72=$C678),
    0),
    MATCH($G678,'GIR Log'!$E$1:$V$1,0)
  ),
"")</f>
        <v>←</v>
      </c>
    </row>
    <row r="679" spans="1:17" x14ac:dyDescent="0.25">
      <c r="A679" s="20" t="s">
        <v>126</v>
      </c>
      <c r="B679" s="2">
        <v>45886</v>
      </c>
      <c r="C679" s="12" t="s">
        <v>41</v>
      </c>
      <c r="D679" s="12" t="s">
        <v>79</v>
      </c>
      <c r="E679" s="12" t="s">
        <v>34</v>
      </c>
      <c r="F679">
        <v>83</v>
      </c>
      <c r="G679" t="s">
        <v>58</v>
      </c>
      <c r="H679" s="9">
        <f t="shared" si="36"/>
        <v>12</v>
      </c>
      <c r="I679" cm="1">
        <f t="array" ref="I679">IFERROR(INDEX(CourseYardages[[Hole 1]:[Hole 18]],
  MATCH(1, (CourseYardages[Course]=C679)*(CourseYardages[Tees]=E679), 0),
  MATCH(G679, CourseYardages[[#Headers],[Hole 1]:[Hole 18]], 0)
),"")</f>
        <v>343</v>
      </c>
      <c r="J679" cm="1">
        <f t="array" ref="J679">IFERROR(INDEX(CourseHandicap[[Hole 1]:[Hole 18]],
  MATCH(1, (CourseHandicap[Course]=C679)*(CourseHandicap[Tees]=E679), 0),
  MATCH(G679, CourseHandicap[[#Headers],[Hole 1]:[Hole 18]], 0)
),"")</f>
        <v>14</v>
      </c>
      <c r="K679" cm="1">
        <f t="array" ref="K679">IFERROR(INDEX(CourseRatings[[Hole 1]:[Hole 18]],
  MATCH(1, (CourseRatings[Course]=C679)*(CourseRatings[Tees]=E679), 0),
  MATCH(G679, CourseRatings[[#Headers],[Hole 1]:[Hole 18]], 0)
),"")</f>
        <v>4</v>
      </c>
      <c r="L679" cm="1">
        <f t="array" ref="L679">IFERROR(
  INDEX('Golf Log'!$E$2:$V$72,
    MATCH(1,
      ('Golf Log'!$A$2:$A$72=$A679)*
      ('Golf Log'!$B$2:$B$72=$B679)*
      ('Golf Log'!$C$2:$C$72=$C679),
    0),
    MATCH($G679,'Golf Log'!$E$1:$V$1,0)
  ),
"")</f>
        <v>5</v>
      </c>
      <c r="M679">
        <f t="shared" si="37"/>
        <v>1</v>
      </c>
      <c r="N679" t="str">
        <f t="shared" si="38"/>
        <v>Bogey</v>
      </c>
      <c r="O679" cm="1">
        <f t="array" ref="O679">IFERROR(
  INDEX('Putt Log'!$E$2:$V$72,
    MATCH(1,
      ('Putt Log'!$A$2:$A$72=$A679)*
      ('Putt Log'!$B$2:$B$72=$B679)*
      ('Putt Log'!$C$2:$C$72=$C679),
    0),
    MATCH($G679,'Putt Log'!$E$1:$V$1,0)
  ),
"")</f>
        <v>1</v>
      </c>
      <c r="P679" cm="1">
        <f t="array" ref="P679">IF(K679=3,"",
  IFERROR(
    INDEX('Fairway Log'!$E$2:$V$72,
      MATCH(1,
        ('Fairway Log'!$A$2:$A$72=$A679)*
        ('Fairway Log'!$B$2:$B$72=$B679)*
        ('Fairway Log'!$C$2:$C750=$C679),
      0),
      MATCH($G679,'Fairway Log'!$E$1:$V$1,0)
    ),
  "")
)</f>
        <v>1</v>
      </c>
      <c r="Q679" t="str" cm="1">
        <f t="array" ref="Q679">IFERROR(
  INDEX('GIR Log'!$E$2:$V$72,
    MATCH(1,
      ('GIR Log'!$A$2:$A$72=$A679)*
      ('GIR Log'!$B$2:$B$72=$B679)*
      ('GIR Log'!$C$2:$C$72=$C679),
    0),
    MATCH($G679,'GIR Log'!$E$1:$V$1,0)
  ),
"")</f>
        <v>↑</v>
      </c>
    </row>
    <row r="680" spans="1:17" x14ac:dyDescent="0.25">
      <c r="A680" s="20" t="s">
        <v>126</v>
      </c>
      <c r="B680" s="2">
        <v>45886</v>
      </c>
      <c r="C680" s="12" t="s">
        <v>41</v>
      </c>
      <c r="D680" s="12" t="s">
        <v>79</v>
      </c>
      <c r="E680" s="12" t="s">
        <v>34</v>
      </c>
      <c r="F680">
        <v>83</v>
      </c>
      <c r="G680" t="s">
        <v>59</v>
      </c>
      <c r="H680" s="9">
        <f t="shared" si="36"/>
        <v>13</v>
      </c>
      <c r="I680" cm="1">
        <f t="array" ref="I680">IFERROR(INDEX(CourseYardages[[Hole 1]:[Hole 18]],
  MATCH(1, (CourseYardages[Course]=C680)*(CourseYardages[Tees]=E680), 0),
  MATCH(G680, CourseYardages[[#Headers],[Hole 1]:[Hole 18]], 0)
),"")</f>
        <v>180</v>
      </c>
      <c r="J680" cm="1">
        <f t="array" ref="J680">IFERROR(INDEX(CourseHandicap[[Hole 1]:[Hole 18]],
  MATCH(1, (CourseHandicap[Course]=C680)*(CourseHandicap[Tees]=E680), 0),
  MATCH(G680, CourseHandicap[[#Headers],[Hole 1]:[Hole 18]], 0)
),"")</f>
        <v>16</v>
      </c>
      <c r="K680" cm="1">
        <f t="array" ref="K680">IFERROR(INDEX(CourseRatings[[Hole 1]:[Hole 18]],
  MATCH(1, (CourseRatings[Course]=C680)*(CourseRatings[Tees]=E680), 0),
  MATCH(G680, CourseRatings[[#Headers],[Hole 1]:[Hole 18]], 0)
),"")</f>
        <v>3</v>
      </c>
      <c r="L680" cm="1">
        <f t="array" ref="L680">IFERROR(
  INDEX('Golf Log'!$E$2:$V$72,
    MATCH(1,
      ('Golf Log'!$A$2:$A$72=$A680)*
      ('Golf Log'!$B$2:$B$72=$B680)*
      ('Golf Log'!$C$2:$C$72=$C680),
    0),
    MATCH($G680,'Golf Log'!$E$1:$V$1,0)
  ),
"")</f>
        <v>5</v>
      </c>
      <c r="M680">
        <f t="shared" si="37"/>
        <v>2</v>
      </c>
      <c r="N680" t="str">
        <f t="shared" si="38"/>
        <v>Double Bogey</v>
      </c>
      <c r="O680" cm="1">
        <f t="array" ref="O680">IFERROR(
  INDEX('Putt Log'!$E$2:$V$72,
    MATCH(1,
      ('Putt Log'!$A$2:$A$72=$A680)*
      ('Putt Log'!$B$2:$B$72=$B680)*
      ('Putt Log'!$C$2:$C$72=$C680),
    0),
    MATCH($G680,'Putt Log'!$E$1:$V$1,0)
  ),
"")</f>
        <v>2</v>
      </c>
      <c r="P680" t="str" cm="1">
        <f t="array" ref="P680">IF(K680=3,"",
  IFERROR(
    INDEX('Fairway Log'!$E$2:$V$72,
      MATCH(1,
        ('Fairway Log'!$A$2:$A$72=$A680)*
        ('Fairway Log'!$B$2:$B$72=$B680)*
        ('Fairway Log'!$C$2:$C751=$C680),
      0),
      MATCH($G680,'Fairway Log'!$E$1:$V$1,0)
    ),
  "")
)</f>
        <v/>
      </c>
      <c r="Q680" t="str" cm="1">
        <f t="array" ref="Q680">IFERROR(
  INDEX('GIR Log'!$E$2:$V$72,
    MATCH(1,
      ('GIR Log'!$A$2:$A$72=$A680)*
      ('GIR Log'!$B$2:$B$72=$B680)*
      ('GIR Log'!$C$2:$C$72=$C680),
    0),
    MATCH($G680,'GIR Log'!$E$1:$V$1,0)
  ),
"")</f>
        <v>↑</v>
      </c>
    </row>
    <row r="681" spans="1:17" x14ac:dyDescent="0.25">
      <c r="A681" s="20" t="s">
        <v>126</v>
      </c>
      <c r="B681" s="2">
        <v>45886</v>
      </c>
      <c r="C681" s="12" t="s">
        <v>41</v>
      </c>
      <c r="D681" s="12" t="s">
        <v>79</v>
      </c>
      <c r="E681" s="12" t="s">
        <v>34</v>
      </c>
      <c r="F681">
        <v>83</v>
      </c>
      <c r="G681" t="s">
        <v>60</v>
      </c>
      <c r="H681" s="9">
        <f t="shared" si="36"/>
        <v>14</v>
      </c>
      <c r="I681" cm="1">
        <f t="array" ref="I681">IFERROR(INDEX(CourseYardages[[Hole 1]:[Hole 18]],
  MATCH(1, (CourseYardages[Course]=C681)*(CourseYardages[Tees]=E681), 0),
  MATCH(G681, CourseYardages[[#Headers],[Hole 1]:[Hole 18]], 0)
),"")</f>
        <v>411</v>
      </c>
      <c r="J681" cm="1">
        <f t="array" ref="J681">IFERROR(INDEX(CourseHandicap[[Hole 1]:[Hole 18]],
  MATCH(1, (CourseHandicap[Course]=C681)*(CourseHandicap[Tees]=E681), 0),
  MATCH(G681, CourseHandicap[[#Headers],[Hole 1]:[Hole 18]], 0)
),"")</f>
        <v>4</v>
      </c>
      <c r="K681" cm="1">
        <f t="array" ref="K681">IFERROR(INDEX(CourseRatings[[Hole 1]:[Hole 18]],
  MATCH(1, (CourseRatings[Course]=C681)*(CourseRatings[Tees]=E681), 0),
  MATCH(G681, CourseRatings[[#Headers],[Hole 1]:[Hole 18]], 0)
),"")</f>
        <v>4</v>
      </c>
      <c r="L681" cm="1">
        <f t="array" ref="L681">IFERROR(
  INDEX('Golf Log'!$E$2:$V$72,
    MATCH(1,
      ('Golf Log'!$A$2:$A$72=$A681)*
      ('Golf Log'!$B$2:$B$72=$B681)*
      ('Golf Log'!$C$2:$C$72=$C681),
    0),
    MATCH($G681,'Golf Log'!$E$1:$V$1,0)
  ),
"")</f>
        <v>4</v>
      </c>
      <c r="M681">
        <f t="shared" si="37"/>
        <v>0</v>
      </c>
      <c r="N681" t="str">
        <f t="shared" si="38"/>
        <v>Par</v>
      </c>
      <c r="O681" cm="1">
        <f t="array" ref="O681">IFERROR(
  INDEX('Putt Log'!$E$2:$V$72,
    MATCH(1,
      ('Putt Log'!$A$2:$A$72=$A681)*
      ('Putt Log'!$B$2:$B$72=$B681)*
      ('Putt Log'!$C$2:$C$72=$C681),
    0),
    MATCH($G681,'Putt Log'!$E$1:$V$1,0)
  ),
"")</f>
        <v>1</v>
      </c>
      <c r="P681" cm="1">
        <f t="array" ref="P681">IF(K681=3,"",
  IFERROR(
    INDEX('Fairway Log'!$E$2:$V$72,
      MATCH(1,
        ('Fairway Log'!$A$2:$A$72=$A681)*
        ('Fairway Log'!$B$2:$B$72=$B681)*
        ('Fairway Log'!$C$2:$C752=$C681),
      0),
      MATCH($G681,'Fairway Log'!$E$1:$V$1,0)
    ),
  "")
)</f>
        <v>1</v>
      </c>
      <c r="Q681" t="str" cm="1">
        <f t="array" ref="Q681">IFERROR(
  INDEX('GIR Log'!$E$2:$V$72,
    MATCH(1,
      ('GIR Log'!$A$2:$A$72=$A681)*
      ('GIR Log'!$B$2:$B$72=$B681)*
      ('GIR Log'!$C$2:$C$72=$C681),
    0),
    MATCH($G681,'GIR Log'!$E$1:$V$1,0)
  ),
"")</f>
        <v>↑</v>
      </c>
    </row>
    <row r="682" spans="1:17" x14ac:dyDescent="0.25">
      <c r="A682" s="20" t="s">
        <v>126</v>
      </c>
      <c r="B682" s="2">
        <v>45886</v>
      </c>
      <c r="C682" s="12" t="s">
        <v>41</v>
      </c>
      <c r="D682" s="12" t="s">
        <v>79</v>
      </c>
      <c r="E682" s="12" t="s">
        <v>34</v>
      </c>
      <c r="F682">
        <v>83</v>
      </c>
      <c r="G682" t="s">
        <v>61</v>
      </c>
      <c r="H682" s="9">
        <f t="shared" si="36"/>
        <v>15</v>
      </c>
      <c r="I682" cm="1">
        <f t="array" ref="I682">IFERROR(INDEX(CourseYardages[[Hole 1]:[Hole 18]],
  MATCH(1, (CourseYardages[Course]=C682)*(CourseYardages[Tees]=E682), 0),
  MATCH(G682, CourseYardages[[#Headers],[Hole 1]:[Hole 18]], 0)
),"")</f>
        <v>344</v>
      </c>
      <c r="J682" cm="1">
        <f t="array" ref="J682">IFERROR(INDEX(CourseHandicap[[Hole 1]:[Hole 18]],
  MATCH(1, (CourseHandicap[Course]=C682)*(CourseHandicap[Tees]=E682), 0),
  MATCH(G682, CourseHandicap[[#Headers],[Hole 1]:[Hole 18]], 0)
),"")</f>
        <v>8</v>
      </c>
      <c r="K682" cm="1">
        <f t="array" ref="K682">IFERROR(INDEX(CourseRatings[[Hole 1]:[Hole 18]],
  MATCH(1, (CourseRatings[Course]=C682)*(CourseRatings[Tees]=E682), 0),
  MATCH(G682, CourseRatings[[#Headers],[Hole 1]:[Hole 18]], 0)
),"")</f>
        <v>4</v>
      </c>
      <c r="L682" cm="1">
        <f t="array" ref="L682">IFERROR(
  INDEX('Golf Log'!$E$2:$V$72,
    MATCH(1,
      ('Golf Log'!$A$2:$A$72=$A682)*
      ('Golf Log'!$B$2:$B$72=$B682)*
      ('Golf Log'!$C$2:$C$72=$C682),
    0),
    MATCH($G682,'Golf Log'!$E$1:$V$1,0)
  ),
"")</f>
        <v>4</v>
      </c>
      <c r="M682">
        <f t="shared" si="37"/>
        <v>0</v>
      </c>
      <c r="N682" t="str">
        <f t="shared" si="38"/>
        <v>Par</v>
      </c>
      <c r="O682" cm="1">
        <f t="array" ref="O682">IFERROR(
  INDEX('Putt Log'!$E$2:$V$72,
    MATCH(1,
      ('Putt Log'!$A$2:$A$72=$A682)*
      ('Putt Log'!$B$2:$B$72=$B682)*
      ('Putt Log'!$C$2:$C$72=$C682),
    0),
    MATCH($G682,'Putt Log'!$E$1:$V$1,0)
  ),
"")</f>
        <v>1</v>
      </c>
      <c r="P682" cm="1">
        <f t="array" ref="P682">IF(K682=3,"",
  IFERROR(
    INDEX('Fairway Log'!$E$2:$V$72,
      MATCH(1,
        ('Fairway Log'!$A$2:$A$72=$A682)*
        ('Fairway Log'!$B$2:$B$72=$B682)*
        ('Fairway Log'!$C$2:$C753=$C682),
      0),
      MATCH($G682,'Fairway Log'!$E$1:$V$1,0)
    ),
  "")
)</f>
        <v>1</v>
      </c>
      <c r="Q682" t="str" cm="1">
        <f t="array" ref="Q682">IFERROR(
  INDEX('GIR Log'!$E$2:$V$72,
    MATCH(1,
      ('GIR Log'!$A$2:$A$72=$A682)*
      ('GIR Log'!$B$2:$B$72=$B682)*
      ('GIR Log'!$C$2:$C$72=$C682),
    0),
    MATCH($G682,'GIR Log'!$E$1:$V$1,0)
  ),
"")</f>
        <v>↓</v>
      </c>
    </row>
    <row r="683" spans="1:17" x14ac:dyDescent="0.25">
      <c r="A683" s="20" t="s">
        <v>126</v>
      </c>
      <c r="B683" s="2">
        <v>45886</v>
      </c>
      <c r="C683" s="12" t="s">
        <v>41</v>
      </c>
      <c r="D683" s="12" t="s">
        <v>79</v>
      </c>
      <c r="E683" s="12" t="s">
        <v>34</v>
      </c>
      <c r="F683">
        <v>83</v>
      </c>
      <c r="G683" t="s">
        <v>62</v>
      </c>
      <c r="H683" s="9">
        <f t="shared" si="36"/>
        <v>16</v>
      </c>
      <c r="I683" cm="1">
        <f t="array" ref="I683">IFERROR(INDEX(CourseYardages[[Hole 1]:[Hole 18]],
  MATCH(1, (CourseYardages[Course]=C683)*(CourseYardages[Tees]=E683), 0),
  MATCH(G683, CourseYardages[[#Headers],[Hole 1]:[Hole 18]], 0)
),"")</f>
        <v>158</v>
      </c>
      <c r="J683" cm="1">
        <f t="array" ref="J683">IFERROR(INDEX(CourseHandicap[[Hole 1]:[Hole 18]],
  MATCH(1, (CourseHandicap[Course]=C683)*(CourseHandicap[Tees]=E683), 0),
  MATCH(G683, CourseHandicap[[#Headers],[Hole 1]:[Hole 18]], 0)
),"")</f>
        <v>18</v>
      </c>
      <c r="K683" cm="1">
        <f t="array" ref="K683">IFERROR(INDEX(CourseRatings[[Hole 1]:[Hole 18]],
  MATCH(1, (CourseRatings[Course]=C683)*(CourseRatings[Tees]=E683), 0),
  MATCH(G683, CourseRatings[[#Headers],[Hole 1]:[Hole 18]], 0)
),"")</f>
        <v>3</v>
      </c>
      <c r="L683" cm="1">
        <f t="array" ref="L683">IFERROR(
  INDEX('Golf Log'!$E$2:$V$72,
    MATCH(1,
      ('Golf Log'!$A$2:$A$72=$A683)*
      ('Golf Log'!$B$2:$B$72=$B683)*
      ('Golf Log'!$C$2:$C$72=$C683),
    0),
    MATCH($G683,'Golf Log'!$E$1:$V$1,0)
  ),
"")</f>
        <v>3</v>
      </c>
      <c r="M683">
        <f t="shared" si="37"/>
        <v>0</v>
      </c>
      <c r="N683" t="str">
        <f t="shared" si="38"/>
        <v>Par</v>
      </c>
      <c r="O683" cm="1">
        <f t="array" ref="O683">IFERROR(
  INDEX('Putt Log'!$E$2:$V$72,
    MATCH(1,
      ('Putt Log'!$A$2:$A$72=$A683)*
      ('Putt Log'!$B$2:$B$72=$B683)*
      ('Putt Log'!$C$2:$C$72=$C683),
    0),
    MATCH($G683,'Putt Log'!$E$1:$V$1,0)
  ),
"")</f>
        <v>1</v>
      </c>
      <c r="P683" t="str" cm="1">
        <f t="array" ref="P683">IF(K683=3,"",
  IFERROR(
    INDEX('Fairway Log'!$E$2:$V$72,
      MATCH(1,
        ('Fairway Log'!$A$2:$A$72=$A683)*
        ('Fairway Log'!$B$2:$B$72=$B683)*
        ('Fairway Log'!$C$2:$C754=$C683),
      0),
      MATCH($G683,'Fairway Log'!$E$1:$V$1,0)
    ),
  "")
)</f>
        <v/>
      </c>
      <c r="Q683" t="str" cm="1">
        <f t="array" ref="Q683">IFERROR(
  INDEX('GIR Log'!$E$2:$V$72,
    MATCH(1,
      ('GIR Log'!$A$2:$A$72=$A683)*
      ('GIR Log'!$B$2:$B$72=$B683)*
      ('GIR Log'!$C$2:$C$72=$C683),
    0),
    MATCH($G683,'GIR Log'!$E$1:$V$1,0)
  ),
"")</f>
        <v>↓</v>
      </c>
    </row>
    <row r="684" spans="1:17" x14ac:dyDescent="0.25">
      <c r="A684" s="20" t="s">
        <v>126</v>
      </c>
      <c r="B684" s="2">
        <v>45886</v>
      </c>
      <c r="C684" s="12" t="s">
        <v>41</v>
      </c>
      <c r="D684" s="12" t="s">
        <v>79</v>
      </c>
      <c r="E684" s="12" t="s">
        <v>34</v>
      </c>
      <c r="F684">
        <v>83</v>
      </c>
      <c r="G684" t="s">
        <v>63</v>
      </c>
      <c r="H684" s="9">
        <f t="shared" si="36"/>
        <v>17</v>
      </c>
      <c r="I684" cm="1">
        <f t="array" ref="I684">IFERROR(INDEX(CourseYardages[[Hole 1]:[Hole 18]],
  MATCH(1, (CourseYardages[Course]=C684)*(CourseYardages[Tees]=E684), 0),
  MATCH(G684, CourseYardages[[#Headers],[Hole 1]:[Hole 18]], 0)
),"")</f>
        <v>421</v>
      </c>
      <c r="J684" cm="1">
        <f t="array" ref="J684">IFERROR(INDEX(CourseHandicap[[Hole 1]:[Hole 18]],
  MATCH(1, (CourseHandicap[Course]=C684)*(CourseHandicap[Tees]=E684), 0),
  MATCH(G684, CourseHandicap[[#Headers],[Hole 1]:[Hole 18]], 0)
),"")</f>
        <v>2</v>
      </c>
      <c r="K684" cm="1">
        <f t="array" ref="K684">IFERROR(INDEX(CourseRatings[[Hole 1]:[Hole 18]],
  MATCH(1, (CourseRatings[Course]=C684)*(CourseRatings[Tees]=E684), 0),
  MATCH(G684, CourseRatings[[#Headers],[Hole 1]:[Hole 18]], 0)
),"")</f>
        <v>4</v>
      </c>
      <c r="L684" cm="1">
        <f t="array" ref="L684">IFERROR(
  INDEX('Golf Log'!$E$2:$V$72,
    MATCH(1,
      ('Golf Log'!$A$2:$A$72=$A684)*
      ('Golf Log'!$B$2:$B$72=$B684)*
      ('Golf Log'!$C$2:$C$72=$C684),
    0),
    MATCH($G684,'Golf Log'!$E$1:$V$1,0)
  ),
"")</f>
        <v>6</v>
      </c>
      <c r="M684">
        <f t="shared" si="37"/>
        <v>2</v>
      </c>
      <c r="N684" t="str">
        <f t="shared" si="38"/>
        <v>Double Bogey</v>
      </c>
      <c r="O684" cm="1">
        <f t="array" ref="O684">IFERROR(
  INDEX('Putt Log'!$E$2:$V$72,
    MATCH(1,
      ('Putt Log'!$A$2:$A$72=$A684)*
      ('Putt Log'!$B$2:$B$72=$B684)*
      ('Putt Log'!$C$2:$C$72=$C684),
    0),
    MATCH($G684,'Putt Log'!$E$1:$V$1,0)
  ),
"")</f>
        <v>3</v>
      </c>
      <c r="P684" cm="1">
        <f t="array" ref="P684">IF(K684=3,"",
  IFERROR(
    INDEX('Fairway Log'!$E$2:$V$72,
      MATCH(1,
        ('Fairway Log'!$A$2:$A$72=$A684)*
        ('Fairway Log'!$B$2:$B$72=$B684)*
        ('Fairway Log'!$C$2:$C755=$C684),
      0),
      MATCH($G684,'Fairway Log'!$E$1:$V$1,0)
    ),
  "")
)</f>
        <v>1</v>
      </c>
      <c r="Q684" t="str" cm="1">
        <f t="array" ref="Q684">IFERROR(
  INDEX('GIR Log'!$E$2:$V$72,
    MATCH(1,
      ('GIR Log'!$A$2:$A$72=$A684)*
      ('GIR Log'!$B$2:$B$72=$B684)*
      ('GIR Log'!$C$2:$C$72=$C684),
    0),
    MATCH($G684,'GIR Log'!$E$1:$V$1,0)
  ),
"")</f>
        <v>↓</v>
      </c>
    </row>
    <row r="685" spans="1:17" x14ac:dyDescent="0.25">
      <c r="A685" s="20" t="s">
        <v>126</v>
      </c>
      <c r="B685" s="2">
        <v>45886</v>
      </c>
      <c r="C685" s="12" t="s">
        <v>41</v>
      </c>
      <c r="D685" s="12" t="s">
        <v>79</v>
      </c>
      <c r="E685" s="12" t="s">
        <v>34</v>
      </c>
      <c r="F685">
        <v>83</v>
      </c>
      <c r="G685" t="s">
        <v>64</v>
      </c>
      <c r="H685" s="9">
        <f t="shared" si="36"/>
        <v>18</v>
      </c>
      <c r="I685" cm="1">
        <f t="array" ref="I685">IFERROR(INDEX(CourseYardages[[Hole 1]:[Hole 18]],
  MATCH(1, (CourseYardages[Course]=C685)*(CourseYardages[Tees]=E685), 0),
  MATCH(G685, CourseYardages[[#Headers],[Hole 1]:[Hole 18]], 0)
),"")</f>
        <v>549</v>
      </c>
      <c r="J685" cm="1">
        <f t="array" ref="J685">IFERROR(INDEX(CourseHandicap[[Hole 1]:[Hole 18]],
  MATCH(1, (CourseHandicap[Course]=C685)*(CourseHandicap[Tees]=E685), 0),
  MATCH(G685, CourseHandicap[[#Headers],[Hole 1]:[Hole 18]], 0)
),"")</f>
        <v>10</v>
      </c>
      <c r="K685" cm="1">
        <f t="array" ref="K685">IFERROR(INDEX(CourseRatings[[Hole 1]:[Hole 18]],
  MATCH(1, (CourseRatings[Course]=C685)*(CourseRatings[Tees]=E685), 0),
  MATCH(G685, CourseRatings[[#Headers],[Hole 1]:[Hole 18]], 0)
),"")</f>
        <v>5</v>
      </c>
      <c r="L685" cm="1">
        <f t="array" ref="L685">IFERROR(
  INDEX('Golf Log'!$E$2:$V$72,
    MATCH(1,
      ('Golf Log'!$A$2:$A$72=$A685)*
      ('Golf Log'!$B$2:$B$72=$B685)*
      ('Golf Log'!$C$2:$C$72=$C685),
    0),
    MATCH($G685,'Golf Log'!$E$1:$V$1,0)
  ),
"")</f>
        <v>5</v>
      </c>
      <c r="M685">
        <f t="shared" si="37"/>
        <v>0</v>
      </c>
      <c r="N685" t="str">
        <f t="shared" si="38"/>
        <v>Par</v>
      </c>
      <c r="O685" cm="1">
        <f t="array" ref="O685">IFERROR(
  INDEX('Putt Log'!$E$2:$V$72,
    MATCH(1,
      ('Putt Log'!$A$2:$A$72=$A685)*
      ('Putt Log'!$B$2:$B$72=$B685)*
      ('Putt Log'!$C$2:$C$72=$C685),
    0),
    MATCH($G685,'Putt Log'!$E$1:$V$1,0)
  ),
"")</f>
        <v>1</v>
      </c>
      <c r="P685" cm="1">
        <f t="array" ref="P685">IF(K685=3,"",
  IFERROR(
    INDEX('Fairway Log'!$E$2:$V$72,
      MATCH(1,
        ('Fairway Log'!$A$2:$A$72=$A685)*
        ('Fairway Log'!$B$2:$B$72=$B685)*
        ('Fairway Log'!$C$2:$C756=$C685),
      0),
      MATCH($G685,'Fairway Log'!$E$1:$V$1,0)
    ),
  "")
)</f>
        <v>1</v>
      </c>
      <c r="Q685" t="str" cm="1">
        <f t="array" ref="Q685">IFERROR(
  INDEX('GIR Log'!$E$2:$V$72,
    MATCH(1,
      ('GIR Log'!$A$2:$A$72=$A685)*
      ('GIR Log'!$B$2:$B$72=$B685)*
      ('GIR Log'!$C$2:$C$72=$C685),
    0),
    MATCH($G685,'GIR Log'!$E$1:$V$1,0)
  ),
"")</f>
        <v>↑</v>
      </c>
    </row>
    <row r="686" spans="1:17" x14ac:dyDescent="0.25">
      <c r="A686" s="20" t="s">
        <v>126</v>
      </c>
      <c r="B686" s="2">
        <v>45892</v>
      </c>
      <c r="C686" s="12" t="s">
        <v>41</v>
      </c>
      <c r="D686" s="12" t="s">
        <v>79</v>
      </c>
      <c r="E686" s="12" t="s">
        <v>34</v>
      </c>
      <c r="F686">
        <v>85</v>
      </c>
      <c r="G686" s="12" t="s">
        <v>47</v>
      </c>
      <c r="H686" s="9">
        <f t="shared" ref="H686:H703" si="39">VALUE(RIGHT(G686, LEN(G686) - 5))</f>
        <v>1</v>
      </c>
      <c r="I686" cm="1">
        <f t="array" ref="I686">IFERROR(INDEX(CourseYardages[[Hole 1]:[Hole 18]],
  MATCH(1, (CourseYardages[Course]=C686)*(CourseYardages[Tees]=E686), 0),
  MATCH(G686, CourseYardages[[#Headers],[Hole 1]:[Hole 18]], 0)
),"")</f>
        <v>423</v>
      </c>
      <c r="J686" cm="1">
        <f t="array" ref="J686">IFERROR(INDEX(CourseHandicap[[Hole 1]:[Hole 18]],
  MATCH(1, (CourseHandicap[Course]=C686)*(CourseHandicap[Tees]=E686), 0),
  MATCH(G686, CourseHandicap[[#Headers],[Hole 1]:[Hole 18]], 0)
),"")</f>
        <v>1</v>
      </c>
      <c r="K686" cm="1">
        <f t="array" ref="K686">IFERROR(INDEX(CourseRatings[[Hole 1]:[Hole 18]],
  MATCH(1, (CourseRatings[Course]=C686)*(CourseRatings[Tees]=E686), 0),
  MATCH(G686, CourseRatings[[#Headers],[Hole 1]:[Hole 18]], 0)
),"")</f>
        <v>4</v>
      </c>
      <c r="L686" cm="1">
        <f t="array" ref="L686">IFERROR(
  INDEX('Golf Log'!$E$2:$V$72,
    MATCH(1,
      ('Golf Log'!$A$2:$A$72=$A686)*
      ('Golf Log'!$B$2:$B$72=$B686)*
      ('Golf Log'!$C$2:$C$72=$C686),
    0),
    MATCH($G686,'Golf Log'!$E$1:$V$1,0)
  ),
"")</f>
        <v>6</v>
      </c>
      <c r="M686">
        <f t="shared" ref="M686:M703" si="40">IFERROR(L686-K686,"")</f>
        <v>2</v>
      </c>
      <c r="N686" t="str">
        <f t="shared" ref="N686:N703" si="41">IF(M686="","",(IF(M686=-2,"Eagle",IF(M686=-1,"Birdie",IF(M686=0,"Par",IF(M686=1,"Bogey",IF(M686=2,"Double Bogey",IF(M686=3,"Triple Bogey",IF(M686&gt;3,"Quad Bogey+")))))))))</f>
        <v>Double Bogey</v>
      </c>
      <c r="O686" cm="1">
        <f t="array" ref="O686">IFERROR(
  INDEX('Putt Log'!$E$2:$V$72,
    MATCH(1,
      ('Putt Log'!$A$2:$A$72=$A686)*
      ('Putt Log'!$B$2:$B$72=$B686)*
      ('Putt Log'!$C$2:$C$72=$C686),
    0),
    MATCH($G686,'Putt Log'!$E$1:$V$1,0)
  ),
"")</f>
        <v>2</v>
      </c>
      <c r="P686" cm="1">
        <f t="array" ref="P686">IF(K686=3,"",
  IFERROR(
    INDEX('Fairway Log'!$E$2:$V$72,
      MATCH(1,
        ('Fairway Log'!$A$2:$A$72=$A686)*
        ('Fairway Log'!$B$2:$B$72=$B686)*
        ('Fairway Log'!$C$2:$C757=$C686),
      0),
      MATCH($G686,'Fairway Log'!$E$1:$V$1,0)
    ),
  "")
)</f>
        <v>1</v>
      </c>
      <c r="Q686" cm="1">
        <f t="array" ref="Q686">IFERROR(
  INDEX('GIR Log'!$E$2:$V$72,
    MATCH(1,
      ('GIR Log'!$A$2:$A$72=$A686)*
      ('GIR Log'!$B$2:$B$72=$B686)*
      ('GIR Log'!$C$2:$C$72=$C686),
    0),
    MATCH($G686,'GIR Log'!$E$1:$V$1,0)
  ),
"")</f>
        <v>0</v>
      </c>
    </row>
    <row r="687" spans="1:17" x14ac:dyDescent="0.25">
      <c r="A687" s="20" t="s">
        <v>126</v>
      </c>
      <c r="B687" s="2">
        <v>45892</v>
      </c>
      <c r="C687" s="12" t="s">
        <v>41</v>
      </c>
      <c r="D687" s="12" t="s">
        <v>79</v>
      </c>
      <c r="E687" s="12" t="s">
        <v>34</v>
      </c>
      <c r="F687">
        <v>85</v>
      </c>
      <c r="G687" s="12" t="s">
        <v>48</v>
      </c>
      <c r="H687" s="9">
        <f t="shared" si="39"/>
        <v>2</v>
      </c>
      <c r="I687" cm="1">
        <f t="array" ref="I687">IFERROR(INDEX(CourseYardages[[Hole 1]:[Hole 18]],
  MATCH(1, (CourseYardages[Course]=C687)*(CourseYardages[Tees]=E687), 0),
  MATCH(G687, CourseYardages[[#Headers],[Hole 1]:[Hole 18]], 0)
),"")</f>
        <v>338</v>
      </c>
      <c r="J687" cm="1">
        <f t="array" ref="J687">IFERROR(INDEX(CourseHandicap[[Hole 1]:[Hole 18]],
  MATCH(1, (CourseHandicap[Course]=C687)*(CourseHandicap[Tees]=E687), 0),
  MATCH(G687, CourseHandicap[[#Headers],[Hole 1]:[Hole 18]], 0)
),"")</f>
        <v>13</v>
      </c>
      <c r="K687" cm="1">
        <f t="array" ref="K687">IFERROR(INDEX(CourseRatings[[Hole 1]:[Hole 18]],
  MATCH(1, (CourseRatings[Course]=C687)*(CourseRatings[Tees]=E687), 0),
  MATCH(G687, CourseRatings[[#Headers],[Hole 1]:[Hole 18]], 0)
),"")</f>
        <v>4</v>
      </c>
      <c r="L687" cm="1">
        <f t="array" ref="L687">IFERROR(
  INDEX('Golf Log'!$E$2:$V$72,
    MATCH(1,
      ('Golf Log'!$A$2:$A$72=$A687)*
      ('Golf Log'!$B$2:$B$72=$B687)*
      ('Golf Log'!$C$2:$C$72=$C687),
    0),
    MATCH($G687,'Golf Log'!$E$1:$V$1,0)
  ),
"")</f>
        <v>6</v>
      </c>
      <c r="M687">
        <f t="shared" si="40"/>
        <v>2</v>
      </c>
      <c r="N687" t="str">
        <f t="shared" si="41"/>
        <v>Double Bogey</v>
      </c>
      <c r="O687" cm="1">
        <f t="array" ref="O687">IFERROR(
  INDEX('Putt Log'!$E$2:$V$72,
    MATCH(1,
      ('Putt Log'!$A$2:$A$72=$A687)*
      ('Putt Log'!$B$2:$B$72=$B687)*
      ('Putt Log'!$C$2:$C$72=$C687),
    0),
    MATCH($G687,'Putt Log'!$E$1:$V$1,0)
  ),
"")</f>
        <v>2</v>
      </c>
      <c r="P687" t="str" cm="1">
        <f t="array" ref="P687">IF(K687=3,"",
  IFERROR(
    INDEX('Fairway Log'!$E$2:$V$72,
      MATCH(1,
        ('Fairway Log'!$A$2:$A$72=$A687)*
        ('Fairway Log'!$B$2:$B$72=$B687)*
        ('Fairway Log'!$C$2:$C758=$C687),
      0),
      MATCH($G687,'Fairway Log'!$E$1:$V$1,0)
    ),
  "")
)</f>
        <v>→</v>
      </c>
      <c r="Q687" cm="1">
        <f t="array" ref="Q687">IFERROR(
  INDEX('GIR Log'!$E$2:$V$72,
    MATCH(1,
      ('GIR Log'!$A$2:$A$72=$A687)*
      ('GIR Log'!$B$2:$B$72=$B687)*
      ('GIR Log'!$C$2:$C$72=$C687),
    0),
    MATCH($G687,'GIR Log'!$E$1:$V$1,0)
  ),
"")</f>
        <v>0</v>
      </c>
    </row>
    <row r="688" spans="1:17" x14ac:dyDescent="0.25">
      <c r="A688" s="20" t="s">
        <v>126</v>
      </c>
      <c r="B688" s="2">
        <v>45892</v>
      </c>
      <c r="C688" s="12" t="s">
        <v>41</v>
      </c>
      <c r="D688" s="12" t="s">
        <v>79</v>
      </c>
      <c r="E688" s="12" t="s">
        <v>34</v>
      </c>
      <c r="F688">
        <v>85</v>
      </c>
      <c r="G688" s="12" t="s">
        <v>49</v>
      </c>
      <c r="H688" s="9">
        <f t="shared" si="39"/>
        <v>3</v>
      </c>
      <c r="I688" cm="1">
        <f t="array" ref="I688">IFERROR(INDEX(CourseYardages[[Hole 1]:[Hole 18]],
  MATCH(1, (CourseYardages[Course]=C688)*(CourseYardages[Tees]=E688), 0),
  MATCH(G688, CourseYardages[[#Headers],[Hole 1]:[Hole 18]], 0)
),"")</f>
        <v>187</v>
      </c>
      <c r="J688" cm="1">
        <f t="array" ref="J688">IFERROR(INDEX(CourseHandicap[[Hole 1]:[Hole 18]],
  MATCH(1, (CourseHandicap[Course]=C688)*(CourseHandicap[Tees]=E688), 0),
  MATCH(G688, CourseHandicap[[#Headers],[Hole 1]:[Hole 18]], 0)
),"")</f>
        <v>15</v>
      </c>
      <c r="K688" cm="1">
        <f t="array" ref="K688">IFERROR(INDEX(CourseRatings[[Hole 1]:[Hole 18]],
  MATCH(1, (CourseRatings[Course]=C688)*(CourseRatings[Tees]=E688), 0),
  MATCH(G688, CourseRatings[[#Headers],[Hole 1]:[Hole 18]], 0)
),"")</f>
        <v>3</v>
      </c>
      <c r="L688" cm="1">
        <f t="array" ref="L688">IFERROR(
  INDEX('Golf Log'!$E$2:$V$72,
    MATCH(1,
      ('Golf Log'!$A$2:$A$72=$A688)*
      ('Golf Log'!$B$2:$B$72=$B688)*
      ('Golf Log'!$C$2:$C$72=$C688),
    0),
    MATCH($G688,'Golf Log'!$E$1:$V$1,0)
  ),
"")</f>
        <v>4</v>
      </c>
      <c r="M688">
        <f t="shared" si="40"/>
        <v>1</v>
      </c>
      <c r="N688" t="str">
        <f t="shared" si="41"/>
        <v>Bogey</v>
      </c>
      <c r="O688" cm="1">
        <f t="array" ref="O688">IFERROR(
  INDEX('Putt Log'!$E$2:$V$72,
    MATCH(1,
      ('Putt Log'!$A$2:$A$72=$A688)*
      ('Putt Log'!$B$2:$B$72=$B688)*
      ('Putt Log'!$C$2:$C$72=$C688),
    0),
    MATCH($G688,'Putt Log'!$E$1:$V$1,0)
  ),
"")</f>
        <v>1</v>
      </c>
      <c r="P688" t="str" cm="1">
        <f t="array" ref="P688">IF(K688=3,"",
  IFERROR(
    INDEX('Fairway Log'!$E$2:$V$72,
      MATCH(1,
        ('Fairway Log'!$A$2:$A$72=$A688)*
        ('Fairway Log'!$B$2:$B$72=$B688)*
        ('Fairway Log'!$C$2:$C759=$C688),
      0),
      MATCH($G688,'Fairway Log'!$E$1:$V$1,0)
    ),
  "")
)</f>
        <v/>
      </c>
      <c r="Q688" cm="1">
        <f t="array" ref="Q688">IFERROR(
  INDEX('GIR Log'!$E$2:$V$72,
    MATCH(1,
      ('GIR Log'!$A$2:$A$72=$A688)*
      ('GIR Log'!$B$2:$B$72=$B688)*
      ('GIR Log'!$C$2:$C$72=$C688),
    0),
    MATCH($G688,'GIR Log'!$E$1:$V$1,0)
  ),
"")</f>
        <v>0</v>
      </c>
    </row>
    <row r="689" spans="1:17" x14ac:dyDescent="0.25">
      <c r="A689" s="20" t="s">
        <v>126</v>
      </c>
      <c r="B689" s="2">
        <v>45892</v>
      </c>
      <c r="C689" s="12" t="s">
        <v>41</v>
      </c>
      <c r="D689" s="12" t="s">
        <v>79</v>
      </c>
      <c r="E689" s="12" t="s">
        <v>34</v>
      </c>
      <c r="F689">
        <v>85</v>
      </c>
      <c r="G689" s="12" t="s">
        <v>50</v>
      </c>
      <c r="H689" s="9">
        <f t="shared" si="39"/>
        <v>4</v>
      </c>
      <c r="I689" cm="1">
        <f t="array" ref="I689">IFERROR(INDEX(CourseYardages[[Hole 1]:[Hole 18]],
  MATCH(1, (CourseYardages[Course]=C689)*(CourseYardages[Tees]=E689), 0),
  MATCH(G689, CourseYardages[[#Headers],[Hole 1]:[Hole 18]], 0)
),"")</f>
        <v>520</v>
      </c>
      <c r="J689" cm="1">
        <f t="array" ref="J689">IFERROR(INDEX(CourseHandicap[[Hole 1]:[Hole 18]],
  MATCH(1, (CourseHandicap[Course]=C689)*(CourseHandicap[Tees]=E689), 0),
  MATCH(G689, CourseHandicap[[#Headers],[Hole 1]:[Hole 18]], 0)
),"")</f>
        <v>7</v>
      </c>
      <c r="K689" cm="1">
        <f t="array" ref="K689">IFERROR(INDEX(CourseRatings[[Hole 1]:[Hole 18]],
  MATCH(1, (CourseRatings[Course]=C689)*(CourseRatings[Tees]=E689), 0),
  MATCH(G689, CourseRatings[[#Headers],[Hole 1]:[Hole 18]], 0)
),"")</f>
        <v>5</v>
      </c>
      <c r="L689" cm="1">
        <f t="array" ref="L689">IFERROR(
  INDEX('Golf Log'!$E$2:$V$72,
    MATCH(1,
      ('Golf Log'!$A$2:$A$72=$A689)*
      ('Golf Log'!$B$2:$B$72=$B689)*
      ('Golf Log'!$C$2:$C$72=$C689),
    0),
    MATCH($G689,'Golf Log'!$E$1:$V$1,0)
  ),
"")</f>
        <v>5</v>
      </c>
      <c r="M689">
        <f t="shared" si="40"/>
        <v>0</v>
      </c>
      <c r="N689" t="str">
        <f t="shared" si="41"/>
        <v>Par</v>
      </c>
      <c r="O689" cm="1">
        <f t="array" ref="O689">IFERROR(
  INDEX('Putt Log'!$E$2:$V$72,
    MATCH(1,
      ('Putt Log'!$A$2:$A$72=$A689)*
      ('Putt Log'!$B$2:$B$72=$B689)*
      ('Putt Log'!$C$2:$C$72=$C689),
    0),
    MATCH($G689,'Putt Log'!$E$1:$V$1,0)
  ),
"")</f>
        <v>1</v>
      </c>
      <c r="P689" t="str" cm="1">
        <f t="array" ref="P689">IF(K689=3,"",
  IFERROR(
    INDEX('Fairway Log'!$E$2:$V$72,
      MATCH(1,
        ('Fairway Log'!$A$2:$A$72=$A689)*
        ('Fairway Log'!$B$2:$B$72=$B689)*
        ('Fairway Log'!$C$2:$C760=$C689),
      0),
      MATCH($G689,'Fairway Log'!$E$1:$V$1,0)
    ),
  "")
)</f>
        <v>→</v>
      </c>
      <c r="Q689" cm="1">
        <f t="array" ref="Q689">IFERROR(
  INDEX('GIR Log'!$E$2:$V$72,
    MATCH(1,
      ('GIR Log'!$A$2:$A$72=$A689)*
      ('GIR Log'!$B$2:$B$72=$B689)*
      ('GIR Log'!$C$2:$C$72=$C689),
    0),
    MATCH($G689,'GIR Log'!$E$1:$V$1,0)
  ),
"")</f>
        <v>0</v>
      </c>
    </row>
    <row r="690" spans="1:17" x14ac:dyDescent="0.25">
      <c r="A690" s="20" t="s">
        <v>126</v>
      </c>
      <c r="B690" s="2">
        <v>45892</v>
      </c>
      <c r="C690" s="12" t="s">
        <v>41</v>
      </c>
      <c r="D690" s="12" t="s">
        <v>79</v>
      </c>
      <c r="E690" s="12" t="s">
        <v>34</v>
      </c>
      <c r="F690">
        <v>85</v>
      </c>
      <c r="G690" s="12" t="s">
        <v>51</v>
      </c>
      <c r="H690" s="9">
        <f t="shared" si="39"/>
        <v>5</v>
      </c>
      <c r="I690" cm="1">
        <f t="array" ref="I690">IFERROR(INDEX(CourseYardages[[Hole 1]:[Hole 18]],
  MATCH(1, (CourseYardages[Course]=C690)*(CourseYardages[Tees]=E690), 0),
  MATCH(G690, CourseYardages[[#Headers],[Hole 1]:[Hole 18]], 0)
),"")</f>
        <v>349</v>
      </c>
      <c r="J690" cm="1">
        <f t="array" ref="J690">IFERROR(INDEX(CourseHandicap[[Hole 1]:[Hole 18]],
  MATCH(1, (CourseHandicap[Course]=C690)*(CourseHandicap[Tees]=E690), 0),
  MATCH(G690, CourseHandicap[[#Headers],[Hole 1]:[Hole 18]], 0)
),"")</f>
        <v>11</v>
      </c>
      <c r="K690" cm="1">
        <f t="array" ref="K690">IFERROR(INDEX(CourseRatings[[Hole 1]:[Hole 18]],
  MATCH(1, (CourseRatings[Course]=C690)*(CourseRatings[Tees]=E690), 0),
  MATCH(G690, CourseRatings[[#Headers],[Hole 1]:[Hole 18]], 0)
),"")</f>
        <v>4</v>
      </c>
      <c r="L690" cm="1">
        <f t="array" ref="L690">IFERROR(
  INDEX('Golf Log'!$E$2:$V$72,
    MATCH(1,
      ('Golf Log'!$A$2:$A$72=$A690)*
      ('Golf Log'!$B$2:$B$72=$B690)*
      ('Golf Log'!$C$2:$C$72=$C690),
    0),
    MATCH($G690,'Golf Log'!$E$1:$V$1,0)
  ),
"")</f>
        <v>5</v>
      </c>
      <c r="M690">
        <f t="shared" si="40"/>
        <v>1</v>
      </c>
      <c r="N690" t="str">
        <f t="shared" si="41"/>
        <v>Bogey</v>
      </c>
      <c r="O690" cm="1">
        <f t="array" ref="O690">IFERROR(
  INDEX('Putt Log'!$E$2:$V$72,
    MATCH(1,
      ('Putt Log'!$A$2:$A$72=$A690)*
      ('Putt Log'!$B$2:$B$72=$B690)*
      ('Putt Log'!$C$2:$C$72=$C690),
    0),
    MATCH($G690,'Putt Log'!$E$1:$V$1,0)
  ),
"")</f>
        <v>2</v>
      </c>
      <c r="P690" cm="1">
        <f t="array" ref="P690">IF(K690=3,"",
  IFERROR(
    INDEX('Fairway Log'!$E$2:$V$72,
      MATCH(1,
        ('Fairway Log'!$A$2:$A$72=$A690)*
        ('Fairway Log'!$B$2:$B$72=$B690)*
        ('Fairway Log'!$C$2:$C761=$C690),
      0),
      MATCH($G690,'Fairway Log'!$E$1:$V$1,0)
    ),
  "")
)</f>
        <v>1</v>
      </c>
      <c r="Q690" cm="1">
        <f t="array" ref="Q690">IFERROR(
  INDEX('GIR Log'!$E$2:$V$72,
    MATCH(1,
      ('GIR Log'!$A$2:$A$72=$A690)*
      ('GIR Log'!$B$2:$B$72=$B690)*
      ('GIR Log'!$C$2:$C$72=$C690),
    0),
    MATCH($G690,'GIR Log'!$E$1:$V$1,0)
  ),
"")</f>
        <v>0</v>
      </c>
    </row>
    <row r="691" spans="1:17" x14ac:dyDescent="0.25">
      <c r="A691" s="20" t="s">
        <v>126</v>
      </c>
      <c r="B691" s="2">
        <v>45892</v>
      </c>
      <c r="C691" s="12" t="s">
        <v>41</v>
      </c>
      <c r="D691" s="12" t="s">
        <v>79</v>
      </c>
      <c r="E691" s="12" t="s">
        <v>34</v>
      </c>
      <c r="F691">
        <v>85</v>
      </c>
      <c r="G691" s="12" t="s">
        <v>52</v>
      </c>
      <c r="H691" s="9">
        <f t="shared" si="39"/>
        <v>6</v>
      </c>
      <c r="I691" cm="1">
        <f t="array" ref="I691">IFERROR(INDEX(CourseYardages[[Hole 1]:[Hole 18]],
  MATCH(1, (CourseYardages[Course]=C691)*(CourseYardages[Tees]=E691), 0),
  MATCH(G691, CourseYardages[[#Headers],[Hole 1]:[Hole 18]], 0)
),"")</f>
        <v>153</v>
      </c>
      <c r="J691" cm="1">
        <f t="array" ref="J691">IFERROR(INDEX(CourseHandicap[[Hole 1]:[Hole 18]],
  MATCH(1, (CourseHandicap[Course]=C691)*(CourseHandicap[Tees]=E691), 0),
  MATCH(G691, CourseHandicap[[#Headers],[Hole 1]:[Hole 18]], 0)
),"")</f>
        <v>17</v>
      </c>
      <c r="K691" cm="1">
        <f t="array" ref="K691">IFERROR(INDEX(CourseRatings[[Hole 1]:[Hole 18]],
  MATCH(1, (CourseRatings[Course]=C691)*(CourseRatings[Tees]=E691), 0),
  MATCH(G691, CourseRatings[[#Headers],[Hole 1]:[Hole 18]], 0)
),"")</f>
        <v>3</v>
      </c>
      <c r="L691" cm="1">
        <f t="array" ref="L691">IFERROR(
  INDEX('Golf Log'!$E$2:$V$72,
    MATCH(1,
      ('Golf Log'!$A$2:$A$72=$A691)*
      ('Golf Log'!$B$2:$B$72=$B691)*
      ('Golf Log'!$C$2:$C$72=$C691),
    0),
    MATCH($G691,'Golf Log'!$E$1:$V$1,0)
  ),
"")</f>
        <v>3</v>
      </c>
      <c r="M691">
        <f t="shared" si="40"/>
        <v>0</v>
      </c>
      <c r="N691" t="str">
        <f t="shared" si="41"/>
        <v>Par</v>
      </c>
      <c r="O691" cm="1">
        <f t="array" ref="O691">IFERROR(
  INDEX('Putt Log'!$E$2:$V$72,
    MATCH(1,
      ('Putt Log'!$A$2:$A$72=$A691)*
      ('Putt Log'!$B$2:$B$72=$B691)*
      ('Putt Log'!$C$2:$C$72=$C691),
    0),
    MATCH($G691,'Putt Log'!$E$1:$V$1,0)
  ),
"")</f>
        <v>1</v>
      </c>
      <c r="P691" t="str" cm="1">
        <f t="array" ref="P691">IF(K691=3,"",
  IFERROR(
    INDEX('Fairway Log'!$E$2:$V$72,
      MATCH(1,
        ('Fairway Log'!$A$2:$A$72=$A691)*
        ('Fairway Log'!$B$2:$B$72=$B691)*
        ('Fairway Log'!$C$2:$C762=$C691),
      0),
      MATCH($G691,'Fairway Log'!$E$1:$V$1,0)
    ),
  "")
)</f>
        <v/>
      </c>
      <c r="Q691" cm="1">
        <f t="array" ref="Q691">IFERROR(
  INDEX('GIR Log'!$E$2:$V$72,
    MATCH(1,
      ('GIR Log'!$A$2:$A$72=$A691)*
      ('GIR Log'!$B$2:$B$72=$B691)*
      ('GIR Log'!$C$2:$C$72=$C691),
    0),
    MATCH($G691,'GIR Log'!$E$1:$V$1,0)
  ),
"")</f>
        <v>0</v>
      </c>
    </row>
    <row r="692" spans="1:17" x14ac:dyDescent="0.25">
      <c r="A692" s="20" t="s">
        <v>126</v>
      </c>
      <c r="B692" s="2">
        <v>45892</v>
      </c>
      <c r="C692" s="12" t="s">
        <v>41</v>
      </c>
      <c r="D692" s="12" t="s">
        <v>79</v>
      </c>
      <c r="E692" s="12" t="s">
        <v>34</v>
      </c>
      <c r="F692">
        <v>85</v>
      </c>
      <c r="G692" s="12" t="s">
        <v>53</v>
      </c>
      <c r="H692" s="9">
        <f t="shared" si="39"/>
        <v>7</v>
      </c>
      <c r="I692" cm="1">
        <f t="array" ref="I692">IFERROR(INDEX(CourseYardages[[Hole 1]:[Hole 18]],
  MATCH(1, (CourseYardages[Course]=C692)*(CourseYardages[Tees]=E692), 0),
  MATCH(G692, CourseYardages[[#Headers],[Hole 1]:[Hole 18]], 0)
),"")</f>
        <v>394</v>
      </c>
      <c r="J692" cm="1">
        <f t="array" ref="J692">IFERROR(INDEX(CourseHandicap[[Hole 1]:[Hole 18]],
  MATCH(1, (CourseHandicap[Course]=C692)*(CourseHandicap[Tees]=E692), 0),
  MATCH(G692, CourseHandicap[[#Headers],[Hole 1]:[Hole 18]], 0)
),"")</f>
        <v>9</v>
      </c>
      <c r="K692" cm="1">
        <f t="array" ref="K692">IFERROR(INDEX(CourseRatings[[Hole 1]:[Hole 18]],
  MATCH(1, (CourseRatings[Course]=C692)*(CourseRatings[Tees]=E692), 0),
  MATCH(G692, CourseRatings[[#Headers],[Hole 1]:[Hole 18]], 0)
),"")</f>
        <v>4</v>
      </c>
      <c r="L692" cm="1">
        <f t="array" ref="L692">IFERROR(
  INDEX('Golf Log'!$E$2:$V$72,
    MATCH(1,
      ('Golf Log'!$A$2:$A$72=$A692)*
      ('Golf Log'!$B$2:$B$72=$B692)*
      ('Golf Log'!$C$2:$C$72=$C692),
    0),
    MATCH($G692,'Golf Log'!$E$1:$V$1,0)
  ),
"")</f>
        <v>5</v>
      </c>
      <c r="M692">
        <f t="shared" si="40"/>
        <v>1</v>
      </c>
      <c r="N692" t="str">
        <f t="shared" si="41"/>
        <v>Bogey</v>
      </c>
      <c r="O692" cm="1">
        <f t="array" ref="O692">IFERROR(
  INDEX('Putt Log'!$E$2:$V$72,
    MATCH(1,
      ('Putt Log'!$A$2:$A$72=$A692)*
      ('Putt Log'!$B$2:$B$72=$B692)*
      ('Putt Log'!$C$2:$C$72=$C692),
    0),
    MATCH($G692,'Putt Log'!$E$1:$V$1,0)
  ),
"")</f>
        <v>2</v>
      </c>
      <c r="P692" t="str" cm="1">
        <f t="array" ref="P692">IF(K692=3,"",
  IFERROR(
    INDEX('Fairway Log'!$E$2:$V$72,
      MATCH(1,
        ('Fairway Log'!$A$2:$A$72=$A692)*
        ('Fairway Log'!$B$2:$B$72=$B692)*
        ('Fairway Log'!$C$2:$C763=$C692),
      0),
      MATCH($G692,'Fairway Log'!$E$1:$V$1,0)
    ),
  "")
)</f>
        <v>→</v>
      </c>
      <c r="Q692" cm="1">
        <f t="array" ref="Q692">IFERROR(
  INDEX('GIR Log'!$E$2:$V$72,
    MATCH(1,
      ('GIR Log'!$A$2:$A$72=$A692)*
      ('GIR Log'!$B$2:$B$72=$B692)*
      ('GIR Log'!$C$2:$C$72=$C692),
    0),
    MATCH($G692,'GIR Log'!$E$1:$V$1,0)
  ),
"")</f>
        <v>0</v>
      </c>
    </row>
    <row r="693" spans="1:17" x14ac:dyDescent="0.25">
      <c r="A693" s="20" t="s">
        <v>126</v>
      </c>
      <c r="B693" s="2">
        <v>45892</v>
      </c>
      <c r="C693" s="12" t="s">
        <v>41</v>
      </c>
      <c r="D693" s="12" t="s">
        <v>79</v>
      </c>
      <c r="E693" s="12" t="s">
        <v>34</v>
      </c>
      <c r="F693">
        <v>85</v>
      </c>
      <c r="G693" s="12" t="s">
        <v>54</v>
      </c>
      <c r="H693" s="9">
        <f t="shared" si="39"/>
        <v>8</v>
      </c>
      <c r="I693" cm="1">
        <f t="array" ref="I693">IFERROR(INDEX(CourseYardages[[Hole 1]:[Hole 18]],
  MATCH(1, (CourseYardages[Course]=C693)*(CourseYardages[Tees]=E693), 0),
  MATCH(G693, CourseYardages[[#Headers],[Hole 1]:[Hole 18]], 0)
),"")</f>
        <v>399</v>
      </c>
      <c r="J693" cm="1">
        <f t="array" ref="J693">IFERROR(INDEX(CourseHandicap[[Hole 1]:[Hole 18]],
  MATCH(1, (CourseHandicap[Course]=C693)*(CourseHandicap[Tees]=E693), 0),
  MATCH(G693, CourseHandicap[[#Headers],[Hole 1]:[Hole 18]], 0)
),"")</f>
        <v>3</v>
      </c>
      <c r="K693" cm="1">
        <f t="array" ref="K693">IFERROR(INDEX(CourseRatings[[Hole 1]:[Hole 18]],
  MATCH(1, (CourseRatings[Course]=C693)*(CourseRatings[Tees]=E693), 0),
  MATCH(G693, CourseRatings[[#Headers],[Hole 1]:[Hole 18]], 0)
),"")</f>
        <v>4</v>
      </c>
      <c r="L693" cm="1">
        <f t="array" ref="L693">IFERROR(
  INDEX('Golf Log'!$E$2:$V$72,
    MATCH(1,
      ('Golf Log'!$A$2:$A$72=$A693)*
      ('Golf Log'!$B$2:$B$72=$B693)*
      ('Golf Log'!$C$2:$C$72=$C693),
    0),
    MATCH($G693,'Golf Log'!$E$1:$V$1,0)
  ),
"")</f>
        <v>5</v>
      </c>
      <c r="M693">
        <f t="shared" si="40"/>
        <v>1</v>
      </c>
      <c r="N693" t="str">
        <f t="shared" si="41"/>
        <v>Bogey</v>
      </c>
      <c r="O693" cm="1">
        <f t="array" ref="O693">IFERROR(
  INDEX('Putt Log'!$E$2:$V$72,
    MATCH(1,
      ('Putt Log'!$A$2:$A$72=$A693)*
      ('Putt Log'!$B$2:$B$72=$B693)*
      ('Putt Log'!$C$2:$C$72=$C693),
    0),
    MATCH($G693,'Putt Log'!$E$1:$V$1,0)
  ),
"")</f>
        <v>1</v>
      </c>
      <c r="P693" cm="1">
        <f t="array" ref="P693">IF(K693=3,"",
  IFERROR(
    INDEX('Fairway Log'!$E$2:$V$72,
      MATCH(1,
        ('Fairway Log'!$A$2:$A$72=$A693)*
        ('Fairway Log'!$B$2:$B$72=$B693)*
        ('Fairway Log'!$C$2:$C764=$C693),
      0),
      MATCH($G693,'Fairway Log'!$E$1:$V$1,0)
    ),
  "")
)</f>
        <v>1</v>
      </c>
      <c r="Q693" cm="1">
        <f t="array" ref="Q693">IFERROR(
  INDEX('GIR Log'!$E$2:$V$72,
    MATCH(1,
      ('GIR Log'!$A$2:$A$72=$A693)*
      ('GIR Log'!$B$2:$B$72=$B693)*
      ('GIR Log'!$C$2:$C$72=$C693),
    0),
    MATCH($G693,'GIR Log'!$E$1:$V$1,0)
  ),
"")</f>
        <v>0</v>
      </c>
    </row>
    <row r="694" spans="1:17" x14ac:dyDescent="0.25">
      <c r="A694" s="20" t="s">
        <v>126</v>
      </c>
      <c r="B694" s="2">
        <v>45892</v>
      </c>
      <c r="C694" s="12" t="s">
        <v>41</v>
      </c>
      <c r="D694" s="12" t="s">
        <v>79</v>
      </c>
      <c r="E694" s="12" t="s">
        <v>34</v>
      </c>
      <c r="F694">
        <v>85</v>
      </c>
      <c r="G694" s="12" t="s">
        <v>55</v>
      </c>
      <c r="H694" s="9">
        <f t="shared" si="39"/>
        <v>9</v>
      </c>
      <c r="I694" cm="1">
        <f t="array" ref="I694">IFERROR(INDEX(CourseYardages[[Hole 1]:[Hole 18]],
  MATCH(1, (CourseYardages[Course]=C694)*(CourseYardages[Tees]=E694), 0),
  MATCH(G694, CourseYardages[[#Headers],[Hole 1]:[Hole 18]], 0)
),"")</f>
        <v>512</v>
      </c>
      <c r="J694" cm="1">
        <f t="array" ref="J694">IFERROR(INDEX(CourseHandicap[[Hole 1]:[Hole 18]],
  MATCH(1, (CourseHandicap[Course]=C694)*(CourseHandicap[Tees]=E694), 0),
  MATCH(G694, CourseHandicap[[#Headers],[Hole 1]:[Hole 18]], 0)
),"")</f>
        <v>5</v>
      </c>
      <c r="K694" cm="1">
        <f t="array" ref="K694">IFERROR(INDEX(CourseRatings[[Hole 1]:[Hole 18]],
  MATCH(1, (CourseRatings[Course]=C694)*(CourseRatings[Tees]=E694), 0),
  MATCH(G694, CourseRatings[[#Headers],[Hole 1]:[Hole 18]], 0)
),"")</f>
        <v>5</v>
      </c>
      <c r="L694" cm="1">
        <f t="array" ref="L694">IFERROR(
  INDEX('Golf Log'!$E$2:$V$72,
    MATCH(1,
      ('Golf Log'!$A$2:$A$72=$A694)*
      ('Golf Log'!$B$2:$B$72=$B694)*
      ('Golf Log'!$C$2:$C$72=$C694),
    0),
    MATCH($G694,'Golf Log'!$E$1:$V$1,0)
  ),
"")</f>
        <v>6</v>
      </c>
      <c r="M694">
        <f t="shared" si="40"/>
        <v>1</v>
      </c>
      <c r="N694" t="str">
        <f t="shared" si="41"/>
        <v>Bogey</v>
      </c>
      <c r="O694" cm="1">
        <f t="array" ref="O694">IFERROR(
  INDEX('Putt Log'!$E$2:$V$72,
    MATCH(1,
      ('Putt Log'!$A$2:$A$72=$A694)*
      ('Putt Log'!$B$2:$B$72=$B694)*
      ('Putt Log'!$C$2:$C$72=$C694),
    0),
    MATCH($G694,'Putt Log'!$E$1:$V$1,0)
  ),
"")</f>
        <v>2</v>
      </c>
      <c r="P694" t="str" cm="1">
        <f t="array" ref="P694">IF(K694=3,"",
  IFERROR(
    INDEX('Fairway Log'!$E$2:$V$72,
      MATCH(1,
        ('Fairway Log'!$A$2:$A$72=$A694)*
        ('Fairway Log'!$B$2:$B$72=$B694)*
        ('Fairway Log'!$C$2:$C765=$C694),
      0),
      MATCH($G694,'Fairway Log'!$E$1:$V$1,0)
    ),
  "")
)</f>
        <v>→</v>
      </c>
      <c r="Q694" cm="1">
        <f t="array" ref="Q694">IFERROR(
  INDEX('GIR Log'!$E$2:$V$72,
    MATCH(1,
      ('GIR Log'!$A$2:$A$72=$A694)*
      ('GIR Log'!$B$2:$B$72=$B694)*
      ('GIR Log'!$C$2:$C$72=$C694),
    0),
    MATCH($G694,'GIR Log'!$E$1:$V$1,0)
  ),
"")</f>
        <v>0</v>
      </c>
    </row>
    <row r="695" spans="1:17" x14ac:dyDescent="0.25">
      <c r="A695" s="20" t="s">
        <v>126</v>
      </c>
      <c r="B695" s="2">
        <v>45892</v>
      </c>
      <c r="C695" s="12" t="s">
        <v>41</v>
      </c>
      <c r="D695" s="12" t="s">
        <v>79</v>
      </c>
      <c r="E695" s="12" t="s">
        <v>34</v>
      </c>
      <c r="F695">
        <v>85</v>
      </c>
      <c r="G695" s="12" t="s">
        <v>56</v>
      </c>
      <c r="H695" s="9">
        <f t="shared" si="39"/>
        <v>10</v>
      </c>
      <c r="I695" cm="1">
        <f t="array" ref="I695">IFERROR(INDEX(CourseYardages[[Hole 1]:[Hole 18]],
  MATCH(1, (CourseYardages[Course]=C695)*(CourseYardages[Tees]=E695), 0),
  MATCH(G695, CourseYardages[[#Headers],[Hole 1]:[Hole 18]], 0)
),"")</f>
        <v>326</v>
      </c>
      <c r="J695" cm="1">
        <f t="array" ref="J695">IFERROR(INDEX(CourseHandicap[[Hole 1]:[Hole 18]],
  MATCH(1, (CourseHandicap[Course]=C695)*(CourseHandicap[Tees]=E695), 0),
  MATCH(G695, CourseHandicap[[#Headers],[Hole 1]:[Hole 18]], 0)
),"")</f>
        <v>12</v>
      </c>
      <c r="K695" cm="1">
        <f t="array" ref="K695">IFERROR(INDEX(CourseRatings[[Hole 1]:[Hole 18]],
  MATCH(1, (CourseRatings[Course]=C695)*(CourseRatings[Tees]=E695), 0),
  MATCH(G695, CourseRatings[[#Headers],[Hole 1]:[Hole 18]], 0)
),"")</f>
        <v>4</v>
      </c>
      <c r="L695" cm="1">
        <f t="array" ref="L695">IFERROR(
  INDEX('Golf Log'!$E$2:$V$72,
    MATCH(1,
      ('Golf Log'!$A$2:$A$72=$A695)*
      ('Golf Log'!$B$2:$B$72=$B695)*
      ('Golf Log'!$C$2:$C$72=$C695),
    0),
    MATCH($G695,'Golf Log'!$E$1:$V$1,0)
  ),
"")</f>
        <v>4</v>
      </c>
      <c r="M695">
        <f t="shared" si="40"/>
        <v>0</v>
      </c>
      <c r="N695" t="str">
        <f t="shared" si="41"/>
        <v>Par</v>
      </c>
      <c r="O695" cm="1">
        <f t="array" ref="O695">IFERROR(
  INDEX('Putt Log'!$E$2:$V$72,
    MATCH(1,
      ('Putt Log'!$A$2:$A$72=$A695)*
      ('Putt Log'!$B$2:$B$72=$B695)*
      ('Putt Log'!$C$2:$C$72=$C695),
    0),
    MATCH($G695,'Putt Log'!$E$1:$V$1,0)
  ),
"")</f>
        <v>2</v>
      </c>
      <c r="P695" t="str" cm="1">
        <f t="array" ref="P695">IF(K695=3,"",
  IFERROR(
    INDEX('Fairway Log'!$E$2:$V$72,
      MATCH(1,
        ('Fairway Log'!$A$2:$A$72=$A695)*
        ('Fairway Log'!$B$2:$B$72=$B695)*
        ('Fairway Log'!$C$2:$C766=$C695),
      0),
      MATCH($G695,'Fairway Log'!$E$1:$V$1,0)
    ),
  "")
)</f>
        <v>→</v>
      </c>
      <c r="Q695" cm="1">
        <f t="array" ref="Q695">IFERROR(
  INDEX('GIR Log'!$E$2:$V$72,
    MATCH(1,
      ('GIR Log'!$A$2:$A$72=$A695)*
      ('GIR Log'!$B$2:$B$72=$B695)*
      ('GIR Log'!$C$2:$C$72=$C695),
    0),
    MATCH($G695,'GIR Log'!$E$1:$V$1,0)
  ),
"")</f>
        <v>1</v>
      </c>
    </row>
    <row r="696" spans="1:17" x14ac:dyDescent="0.25">
      <c r="A696" s="20" t="s">
        <v>126</v>
      </c>
      <c r="B696" s="2">
        <v>45892</v>
      </c>
      <c r="C696" s="12" t="s">
        <v>41</v>
      </c>
      <c r="D696" s="12" t="s">
        <v>79</v>
      </c>
      <c r="E696" s="12" t="s">
        <v>34</v>
      </c>
      <c r="F696">
        <v>85</v>
      </c>
      <c r="G696" s="12" t="s">
        <v>57</v>
      </c>
      <c r="H696" s="9">
        <f t="shared" si="39"/>
        <v>11</v>
      </c>
      <c r="I696" cm="1">
        <f t="array" ref="I696">IFERROR(INDEX(CourseYardages[[Hole 1]:[Hole 18]],
  MATCH(1, (CourseYardages[Course]=C696)*(CourseYardages[Tees]=E696), 0),
  MATCH(G696, CourseYardages[[#Headers],[Hole 1]:[Hole 18]], 0)
),"")</f>
        <v>497</v>
      </c>
      <c r="J696" cm="1">
        <f t="array" ref="J696">IFERROR(INDEX(CourseHandicap[[Hole 1]:[Hole 18]],
  MATCH(1, (CourseHandicap[Course]=C696)*(CourseHandicap[Tees]=E696), 0),
  MATCH(G696, CourseHandicap[[#Headers],[Hole 1]:[Hole 18]], 0)
),"")</f>
        <v>6</v>
      </c>
      <c r="K696" cm="1">
        <f t="array" ref="K696">IFERROR(INDEX(CourseRatings[[Hole 1]:[Hole 18]],
  MATCH(1, (CourseRatings[Course]=C696)*(CourseRatings[Tees]=E696), 0),
  MATCH(G696, CourseRatings[[#Headers],[Hole 1]:[Hole 18]], 0)
),"")</f>
        <v>5</v>
      </c>
      <c r="L696" cm="1">
        <f t="array" ref="L696">IFERROR(
  INDEX('Golf Log'!$E$2:$V$72,
    MATCH(1,
      ('Golf Log'!$A$2:$A$72=$A696)*
      ('Golf Log'!$B$2:$B$72=$B696)*
      ('Golf Log'!$C$2:$C$72=$C696),
    0),
    MATCH($G696,'Golf Log'!$E$1:$V$1,0)
  ),
"")</f>
        <v>5</v>
      </c>
      <c r="M696">
        <f t="shared" si="40"/>
        <v>0</v>
      </c>
      <c r="N696" t="str">
        <f t="shared" si="41"/>
        <v>Par</v>
      </c>
      <c r="O696" cm="1">
        <f t="array" ref="O696">IFERROR(
  INDEX('Putt Log'!$E$2:$V$72,
    MATCH(1,
      ('Putt Log'!$A$2:$A$72=$A696)*
      ('Putt Log'!$B$2:$B$72=$B696)*
      ('Putt Log'!$C$2:$C$72=$C696),
    0),
    MATCH($G696,'Putt Log'!$E$1:$V$1,0)
  ),
"")</f>
        <v>2</v>
      </c>
      <c r="P696" cm="1">
        <f t="array" ref="P696">IF(K696=3,"",
  IFERROR(
    INDEX('Fairway Log'!$E$2:$V$72,
      MATCH(1,
        ('Fairway Log'!$A$2:$A$72=$A696)*
        ('Fairway Log'!$B$2:$B$72=$B696)*
        ('Fairway Log'!$C$2:$C767=$C696),
      0),
      MATCH($G696,'Fairway Log'!$E$1:$V$1,0)
    ),
  "")
)</f>
        <v>1</v>
      </c>
      <c r="Q696" cm="1">
        <f t="array" ref="Q696">IFERROR(
  INDEX('GIR Log'!$E$2:$V$72,
    MATCH(1,
      ('GIR Log'!$A$2:$A$72=$A696)*
      ('GIR Log'!$B$2:$B$72=$B696)*
      ('GIR Log'!$C$2:$C$72=$C696),
    0),
    MATCH($G696,'GIR Log'!$E$1:$V$1,0)
  ),
"")</f>
        <v>1</v>
      </c>
    </row>
    <row r="697" spans="1:17" x14ac:dyDescent="0.25">
      <c r="A697" s="20" t="s">
        <v>126</v>
      </c>
      <c r="B697" s="2">
        <v>45892</v>
      </c>
      <c r="C697" s="12" t="s">
        <v>41</v>
      </c>
      <c r="D697" s="12" t="s">
        <v>79</v>
      </c>
      <c r="E697" s="12" t="s">
        <v>34</v>
      </c>
      <c r="F697">
        <v>85</v>
      </c>
      <c r="G697" s="12" t="s">
        <v>58</v>
      </c>
      <c r="H697" s="9">
        <f t="shared" si="39"/>
        <v>12</v>
      </c>
      <c r="I697" cm="1">
        <f t="array" ref="I697">IFERROR(INDEX(CourseYardages[[Hole 1]:[Hole 18]],
  MATCH(1, (CourseYardages[Course]=C697)*(CourseYardages[Tees]=E697), 0),
  MATCH(G697, CourseYardages[[#Headers],[Hole 1]:[Hole 18]], 0)
),"")</f>
        <v>343</v>
      </c>
      <c r="J697" cm="1">
        <f t="array" ref="J697">IFERROR(INDEX(CourseHandicap[[Hole 1]:[Hole 18]],
  MATCH(1, (CourseHandicap[Course]=C697)*(CourseHandicap[Tees]=E697), 0),
  MATCH(G697, CourseHandicap[[#Headers],[Hole 1]:[Hole 18]], 0)
),"")</f>
        <v>14</v>
      </c>
      <c r="K697" cm="1">
        <f t="array" ref="K697">IFERROR(INDEX(CourseRatings[[Hole 1]:[Hole 18]],
  MATCH(1, (CourseRatings[Course]=C697)*(CourseRatings[Tees]=E697), 0),
  MATCH(G697, CourseRatings[[#Headers],[Hole 1]:[Hole 18]], 0)
),"")</f>
        <v>4</v>
      </c>
      <c r="L697" cm="1">
        <f t="array" ref="L697">IFERROR(
  INDEX('Golf Log'!$E$2:$V$72,
    MATCH(1,
      ('Golf Log'!$A$2:$A$72=$A697)*
      ('Golf Log'!$B$2:$B$72=$B697)*
      ('Golf Log'!$C$2:$C$72=$C697),
    0),
    MATCH($G697,'Golf Log'!$E$1:$V$1,0)
  ),
"")</f>
        <v>5</v>
      </c>
      <c r="M697">
        <f t="shared" si="40"/>
        <v>1</v>
      </c>
      <c r="N697" t="str">
        <f t="shared" si="41"/>
        <v>Bogey</v>
      </c>
      <c r="O697" cm="1">
        <f t="array" ref="O697">IFERROR(
  INDEX('Putt Log'!$E$2:$V$72,
    MATCH(1,
      ('Putt Log'!$A$2:$A$72=$A697)*
      ('Putt Log'!$B$2:$B$72=$B697)*
      ('Putt Log'!$C$2:$C$72=$C697),
    0),
    MATCH($G697,'Putt Log'!$E$1:$V$1,0)
  ),
"")</f>
        <v>2</v>
      </c>
      <c r="P697" t="str" cm="1">
        <f t="array" ref="P697">IF(K697=3,"",
  IFERROR(
    INDEX('Fairway Log'!$E$2:$V$72,
      MATCH(1,
        ('Fairway Log'!$A$2:$A$72=$A697)*
        ('Fairway Log'!$B$2:$B$72=$B697)*
        ('Fairway Log'!$C$2:$C768=$C697),
      0),
      MATCH($G697,'Fairway Log'!$E$1:$V$1,0)
    ),
  "")
)</f>
        <v>↓</v>
      </c>
      <c r="Q697" cm="1">
        <f t="array" ref="Q697">IFERROR(
  INDEX('GIR Log'!$E$2:$V$72,
    MATCH(1,
      ('GIR Log'!$A$2:$A$72=$A697)*
      ('GIR Log'!$B$2:$B$72=$B697)*
      ('GIR Log'!$C$2:$C$72=$C697),
    0),
    MATCH($G697,'GIR Log'!$E$1:$V$1,0)
  ),
"")</f>
        <v>0</v>
      </c>
    </row>
    <row r="698" spans="1:17" x14ac:dyDescent="0.25">
      <c r="A698" s="20" t="s">
        <v>126</v>
      </c>
      <c r="B698" s="2">
        <v>45892</v>
      </c>
      <c r="C698" s="12" t="s">
        <v>41</v>
      </c>
      <c r="D698" s="12" t="s">
        <v>79</v>
      </c>
      <c r="E698" s="12" t="s">
        <v>34</v>
      </c>
      <c r="F698">
        <v>85</v>
      </c>
      <c r="G698" s="12" t="s">
        <v>59</v>
      </c>
      <c r="H698" s="9">
        <f t="shared" si="39"/>
        <v>13</v>
      </c>
      <c r="I698" cm="1">
        <f t="array" ref="I698">IFERROR(INDEX(CourseYardages[[Hole 1]:[Hole 18]],
  MATCH(1, (CourseYardages[Course]=C698)*(CourseYardages[Tees]=E698), 0),
  MATCH(G698, CourseYardages[[#Headers],[Hole 1]:[Hole 18]], 0)
),"")</f>
        <v>180</v>
      </c>
      <c r="J698" cm="1">
        <f t="array" ref="J698">IFERROR(INDEX(CourseHandicap[[Hole 1]:[Hole 18]],
  MATCH(1, (CourseHandicap[Course]=C698)*(CourseHandicap[Tees]=E698), 0),
  MATCH(G698, CourseHandicap[[#Headers],[Hole 1]:[Hole 18]], 0)
),"")</f>
        <v>16</v>
      </c>
      <c r="K698" cm="1">
        <f t="array" ref="K698">IFERROR(INDEX(CourseRatings[[Hole 1]:[Hole 18]],
  MATCH(1, (CourseRatings[Course]=C698)*(CourseRatings[Tees]=E698), 0),
  MATCH(G698, CourseRatings[[#Headers],[Hole 1]:[Hole 18]], 0)
),"")</f>
        <v>3</v>
      </c>
      <c r="L698" cm="1">
        <f t="array" ref="L698">IFERROR(
  INDEX('Golf Log'!$E$2:$V$72,
    MATCH(1,
      ('Golf Log'!$A$2:$A$72=$A698)*
      ('Golf Log'!$B$2:$B$72=$B698)*
      ('Golf Log'!$C$2:$C$72=$C698),
    0),
    MATCH($G698,'Golf Log'!$E$1:$V$1,0)
  ),
"")</f>
        <v>3</v>
      </c>
      <c r="M698">
        <f t="shared" si="40"/>
        <v>0</v>
      </c>
      <c r="N698" t="str">
        <f t="shared" si="41"/>
        <v>Par</v>
      </c>
      <c r="O698" cm="1">
        <f t="array" ref="O698">IFERROR(
  INDEX('Putt Log'!$E$2:$V$72,
    MATCH(1,
      ('Putt Log'!$A$2:$A$72=$A698)*
      ('Putt Log'!$B$2:$B$72=$B698)*
      ('Putt Log'!$C$2:$C$72=$C698),
    0),
    MATCH($G698,'Putt Log'!$E$1:$V$1,0)
  ),
"")</f>
        <v>2</v>
      </c>
      <c r="P698" t="str" cm="1">
        <f t="array" ref="P698">IF(K698=3,"",
  IFERROR(
    INDEX('Fairway Log'!$E$2:$V$72,
      MATCH(1,
        ('Fairway Log'!$A$2:$A$72=$A698)*
        ('Fairway Log'!$B$2:$B$72=$B698)*
        ('Fairway Log'!$C$2:$C769=$C698),
      0),
      MATCH($G698,'Fairway Log'!$E$1:$V$1,0)
    ),
  "")
)</f>
        <v/>
      </c>
      <c r="Q698" cm="1">
        <f t="array" ref="Q698">IFERROR(
  INDEX('GIR Log'!$E$2:$V$72,
    MATCH(1,
      ('GIR Log'!$A$2:$A$72=$A698)*
      ('GIR Log'!$B$2:$B$72=$B698)*
      ('GIR Log'!$C$2:$C$72=$C698),
    0),
    MATCH($G698,'GIR Log'!$E$1:$V$1,0)
  ),
"")</f>
        <v>1</v>
      </c>
    </row>
    <row r="699" spans="1:17" x14ac:dyDescent="0.25">
      <c r="A699" s="20" t="s">
        <v>126</v>
      </c>
      <c r="B699" s="2">
        <v>45892</v>
      </c>
      <c r="C699" s="12" t="s">
        <v>41</v>
      </c>
      <c r="D699" s="12" t="s">
        <v>79</v>
      </c>
      <c r="E699" s="12" t="s">
        <v>34</v>
      </c>
      <c r="F699">
        <v>85</v>
      </c>
      <c r="G699" s="12" t="s">
        <v>60</v>
      </c>
      <c r="H699" s="9">
        <f t="shared" si="39"/>
        <v>14</v>
      </c>
      <c r="I699" cm="1">
        <f t="array" ref="I699">IFERROR(INDEX(CourseYardages[[Hole 1]:[Hole 18]],
  MATCH(1, (CourseYardages[Course]=C699)*(CourseYardages[Tees]=E699), 0),
  MATCH(G699, CourseYardages[[#Headers],[Hole 1]:[Hole 18]], 0)
),"")</f>
        <v>411</v>
      </c>
      <c r="J699" cm="1">
        <f t="array" ref="J699">IFERROR(INDEX(CourseHandicap[[Hole 1]:[Hole 18]],
  MATCH(1, (CourseHandicap[Course]=C699)*(CourseHandicap[Tees]=E699), 0),
  MATCH(G699, CourseHandicap[[#Headers],[Hole 1]:[Hole 18]], 0)
),"")</f>
        <v>4</v>
      </c>
      <c r="K699" cm="1">
        <f t="array" ref="K699">IFERROR(INDEX(CourseRatings[[Hole 1]:[Hole 18]],
  MATCH(1, (CourseRatings[Course]=C699)*(CourseRatings[Tees]=E699), 0),
  MATCH(G699, CourseRatings[[#Headers],[Hole 1]:[Hole 18]], 0)
),"")</f>
        <v>4</v>
      </c>
      <c r="L699" cm="1">
        <f t="array" ref="L699">IFERROR(
  INDEX('Golf Log'!$E$2:$V$72,
    MATCH(1,
      ('Golf Log'!$A$2:$A$72=$A699)*
      ('Golf Log'!$B$2:$B$72=$B699)*
      ('Golf Log'!$C$2:$C$72=$C699),
    0),
    MATCH($G699,'Golf Log'!$E$1:$V$1,0)
  ),
"")</f>
        <v>5</v>
      </c>
      <c r="M699">
        <f t="shared" si="40"/>
        <v>1</v>
      </c>
      <c r="N699" t="str">
        <f t="shared" si="41"/>
        <v>Bogey</v>
      </c>
      <c r="O699" cm="1">
        <f t="array" ref="O699">IFERROR(
  INDEX('Putt Log'!$E$2:$V$72,
    MATCH(1,
      ('Putt Log'!$A$2:$A$72=$A699)*
      ('Putt Log'!$B$2:$B$72=$B699)*
      ('Putt Log'!$C$2:$C$72=$C699),
    0),
    MATCH($G699,'Putt Log'!$E$1:$V$1,0)
  ),
"")</f>
        <v>2</v>
      </c>
      <c r="P699" t="str" cm="1">
        <f t="array" ref="P699">IF(K699=3,"",
  IFERROR(
    INDEX('Fairway Log'!$E$2:$V$72,
      MATCH(1,
        ('Fairway Log'!$A$2:$A$72=$A699)*
        ('Fairway Log'!$B$2:$B$72=$B699)*
        ('Fairway Log'!$C$2:$C770=$C699),
      0),
      MATCH($G699,'Fairway Log'!$E$1:$V$1,0)
    ),
  "")
)</f>
        <v>↓</v>
      </c>
      <c r="Q699" cm="1">
        <f t="array" ref="Q699">IFERROR(
  INDEX('GIR Log'!$E$2:$V$72,
    MATCH(1,
      ('GIR Log'!$A$2:$A$72=$A699)*
      ('GIR Log'!$B$2:$B$72=$B699)*
      ('GIR Log'!$C$2:$C$72=$C699),
    0),
    MATCH($G699,'GIR Log'!$E$1:$V$1,0)
  ),
"")</f>
        <v>0</v>
      </c>
    </row>
    <row r="700" spans="1:17" x14ac:dyDescent="0.25">
      <c r="A700" s="20" t="s">
        <v>126</v>
      </c>
      <c r="B700" s="2">
        <v>45892</v>
      </c>
      <c r="C700" s="12" t="s">
        <v>41</v>
      </c>
      <c r="D700" s="12" t="s">
        <v>79</v>
      </c>
      <c r="E700" s="12" t="s">
        <v>34</v>
      </c>
      <c r="F700">
        <v>85</v>
      </c>
      <c r="G700" s="12" t="s">
        <v>61</v>
      </c>
      <c r="H700" s="9">
        <f t="shared" si="39"/>
        <v>15</v>
      </c>
      <c r="I700" cm="1">
        <f t="array" ref="I700">IFERROR(INDEX(CourseYardages[[Hole 1]:[Hole 18]],
  MATCH(1, (CourseYardages[Course]=C700)*(CourseYardages[Tees]=E700), 0),
  MATCH(G700, CourseYardages[[#Headers],[Hole 1]:[Hole 18]], 0)
),"")</f>
        <v>344</v>
      </c>
      <c r="J700" cm="1">
        <f t="array" ref="J700">IFERROR(INDEX(CourseHandicap[[Hole 1]:[Hole 18]],
  MATCH(1, (CourseHandicap[Course]=C700)*(CourseHandicap[Tees]=E700), 0),
  MATCH(G700, CourseHandicap[[#Headers],[Hole 1]:[Hole 18]], 0)
),"")</f>
        <v>8</v>
      </c>
      <c r="K700" cm="1">
        <f t="array" ref="K700">IFERROR(INDEX(CourseRatings[[Hole 1]:[Hole 18]],
  MATCH(1, (CourseRatings[Course]=C700)*(CourseRatings[Tees]=E700), 0),
  MATCH(G700, CourseRatings[[#Headers],[Hole 1]:[Hole 18]], 0)
),"")</f>
        <v>4</v>
      </c>
      <c r="L700" cm="1">
        <f t="array" ref="L700">IFERROR(
  INDEX('Golf Log'!$E$2:$V$72,
    MATCH(1,
      ('Golf Log'!$A$2:$A$72=$A700)*
      ('Golf Log'!$B$2:$B$72=$B700)*
      ('Golf Log'!$C$2:$C$72=$C700),
    0),
    MATCH($G700,'Golf Log'!$E$1:$V$1,0)
  ),
"")</f>
        <v>4</v>
      </c>
      <c r="M700">
        <f t="shared" si="40"/>
        <v>0</v>
      </c>
      <c r="N700" t="str">
        <f t="shared" si="41"/>
        <v>Par</v>
      </c>
      <c r="O700" cm="1">
        <f t="array" ref="O700">IFERROR(
  INDEX('Putt Log'!$E$2:$V$72,
    MATCH(1,
      ('Putt Log'!$A$2:$A$72=$A700)*
      ('Putt Log'!$B$2:$B$72=$B700)*
      ('Putt Log'!$C$2:$C$72=$C700),
    0),
    MATCH($G700,'Putt Log'!$E$1:$V$1,0)
  ),
"")</f>
        <v>2</v>
      </c>
      <c r="P700" cm="1">
        <f t="array" ref="P700">IF(K700=3,"",
  IFERROR(
    INDEX('Fairway Log'!$E$2:$V$72,
      MATCH(1,
        ('Fairway Log'!$A$2:$A$72=$A700)*
        ('Fairway Log'!$B$2:$B$72=$B700)*
        ('Fairway Log'!$C$2:$C771=$C700),
      0),
      MATCH($G700,'Fairway Log'!$E$1:$V$1,0)
    ),
  "")
)</f>
        <v>1</v>
      </c>
      <c r="Q700" cm="1">
        <f t="array" ref="Q700">IFERROR(
  INDEX('GIR Log'!$E$2:$V$72,
    MATCH(1,
      ('GIR Log'!$A$2:$A$72=$A700)*
      ('GIR Log'!$B$2:$B$72=$B700)*
      ('GIR Log'!$C$2:$C$72=$C700),
    0),
    MATCH($G700,'GIR Log'!$E$1:$V$1,0)
  ),
"")</f>
        <v>1</v>
      </c>
    </row>
    <row r="701" spans="1:17" x14ac:dyDescent="0.25">
      <c r="A701" s="20" t="s">
        <v>126</v>
      </c>
      <c r="B701" s="2">
        <v>45892</v>
      </c>
      <c r="C701" s="12" t="s">
        <v>41</v>
      </c>
      <c r="D701" s="12" t="s">
        <v>79</v>
      </c>
      <c r="E701" s="12" t="s">
        <v>34</v>
      </c>
      <c r="F701">
        <v>85</v>
      </c>
      <c r="G701" s="12" t="s">
        <v>62</v>
      </c>
      <c r="H701" s="9">
        <f t="shared" si="39"/>
        <v>16</v>
      </c>
      <c r="I701" cm="1">
        <f t="array" ref="I701">IFERROR(INDEX(CourseYardages[[Hole 1]:[Hole 18]],
  MATCH(1, (CourseYardages[Course]=C701)*(CourseYardages[Tees]=E701), 0),
  MATCH(G701, CourseYardages[[#Headers],[Hole 1]:[Hole 18]], 0)
),"")</f>
        <v>158</v>
      </c>
      <c r="J701" cm="1">
        <f t="array" ref="J701">IFERROR(INDEX(CourseHandicap[[Hole 1]:[Hole 18]],
  MATCH(1, (CourseHandicap[Course]=C701)*(CourseHandicap[Tees]=E701), 0),
  MATCH(G701, CourseHandicap[[#Headers],[Hole 1]:[Hole 18]], 0)
),"")</f>
        <v>18</v>
      </c>
      <c r="K701" cm="1">
        <f t="array" ref="K701">IFERROR(INDEX(CourseRatings[[Hole 1]:[Hole 18]],
  MATCH(1, (CourseRatings[Course]=C701)*(CourseRatings[Tees]=E701), 0),
  MATCH(G701, CourseRatings[[#Headers],[Hole 1]:[Hole 18]], 0)
),"")</f>
        <v>3</v>
      </c>
      <c r="L701" cm="1">
        <f t="array" ref="L701">IFERROR(
  INDEX('Golf Log'!$E$2:$V$72,
    MATCH(1,
      ('Golf Log'!$A$2:$A$72=$A701)*
      ('Golf Log'!$B$2:$B$72=$B701)*
      ('Golf Log'!$C$2:$C$72=$C701),
    0),
    MATCH($G701,'Golf Log'!$E$1:$V$1,0)
  ),
"")</f>
        <v>4</v>
      </c>
      <c r="M701">
        <f t="shared" si="40"/>
        <v>1</v>
      </c>
      <c r="N701" t="str">
        <f t="shared" si="41"/>
        <v>Bogey</v>
      </c>
      <c r="O701" cm="1">
        <f t="array" ref="O701">IFERROR(
  INDEX('Putt Log'!$E$2:$V$72,
    MATCH(1,
      ('Putt Log'!$A$2:$A$72=$A701)*
      ('Putt Log'!$B$2:$B$72=$B701)*
      ('Putt Log'!$C$2:$C$72=$C701),
    0),
    MATCH($G701,'Putt Log'!$E$1:$V$1,0)
  ),
"")</f>
        <v>2</v>
      </c>
      <c r="P701" t="str" cm="1">
        <f t="array" ref="P701">IF(K701=3,"",
  IFERROR(
    INDEX('Fairway Log'!$E$2:$V$72,
      MATCH(1,
        ('Fairway Log'!$A$2:$A$72=$A701)*
        ('Fairway Log'!$B$2:$B$72=$B701)*
        ('Fairway Log'!$C$2:$C772=$C701),
      0),
      MATCH($G701,'Fairway Log'!$E$1:$V$1,0)
    ),
  "")
)</f>
        <v/>
      </c>
      <c r="Q701" cm="1">
        <f t="array" ref="Q701">IFERROR(
  INDEX('GIR Log'!$E$2:$V$72,
    MATCH(1,
      ('GIR Log'!$A$2:$A$72=$A701)*
      ('GIR Log'!$B$2:$B$72=$B701)*
      ('GIR Log'!$C$2:$C$72=$C701),
    0),
    MATCH($G701,'GIR Log'!$E$1:$V$1,0)
  ),
"")</f>
        <v>0</v>
      </c>
    </row>
    <row r="702" spans="1:17" x14ac:dyDescent="0.25">
      <c r="A702" s="20" t="s">
        <v>126</v>
      </c>
      <c r="B702" s="2">
        <v>45892</v>
      </c>
      <c r="C702" s="12" t="s">
        <v>41</v>
      </c>
      <c r="D702" s="12" t="s">
        <v>79</v>
      </c>
      <c r="E702" s="12" t="s">
        <v>34</v>
      </c>
      <c r="F702">
        <v>85</v>
      </c>
      <c r="G702" s="12" t="s">
        <v>63</v>
      </c>
      <c r="H702" s="9">
        <f t="shared" si="39"/>
        <v>17</v>
      </c>
      <c r="I702" cm="1">
        <f t="array" ref="I702">IFERROR(INDEX(CourseYardages[[Hole 1]:[Hole 18]],
  MATCH(1, (CourseYardages[Course]=C702)*(CourseYardages[Tees]=E702), 0),
  MATCH(G702, CourseYardages[[#Headers],[Hole 1]:[Hole 18]], 0)
),"")</f>
        <v>421</v>
      </c>
      <c r="J702" cm="1">
        <f t="array" ref="J702">IFERROR(INDEX(CourseHandicap[[Hole 1]:[Hole 18]],
  MATCH(1, (CourseHandicap[Course]=C702)*(CourseHandicap[Tees]=E702), 0),
  MATCH(G702, CourseHandicap[[#Headers],[Hole 1]:[Hole 18]], 0)
),"")</f>
        <v>2</v>
      </c>
      <c r="K702" cm="1">
        <f t="array" ref="K702">IFERROR(INDEX(CourseRatings[[Hole 1]:[Hole 18]],
  MATCH(1, (CourseRatings[Course]=C702)*(CourseRatings[Tees]=E702), 0),
  MATCH(G702, CourseRatings[[#Headers],[Hole 1]:[Hole 18]], 0)
),"")</f>
        <v>4</v>
      </c>
      <c r="L702" cm="1">
        <f t="array" ref="L702">IFERROR(
  INDEX('Golf Log'!$E$2:$V$72,
    MATCH(1,
      ('Golf Log'!$A$2:$A$72=$A702)*
      ('Golf Log'!$B$2:$B$72=$B702)*
      ('Golf Log'!$C$2:$C$72=$C702),
    0),
    MATCH($G702,'Golf Log'!$E$1:$V$1,0)
  ),
"")</f>
        <v>5</v>
      </c>
      <c r="M702">
        <f t="shared" si="40"/>
        <v>1</v>
      </c>
      <c r="N702" t="str">
        <f t="shared" si="41"/>
        <v>Bogey</v>
      </c>
      <c r="O702" cm="1">
        <f t="array" ref="O702">IFERROR(
  INDEX('Putt Log'!$E$2:$V$72,
    MATCH(1,
      ('Putt Log'!$A$2:$A$72=$A702)*
      ('Putt Log'!$B$2:$B$72=$B702)*
      ('Putt Log'!$C$2:$C$72=$C702),
    0),
    MATCH($G702,'Putt Log'!$E$1:$V$1,0)
  ),
"")</f>
        <v>2</v>
      </c>
      <c r="P702" t="str" cm="1">
        <f t="array" ref="P702">IF(K702=3,"",
  IFERROR(
    INDEX('Fairway Log'!$E$2:$V$72,
      MATCH(1,
        ('Fairway Log'!$A$2:$A$72=$A702)*
        ('Fairway Log'!$B$2:$B$72=$B702)*
        ('Fairway Log'!$C$2:$C773=$C702),
      0),
      MATCH($G702,'Fairway Log'!$E$1:$V$1,0)
    ),
  "")
)</f>
        <v>→</v>
      </c>
      <c r="Q702" cm="1">
        <f t="array" ref="Q702">IFERROR(
  INDEX('GIR Log'!$E$2:$V$72,
    MATCH(1,
      ('GIR Log'!$A$2:$A$72=$A702)*
      ('GIR Log'!$B$2:$B$72=$B702)*
      ('GIR Log'!$C$2:$C$72=$C702),
    0),
    MATCH($G702,'GIR Log'!$E$1:$V$1,0)
  ),
"")</f>
        <v>0</v>
      </c>
    </row>
    <row r="703" spans="1:17" x14ac:dyDescent="0.25">
      <c r="A703" s="20" t="s">
        <v>126</v>
      </c>
      <c r="B703" s="2">
        <v>45892</v>
      </c>
      <c r="C703" s="12" t="s">
        <v>41</v>
      </c>
      <c r="D703" s="12" t="s">
        <v>79</v>
      </c>
      <c r="E703" s="12" t="s">
        <v>34</v>
      </c>
      <c r="F703">
        <v>85</v>
      </c>
      <c r="G703" s="12" t="s">
        <v>64</v>
      </c>
      <c r="H703" s="9">
        <f t="shared" si="39"/>
        <v>18</v>
      </c>
      <c r="I703" cm="1">
        <f t="array" ref="I703">IFERROR(INDEX(CourseYardages[[Hole 1]:[Hole 18]],
  MATCH(1, (CourseYardages[Course]=C703)*(CourseYardages[Tees]=E703), 0),
  MATCH(G703, CourseYardages[[#Headers],[Hole 1]:[Hole 18]], 0)
),"")</f>
        <v>549</v>
      </c>
      <c r="J703" cm="1">
        <f t="array" ref="J703">IFERROR(INDEX(CourseHandicap[[Hole 1]:[Hole 18]],
  MATCH(1, (CourseHandicap[Course]=C703)*(CourseHandicap[Tees]=E703), 0),
  MATCH(G703, CourseHandicap[[#Headers],[Hole 1]:[Hole 18]], 0)
),"")</f>
        <v>10</v>
      </c>
      <c r="K703" cm="1">
        <f t="array" ref="K703">IFERROR(INDEX(CourseRatings[[Hole 1]:[Hole 18]],
  MATCH(1, (CourseRatings[Course]=C703)*(CourseRatings[Tees]=E703), 0),
  MATCH(G703, CourseRatings[[#Headers],[Hole 1]:[Hole 18]], 0)
),"")</f>
        <v>5</v>
      </c>
      <c r="L703" cm="1">
        <f t="array" ref="L703">IFERROR(
  INDEX('Golf Log'!$E$2:$V$72,
    MATCH(1,
      ('Golf Log'!$A$2:$A$72=$A703)*
      ('Golf Log'!$B$2:$B$72=$B703)*
      ('Golf Log'!$C$2:$C$72=$C703),
    0),
    MATCH($G703,'Golf Log'!$E$1:$V$1,0)
  ),
"")</f>
        <v>5</v>
      </c>
      <c r="M703">
        <f t="shared" si="40"/>
        <v>0</v>
      </c>
      <c r="N703" t="str">
        <f t="shared" si="41"/>
        <v>Par</v>
      </c>
      <c r="O703" cm="1">
        <f t="array" ref="O703">IFERROR(
  INDEX('Putt Log'!$E$2:$V$72,
    MATCH(1,
      ('Putt Log'!$A$2:$A$72=$A703)*
      ('Putt Log'!$B$2:$B$72=$B703)*
      ('Putt Log'!$C$2:$C$72=$C703),
    0),
    MATCH($G703,'Putt Log'!$E$1:$V$1,0)
  ),
"")</f>
        <v>2</v>
      </c>
      <c r="P703" cm="1">
        <f t="array" ref="P703">IF(K703=3,"",
  IFERROR(
    INDEX('Fairway Log'!$E$2:$V$72,
      MATCH(1,
        ('Fairway Log'!$A$2:$A$72=$A703)*
        ('Fairway Log'!$B$2:$B$72=$B703)*
        ('Fairway Log'!$C$2:$C774=$C703),
      0),
      MATCH($G703,'Fairway Log'!$E$1:$V$1,0)
    ),
  "")
)</f>
        <v>1</v>
      </c>
      <c r="Q703" cm="1">
        <f t="array" ref="Q703">IFERROR(
  INDEX('GIR Log'!$E$2:$V$72,
    MATCH(1,
      ('GIR Log'!$A$2:$A$72=$A703)*
      ('GIR Log'!$B$2:$B$72=$B703)*
      ('GIR Log'!$C$2:$C$72=$C703),
    0),
    MATCH($G703,'GIR Log'!$E$1:$V$1,0)
  ),
"")</f>
        <v>1</v>
      </c>
    </row>
    <row r="704" spans="1:17" x14ac:dyDescent="0.25">
      <c r="A704" s="20" t="s">
        <v>126</v>
      </c>
      <c r="B704" s="2">
        <v>45894</v>
      </c>
      <c r="C704" s="12" t="s">
        <v>11</v>
      </c>
      <c r="D704" s="12" t="s">
        <v>77</v>
      </c>
      <c r="E704" s="12" t="s">
        <v>34</v>
      </c>
      <c r="F704">
        <v>95</v>
      </c>
      <c r="G704" t="s">
        <v>47</v>
      </c>
      <c r="H704" s="9">
        <f t="shared" ref="H704:H721" si="42">VALUE(RIGHT(G704, LEN(G704) - 5))</f>
        <v>1</v>
      </c>
      <c r="I704" cm="1">
        <f t="array" ref="I704">IFERROR(INDEX(CourseYardages[[Hole 1]:[Hole 18]],
  MATCH(1, (CourseYardages[Course]=C704)*(CourseYardages[Tees]=E704), 0),
  MATCH(G704, CourseYardages[[#Headers],[Hole 1]:[Hole 18]], 0)
),"")</f>
        <v>298</v>
      </c>
      <c r="J704" cm="1">
        <f t="array" ref="J704">IFERROR(INDEX(CourseHandicap[[Hole 1]:[Hole 18]],
  MATCH(1, (CourseHandicap[Course]=C704)*(CourseHandicap[Tees]=E704), 0),
  MATCH(G704, CourseHandicap[[#Headers],[Hole 1]:[Hole 18]], 0)
),"")</f>
        <v>15</v>
      </c>
      <c r="K704" cm="1">
        <f t="array" ref="K704">IFERROR(INDEX(CourseRatings[[Hole 1]:[Hole 18]],
  MATCH(1, (CourseRatings[Course]=C704)*(CourseRatings[Tees]=E704), 0),
  MATCH(G704, CourseRatings[[#Headers],[Hole 1]:[Hole 18]], 0)
),"")</f>
        <v>4</v>
      </c>
      <c r="L704" cm="1">
        <f t="array" ref="L704">IFERROR(
  INDEX('Golf Log'!$E$2:$V$72,
    MATCH(1,
      ('Golf Log'!$A$2:$A$72=$A704)*
      ('Golf Log'!$B$2:$B$72=$B704)*
      ('Golf Log'!$C$2:$C$72=$C704),
    0),
    MATCH($G704,'Golf Log'!$E$1:$V$1,0)
  ),
"")</f>
        <v>5</v>
      </c>
      <c r="M704">
        <f t="shared" ref="M704:M721" si="43">IFERROR(L704-K704,"")</f>
        <v>1</v>
      </c>
      <c r="N704" t="str">
        <f t="shared" ref="N704:N721" si="44">IF(M704="","",(IF(M704=-2,"Eagle",IF(M704=-1,"Birdie",IF(M704=0,"Par",IF(M704=1,"Bogey",IF(M704=2,"Double Bogey",IF(M704=3,"Triple Bogey",IF(M704&gt;3,"Quad Bogey+")))))))))</f>
        <v>Bogey</v>
      </c>
      <c r="O704" cm="1">
        <f t="array" ref="O704">IFERROR(
  INDEX('Putt Log'!$E$2:$V$72,
    MATCH(1,
      ('Putt Log'!$A$2:$A$72=$A704)*
      ('Putt Log'!$B$2:$B$72=$B704)*
      ('Putt Log'!$C$2:$C$72=$C704),
    0),
    MATCH($G704,'Putt Log'!$E$1:$V$1,0)
  ),
"")</f>
        <v>2</v>
      </c>
      <c r="P704" cm="1">
        <f t="array" ref="P704">IF(K704=3,"",
  IFERROR(
    INDEX('Fairway Log'!$E$2:$V$72,
      MATCH(1,
        ('Fairway Log'!$A$2:$A$72=$A704)*
        ('Fairway Log'!$B$2:$B$72=$B704)*
        ('Fairway Log'!$C$2:$C775=$C704),
      0),
      MATCH($G704,'Fairway Log'!$E$1:$V$1,0)
    ),
  "")
)</f>
        <v>1</v>
      </c>
      <c r="Q704" t="str" cm="1">
        <f t="array" ref="Q704">IFERROR(
  INDEX('GIR Log'!$E$2:$V$72,
    MATCH(1,
      ('GIR Log'!$A$2:$A$72=$A704)*
      ('GIR Log'!$B$2:$B$72=$B704)*
      ('GIR Log'!$C$2:$C$72=$C704),
    0),
    MATCH($G704,'GIR Log'!$E$1:$V$1,0)
  ),
"")</f>
        <v>←</v>
      </c>
    </row>
    <row r="705" spans="1:17" x14ac:dyDescent="0.25">
      <c r="A705" s="20" t="s">
        <v>126</v>
      </c>
      <c r="B705" s="2">
        <v>45894</v>
      </c>
      <c r="C705" s="12" t="s">
        <v>11</v>
      </c>
      <c r="D705" s="12" t="s">
        <v>77</v>
      </c>
      <c r="E705" s="12" t="s">
        <v>34</v>
      </c>
      <c r="F705">
        <v>95</v>
      </c>
      <c r="G705" t="s">
        <v>48</v>
      </c>
      <c r="H705" s="9">
        <f t="shared" si="42"/>
        <v>2</v>
      </c>
      <c r="I705" cm="1">
        <f t="array" ref="I705">IFERROR(INDEX(CourseYardages[[Hole 1]:[Hole 18]],
  MATCH(1, (CourseYardages[Course]=C705)*(CourseYardages[Tees]=E705), 0),
  MATCH(G705, CourseYardages[[#Headers],[Hole 1]:[Hole 18]], 0)
),"")</f>
        <v>130</v>
      </c>
      <c r="J705" cm="1">
        <f t="array" ref="J705">IFERROR(INDEX(CourseHandicap[[Hole 1]:[Hole 18]],
  MATCH(1, (CourseHandicap[Course]=C705)*(CourseHandicap[Tees]=E705), 0),
  MATCH(G705, CourseHandicap[[#Headers],[Hole 1]:[Hole 18]], 0)
),"")</f>
        <v>17</v>
      </c>
      <c r="K705" cm="1">
        <f t="array" ref="K705">IFERROR(INDEX(CourseRatings[[Hole 1]:[Hole 18]],
  MATCH(1, (CourseRatings[Course]=C705)*(CourseRatings[Tees]=E705), 0),
  MATCH(G705, CourseRatings[[#Headers],[Hole 1]:[Hole 18]], 0)
),"")</f>
        <v>3</v>
      </c>
      <c r="L705" cm="1">
        <f t="array" ref="L705">IFERROR(
  INDEX('Golf Log'!$E$2:$V$72,
    MATCH(1,
      ('Golf Log'!$A$2:$A$72=$A705)*
      ('Golf Log'!$B$2:$B$72=$B705)*
      ('Golf Log'!$C$2:$C$72=$C705),
    0),
    MATCH($G705,'Golf Log'!$E$1:$V$1,0)
  ),
"")</f>
        <v>3</v>
      </c>
      <c r="M705">
        <f t="shared" si="43"/>
        <v>0</v>
      </c>
      <c r="N705" t="str">
        <f t="shared" si="44"/>
        <v>Par</v>
      </c>
      <c r="O705" cm="1">
        <f t="array" ref="O705">IFERROR(
  INDEX('Putt Log'!$E$2:$V$72,
    MATCH(1,
      ('Putt Log'!$A$2:$A$72=$A705)*
      ('Putt Log'!$B$2:$B$72=$B705)*
      ('Putt Log'!$C$2:$C$72=$C705),
    0),
    MATCH($G705,'Putt Log'!$E$1:$V$1,0)
  ),
"")</f>
        <v>1</v>
      </c>
      <c r="P705" t="str" cm="1">
        <f t="array" ref="P705">IF(K705=3,"",
  IFERROR(
    INDEX('Fairway Log'!$E$2:$V$72,
      MATCH(1,
        ('Fairway Log'!$A$2:$A$72=$A705)*
        ('Fairway Log'!$B$2:$B$72=$B705)*
        ('Fairway Log'!$C$2:$C776=$C705),
      0),
      MATCH($G705,'Fairway Log'!$E$1:$V$1,0)
    ),
  "")
)</f>
        <v/>
      </c>
      <c r="Q705" t="str" cm="1">
        <f t="array" ref="Q705">IFERROR(
  INDEX('GIR Log'!$E$2:$V$72,
    MATCH(1,
      ('GIR Log'!$A$2:$A$72=$A705)*
      ('GIR Log'!$B$2:$B$72=$B705)*
      ('GIR Log'!$C$2:$C$72=$C705),
    0),
    MATCH($G705,'GIR Log'!$E$1:$V$1,0)
  ),
"")</f>
        <v>←</v>
      </c>
    </row>
    <row r="706" spans="1:17" x14ac:dyDescent="0.25">
      <c r="A706" s="20" t="s">
        <v>126</v>
      </c>
      <c r="B706" s="2">
        <v>45894</v>
      </c>
      <c r="C706" s="12" t="s">
        <v>11</v>
      </c>
      <c r="D706" s="12" t="s">
        <v>77</v>
      </c>
      <c r="E706" s="12" t="s">
        <v>34</v>
      </c>
      <c r="F706">
        <v>95</v>
      </c>
      <c r="G706" t="s">
        <v>49</v>
      </c>
      <c r="H706" s="9">
        <f t="shared" si="42"/>
        <v>3</v>
      </c>
      <c r="I706" cm="1">
        <f t="array" ref="I706">IFERROR(INDEX(CourseYardages[[Hole 1]:[Hole 18]],
  MATCH(1, (CourseYardages[Course]=C706)*(CourseYardages[Tees]=E706), 0),
  MATCH(G706, CourseYardages[[#Headers],[Hole 1]:[Hole 18]], 0)
),"")</f>
        <v>327</v>
      </c>
      <c r="J706" cm="1">
        <f t="array" ref="J706">IFERROR(INDEX(CourseHandicap[[Hole 1]:[Hole 18]],
  MATCH(1, (CourseHandicap[Course]=C706)*(CourseHandicap[Tees]=E706), 0),
  MATCH(G706, CourseHandicap[[#Headers],[Hole 1]:[Hole 18]], 0)
),"")</f>
        <v>9</v>
      </c>
      <c r="K706" cm="1">
        <f t="array" ref="K706">IFERROR(INDEX(CourseRatings[[Hole 1]:[Hole 18]],
  MATCH(1, (CourseRatings[Course]=C706)*(CourseRatings[Tees]=E706), 0),
  MATCH(G706, CourseRatings[[#Headers],[Hole 1]:[Hole 18]], 0)
),"")</f>
        <v>4</v>
      </c>
      <c r="L706" cm="1">
        <f t="array" ref="L706">IFERROR(
  INDEX('Golf Log'!$E$2:$V$72,
    MATCH(1,
      ('Golf Log'!$A$2:$A$72=$A706)*
      ('Golf Log'!$B$2:$B$72=$B706)*
      ('Golf Log'!$C$2:$C$72=$C706),
    0),
    MATCH($G706,'Golf Log'!$E$1:$V$1,0)
  ),
"")</f>
        <v>6</v>
      </c>
      <c r="M706">
        <f t="shared" si="43"/>
        <v>2</v>
      </c>
      <c r="N706" t="str">
        <f t="shared" si="44"/>
        <v>Double Bogey</v>
      </c>
      <c r="O706" cm="1">
        <f t="array" ref="O706">IFERROR(
  INDEX('Putt Log'!$E$2:$V$72,
    MATCH(1,
      ('Putt Log'!$A$2:$A$72=$A706)*
      ('Putt Log'!$B$2:$B$72=$B706)*
      ('Putt Log'!$C$2:$C$72=$C706),
    0),
    MATCH($G706,'Putt Log'!$E$1:$V$1,0)
  ),
"")</f>
        <v>2</v>
      </c>
      <c r="P706" t="str" cm="1">
        <f t="array" ref="P706">IF(K706=3,"",
  IFERROR(
    INDEX('Fairway Log'!$E$2:$V$72,
      MATCH(1,
        ('Fairway Log'!$A$2:$A$72=$A706)*
        ('Fairway Log'!$B$2:$B$72=$B706)*
        ('Fairway Log'!$C$2:$C777=$C706),
      0),
      MATCH($G706,'Fairway Log'!$E$1:$V$1,0)
    ),
  "")
)</f>
        <v>↓</v>
      </c>
      <c r="Q706" t="str" cm="1">
        <f t="array" ref="Q706">IFERROR(
  INDEX('GIR Log'!$E$2:$V$72,
    MATCH(1,
      ('GIR Log'!$A$2:$A$72=$A706)*
      ('GIR Log'!$B$2:$B$72=$B706)*
      ('GIR Log'!$C$2:$C$72=$C706),
    0),
    MATCH($G706,'GIR Log'!$E$1:$V$1,0)
  ),
"")</f>
        <v>↓</v>
      </c>
    </row>
    <row r="707" spans="1:17" x14ac:dyDescent="0.25">
      <c r="A707" s="20" t="s">
        <v>126</v>
      </c>
      <c r="B707" s="2">
        <v>45894</v>
      </c>
      <c r="C707" s="12" t="s">
        <v>11</v>
      </c>
      <c r="D707" s="12" t="s">
        <v>77</v>
      </c>
      <c r="E707" s="12" t="s">
        <v>34</v>
      </c>
      <c r="F707">
        <v>95</v>
      </c>
      <c r="G707" t="s">
        <v>50</v>
      </c>
      <c r="H707" s="9">
        <f t="shared" si="42"/>
        <v>4</v>
      </c>
      <c r="I707" cm="1">
        <f t="array" ref="I707">IFERROR(INDEX(CourseYardages[[Hole 1]:[Hole 18]],
  MATCH(1, (CourseYardages[Course]=C707)*(CourseYardages[Tees]=E707), 0),
  MATCH(G707, CourseYardages[[#Headers],[Hole 1]:[Hole 18]], 0)
),"")</f>
        <v>176</v>
      </c>
      <c r="J707" cm="1">
        <f t="array" ref="J707">IFERROR(INDEX(CourseHandicap[[Hole 1]:[Hole 18]],
  MATCH(1, (CourseHandicap[Course]=C707)*(CourseHandicap[Tees]=E707), 0),
  MATCH(G707, CourseHandicap[[#Headers],[Hole 1]:[Hole 18]], 0)
),"")</f>
        <v>13</v>
      </c>
      <c r="K707" cm="1">
        <f t="array" ref="K707">IFERROR(INDEX(CourseRatings[[Hole 1]:[Hole 18]],
  MATCH(1, (CourseRatings[Course]=C707)*(CourseRatings[Tees]=E707), 0),
  MATCH(G707, CourseRatings[[#Headers],[Hole 1]:[Hole 18]], 0)
),"")</f>
        <v>3</v>
      </c>
      <c r="L707" cm="1">
        <f t="array" ref="L707">IFERROR(
  INDEX('Golf Log'!$E$2:$V$72,
    MATCH(1,
      ('Golf Log'!$A$2:$A$72=$A707)*
      ('Golf Log'!$B$2:$B$72=$B707)*
      ('Golf Log'!$C$2:$C$72=$C707),
    0),
    MATCH($G707,'Golf Log'!$E$1:$V$1,0)
  ),
"")</f>
        <v>4</v>
      </c>
      <c r="M707">
        <f t="shared" si="43"/>
        <v>1</v>
      </c>
      <c r="N707" t="str">
        <f t="shared" si="44"/>
        <v>Bogey</v>
      </c>
      <c r="O707" cm="1">
        <f t="array" ref="O707">IFERROR(
  INDEX('Putt Log'!$E$2:$V$72,
    MATCH(1,
      ('Putt Log'!$A$2:$A$72=$A707)*
      ('Putt Log'!$B$2:$B$72=$B707)*
      ('Putt Log'!$C$2:$C$72=$C707),
    0),
    MATCH($G707,'Putt Log'!$E$1:$V$1,0)
  ),
"")</f>
        <v>2</v>
      </c>
      <c r="P707" t="str" cm="1">
        <f t="array" ref="P707">IF(K707=3,"",
  IFERROR(
    INDEX('Fairway Log'!$E$2:$V$72,
      MATCH(1,
        ('Fairway Log'!$A$2:$A$72=$A707)*
        ('Fairway Log'!$B$2:$B$72=$B707)*
        ('Fairway Log'!$C$2:$C778=$C707),
      0),
      MATCH($G707,'Fairway Log'!$E$1:$V$1,0)
    ),
  "")
)</f>
        <v/>
      </c>
      <c r="Q707" t="str" cm="1">
        <f t="array" ref="Q707">IFERROR(
  INDEX('GIR Log'!$E$2:$V$72,
    MATCH(1,
      ('GIR Log'!$A$2:$A$72=$A707)*
      ('GIR Log'!$B$2:$B$72=$B707)*
      ('GIR Log'!$C$2:$C$72=$C707),
    0),
    MATCH($G707,'GIR Log'!$E$1:$V$1,0)
  ),
"")</f>
        <v>↓</v>
      </c>
    </row>
    <row r="708" spans="1:17" x14ac:dyDescent="0.25">
      <c r="A708" s="20" t="s">
        <v>126</v>
      </c>
      <c r="B708" s="2">
        <v>45894</v>
      </c>
      <c r="C708" s="12" t="s">
        <v>11</v>
      </c>
      <c r="D708" s="12" t="s">
        <v>77</v>
      </c>
      <c r="E708" s="12" t="s">
        <v>34</v>
      </c>
      <c r="F708">
        <v>95</v>
      </c>
      <c r="G708" t="s">
        <v>51</v>
      </c>
      <c r="H708" s="9">
        <f t="shared" si="42"/>
        <v>5</v>
      </c>
      <c r="I708" cm="1">
        <f t="array" ref="I708">IFERROR(INDEX(CourseYardages[[Hole 1]:[Hole 18]],
  MATCH(1, (CourseYardages[Course]=C708)*(CourseYardages[Tees]=E708), 0),
  MATCH(G708, CourseYardages[[#Headers],[Hole 1]:[Hole 18]], 0)
),"")</f>
        <v>457</v>
      </c>
      <c r="J708" cm="1">
        <f t="array" ref="J708">IFERROR(INDEX(CourseHandicap[[Hole 1]:[Hole 18]],
  MATCH(1, (CourseHandicap[Course]=C708)*(CourseHandicap[Tees]=E708), 0),
  MATCH(G708, CourseHandicap[[#Headers],[Hole 1]:[Hole 18]], 0)
),"")</f>
        <v>7</v>
      </c>
      <c r="K708" cm="1">
        <f t="array" ref="K708">IFERROR(INDEX(CourseRatings[[Hole 1]:[Hole 18]],
  MATCH(1, (CourseRatings[Course]=C708)*(CourseRatings[Tees]=E708), 0),
  MATCH(G708, CourseRatings[[#Headers],[Hole 1]:[Hole 18]], 0)
),"")</f>
        <v>5</v>
      </c>
      <c r="L708" cm="1">
        <f t="array" ref="L708">IFERROR(
  INDEX('Golf Log'!$E$2:$V$72,
    MATCH(1,
      ('Golf Log'!$A$2:$A$72=$A708)*
      ('Golf Log'!$B$2:$B$72=$B708)*
      ('Golf Log'!$C$2:$C$72=$C708),
    0),
    MATCH($G708,'Golf Log'!$E$1:$V$1,0)
  ),
"")</f>
        <v>6</v>
      </c>
      <c r="M708">
        <f t="shared" si="43"/>
        <v>1</v>
      </c>
      <c r="N708" t="str">
        <f t="shared" si="44"/>
        <v>Bogey</v>
      </c>
      <c r="O708" cm="1">
        <f t="array" ref="O708">IFERROR(
  INDEX('Putt Log'!$E$2:$V$72,
    MATCH(1,
      ('Putt Log'!$A$2:$A$72=$A708)*
      ('Putt Log'!$B$2:$B$72=$B708)*
      ('Putt Log'!$C$2:$C$72=$C708),
    0),
    MATCH($G708,'Putt Log'!$E$1:$V$1,0)
  ),
"")</f>
        <v>2</v>
      </c>
      <c r="P708" cm="1">
        <f t="array" ref="P708">IF(K708=3,"",
  IFERROR(
    INDEX('Fairway Log'!$E$2:$V$72,
      MATCH(1,
        ('Fairway Log'!$A$2:$A$72=$A708)*
        ('Fairway Log'!$B$2:$B$72=$B708)*
        ('Fairway Log'!$C$2:$C779=$C708),
      0),
      MATCH($G708,'Fairway Log'!$E$1:$V$1,0)
    ),
  "")
)</f>
        <v>1</v>
      </c>
      <c r="Q708" t="str" cm="1">
        <f t="array" ref="Q708">IFERROR(
  INDEX('GIR Log'!$E$2:$V$72,
    MATCH(1,
      ('GIR Log'!$A$2:$A$72=$A708)*
      ('GIR Log'!$B$2:$B$72=$B708)*
      ('GIR Log'!$C$2:$C$72=$C708),
    0),
    MATCH($G708,'GIR Log'!$E$1:$V$1,0)
  ),
"")</f>
        <v>↓</v>
      </c>
    </row>
    <row r="709" spans="1:17" x14ac:dyDescent="0.25">
      <c r="A709" s="20" t="s">
        <v>126</v>
      </c>
      <c r="B709" s="2">
        <v>45894</v>
      </c>
      <c r="C709" s="12" t="s">
        <v>11</v>
      </c>
      <c r="D709" s="12" t="s">
        <v>77</v>
      </c>
      <c r="E709" s="12" t="s">
        <v>34</v>
      </c>
      <c r="F709">
        <v>95</v>
      </c>
      <c r="G709" t="s">
        <v>52</v>
      </c>
      <c r="H709" s="9">
        <f t="shared" si="42"/>
        <v>6</v>
      </c>
      <c r="I709" cm="1">
        <f t="array" ref="I709">IFERROR(INDEX(CourseYardages[[Hole 1]:[Hole 18]],
  MATCH(1, (CourseYardages[Course]=C709)*(CourseYardages[Tees]=E709), 0),
  MATCH(G709, CourseYardages[[#Headers],[Hole 1]:[Hole 18]], 0)
),"")</f>
        <v>389</v>
      </c>
      <c r="J709" cm="1">
        <f t="array" ref="J709">IFERROR(INDEX(CourseHandicap[[Hole 1]:[Hole 18]],
  MATCH(1, (CourseHandicap[Course]=C709)*(CourseHandicap[Tees]=E709), 0),
  MATCH(G709, CourseHandicap[[#Headers],[Hole 1]:[Hole 18]], 0)
),"")</f>
        <v>3</v>
      </c>
      <c r="K709" cm="1">
        <f t="array" ref="K709">IFERROR(INDEX(CourseRatings[[Hole 1]:[Hole 18]],
  MATCH(1, (CourseRatings[Course]=C709)*(CourseRatings[Tees]=E709), 0),
  MATCH(G709, CourseRatings[[#Headers],[Hole 1]:[Hole 18]], 0)
),"")</f>
        <v>4</v>
      </c>
      <c r="L709" cm="1">
        <f t="array" ref="L709">IFERROR(
  INDEX('Golf Log'!$E$2:$V$72,
    MATCH(1,
      ('Golf Log'!$A$2:$A$72=$A709)*
      ('Golf Log'!$B$2:$B$72=$B709)*
      ('Golf Log'!$C$2:$C$72=$C709),
    0),
    MATCH($G709,'Golf Log'!$E$1:$V$1,0)
  ),
"")</f>
        <v>5</v>
      </c>
      <c r="M709">
        <f t="shared" si="43"/>
        <v>1</v>
      </c>
      <c r="N709" t="str">
        <f t="shared" si="44"/>
        <v>Bogey</v>
      </c>
      <c r="O709" cm="1">
        <f t="array" ref="O709">IFERROR(
  INDEX('Putt Log'!$E$2:$V$72,
    MATCH(1,
      ('Putt Log'!$A$2:$A$72=$A709)*
      ('Putt Log'!$B$2:$B$72=$B709)*
      ('Putt Log'!$C$2:$C$72=$C709),
    0),
    MATCH($G709,'Putt Log'!$E$1:$V$1,0)
  ),
"")</f>
        <v>2</v>
      </c>
      <c r="P709" cm="1">
        <f t="array" ref="P709">IF(K709=3,"",
  IFERROR(
    INDEX('Fairway Log'!$E$2:$V$72,
      MATCH(1,
        ('Fairway Log'!$A$2:$A$72=$A709)*
        ('Fairway Log'!$B$2:$B$72=$B709)*
        ('Fairway Log'!$C$2:$C780=$C709),
      0),
      MATCH($G709,'Fairway Log'!$E$1:$V$1,0)
    ),
  "")
)</f>
        <v>1</v>
      </c>
      <c r="Q709" t="str" cm="1">
        <f t="array" ref="Q709">IFERROR(
  INDEX('GIR Log'!$E$2:$V$72,
    MATCH(1,
      ('GIR Log'!$A$2:$A$72=$A709)*
      ('GIR Log'!$B$2:$B$72=$B709)*
      ('GIR Log'!$C$2:$C$72=$C709),
    0),
    MATCH($G709,'GIR Log'!$E$1:$V$1,0)
  ),
"")</f>
        <v>↓</v>
      </c>
    </row>
    <row r="710" spans="1:17" x14ac:dyDescent="0.25">
      <c r="A710" s="20" t="s">
        <v>126</v>
      </c>
      <c r="B710" s="2">
        <v>45894</v>
      </c>
      <c r="C710" s="12" t="s">
        <v>11</v>
      </c>
      <c r="D710" s="12" t="s">
        <v>77</v>
      </c>
      <c r="E710" s="12" t="s">
        <v>34</v>
      </c>
      <c r="F710">
        <v>95</v>
      </c>
      <c r="G710" t="s">
        <v>53</v>
      </c>
      <c r="H710" s="9">
        <f t="shared" si="42"/>
        <v>7</v>
      </c>
      <c r="I710" cm="1">
        <f t="array" ref="I710">IFERROR(INDEX(CourseYardages[[Hole 1]:[Hole 18]],
  MATCH(1, (CourseYardages[Course]=C710)*(CourseYardages[Tees]=E710), 0),
  MATCH(G710, CourseYardages[[#Headers],[Hole 1]:[Hole 18]], 0)
),"")</f>
        <v>301</v>
      </c>
      <c r="J710" cm="1">
        <f t="array" ref="J710">IFERROR(INDEX(CourseHandicap[[Hole 1]:[Hole 18]],
  MATCH(1, (CourseHandicap[Course]=C710)*(CourseHandicap[Tees]=E710), 0),
  MATCH(G710, CourseHandicap[[#Headers],[Hole 1]:[Hole 18]], 0)
),"")</f>
        <v>11</v>
      </c>
      <c r="K710" cm="1">
        <f t="array" ref="K710">IFERROR(INDEX(CourseRatings[[Hole 1]:[Hole 18]],
  MATCH(1, (CourseRatings[Course]=C710)*(CourseRatings[Tees]=E710), 0),
  MATCH(G710, CourseRatings[[#Headers],[Hole 1]:[Hole 18]], 0)
),"")</f>
        <v>4</v>
      </c>
      <c r="L710" cm="1">
        <f t="array" ref="L710">IFERROR(
  INDEX('Golf Log'!$E$2:$V$72,
    MATCH(1,
      ('Golf Log'!$A$2:$A$72=$A710)*
      ('Golf Log'!$B$2:$B$72=$B710)*
      ('Golf Log'!$C$2:$C$72=$C710),
    0),
    MATCH($G710,'Golf Log'!$E$1:$V$1,0)
  ),
"")</f>
        <v>4</v>
      </c>
      <c r="M710">
        <f t="shared" si="43"/>
        <v>0</v>
      </c>
      <c r="N710" t="str">
        <f t="shared" si="44"/>
        <v>Par</v>
      </c>
      <c r="O710" cm="1">
        <f t="array" ref="O710">IFERROR(
  INDEX('Putt Log'!$E$2:$V$72,
    MATCH(1,
      ('Putt Log'!$A$2:$A$72=$A710)*
      ('Putt Log'!$B$2:$B$72=$B710)*
      ('Putt Log'!$C$2:$C$72=$C710),
    0),
    MATCH($G710,'Putt Log'!$E$1:$V$1,0)
  ),
"")</f>
        <v>2</v>
      </c>
      <c r="P710" cm="1">
        <f t="array" ref="P710">IF(K710=3,"",
  IFERROR(
    INDEX('Fairway Log'!$E$2:$V$72,
      MATCH(1,
        ('Fairway Log'!$A$2:$A$72=$A710)*
        ('Fairway Log'!$B$2:$B$72=$B710)*
        ('Fairway Log'!$C$2:$C781=$C710),
      0),
      MATCH($G710,'Fairway Log'!$E$1:$V$1,0)
    ),
  "")
)</f>
        <v>1</v>
      </c>
      <c r="Q710" cm="1">
        <f t="array" ref="Q710">IFERROR(
  INDEX('GIR Log'!$E$2:$V$72,
    MATCH(1,
      ('GIR Log'!$A$2:$A$72=$A710)*
      ('GIR Log'!$B$2:$B$72=$B710)*
      ('GIR Log'!$C$2:$C$72=$C710),
    0),
    MATCH($G710,'GIR Log'!$E$1:$V$1,0)
  ),
"")</f>
        <v>1</v>
      </c>
    </row>
    <row r="711" spans="1:17" x14ac:dyDescent="0.25">
      <c r="A711" s="20" t="s">
        <v>126</v>
      </c>
      <c r="B711" s="2">
        <v>45894</v>
      </c>
      <c r="C711" s="12" t="s">
        <v>11</v>
      </c>
      <c r="D711" s="12" t="s">
        <v>77</v>
      </c>
      <c r="E711" s="12" t="s">
        <v>34</v>
      </c>
      <c r="F711">
        <v>95</v>
      </c>
      <c r="G711" t="s">
        <v>54</v>
      </c>
      <c r="H711" s="9">
        <f t="shared" si="42"/>
        <v>8</v>
      </c>
      <c r="I711" cm="1">
        <f t="array" ref="I711">IFERROR(INDEX(CourseYardages[[Hole 1]:[Hole 18]],
  MATCH(1, (CourseYardages[Course]=C711)*(CourseYardages[Tees]=E711), 0),
  MATCH(G711, CourseYardages[[#Headers],[Hole 1]:[Hole 18]], 0)
),"")</f>
        <v>356</v>
      </c>
      <c r="J711" cm="1">
        <f t="array" ref="J711">IFERROR(INDEX(CourseHandicap[[Hole 1]:[Hole 18]],
  MATCH(1, (CourseHandicap[Course]=C711)*(CourseHandicap[Tees]=E711), 0),
  MATCH(G711, CourseHandicap[[#Headers],[Hole 1]:[Hole 18]], 0)
),"")</f>
        <v>5</v>
      </c>
      <c r="K711" cm="1">
        <f t="array" ref="K711">IFERROR(INDEX(CourseRatings[[Hole 1]:[Hole 18]],
  MATCH(1, (CourseRatings[Course]=C711)*(CourseRatings[Tees]=E711), 0),
  MATCH(G711, CourseRatings[[#Headers],[Hole 1]:[Hole 18]], 0)
),"")</f>
        <v>4</v>
      </c>
      <c r="L711" cm="1">
        <f t="array" ref="L711">IFERROR(
  INDEX('Golf Log'!$E$2:$V$72,
    MATCH(1,
      ('Golf Log'!$A$2:$A$72=$A711)*
      ('Golf Log'!$B$2:$B$72=$B711)*
      ('Golf Log'!$C$2:$C$72=$C711),
    0),
    MATCH($G711,'Golf Log'!$E$1:$V$1,0)
  ),
"")</f>
        <v>6</v>
      </c>
      <c r="M711">
        <f t="shared" si="43"/>
        <v>2</v>
      </c>
      <c r="N711" t="str">
        <f t="shared" si="44"/>
        <v>Double Bogey</v>
      </c>
      <c r="O711" cm="1">
        <f t="array" ref="O711">IFERROR(
  INDEX('Putt Log'!$E$2:$V$72,
    MATCH(1,
      ('Putt Log'!$A$2:$A$72=$A711)*
      ('Putt Log'!$B$2:$B$72=$B711)*
      ('Putt Log'!$C$2:$C$72=$C711),
    0),
    MATCH($G711,'Putt Log'!$E$1:$V$1,0)
  ),
"")</f>
        <v>2</v>
      </c>
      <c r="P711" t="str" cm="1">
        <f t="array" ref="P711">IF(K711=3,"",
  IFERROR(
    INDEX('Fairway Log'!$E$2:$V$72,
      MATCH(1,
        ('Fairway Log'!$A$2:$A$72=$A711)*
        ('Fairway Log'!$B$2:$B$72=$B711)*
        ('Fairway Log'!$C$2:$C782=$C711),
      0),
      MATCH($G711,'Fairway Log'!$E$1:$V$1,0)
    ),
  "")
)</f>
        <v>→</v>
      </c>
      <c r="Q711" t="str" cm="1">
        <f t="array" ref="Q711">IFERROR(
  INDEX('GIR Log'!$E$2:$V$72,
    MATCH(1,
      ('GIR Log'!$A$2:$A$72=$A711)*
      ('GIR Log'!$B$2:$B$72=$B711)*
      ('GIR Log'!$C$2:$C$72=$C711),
    0),
    MATCH($G711,'GIR Log'!$E$1:$V$1,0)
  ),
"")</f>
        <v>↓</v>
      </c>
    </row>
    <row r="712" spans="1:17" x14ac:dyDescent="0.25">
      <c r="A712" s="20" t="s">
        <v>126</v>
      </c>
      <c r="B712" s="2">
        <v>45894</v>
      </c>
      <c r="C712" s="12" t="s">
        <v>11</v>
      </c>
      <c r="D712" s="12" t="s">
        <v>77</v>
      </c>
      <c r="E712" s="12" t="s">
        <v>34</v>
      </c>
      <c r="F712">
        <v>95</v>
      </c>
      <c r="G712" t="s">
        <v>55</v>
      </c>
      <c r="H712" s="9">
        <f t="shared" si="42"/>
        <v>9</v>
      </c>
      <c r="I712" cm="1">
        <f t="array" ref="I712">IFERROR(INDEX(CourseYardages[[Hole 1]:[Hole 18]],
  MATCH(1, (CourseYardages[Course]=C712)*(CourseYardages[Tees]=E712), 0),
  MATCH(G712, CourseYardages[[#Headers],[Hole 1]:[Hole 18]], 0)
),"")</f>
        <v>534</v>
      </c>
      <c r="J712" cm="1">
        <f t="array" ref="J712">IFERROR(INDEX(CourseHandicap[[Hole 1]:[Hole 18]],
  MATCH(1, (CourseHandicap[Course]=C712)*(CourseHandicap[Tees]=E712), 0),
  MATCH(G712, CourseHandicap[[#Headers],[Hole 1]:[Hole 18]], 0)
),"")</f>
        <v>1</v>
      </c>
      <c r="K712" cm="1">
        <f t="array" ref="K712">IFERROR(INDEX(CourseRatings[[Hole 1]:[Hole 18]],
  MATCH(1, (CourseRatings[Course]=C712)*(CourseRatings[Tees]=E712), 0),
  MATCH(G712, CourseRatings[[#Headers],[Hole 1]:[Hole 18]], 0)
),"")</f>
        <v>5</v>
      </c>
      <c r="L712" cm="1">
        <f t="array" ref="L712">IFERROR(
  INDEX('Golf Log'!$E$2:$V$72,
    MATCH(1,
      ('Golf Log'!$A$2:$A$72=$A712)*
      ('Golf Log'!$B$2:$B$72=$B712)*
      ('Golf Log'!$C$2:$C$72=$C712),
    0),
    MATCH($G712,'Golf Log'!$E$1:$V$1,0)
  ),
"")</f>
        <v>6</v>
      </c>
      <c r="M712">
        <f t="shared" si="43"/>
        <v>1</v>
      </c>
      <c r="N712" t="str">
        <f t="shared" si="44"/>
        <v>Bogey</v>
      </c>
      <c r="O712" cm="1">
        <f t="array" ref="O712">IFERROR(
  INDEX('Putt Log'!$E$2:$V$72,
    MATCH(1,
      ('Putt Log'!$A$2:$A$72=$A712)*
      ('Putt Log'!$B$2:$B$72=$B712)*
      ('Putt Log'!$C$2:$C$72=$C712),
    0),
    MATCH($G712,'Putt Log'!$E$1:$V$1,0)
  ),
"")</f>
        <v>2</v>
      </c>
      <c r="P712" t="str" cm="1">
        <f t="array" ref="P712">IF(K712=3,"",
  IFERROR(
    INDEX('Fairway Log'!$E$2:$V$72,
      MATCH(1,
        ('Fairway Log'!$A$2:$A$72=$A712)*
        ('Fairway Log'!$B$2:$B$72=$B712)*
        ('Fairway Log'!$C$2:$C783=$C712),
      0),
      MATCH($G712,'Fairway Log'!$E$1:$V$1,0)
    ),
  "")
)</f>
        <v>↓</v>
      </c>
      <c r="Q712" t="str" cm="1">
        <f t="array" ref="Q712">IFERROR(
  INDEX('GIR Log'!$E$2:$V$72,
    MATCH(1,
      ('GIR Log'!$A$2:$A$72=$A712)*
      ('GIR Log'!$B$2:$B$72=$B712)*
      ('GIR Log'!$C$2:$C$72=$C712),
    0),
    MATCH($G712,'GIR Log'!$E$1:$V$1,0)
  ),
"")</f>
        <v>↓</v>
      </c>
    </row>
    <row r="713" spans="1:17" x14ac:dyDescent="0.25">
      <c r="A713" s="20" t="s">
        <v>126</v>
      </c>
      <c r="B713" s="2">
        <v>45894</v>
      </c>
      <c r="C713" s="12" t="s">
        <v>11</v>
      </c>
      <c r="D713" s="12" t="s">
        <v>77</v>
      </c>
      <c r="E713" s="12" t="s">
        <v>34</v>
      </c>
      <c r="F713">
        <v>95</v>
      </c>
      <c r="G713" t="s">
        <v>56</v>
      </c>
      <c r="H713" s="9">
        <f t="shared" si="42"/>
        <v>10</v>
      </c>
      <c r="I713" cm="1">
        <f t="array" ref="I713">IFERROR(INDEX(CourseYardages[[Hole 1]:[Hole 18]],
  MATCH(1, (CourseYardages[Course]=C713)*(CourseYardages[Tees]=E713), 0),
  MATCH(G713, CourseYardages[[#Headers],[Hole 1]:[Hole 18]], 0)
),"")</f>
        <v>339</v>
      </c>
      <c r="J713" cm="1">
        <f t="array" ref="J713">IFERROR(INDEX(CourseHandicap[[Hole 1]:[Hole 18]],
  MATCH(1, (CourseHandicap[Course]=C713)*(CourseHandicap[Tees]=E713), 0),
  MATCH(G713, CourseHandicap[[#Headers],[Hole 1]:[Hole 18]], 0)
),"")</f>
        <v>12</v>
      </c>
      <c r="K713" cm="1">
        <f t="array" ref="K713">IFERROR(INDEX(CourseRatings[[Hole 1]:[Hole 18]],
  MATCH(1, (CourseRatings[Course]=C713)*(CourseRatings[Tees]=E713), 0),
  MATCH(G713, CourseRatings[[#Headers],[Hole 1]:[Hole 18]], 0)
),"")</f>
        <v>4</v>
      </c>
      <c r="L713" cm="1">
        <f t="array" ref="L713">IFERROR(
  INDEX('Golf Log'!$E$2:$V$72,
    MATCH(1,
      ('Golf Log'!$A$2:$A$72=$A713)*
      ('Golf Log'!$B$2:$B$72=$B713)*
      ('Golf Log'!$C$2:$C$72=$C713),
    0),
    MATCH($G713,'Golf Log'!$E$1:$V$1,0)
  ),
"")</f>
        <v>5</v>
      </c>
      <c r="M713">
        <f t="shared" si="43"/>
        <v>1</v>
      </c>
      <c r="N713" t="str">
        <f t="shared" si="44"/>
        <v>Bogey</v>
      </c>
      <c r="O713" cm="1">
        <f t="array" ref="O713">IFERROR(
  INDEX('Putt Log'!$E$2:$V$72,
    MATCH(1,
      ('Putt Log'!$A$2:$A$72=$A713)*
      ('Putt Log'!$B$2:$B$72=$B713)*
      ('Putt Log'!$C$2:$C$72=$C713),
    0),
    MATCH($G713,'Putt Log'!$E$1:$V$1,0)
  ),
"")</f>
        <v>2</v>
      </c>
      <c r="P713" t="str" cm="1">
        <f t="array" ref="P713">IF(K713=3,"",
  IFERROR(
    INDEX('Fairway Log'!$E$2:$V$72,
      MATCH(1,
        ('Fairway Log'!$A$2:$A$72=$A713)*
        ('Fairway Log'!$B$2:$B$72=$B713)*
        ('Fairway Log'!$C$2:$C784=$C713),
      0),
      MATCH($G713,'Fairway Log'!$E$1:$V$1,0)
    ),
  "")
)</f>
        <v>→</v>
      </c>
      <c r="Q713" t="str" cm="1">
        <f t="array" ref="Q713">IFERROR(
  INDEX('GIR Log'!$E$2:$V$72,
    MATCH(1,
      ('GIR Log'!$A$2:$A$72=$A713)*
      ('GIR Log'!$B$2:$B$72=$B713)*
      ('GIR Log'!$C$2:$C$72=$C713),
    0),
    MATCH($G713,'GIR Log'!$E$1:$V$1,0)
  ),
"")</f>
        <v>↓</v>
      </c>
    </row>
    <row r="714" spans="1:17" x14ac:dyDescent="0.25">
      <c r="A714" s="20" t="s">
        <v>126</v>
      </c>
      <c r="B714" s="2">
        <v>45894</v>
      </c>
      <c r="C714" s="12" t="s">
        <v>11</v>
      </c>
      <c r="D714" s="12" t="s">
        <v>77</v>
      </c>
      <c r="E714" s="12" t="s">
        <v>34</v>
      </c>
      <c r="F714">
        <v>95</v>
      </c>
      <c r="G714" t="s">
        <v>57</v>
      </c>
      <c r="H714" s="9">
        <f t="shared" si="42"/>
        <v>11</v>
      </c>
      <c r="I714" cm="1">
        <f t="array" ref="I714">IFERROR(INDEX(CourseYardages[[Hole 1]:[Hole 18]],
  MATCH(1, (CourseYardages[Course]=C714)*(CourseYardages[Tees]=E714), 0),
  MATCH(G714, CourseYardages[[#Headers],[Hole 1]:[Hole 18]], 0)
),"")</f>
        <v>157</v>
      </c>
      <c r="J714" cm="1">
        <f t="array" ref="J714">IFERROR(INDEX(CourseHandicap[[Hole 1]:[Hole 18]],
  MATCH(1, (CourseHandicap[Course]=C714)*(CourseHandicap[Tees]=E714), 0),
  MATCH(G714, CourseHandicap[[#Headers],[Hole 1]:[Hole 18]], 0)
),"")</f>
        <v>18</v>
      </c>
      <c r="K714" cm="1">
        <f t="array" ref="K714">IFERROR(INDEX(CourseRatings[[Hole 1]:[Hole 18]],
  MATCH(1, (CourseRatings[Course]=C714)*(CourseRatings[Tees]=E714), 0),
  MATCH(G714, CourseRatings[[#Headers],[Hole 1]:[Hole 18]], 0)
),"")</f>
        <v>3</v>
      </c>
      <c r="L714" cm="1">
        <f t="array" ref="L714">IFERROR(
  INDEX('Golf Log'!$E$2:$V$72,
    MATCH(1,
      ('Golf Log'!$A$2:$A$72=$A714)*
      ('Golf Log'!$B$2:$B$72=$B714)*
      ('Golf Log'!$C$2:$C$72=$C714),
    0),
    MATCH($G714,'Golf Log'!$E$1:$V$1,0)
  ),
"")</f>
        <v>5</v>
      </c>
      <c r="M714">
        <f t="shared" si="43"/>
        <v>2</v>
      </c>
      <c r="N714" t="str">
        <f t="shared" si="44"/>
        <v>Double Bogey</v>
      </c>
      <c r="O714" cm="1">
        <f t="array" ref="O714">IFERROR(
  INDEX('Putt Log'!$E$2:$V$72,
    MATCH(1,
      ('Putt Log'!$A$2:$A$72=$A714)*
      ('Putt Log'!$B$2:$B$72=$B714)*
      ('Putt Log'!$C$2:$C$72=$C714),
    0),
    MATCH($G714,'Putt Log'!$E$1:$V$1,0)
  ),
"")</f>
        <v>3</v>
      </c>
      <c r="P714" t="str" cm="1">
        <f t="array" ref="P714">IF(K714=3,"",
  IFERROR(
    INDEX('Fairway Log'!$E$2:$V$72,
      MATCH(1,
        ('Fairway Log'!$A$2:$A$72=$A714)*
        ('Fairway Log'!$B$2:$B$72=$B714)*
        ('Fairway Log'!$C$2:$C785=$C714),
      0),
      MATCH($G714,'Fairway Log'!$E$1:$V$1,0)
    ),
  "")
)</f>
        <v/>
      </c>
      <c r="Q714" t="str" cm="1">
        <f t="array" ref="Q714">IFERROR(
  INDEX('GIR Log'!$E$2:$V$72,
    MATCH(1,
      ('GIR Log'!$A$2:$A$72=$A714)*
      ('GIR Log'!$B$2:$B$72=$B714)*
      ('GIR Log'!$C$2:$C$72=$C714),
    0),
    MATCH($G714,'GIR Log'!$E$1:$V$1,0)
  ),
"")</f>
        <v>↓</v>
      </c>
    </row>
    <row r="715" spans="1:17" x14ac:dyDescent="0.25">
      <c r="A715" s="20" t="s">
        <v>126</v>
      </c>
      <c r="B715" s="2">
        <v>45894</v>
      </c>
      <c r="C715" s="12" t="s">
        <v>11</v>
      </c>
      <c r="D715" s="12" t="s">
        <v>77</v>
      </c>
      <c r="E715" s="12" t="s">
        <v>34</v>
      </c>
      <c r="F715">
        <v>95</v>
      </c>
      <c r="G715" t="s">
        <v>58</v>
      </c>
      <c r="H715" s="9">
        <f t="shared" si="42"/>
        <v>12</v>
      </c>
      <c r="I715" cm="1">
        <f t="array" ref="I715">IFERROR(INDEX(CourseYardages[[Hole 1]:[Hole 18]],
  MATCH(1, (CourseYardages[Course]=C715)*(CourseYardages[Tees]=E715), 0),
  MATCH(G715, CourseYardages[[#Headers],[Hole 1]:[Hole 18]], 0)
),"")</f>
        <v>363</v>
      </c>
      <c r="J715" cm="1">
        <f t="array" ref="J715">IFERROR(INDEX(CourseHandicap[[Hole 1]:[Hole 18]],
  MATCH(1, (CourseHandicap[Course]=C715)*(CourseHandicap[Tees]=E715), 0),
  MATCH(G715, CourseHandicap[[#Headers],[Hole 1]:[Hole 18]], 0)
),"")</f>
        <v>6</v>
      </c>
      <c r="K715" cm="1">
        <f t="array" ref="K715">IFERROR(INDEX(CourseRatings[[Hole 1]:[Hole 18]],
  MATCH(1, (CourseRatings[Course]=C715)*(CourseRatings[Tees]=E715), 0),
  MATCH(G715, CourseRatings[[#Headers],[Hole 1]:[Hole 18]], 0)
),"")</f>
        <v>4</v>
      </c>
      <c r="L715" cm="1">
        <f t="array" ref="L715">IFERROR(
  INDEX('Golf Log'!$E$2:$V$72,
    MATCH(1,
      ('Golf Log'!$A$2:$A$72=$A715)*
      ('Golf Log'!$B$2:$B$72=$B715)*
      ('Golf Log'!$C$2:$C$72=$C715),
    0),
    MATCH($G715,'Golf Log'!$E$1:$V$1,0)
  ),
"")</f>
        <v>6</v>
      </c>
      <c r="M715">
        <f t="shared" si="43"/>
        <v>2</v>
      </c>
      <c r="N715" t="str">
        <f t="shared" si="44"/>
        <v>Double Bogey</v>
      </c>
      <c r="O715" cm="1">
        <f t="array" ref="O715">IFERROR(
  INDEX('Putt Log'!$E$2:$V$72,
    MATCH(1,
      ('Putt Log'!$A$2:$A$72=$A715)*
      ('Putt Log'!$B$2:$B$72=$B715)*
      ('Putt Log'!$C$2:$C$72=$C715),
    0),
    MATCH($G715,'Putt Log'!$E$1:$V$1,0)
  ),
"")</f>
        <v>2</v>
      </c>
      <c r="P715" t="str" cm="1">
        <f t="array" ref="P715">IF(K715=3,"",
  IFERROR(
    INDEX('Fairway Log'!$E$2:$V$72,
      MATCH(1,
        ('Fairway Log'!$A$2:$A$72=$A715)*
        ('Fairway Log'!$B$2:$B$72=$B715)*
        ('Fairway Log'!$C$2:$C786=$C715),
      0),
      MATCH($G715,'Fairway Log'!$E$1:$V$1,0)
    ),
  "")
)</f>
        <v>→</v>
      </c>
      <c r="Q715" t="str" cm="1">
        <f t="array" ref="Q715">IFERROR(
  INDEX('GIR Log'!$E$2:$V$72,
    MATCH(1,
      ('GIR Log'!$A$2:$A$72=$A715)*
      ('GIR Log'!$B$2:$B$72=$B715)*
      ('GIR Log'!$C$2:$C$72=$C715),
    0),
    MATCH($G715,'GIR Log'!$E$1:$V$1,0)
  ),
"")</f>
        <v>↓</v>
      </c>
    </row>
    <row r="716" spans="1:17" x14ac:dyDescent="0.25">
      <c r="A716" s="20" t="s">
        <v>126</v>
      </c>
      <c r="B716" s="2">
        <v>45894</v>
      </c>
      <c r="C716" s="12" t="s">
        <v>11</v>
      </c>
      <c r="D716" s="12" t="s">
        <v>77</v>
      </c>
      <c r="E716" s="12" t="s">
        <v>34</v>
      </c>
      <c r="F716">
        <v>95</v>
      </c>
      <c r="G716" t="s">
        <v>59</v>
      </c>
      <c r="H716" s="9">
        <f t="shared" si="42"/>
        <v>13</v>
      </c>
      <c r="I716" cm="1">
        <f t="array" ref="I716">IFERROR(INDEX(CourseYardages[[Hole 1]:[Hole 18]],
  MATCH(1, (CourseYardages[Course]=C716)*(CourseYardages[Tees]=E716), 0),
  MATCH(G716, CourseYardages[[#Headers],[Hole 1]:[Hole 18]], 0)
),"")</f>
        <v>555</v>
      </c>
      <c r="J716" cm="1">
        <f t="array" ref="J716">IFERROR(INDEX(CourseHandicap[[Hole 1]:[Hole 18]],
  MATCH(1, (CourseHandicap[Course]=C716)*(CourseHandicap[Tees]=E716), 0),
  MATCH(G716, CourseHandicap[[#Headers],[Hole 1]:[Hole 18]], 0)
),"")</f>
        <v>4</v>
      </c>
      <c r="K716" cm="1">
        <f t="array" ref="K716">IFERROR(INDEX(CourseRatings[[Hole 1]:[Hole 18]],
  MATCH(1, (CourseRatings[Course]=C716)*(CourseRatings[Tees]=E716), 0),
  MATCH(G716, CourseRatings[[#Headers],[Hole 1]:[Hole 18]], 0)
),"")</f>
        <v>5</v>
      </c>
      <c r="L716" cm="1">
        <f t="array" ref="L716">IFERROR(
  INDEX('Golf Log'!$E$2:$V$72,
    MATCH(1,
      ('Golf Log'!$A$2:$A$72=$A716)*
      ('Golf Log'!$B$2:$B$72=$B716)*
      ('Golf Log'!$C$2:$C$72=$C716),
    0),
    MATCH($G716,'Golf Log'!$E$1:$V$1,0)
  ),
"")</f>
        <v>6</v>
      </c>
      <c r="M716">
        <f t="shared" si="43"/>
        <v>1</v>
      </c>
      <c r="N716" t="str">
        <f t="shared" si="44"/>
        <v>Bogey</v>
      </c>
      <c r="O716" cm="1">
        <f t="array" ref="O716">IFERROR(
  INDEX('Putt Log'!$E$2:$V$72,
    MATCH(1,
      ('Putt Log'!$A$2:$A$72=$A716)*
      ('Putt Log'!$B$2:$B$72=$B716)*
      ('Putt Log'!$C$2:$C$72=$C716),
    0),
    MATCH($G716,'Putt Log'!$E$1:$V$1,0)
  ),
"")</f>
        <v>2</v>
      </c>
      <c r="P716" cm="1">
        <f t="array" ref="P716">IF(K716=3,"",
  IFERROR(
    INDEX('Fairway Log'!$E$2:$V$72,
      MATCH(1,
        ('Fairway Log'!$A$2:$A$72=$A716)*
        ('Fairway Log'!$B$2:$B$72=$B716)*
        ('Fairway Log'!$C$2:$C787=$C716),
      0),
      MATCH($G716,'Fairway Log'!$E$1:$V$1,0)
    ),
  "")
)</f>
        <v>1</v>
      </c>
      <c r="Q716" t="str" cm="1">
        <f t="array" ref="Q716">IFERROR(
  INDEX('GIR Log'!$E$2:$V$72,
    MATCH(1,
      ('GIR Log'!$A$2:$A$72=$A716)*
      ('GIR Log'!$B$2:$B$72=$B716)*
      ('GIR Log'!$C$2:$C$72=$C716),
    0),
    MATCH($G716,'GIR Log'!$E$1:$V$1,0)
  ),
"")</f>
        <v>↓</v>
      </c>
    </row>
    <row r="717" spans="1:17" x14ac:dyDescent="0.25">
      <c r="A717" s="20" t="s">
        <v>126</v>
      </c>
      <c r="B717" s="2">
        <v>45894</v>
      </c>
      <c r="C717" s="12" t="s">
        <v>11</v>
      </c>
      <c r="D717" s="12" t="s">
        <v>77</v>
      </c>
      <c r="E717" s="12" t="s">
        <v>34</v>
      </c>
      <c r="F717">
        <v>95</v>
      </c>
      <c r="G717" t="s">
        <v>60</v>
      </c>
      <c r="H717" s="9">
        <f t="shared" si="42"/>
        <v>14</v>
      </c>
      <c r="I717" cm="1">
        <f t="array" ref="I717">IFERROR(INDEX(CourseYardages[[Hole 1]:[Hole 18]],
  MATCH(1, (CourseYardages[Course]=C717)*(CourseYardages[Tees]=E717), 0),
  MATCH(G717, CourseYardages[[#Headers],[Hole 1]:[Hole 18]], 0)
),"")</f>
        <v>172</v>
      </c>
      <c r="J717" cm="1">
        <f t="array" ref="J717">IFERROR(INDEX(CourseHandicap[[Hole 1]:[Hole 18]],
  MATCH(1, (CourseHandicap[Course]=C717)*(CourseHandicap[Tees]=E717), 0),
  MATCH(G717, CourseHandicap[[#Headers],[Hole 1]:[Hole 18]], 0)
),"")</f>
        <v>14</v>
      </c>
      <c r="K717" cm="1">
        <f t="array" ref="K717">IFERROR(INDEX(CourseRatings[[Hole 1]:[Hole 18]],
  MATCH(1, (CourseRatings[Course]=C717)*(CourseRatings[Tees]=E717), 0),
  MATCH(G717, CourseRatings[[#Headers],[Hole 1]:[Hole 18]], 0)
),"")</f>
        <v>3</v>
      </c>
      <c r="L717" cm="1">
        <f t="array" ref="L717">IFERROR(
  INDEX('Golf Log'!$E$2:$V$72,
    MATCH(1,
      ('Golf Log'!$A$2:$A$72=$A717)*
      ('Golf Log'!$B$2:$B$72=$B717)*
      ('Golf Log'!$C$2:$C$72=$C717),
    0),
    MATCH($G717,'Golf Log'!$E$1:$V$1,0)
  ),
"")</f>
        <v>5</v>
      </c>
      <c r="M717">
        <f t="shared" si="43"/>
        <v>2</v>
      </c>
      <c r="N717" t="str">
        <f t="shared" si="44"/>
        <v>Double Bogey</v>
      </c>
      <c r="O717" cm="1">
        <f t="array" ref="O717">IFERROR(
  INDEX('Putt Log'!$E$2:$V$72,
    MATCH(1,
      ('Putt Log'!$A$2:$A$72=$A717)*
      ('Putt Log'!$B$2:$B$72=$B717)*
      ('Putt Log'!$C$2:$C$72=$C717),
    0),
    MATCH($G717,'Putt Log'!$E$1:$V$1,0)
  ),
"")</f>
        <v>3</v>
      </c>
      <c r="P717" t="str" cm="1">
        <f t="array" ref="P717">IF(K717=3,"",
  IFERROR(
    INDEX('Fairway Log'!$E$2:$V$72,
      MATCH(1,
        ('Fairway Log'!$A$2:$A$72=$A717)*
        ('Fairway Log'!$B$2:$B$72=$B717)*
        ('Fairway Log'!$C$2:$C788=$C717),
      0),
      MATCH($G717,'Fairway Log'!$E$1:$V$1,0)
    ),
  "")
)</f>
        <v/>
      </c>
      <c r="Q717" t="str" cm="1">
        <f t="array" ref="Q717">IFERROR(
  INDEX('GIR Log'!$E$2:$V$72,
    MATCH(1,
      ('GIR Log'!$A$2:$A$72=$A717)*
      ('GIR Log'!$B$2:$B$72=$B717)*
      ('GIR Log'!$C$2:$C$72=$C717),
    0),
    MATCH($G717,'GIR Log'!$E$1:$V$1,0)
  ),
"")</f>
        <v>↓</v>
      </c>
    </row>
    <row r="718" spans="1:17" x14ac:dyDescent="0.25">
      <c r="A718" s="20" t="s">
        <v>126</v>
      </c>
      <c r="B718" s="2">
        <v>45894</v>
      </c>
      <c r="C718" s="12" t="s">
        <v>11</v>
      </c>
      <c r="D718" s="12" t="s">
        <v>77</v>
      </c>
      <c r="E718" s="12" t="s">
        <v>34</v>
      </c>
      <c r="F718">
        <v>95</v>
      </c>
      <c r="G718" t="s">
        <v>61</v>
      </c>
      <c r="H718" s="9">
        <f t="shared" si="42"/>
        <v>15</v>
      </c>
      <c r="I718" cm="1">
        <f t="array" ref="I718">IFERROR(INDEX(CourseYardages[[Hole 1]:[Hole 18]],
  MATCH(1, (CourseYardages[Course]=C718)*(CourseYardages[Tees]=E718), 0),
  MATCH(G718, CourseYardages[[#Headers],[Hole 1]:[Hole 18]], 0)
),"")</f>
        <v>527</v>
      </c>
      <c r="J718" cm="1">
        <f t="array" ref="J718">IFERROR(INDEX(CourseHandicap[[Hole 1]:[Hole 18]],
  MATCH(1, (CourseHandicap[Course]=C718)*(CourseHandicap[Tees]=E718), 0),
  MATCH(G718, CourseHandicap[[#Headers],[Hole 1]:[Hole 18]], 0)
),"")</f>
        <v>2</v>
      </c>
      <c r="K718" cm="1">
        <f t="array" ref="K718">IFERROR(INDEX(CourseRatings[[Hole 1]:[Hole 18]],
  MATCH(1, (CourseRatings[Course]=C718)*(CourseRatings[Tees]=E718), 0),
  MATCH(G718, CourseRatings[[#Headers],[Hole 1]:[Hole 18]], 0)
),"")</f>
        <v>5</v>
      </c>
      <c r="L718" cm="1">
        <f t="array" ref="L718">IFERROR(
  INDEX('Golf Log'!$E$2:$V$72,
    MATCH(1,
      ('Golf Log'!$A$2:$A$72=$A718)*
      ('Golf Log'!$B$2:$B$72=$B718)*
      ('Golf Log'!$C$2:$C$72=$C718),
    0),
    MATCH($G718,'Golf Log'!$E$1:$V$1,0)
  ),
"")</f>
        <v>6</v>
      </c>
      <c r="M718">
        <f t="shared" si="43"/>
        <v>1</v>
      </c>
      <c r="N718" t="str">
        <f t="shared" si="44"/>
        <v>Bogey</v>
      </c>
      <c r="O718" cm="1">
        <f t="array" ref="O718">IFERROR(
  INDEX('Putt Log'!$E$2:$V$72,
    MATCH(1,
      ('Putt Log'!$A$2:$A$72=$A718)*
      ('Putt Log'!$B$2:$B$72=$B718)*
      ('Putt Log'!$C$2:$C$72=$C718),
    0),
    MATCH($G718,'Putt Log'!$E$1:$V$1,0)
  ),
"")</f>
        <v>2</v>
      </c>
      <c r="P718" t="str" cm="1">
        <f t="array" ref="P718">IF(K718=3,"",
  IFERROR(
    INDEX('Fairway Log'!$E$2:$V$72,
      MATCH(1,
        ('Fairway Log'!$A$2:$A$72=$A718)*
        ('Fairway Log'!$B$2:$B$72=$B718)*
        ('Fairway Log'!$C$2:$C789=$C718),
      0),
      MATCH($G718,'Fairway Log'!$E$1:$V$1,0)
    ),
  "")
)</f>
        <v>→</v>
      </c>
      <c r="Q718" t="str" cm="1">
        <f t="array" ref="Q718">IFERROR(
  INDEX('GIR Log'!$E$2:$V$72,
    MATCH(1,
      ('GIR Log'!$A$2:$A$72=$A718)*
      ('GIR Log'!$B$2:$B$72=$B718)*
      ('GIR Log'!$C$2:$C$72=$C718),
    0),
    MATCH($G718,'GIR Log'!$E$1:$V$1,0)
  ),
"")</f>
        <v>↓</v>
      </c>
    </row>
    <row r="719" spans="1:17" x14ac:dyDescent="0.25">
      <c r="A719" s="20" t="s">
        <v>126</v>
      </c>
      <c r="B719" s="2">
        <v>45894</v>
      </c>
      <c r="C719" s="12" t="s">
        <v>11</v>
      </c>
      <c r="D719" s="12" t="s">
        <v>77</v>
      </c>
      <c r="E719" s="12" t="s">
        <v>34</v>
      </c>
      <c r="F719">
        <v>95</v>
      </c>
      <c r="G719" t="s">
        <v>62</v>
      </c>
      <c r="H719" s="9">
        <f t="shared" si="42"/>
        <v>16</v>
      </c>
      <c r="I719" cm="1">
        <f t="array" ref="I719">IFERROR(INDEX(CourseYardages[[Hole 1]:[Hole 18]],
  MATCH(1, (CourseYardages[Course]=C719)*(CourseYardages[Tees]=E719), 0),
  MATCH(G719, CourseYardages[[#Headers],[Hole 1]:[Hole 18]], 0)
),"")</f>
        <v>137</v>
      </c>
      <c r="J719" cm="1">
        <f t="array" ref="J719">IFERROR(INDEX(CourseHandicap[[Hole 1]:[Hole 18]],
  MATCH(1, (CourseHandicap[Course]=C719)*(CourseHandicap[Tees]=E719), 0),
  MATCH(G719, CourseHandicap[[#Headers],[Hole 1]:[Hole 18]], 0)
),"")</f>
        <v>16</v>
      </c>
      <c r="K719" cm="1">
        <f t="array" ref="K719">IFERROR(INDEX(CourseRatings[[Hole 1]:[Hole 18]],
  MATCH(1, (CourseRatings[Course]=C719)*(CourseRatings[Tees]=E719), 0),
  MATCH(G719, CourseRatings[[#Headers],[Hole 1]:[Hole 18]], 0)
),"")</f>
        <v>3</v>
      </c>
      <c r="L719" cm="1">
        <f t="array" ref="L719">IFERROR(
  INDEX('Golf Log'!$E$2:$V$72,
    MATCH(1,
      ('Golf Log'!$A$2:$A$72=$A719)*
      ('Golf Log'!$B$2:$B$72=$B719)*
      ('Golf Log'!$C$2:$C$72=$C719),
    0),
    MATCH($G719,'Golf Log'!$E$1:$V$1,0)
  ),
"")</f>
        <v>5</v>
      </c>
      <c r="M719">
        <f t="shared" si="43"/>
        <v>2</v>
      </c>
      <c r="N719" t="str">
        <f t="shared" si="44"/>
        <v>Double Bogey</v>
      </c>
      <c r="O719" cm="1">
        <f t="array" ref="O719">IFERROR(
  INDEX('Putt Log'!$E$2:$V$72,
    MATCH(1,
      ('Putt Log'!$A$2:$A$72=$A719)*
      ('Putt Log'!$B$2:$B$72=$B719)*
      ('Putt Log'!$C$2:$C$72=$C719),
    0),
    MATCH($G719,'Putt Log'!$E$1:$V$1,0)
  ),
"")</f>
        <v>2</v>
      </c>
      <c r="P719" t="str" cm="1">
        <f t="array" ref="P719">IF(K719=3,"",
  IFERROR(
    INDEX('Fairway Log'!$E$2:$V$72,
      MATCH(1,
        ('Fairway Log'!$A$2:$A$72=$A719)*
        ('Fairway Log'!$B$2:$B$72=$B719)*
        ('Fairway Log'!$C$2:$C790=$C719),
      0),
      MATCH($G719,'Fairway Log'!$E$1:$V$1,0)
    ),
  "")
)</f>
        <v/>
      </c>
      <c r="Q719" t="str" cm="1">
        <f t="array" ref="Q719">IFERROR(
  INDEX('GIR Log'!$E$2:$V$72,
    MATCH(1,
      ('GIR Log'!$A$2:$A$72=$A719)*
      ('GIR Log'!$B$2:$B$72=$B719)*
      ('GIR Log'!$C$2:$C$72=$C719),
    0),
    MATCH($G719,'GIR Log'!$E$1:$V$1,0)
  ),
"")</f>
        <v>↑</v>
      </c>
    </row>
    <row r="720" spans="1:17" x14ac:dyDescent="0.25">
      <c r="A720" s="20" t="s">
        <v>126</v>
      </c>
      <c r="B720" s="2">
        <v>45894</v>
      </c>
      <c r="C720" s="12" t="s">
        <v>11</v>
      </c>
      <c r="D720" s="12" t="s">
        <v>77</v>
      </c>
      <c r="E720" s="12" t="s">
        <v>34</v>
      </c>
      <c r="F720">
        <v>95</v>
      </c>
      <c r="G720" t="s">
        <v>63</v>
      </c>
      <c r="H720" s="9">
        <f t="shared" si="42"/>
        <v>17</v>
      </c>
      <c r="I720" cm="1">
        <f t="array" ref="I720">IFERROR(INDEX(CourseYardages[[Hole 1]:[Hole 18]],
  MATCH(1, (CourseYardages[Course]=C720)*(CourseYardages[Tees]=E720), 0),
  MATCH(G720, CourseYardages[[#Headers],[Hole 1]:[Hole 18]], 0)
),"")</f>
        <v>394</v>
      </c>
      <c r="J720" cm="1">
        <f t="array" ref="J720">IFERROR(INDEX(CourseHandicap[[Hole 1]:[Hole 18]],
  MATCH(1, (CourseHandicap[Course]=C720)*(CourseHandicap[Tees]=E720), 0),
  MATCH(G720, CourseHandicap[[#Headers],[Hole 1]:[Hole 18]], 0)
),"")</f>
        <v>8</v>
      </c>
      <c r="K720" cm="1">
        <f t="array" ref="K720">IFERROR(INDEX(CourseRatings[[Hole 1]:[Hole 18]],
  MATCH(1, (CourseRatings[Course]=C720)*(CourseRatings[Tees]=E720), 0),
  MATCH(G720, CourseRatings[[#Headers],[Hole 1]:[Hole 18]], 0)
),"")</f>
        <v>4</v>
      </c>
      <c r="L720" cm="1">
        <f t="array" ref="L720">IFERROR(
  INDEX('Golf Log'!$E$2:$V$72,
    MATCH(1,
      ('Golf Log'!$A$2:$A$72=$A720)*
      ('Golf Log'!$B$2:$B$72=$B720)*
      ('Golf Log'!$C$2:$C$72=$C720),
    0),
    MATCH($G720,'Golf Log'!$E$1:$V$1,0)
  ),
"")</f>
        <v>6</v>
      </c>
      <c r="M720">
        <f t="shared" si="43"/>
        <v>2</v>
      </c>
      <c r="N720" t="str">
        <f t="shared" si="44"/>
        <v>Double Bogey</v>
      </c>
      <c r="O720" cm="1">
        <f t="array" ref="O720">IFERROR(
  INDEX('Putt Log'!$E$2:$V$72,
    MATCH(1,
      ('Putt Log'!$A$2:$A$72=$A720)*
      ('Putt Log'!$B$2:$B$72=$B720)*
      ('Putt Log'!$C$2:$C$72=$C720),
    0),
    MATCH($G720,'Putt Log'!$E$1:$V$1,0)
  ),
"")</f>
        <v>3</v>
      </c>
      <c r="P720" cm="1">
        <f t="array" ref="P720">IF(K720=3,"",
  IFERROR(
    INDEX('Fairway Log'!$E$2:$V$72,
      MATCH(1,
        ('Fairway Log'!$A$2:$A$72=$A720)*
        ('Fairway Log'!$B$2:$B$72=$B720)*
        ('Fairway Log'!$C$2:$C791=$C720),
      0),
      MATCH($G720,'Fairway Log'!$E$1:$V$1,0)
    ),
  "")
)</f>
        <v>1</v>
      </c>
      <c r="Q720" t="str" cm="1">
        <f t="array" ref="Q720">IFERROR(
  INDEX('GIR Log'!$E$2:$V$72,
    MATCH(1,
      ('GIR Log'!$A$2:$A$72=$A720)*
      ('GIR Log'!$B$2:$B$72=$B720)*
      ('GIR Log'!$C$2:$C$72=$C720),
    0),
    MATCH($G720,'GIR Log'!$E$1:$V$1,0)
  ),
"")</f>
        <v>↓</v>
      </c>
    </row>
    <row r="721" spans="1:17" x14ac:dyDescent="0.25">
      <c r="A721" s="20" t="s">
        <v>126</v>
      </c>
      <c r="B721" s="2">
        <v>45894</v>
      </c>
      <c r="C721" s="12" t="s">
        <v>11</v>
      </c>
      <c r="D721" s="12" t="s">
        <v>77</v>
      </c>
      <c r="E721" s="12" t="s">
        <v>34</v>
      </c>
      <c r="F721">
        <v>95</v>
      </c>
      <c r="G721" t="s">
        <v>64</v>
      </c>
      <c r="H721" s="9">
        <f t="shared" si="42"/>
        <v>18</v>
      </c>
      <c r="I721" cm="1">
        <f t="array" ref="I721">IFERROR(INDEX(CourseYardages[[Hole 1]:[Hole 18]],
  MATCH(1, (CourseYardages[Course]=C721)*(CourseYardages[Tees]=E721), 0),
  MATCH(G721, CourseYardages[[#Headers],[Hole 1]:[Hole 18]], 0)
),"")</f>
        <v>385</v>
      </c>
      <c r="J721" cm="1">
        <f t="array" ref="J721">IFERROR(INDEX(CourseHandicap[[Hole 1]:[Hole 18]],
  MATCH(1, (CourseHandicap[Course]=C721)*(CourseHandicap[Tees]=E721), 0),
  MATCH(G721, CourseHandicap[[#Headers],[Hole 1]:[Hole 18]], 0)
),"")</f>
        <v>10</v>
      </c>
      <c r="K721" cm="1">
        <f t="array" ref="K721">IFERROR(INDEX(CourseRatings[[Hole 1]:[Hole 18]],
  MATCH(1, (CourseRatings[Course]=C721)*(CourseRatings[Tees]=E721), 0),
  MATCH(G721, CourseRatings[[#Headers],[Hole 1]:[Hole 18]], 0)
),"")</f>
        <v>4</v>
      </c>
      <c r="L721" cm="1">
        <f t="array" ref="L721">IFERROR(
  INDEX('Golf Log'!$E$2:$V$72,
    MATCH(1,
      ('Golf Log'!$A$2:$A$72=$A721)*
      ('Golf Log'!$B$2:$B$72=$B721)*
      ('Golf Log'!$C$2:$C$72=$C721),
    0),
    MATCH($G721,'Golf Log'!$E$1:$V$1,0)
  ),
"")</f>
        <v>6</v>
      </c>
      <c r="M721">
        <f t="shared" si="43"/>
        <v>2</v>
      </c>
      <c r="N721" t="str">
        <f t="shared" si="44"/>
        <v>Double Bogey</v>
      </c>
      <c r="O721" cm="1">
        <f t="array" ref="O721">IFERROR(
  INDEX('Putt Log'!$E$2:$V$72,
    MATCH(1,
      ('Putt Log'!$A$2:$A$72=$A721)*
      ('Putt Log'!$B$2:$B$72=$B721)*
      ('Putt Log'!$C$2:$C$72=$C721),
    0),
    MATCH($G721,'Putt Log'!$E$1:$V$1,0)
  ),
"")</f>
        <v>2</v>
      </c>
      <c r="P721" t="str" cm="1">
        <f t="array" ref="P721">IF(K721=3,"",
  IFERROR(
    INDEX('Fairway Log'!$E$2:$V$72,
      MATCH(1,
        ('Fairway Log'!$A$2:$A$72=$A721)*
        ('Fairway Log'!$B$2:$B$72=$B721)*
        ('Fairway Log'!$C$2:$C792=$C721),
      0),
      MATCH($G721,'Fairway Log'!$E$1:$V$1,0)
    ),
  "")
)</f>
        <v>→</v>
      </c>
      <c r="Q721" t="str" cm="1">
        <f t="array" ref="Q721">IFERROR(
  INDEX('GIR Log'!$E$2:$V$72,
    MATCH(1,
      ('GIR Log'!$A$2:$A$72=$A721)*
      ('GIR Log'!$B$2:$B$72=$B721)*
      ('GIR Log'!$C$2:$C$72=$C721),
    0),
    MATCH($G721,'GIR Log'!$E$1:$V$1,0)
  ),
"")</f>
        <v>↓</v>
      </c>
    </row>
    <row r="722" spans="1:17" x14ac:dyDescent="0.25">
      <c r="A722" s="20" t="s">
        <v>126</v>
      </c>
      <c r="B722" s="2">
        <v>45897</v>
      </c>
      <c r="C722" s="15" t="s">
        <v>41</v>
      </c>
      <c r="D722" s="15" t="s">
        <v>79</v>
      </c>
      <c r="E722" s="15" t="s">
        <v>34</v>
      </c>
      <c r="F722">
        <v>89</v>
      </c>
      <c r="G722" s="12" t="s">
        <v>47</v>
      </c>
      <c r="H722" s="9">
        <f t="shared" ref="H722:H739" si="45">VALUE(RIGHT(G722, LEN(G722) - 5))</f>
        <v>1</v>
      </c>
      <c r="I722" cm="1">
        <f t="array" ref="I722">IFERROR(INDEX(CourseYardages[[Hole 1]:[Hole 18]],
  MATCH(1, (CourseYardages[Course]=C722)*(CourseYardages[Tees]=E722), 0),
  MATCH(G722, CourseYardages[[#Headers],[Hole 1]:[Hole 18]], 0)
),"")</f>
        <v>423</v>
      </c>
      <c r="J722" cm="1">
        <f t="array" ref="J722">IFERROR(INDEX(CourseHandicap[[Hole 1]:[Hole 18]],
  MATCH(1, (CourseHandicap[Course]=C722)*(CourseHandicap[Tees]=E722), 0),
  MATCH(G722, CourseHandicap[[#Headers],[Hole 1]:[Hole 18]], 0)
),"")</f>
        <v>1</v>
      </c>
      <c r="K722" cm="1">
        <f t="array" ref="K722">IFERROR(INDEX(CourseRatings[[Hole 1]:[Hole 18]],
  MATCH(1, (CourseRatings[Course]=C722)*(CourseRatings[Tees]=E722), 0),
  MATCH(G722, CourseRatings[[#Headers],[Hole 1]:[Hole 18]], 0)
),"")</f>
        <v>4</v>
      </c>
      <c r="L722" cm="1">
        <f t="array" ref="L722">IFERROR(
  INDEX('Golf Log'!$E$2:$V$72,
    MATCH(1,
      ('Golf Log'!$A$2:$A$72=$A722)*
      ('Golf Log'!$B$2:$B$72=$B722)*
      ('Golf Log'!$C$2:$C$72=$C722),
    0),
    MATCH($G722,'Golf Log'!$E$1:$V$1,0)
  ),
"")</f>
        <v>5</v>
      </c>
      <c r="M722">
        <f t="shared" ref="M722:M739" si="46">IFERROR(L722-K722,"")</f>
        <v>1</v>
      </c>
      <c r="N722" t="str">
        <f t="shared" ref="N722:N739" si="47">IF(M722="","",(IF(M722=-2,"Eagle",IF(M722=-1,"Birdie",IF(M722=0,"Par",IF(M722=1,"Bogey",IF(M722=2,"Double Bogey",IF(M722=3,"Triple Bogey",IF(M722&gt;3,"Quad Bogey+")))))))))</f>
        <v>Bogey</v>
      </c>
      <c r="O722" cm="1">
        <f t="array" ref="O722">IFERROR(
  INDEX('Putt Log'!$E$2:$V$72,
    MATCH(1,
      ('Putt Log'!$A$2:$A$72=$A722)*
      ('Putt Log'!$B$2:$B$72=$B722)*
      ('Putt Log'!$C$2:$C$72=$C722),
    0),
    MATCH($G722,'Putt Log'!$E$1:$V$1,0)
  ),
"")</f>
        <v>2</v>
      </c>
      <c r="P722" cm="1">
        <f t="array" ref="P722">IF(K722=3,"",
  IFERROR(
    INDEX('Fairway Log'!$E$2:$V$72,
      MATCH(1,
        ('Fairway Log'!$A$2:$A$72=$A722)*
        ('Fairway Log'!$B$2:$B$72=$B722)*
        ('Fairway Log'!$C$2:$C793=$C722),
      0),
      MATCH($G722,'Fairway Log'!$E$1:$V$1,0)
    ),
  "")
)</f>
        <v>1</v>
      </c>
      <c r="Q722" t="str" cm="1">
        <f t="array" ref="Q722">IFERROR(
  INDEX('GIR Log'!$E$2:$V$72,
    MATCH(1,
      ('GIR Log'!$A$2:$A$72=$A722)*
      ('GIR Log'!$B$2:$B$72=$B722)*
      ('GIR Log'!$C$2:$C$72=$C722),
    0),
    MATCH($G722,'GIR Log'!$E$1:$V$1,0)
  ),
"")</f>
        <v>NC</v>
      </c>
    </row>
    <row r="723" spans="1:17" x14ac:dyDescent="0.25">
      <c r="A723" s="20" t="s">
        <v>126</v>
      </c>
      <c r="B723" s="2">
        <v>45897</v>
      </c>
      <c r="C723" s="15" t="s">
        <v>41</v>
      </c>
      <c r="D723" s="15" t="s">
        <v>79</v>
      </c>
      <c r="E723" s="15" t="s">
        <v>34</v>
      </c>
      <c r="F723">
        <v>89</v>
      </c>
      <c r="G723" s="12" t="s">
        <v>48</v>
      </c>
      <c r="H723" s="9">
        <f t="shared" si="45"/>
        <v>2</v>
      </c>
      <c r="I723" cm="1">
        <f t="array" ref="I723">IFERROR(INDEX(CourseYardages[[Hole 1]:[Hole 18]],
  MATCH(1, (CourseYardages[Course]=C723)*(CourseYardages[Tees]=E723), 0),
  MATCH(G723, CourseYardages[[#Headers],[Hole 1]:[Hole 18]], 0)
),"")</f>
        <v>338</v>
      </c>
      <c r="J723" cm="1">
        <f t="array" ref="J723">IFERROR(INDEX(CourseHandicap[[Hole 1]:[Hole 18]],
  MATCH(1, (CourseHandicap[Course]=C723)*(CourseHandicap[Tees]=E723), 0),
  MATCH(G723, CourseHandicap[[#Headers],[Hole 1]:[Hole 18]], 0)
),"")</f>
        <v>13</v>
      </c>
      <c r="K723" cm="1">
        <f t="array" ref="K723">IFERROR(INDEX(CourseRatings[[Hole 1]:[Hole 18]],
  MATCH(1, (CourseRatings[Course]=C723)*(CourseRatings[Tees]=E723), 0),
  MATCH(G723, CourseRatings[[#Headers],[Hole 1]:[Hole 18]], 0)
),"")</f>
        <v>4</v>
      </c>
      <c r="L723" cm="1">
        <f t="array" ref="L723">IFERROR(
  INDEX('Golf Log'!$E$2:$V$72,
    MATCH(1,
      ('Golf Log'!$A$2:$A$72=$A723)*
      ('Golf Log'!$B$2:$B$72=$B723)*
      ('Golf Log'!$C$2:$C$72=$C723),
    0),
    MATCH($G723,'Golf Log'!$E$1:$V$1,0)
  ),
"")</f>
        <v>5</v>
      </c>
      <c r="M723">
        <f t="shared" si="46"/>
        <v>1</v>
      </c>
      <c r="N723" t="str">
        <f t="shared" si="47"/>
        <v>Bogey</v>
      </c>
      <c r="O723" cm="1">
        <f t="array" ref="O723">IFERROR(
  INDEX('Putt Log'!$E$2:$V$72,
    MATCH(1,
      ('Putt Log'!$A$2:$A$72=$A723)*
      ('Putt Log'!$B$2:$B$72=$B723)*
      ('Putt Log'!$C$2:$C$72=$C723),
    0),
    MATCH($G723,'Putt Log'!$E$1:$V$1,0)
  ),
"")</f>
        <v>1</v>
      </c>
      <c r="P723" t="str" cm="1">
        <f t="array" ref="P723">IF(K723=3,"",
  IFERROR(
    INDEX('Fairway Log'!$E$2:$V$72,
      MATCH(1,
        ('Fairway Log'!$A$2:$A$72=$A723)*
        ('Fairway Log'!$B$2:$B$72=$B723)*
        ('Fairway Log'!$C$2:$C794=$C723),
      0),
      MATCH($G723,'Fairway Log'!$E$1:$V$1,0)
    ),
  "")
)</f>
        <v>↓</v>
      </c>
      <c r="Q723" t="str" cm="1">
        <f t="array" ref="Q723">IFERROR(
  INDEX('GIR Log'!$E$2:$V$72,
    MATCH(1,
      ('GIR Log'!$A$2:$A$72=$A723)*
      ('GIR Log'!$B$2:$B$72=$B723)*
      ('GIR Log'!$C$2:$C$72=$C723),
    0),
    MATCH($G723,'GIR Log'!$E$1:$V$1,0)
  ),
"")</f>
        <v>NC</v>
      </c>
    </row>
    <row r="724" spans="1:17" x14ac:dyDescent="0.25">
      <c r="A724" s="20" t="s">
        <v>126</v>
      </c>
      <c r="B724" s="2">
        <v>45897</v>
      </c>
      <c r="C724" s="15" t="s">
        <v>41</v>
      </c>
      <c r="D724" s="15" t="s">
        <v>79</v>
      </c>
      <c r="E724" s="15" t="s">
        <v>34</v>
      </c>
      <c r="F724">
        <v>89</v>
      </c>
      <c r="G724" s="12" t="s">
        <v>49</v>
      </c>
      <c r="H724" s="9">
        <f t="shared" si="45"/>
        <v>3</v>
      </c>
      <c r="I724" cm="1">
        <f t="array" ref="I724">IFERROR(INDEX(CourseYardages[[Hole 1]:[Hole 18]],
  MATCH(1, (CourseYardages[Course]=C724)*(CourseYardages[Tees]=E724), 0),
  MATCH(G724, CourseYardages[[#Headers],[Hole 1]:[Hole 18]], 0)
),"")</f>
        <v>187</v>
      </c>
      <c r="J724" cm="1">
        <f t="array" ref="J724">IFERROR(INDEX(CourseHandicap[[Hole 1]:[Hole 18]],
  MATCH(1, (CourseHandicap[Course]=C724)*(CourseHandicap[Tees]=E724), 0),
  MATCH(G724, CourseHandicap[[#Headers],[Hole 1]:[Hole 18]], 0)
),"")</f>
        <v>15</v>
      </c>
      <c r="K724" cm="1">
        <f t="array" ref="K724">IFERROR(INDEX(CourseRatings[[Hole 1]:[Hole 18]],
  MATCH(1, (CourseRatings[Course]=C724)*(CourseRatings[Tees]=E724), 0),
  MATCH(G724, CourseRatings[[#Headers],[Hole 1]:[Hole 18]], 0)
),"")</f>
        <v>3</v>
      </c>
      <c r="L724" cm="1">
        <f t="array" ref="L724">IFERROR(
  INDEX('Golf Log'!$E$2:$V$72,
    MATCH(1,
      ('Golf Log'!$A$2:$A$72=$A724)*
      ('Golf Log'!$B$2:$B$72=$B724)*
      ('Golf Log'!$C$2:$C$72=$C724),
    0),
    MATCH($G724,'Golf Log'!$E$1:$V$1,0)
  ),
"")</f>
        <v>4</v>
      </c>
      <c r="M724">
        <f t="shared" si="46"/>
        <v>1</v>
      </c>
      <c r="N724" t="str">
        <f t="shared" si="47"/>
        <v>Bogey</v>
      </c>
      <c r="O724" cm="1">
        <f t="array" ref="O724">IFERROR(
  INDEX('Putt Log'!$E$2:$V$72,
    MATCH(1,
      ('Putt Log'!$A$2:$A$72=$A724)*
      ('Putt Log'!$B$2:$B$72=$B724)*
      ('Putt Log'!$C$2:$C$72=$C724),
    0),
    MATCH($G724,'Putt Log'!$E$1:$V$1,0)
  ),
"")</f>
        <v>2</v>
      </c>
      <c r="P724" t="str" cm="1">
        <f t="array" ref="P724">IF(K724=3,"",
  IFERROR(
    INDEX('Fairway Log'!$E$2:$V$72,
      MATCH(1,
        ('Fairway Log'!$A$2:$A$72=$A724)*
        ('Fairway Log'!$B$2:$B$72=$B724)*
        ('Fairway Log'!$C$2:$C795=$C724),
      0),
      MATCH($G724,'Fairway Log'!$E$1:$V$1,0)
    ),
  "")
)</f>
        <v/>
      </c>
      <c r="Q724" t="str" cm="1">
        <f t="array" ref="Q724">IFERROR(
  INDEX('GIR Log'!$E$2:$V$72,
    MATCH(1,
      ('GIR Log'!$A$2:$A$72=$A724)*
      ('GIR Log'!$B$2:$B$72=$B724)*
      ('GIR Log'!$C$2:$C$72=$C724),
    0),
    MATCH($G724,'GIR Log'!$E$1:$V$1,0)
  ),
"")</f>
        <v>→</v>
      </c>
    </row>
    <row r="725" spans="1:17" x14ac:dyDescent="0.25">
      <c r="A725" s="20" t="s">
        <v>126</v>
      </c>
      <c r="B725" s="2">
        <v>45897</v>
      </c>
      <c r="C725" s="15" t="s">
        <v>41</v>
      </c>
      <c r="D725" s="15" t="s">
        <v>79</v>
      </c>
      <c r="E725" s="15" t="s">
        <v>34</v>
      </c>
      <c r="F725">
        <v>89</v>
      </c>
      <c r="G725" s="12" t="s">
        <v>50</v>
      </c>
      <c r="H725" s="9">
        <f t="shared" si="45"/>
        <v>4</v>
      </c>
      <c r="I725" cm="1">
        <f t="array" ref="I725">IFERROR(INDEX(CourseYardages[[Hole 1]:[Hole 18]],
  MATCH(1, (CourseYardages[Course]=C725)*(CourseYardages[Tees]=E725), 0),
  MATCH(G725, CourseYardages[[#Headers],[Hole 1]:[Hole 18]], 0)
),"")</f>
        <v>520</v>
      </c>
      <c r="J725" cm="1">
        <f t="array" ref="J725">IFERROR(INDEX(CourseHandicap[[Hole 1]:[Hole 18]],
  MATCH(1, (CourseHandicap[Course]=C725)*(CourseHandicap[Tees]=E725), 0),
  MATCH(G725, CourseHandicap[[#Headers],[Hole 1]:[Hole 18]], 0)
),"")</f>
        <v>7</v>
      </c>
      <c r="K725" cm="1">
        <f t="array" ref="K725">IFERROR(INDEX(CourseRatings[[Hole 1]:[Hole 18]],
  MATCH(1, (CourseRatings[Course]=C725)*(CourseRatings[Tees]=E725), 0),
  MATCH(G725, CourseRatings[[#Headers],[Hole 1]:[Hole 18]], 0)
),"")</f>
        <v>5</v>
      </c>
      <c r="L725" cm="1">
        <f t="array" ref="L725">IFERROR(
  INDEX('Golf Log'!$E$2:$V$72,
    MATCH(1,
      ('Golf Log'!$A$2:$A$72=$A725)*
      ('Golf Log'!$B$2:$B$72=$B725)*
      ('Golf Log'!$C$2:$C$72=$C725),
    0),
    MATCH($G725,'Golf Log'!$E$1:$V$1,0)
  ),
"")</f>
        <v>6</v>
      </c>
      <c r="M725">
        <f t="shared" si="46"/>
        <v>1</v>
      </c>
      <c r="N725" t="str">
        <f t="shared" si="47"/>
        <v>Bogey</v>
      </c>
      <c r="O725" cm="1">
        <f t="array" ref="O725">IFERROR(
  INDEX('Putt Log'!$E$2:$V$72,
    MATCH(1,
      ('Putt Log'!$A$2:$A$72=$A725)*
      ('Putt Log'!$B$2:$B$72=$B725)*
      ('Putt Log'!$C$2:$C$72=$C725),
    0),
    MATCH($G725,'Putt Log'!$E$1:$V$1,0)
  ),
"")</f>
        <v>2</v>
      </c>
      <c r="P725" t="str" cm="1">
        <f t="array" ref="P725">IF(K725=3,"",
  IFERROR(
    INDEX('Fairway Log'!$E$2:$V$72,
      MATCH(1,
        ('Fairway Log'!$A$2:$A$72=$A725)*
        ('Fairway Log'!$B$2:$B$72=$B725)*
        ('Fairway Log'!$C$2:$C796=$C725),
      0),
      MATCH($G725,'Fairway Log'!$E$1:$V$1,0)
    ),
  "")
)</f>
        <v>→</v>
      </c>
      <c r="Q725" t="str" cm="1">
        <f t="array" ref="Q725">IFERROR(
  INDEX('GIR Log'!$E$2:$V$72,
    MATCH(1,
      ('GIR Log'!$A$2:$A$72=$A725)*
      ('GIR Log'!$B$2:$B$72=$B725)*
      ('GIR Log'!$C$2:$C$72=$C725),
    0),
    MATCH($G725,'GIR Log'!$E$1:$V$1,0)
  ),
"")</f>
        <v>↓</v>
      </c>
    </row>
    <row r="726" spans="1:17" x14ac:dyDescent="0.25">
      <c r="A726" s="20" t="s">
        <v>126</v>
      </c>
      <c r="B726" s="2">
        <v>45897</v>
      </c>
      <c r="C726" s="15" t="s">
        <v>41</v>
      </c>
      <c r="D726" s="15" t="s">
        <v>79</v>
      </c>
      <c r="E726" s="15" t="s">
        <v>34</v>
      </c>
      <c r="F726">
        <v>89</v>
      </c>
      <c r="G726" s="12" t="s">
        <v>51</v>
      </c>
      <c r="H726" s="9">
        <f t="shared" si="45"/>
        <v>5</v>
      </c>
      <c r="I726" cm="1">
        <f t="array" ref="I726">IFERROR(INDEX(CourseYardages[[Hole 1]:[Hole 18]],
  MATCH(1, (CourseYardages[Course]=C726)*(CourseYardages[Tees]=E726), 0),
  MATCH(G726, CourseYardages[[#Headers],[Hole 1]:[Hole 18]], 0)
),"")</f>
        <v>349</v>
      </c>
      <c r="J726" cm="1">
        <f t="array" ref="J726">IFERROR(INDEX(CourseHandicap[[Hole 1]:[Hole 18]],
  MATCH(1, (CourseHandicap[Course]=C726)*(CourseHandicap[Tees]=E726), 0),
  MATCH(G726, CourseHandicap[[#Headers],[Hole 1]:[Hole 18]], 0)
),"")</f>
        <v>11</v>
      </c>
      <c r="K726" cm="1">
        <f t="array" ref="K726">IFERROR(INDEX(CourseRatings[[Hole 1]:[Hole 18]],
  MATCH(1, (CourseRatings[Course]=C726)*(CourseRatings[Tees]=E726), 0),
  MATCH(G726, CourseRatings[[#Headers],[Hole 1]:[Hole 18]], 0)
),"")</f>
        <v>4</v>
      </c>
      <c r="L726" cm="1">
        <f t="array" ref="L726">IFERROR(
  INDEX('Golf Log'!$E$2:$V$72,
    MATCH(1,
      ('Golf Log'!$A$2:$A$72=$A726)*
      ('Golf Log'!$B$2:$B$72=$B726)*
      ('Golf Log'!$C$2:$C$72=$C726),
    0),
    MATCH($G726,'Golf Log'!$E$1:$V$1,0)
  ),
"")</f>
        <v>5</v>
      </c>
      <c r="M726">
        <f t="shared" si="46"/>
        <v>1</v>
      </c>
      <c r="N726" t="str">
        <f t="shared" si="47"/>
        <v>Bogey</v>
      </c>
      <c r="O726" cm="1">
        <f t="array" ref="O726">IFERROR(
  INDEX('Putt Log'!$E$2:$V$72,
    MATCH(1,
      ('Putt Log'!$A$2:$A$72=$A726)*
      ('Putt Log'!$B$2:$B$72=$B726)*
      ('Putt Log'!$C$2:$C$72=$C726),
    0),
    MATCH($G726,'Putt Log'!$E$1:$V$1,0)
  ),
"")</f>
        <v>2</v>
      </c>
      <c r="P726" t="str" cm="1">
        <f t="array" ref="P726">IF(K726=3,"",
  IFERROR(
    INDEX('Fairway Log'!$E$2:$V$72,
      MATCH(1,
        ('Fairway Log'!$A$2:$A$72=$A726)*
        ('Fairway Log'!$B$2:$B$72=$B726)*
        ('Fairway Log'!$C$2:$C797=$C726),
      0),
      MATCH($G726,'Fairway Log'!$E$1:$V$1,0)
    ),
  "")
)</f>
        <v>↓</v>
      </c>
      <c r="Q726" t="str" cm="1">
        <f t="array" ref="Q726">IFERROR(
  INDEX('GIR Log'!$E$2:$V$72,
    MATCH(1,
      ('GIR Log'!$A$2:$A$72=$A726)*
      ('GIR Log'!$B$2:$B$72=$B726)*
      ('GIR Log'!$C$2:$C$72=$C726),
    0),
    MATCH($G726,'GIR Log'!$E$1:$V$1,0)
  ),
"")</f>
        <v>NC</v>
      </c>
    </row>
    <row r="727" spans="1:17" x14ac:dyDescent="0.25">
      <c r="A727" s="20" t="s">
        <v>126</v>
      </c>
      <c r="B727" s="2">
        <v>45897</v>
      </c>
      <c r="C727" s="15" t="s">
        <v>41</v>
      </c>
      <c r="D727" s="15" t="s">
        <v>79</v>
      </c>
      <c r="E727" s="15" t="s">
        <v>34</v>
      </c>
      <c r="F727">
        <v>89</v>
      </c>
      <c r="G727" s="12" t="s">
        <v>52</v>
      </c>
      <c r="H727" s="9">
        <f t="shared" si="45"/>
        <v>6</v>
      </c>
      <c r="I727" cm="1">
        <f t="array" ref="I727">IFERROR(INDEX(CourseYardages[[Hole 1]:[Hole 18]],
  MATCH(1, (CourseYardages[Course]=C727)*(CourseYardages[Tees]=E727), 0),
  MATCH(G727, CourseYardages[[#Headers],[Hole 1]:[Hole 18]], 0)
),"")</f>
        <v>153</v>
      </c>
      <c r="J727" cm="1">
        <f t="array" ref="J727">IFERROR(INDEX(CourseHandicap[[Hole 1]:[Hole 18]],
  MATCH(1, (CourseHandicap[Course]=C727)*(CourseHandicap[Tees]=E727), 0),
  MATCH(G727, CourseHandicap[[#Headers],[Hole 1]:[Hole 18]], 0)
),"")</f>
        <v>17</v>
      </c>
      <c r="K727" cm="1">
        <f t="array" ref="K727">IFERROR(INDEX(CourseRatings[[Hole 1]:[Hole 18]],
  MATCH(1, (CourseRatings[Course]=C727)*(CourseRatings[Tees]=E727), 0),
  MATCH(G727, CourseRatings[[#Headers],[Hole 1]:[Hole 18]], 0)
),"")</f>
        <v>3</v>
      </c>
      <c r="L727" cm="1">
        <f t="array" ref="L727">IFERROR(
  INDEX('Golf Log'!$E$2:$V$72,
    MATCH(1,
      ('Golf Log'!$A$2:$A$72=$A727)*
      ('Golf Log'!$B$2:$B$72=$B727)*
      ('Golf Log'!$C$2:$C$72=$C727),
    0),
    MATCH($G727,'Golf Log'!$E$1:$V$1,0)
  ),
"")</f>
        <v>5</v>
      </c>
      <c r="M727">
        <f t="shared" si="46"/>
        <v>2</v>
      </c>
      <c r="N727" t="str">
        <f t="shared" si="47"/>
        <v>Double Bogey</v>
      </c>
      <c r="O727" cm="1">
        <f t="array" ref="O727">IFERROR(
  INDEX('Putt Log'!$E$2:$V$72,
    MATCH(1,
      ('Putt Log'!$A$2:$A$72=$A727)*
      ('Putt Log'!$B$2:$B$72=$B727)*
      ('Putt Log'!$C$2:$C$72=$C727),
    0),
    MATCH($G727,'Putt Log'!$E$1:$V$1,0)
  ),
"")</f>
        <v>2</v>
      </c>
      <c r="P727" t="str" cm="1">
        <f t="array" ref="P727">IF(K727=3,"",
  IFERROR(
    INDEX('Fairway Log'!$E$2:$V$72,
      MATCH(1,
        ('Fairway Log'!$A$2:$A$72=$A727)*
        ('Fairway Log'!$B$2:$B$72=$B727)*
        ('Fairway Log'!$C$2:$C798=$C727),
      0),
      MATCH($G727,'Fairway Log'!$E$1:$V$1,0)
    ),
  "")
)</f>
        <v/>
      </c>
      <c r="Q727" cm="1">
        <f t="array" ref="Q727">IFERROR(
  INDEX('GIR Log'!$E$2:$V$72,
    MATCH(1,
      ('GIR Log'!$A$2:$A$72=$A727)*
      ('GIR Log'!$B$2:$B$72=$B727)*
      ('GIR Log'!$C$2:$C$72=$C727),
    0),
    MATCH($G727,'GIR Log'!$E$1:$V$1,0)
  ),
"")</f>
        <v>0</v>
      </c>
    </row>
    <row r="728" spans="1:17" x14ac:dyDescent="0.25">
      <c r="A728" s="20" t="s">
        <v>126</v>
      </c>
      <c r="B728" s="2">
        <v>45897</v>
      </c>
      <c r="C728" s="15" t="s">
        <v>41</v>
      </c>
      <c r="D728" s="15" t="s">
        <v>79</v>
      </c>
      <c r="E728" s="15" t="s">
        <v>34</v>
      </c>
      <c r="F728">
        <v>89</v>
      </c>
      <c r="G728" s="12" t="s">
        <v>53</v>
      </c>
      <c r="H728" s="9">
        <f t="shared" si="45"/>
        <v>7</v>
      </c>
      <c r="I728" cm="1">
        <f t="array" ref="I728">IFERROR(INDEX(CourseYardages[[Hole 1]:[Hole 18]],
  MATCH(1, (CourseYardages[Course]=C728)*(CourseYardages[Tees]=E728), 0),
  MATCH(G728, CourseYardages[[#Headers],[Hole 1]:[Hole 18]], 0)
),"")</f>
        <v>394</v>
      </c>
      <c r="J728" cm="1">
        <f t="array" ref="J728">IFERROR(INDEX(CourseHandicap[[Hole 1]:[Hole 18]],
  MATCH(1, (CourseHandicap[Course]=C728)*(CourseHandicap[Tees]=E728), 0),
  MATCH(G728, CourseHandicap[[#Headers],[Hole 1]:[Hole 18]], 0)
),"")</f>
        <v>9</v>
      </c>
      <c r="K728" cm="1">
        <f t="array" ref="K728">IFERROR(INDEX(CourseRatings[[Hole 1]:[Hole 18]],
  MATCH(1, (CourseRatings[Course]=C728)*(CourseRatings[Tees]=E728), 0),
  MATCH(G728, CourseRatings[[#Headers],[Hole 1]:[Hole 18]], 0)
),"")</f>
        <v>4</v>
      </c>
      <c r="L728" cm="1">
        <f t="array" ref="L728">IFERROR(
  INDEX('Golf Log'!$E$2:$V$72,
    MATCH(1,
      ('Golf Log'!$A$2:$A$72=$A728)*
      ('Golf Log'!$B$2:$B$72=$B728)*
      ('Golf Log'!$C$2:$C$72=$C728),
    0),
    MATCH($G728,'Golf Log'!$E$1:$V$1,0)
  ),
"")</f>
        <v>4</v>
      </c>
      <c r="M728">
        <f t="shared" si="46"/>
        <v>0</v>
      </c>
      <c r="N728" t="str">
        <f t="shared" si="47"/>
        <v>Par</v>
      </c>
      <c r="O728" cm="1">
        <f t="array" ref="O728">IFERROR(
  INDEX('Putt Log'!$E$2:$V$72,
    MATCH(1,
      ('Putt Log'!$A$2:$A$72=$A728)*
      ('Putt Log'!$B$2:$B$72=$B728)*
      ('Putt Log'!$C$2:$C$72=$C728),
    0),
    MATCH($G728,'Putt Log'!$E$1:$V$1,0)
  ),
"")</f>
        <v>2</v>
      </c>
      <c r="P728" t="str" cm="1">
        <f t="array" ref="P728">IF(K728=3,"",
  IFERROR(
    INDEX('Fairway Log'!$E$2:$V$72,
      MATCH(1,
        ('Fairway Log'!$A$2:$A$72=$A728)*
        ('Fairway Log'!$B$2:$B$72=$B728)*
        ('Fairway Log'!$C$2:$C799=$C728),
      0),
      MATCH($G728,'Fairway Log'!$E$1:$V$1,0)
    ),
  "")
)</f>
        <v>→</v>
      </c>
      <c r="Q728" cm="1">
        <f t="array" ref="Q728">IFERROR(
  INDEX('GIR Log'!$E$2:$V$72,
    MATCH(1,
      ('GIR Log'!$A$2:$A$72=$A728)*
      ('GIR Log'!$B$2:$B$72=$B728)*
      ('GIR Log'!$C$2:$C$72=$C728),
    0),
    MATCH($G728,'GIR Log'!$E$1:$V$1,0)
  ),
"")</f>
        <v>1</v>
      </c>
    </row>
    <row r="729" spans="1:17" x14ac:dyDescent="0.25">
      <c r="A729" s="20" t="s">
        <v>126</v>
      </c>
      <c r="B729" s="2">
        <v>45897</v>
      </c>
      <c r="C729" s="15" t="s">
        <v>41</v>
      </c>
      <c r="D729" s="15" t="s">
        <v>79</v>
      </c>
      <c r="E729" s="15" t="s">
        <v>34</v>
      </c>
      <c r="F729">
        <v>89</v>
      </c>
      <c r="G729" s="12" t="s">
        <v>54</v>
      </c>
      <c r="H729" s="9">
        <f t="shared" si="45"/>
        <v>8</v>
      </c>
      <c r="I729" cm="1">
        <f t="array" ref="I729">IFERROR(INDEX(CourseYardages[[Hole 1]:[Hole 18]],
  MATCH(1, (CourseYardages[Course]=C729)*(CourseYardages[Tees]=E729), 0),
  MATCH(G729, CourseYardages[[#Headers],[Hole 1]:[Hole 18]], 0)
),"")</f>
        <v>399</v>
      </c>
      <c r="J729" cm="1">
        <f t="array" ref="J729">IFERROR(INDEX(CourseHandicap[[Hole 1]:[Hole 18]],
  MATCH(1, (CourseHandicap[Course]=C729)*(CourseHandicap[Tees]=E729), 0),
  MATCH(G729, CourseHandicap[[#Headers],[Hole 1]:[Hole 18]], 0)
),"")</f>
        <v>3</v>
      </c>
      <c r="K729" cm="1">
        <f t="array" ref="K729">IFERROR(INDEX(CourseRatings[[Hole 1]:[Hole 18]],
  MATCH(1, (CourseRatings[Course]=C729)*(CourseRatings[Tees]=E729), 0),
  MATCH(G729, CourseRatings[[#Headers],[Hole 1]:[Hole 18]], 0)
),"")</f>
        <v>4</v>
      </c>
      <c r="L729" cm="1">
        <f t="array" ref="L729">IFERROR(
  INDEX('Golf Log'!$E$2:$V$72,
    MATCH(1,
      ('Golf Log'!$A$2:$A$72=$A729)*
      ('Golf Log'!$B$2:$B$72=$B729)*
      ('Golf Log'!$C$2:$C$72=$C729),
    0),
    MATCH($G729,'Golf Log'!$E$1:$V$1,0)
  ),
"")</f>
        <v>5</v>
      </c>
      <c r="M729">
        <f t="shared" si="46"/>
        <v>1</v>
      </c>
      <c r="N729" t="str">
        <f t="shared" si="47"/>
        <v>Bogey</v>
      </c>
      <c r="O729" cm="1">
        <f t="array" ref="O729">IFERROR(
  INDEX('Putt Log'!$E$2:$V$72,
    MATCH(1,
      ('Putt Log'!$A$2:$A$72=$A729)*
      ('Putt Log'!$B$2:$B$72=$B729)*
      ('Putt Log'!$C$2:$C$72=$C729),
    0),
    MATCH($G729,'Putt Log'!$E$1:$V$1,0)
  ),
"")</f>
        <v>1</v>
      </c>
      <c r="P729" t="str" cm="1">
        <f t="array" ref="P729">IF(K729=3,"",
  IFERROR(
    INDEX('Fairway Log'!$E$2:$V$72,
      MATCH(1,
        ('Fairway Log'!$A$2:$A$72=$A729)*
        ('Fairway Log'!$B$2:$B$72=$B729)*
        ('Fairway Log'!$C$2:$C800=$C729),
      0),
      MATCH($G729,'Fairway Log'!$E$1:$V$1,0)
    ),
  "")
)</f>
        <v>→</v>
      </c>
      <c r="Q729" t="str" cm="1">
        <f t="array" ref="Q729">IFERROR(
  INDEX('GIR Log'!$E$2:$V$72,
    MATCH(1,
      ('GIR Log'!$A$2:$A$72=$A729)*
      ('GIR Log'!$B$2:$B$72=$B729)*
      ('GIR Log'!$C$2:$C$72=$C729),
    0),
    MATCH($G729,'GIR Log'!$E$1:$V$1,0)
  ),
"")</f>
        <v>NC</v>
      </c>
    </row>
    <row r="730" spans="1:17" x14ac:dyDescent="0.25">
      <c r="A730" s="20" t="s">
        <v>126</v>
      </c>
      <c r="B730" s="2">
        <v>45897</v>
      </c>
      <c r="C730" s="15" t="s">
        <v>41</v>
      </c>
      <c r="D730" s="15" t="s">
        <v>79</v>
      </c>
      <c r="E730" s="15" t="s">
        <v>34</v>
      </c>
      <c r="F730">
        <v>89</v>
      </c>
      <c r="G730" s="12" t="s">
        <v>55</v>
      </c>
      <c r="H730" s="9">
        <f t="shared" si="45"/>
        <v>9</v>
      </c>
      <c r="I730" cm="1">
        <f t="array" ref="I730">IFERROR(INDEX(CourseYardages[[Hole 1]:[Hole 18]],
  MATCH(1, (CourseYardages[Course]=C730)*(CourseYardages[Tees]=E730), 0),
  MATCH(G730, CourseYardages[[#Headers],[Hole 1]:[Hole 18]], 0)
),"")</f>
        <v>512</v>
      </c>
      <c r="J730" cm="1">
        <f t="array" ref="J730">IFERROR(INDEX(CourseHandicap[[Hole 1]:[Hole 18]],
  MATCH(1, (CourseHandicap[Course]=C730)*(CourseHandicap[Tees]=E730), 0),
  MATCH(G730, CourseHandicap[[#Headers],[Hole 1]:[Hole 18]], 0)
),"")</f>
        <v>5</v>
      </c>
      <c r="K730" cm="1">
        <f t="array" ref="K730">IFERROR(INDEX(CourseRatings[[Hole 1]:[Hole 18]],
  MATCH(1, (CourseRatings[Course]=C730)*(CourseRatings[Tees]=E730), 0),
  MATCH(G730, CourseRatings[[#Headers],[Hole 1]:[Hole 18]], 0)
),"")</f>
        <v>5</v>
      </c>
      <c r="L730" cm="1">
        <f t="array" ref="L730">IFERROR(
  INDEX('Golf Log'!$E$2:$V$72,
    MATCH(1,
      ('Golf Log'!$A$2:$A$72=$A730)*
      ('Golf Log'!$B$2:$B$72=$B730)*
      ('Golf Log'!$C$2:$C$72=$C730),
    0),
    MATCH($G730,'Golf Log'!$E$1:$V$1,0)
  ),
"")</f>
        <v>5</v>
      </c>
      <c r="M730">
        <f t="shared" si="46"/>
        <v>0</v>
      </c>
      <c r="N730" t="str">
        <f t="shared" si="47"/>
        <v>Par</v>
      </c>
      <c r="O730" cm="1">
        <f t="array" ref="O730">IFERROR(
  INDEX('Putt Log'!$E$2:$V$72,
    MATCH(1,
      ('Putt Log'!$A$2:$A$72=$A730)*
      ('Putt Log'!$B$2:$B$72=$B730)*
      ('Putt Log'!$C$2:$C$72=$C730),
    0),
    MATCH($G730,'Putt Log'!$E$1:$V$1,0)
  ),
"")</f>
        <v>2</v>
      </c>
      <c r="P730" t="str" cm="1">
        <f t="array" ref="P730">IF(K730=3,"",
  IFERROR(
    INDEX('Fairway Log'!$E$2:$V$72,
      MATCH(1,
        ('Fairway Log'!$A$2:$A$72=$A730)*
        ('Fairway Log'!$B$2:$B$72=$B730)*
        ('Fairway Log'!$C$2:$C801=$C730),
      0),
      MATCH($G730,'Fairway Log'!$E$1:$V$1,0)
    ),
  "")
)</f>
        <v>→</v>
      </c>
      <c r="Q730" cm="1">
        <f t="array" ref="Q730">IFERROR(
  INDEX('GIR Log'!$E$2:$V$72,
    MATCH(1,
      ('GIR Log'!$A$2:$A$72=$A730)*
      ('GIR Log'!$B$2:$B$72=$B730)*
      ('GIR Log'!$C$2:$C$72=$C730),
    0),
    MATCH($G730,'GIR Log'!$E$1:$V$1,0)
  ),
"")</f>
        <v>1</v>
      </c>
    </row>
    <row r="731" spans="1:17" x14ac:dyDescent="0.25">
      <c r="A731" s="20" t="s">
        <v>126</v>
      </c>
      <c r="B731" s="2">
        <v>45897</v>
      </c>
      <c r="C731" s="15" t="s">
        <v>41</v>
      </c>
      <c r="D731" s="15" t="s">
        <v>79</v>
      </c>
      <c r="E731" s="15" t="s">
        <v>34</v>
      </c>
      <c r="F731">
        <v>89</v>
      </c>
      <c r="G731" s="12" t="s">
        <v>56</v>
      </c>
      <c r="H731" s="9">
        <f t="shared" si="45"/>
        <v>10</v>
      </c>
      <c r="I731" cm="1">
        <f t="array" ref="I731">IFERROR(INDEX(CourseYardages[[Hole 1]:[Hole 18]],
  MATCH(1, (CourseYardages[Course]=C731)*(CourseYardages[Tees]=E731), 0),
  MATCH(G731, CourseYardages[[#Headers],[Hole 1]:[Hole 18]], 0)
),"")</f>
        <v>326</v>
      </c>
      <c r="J731" cm="1">
        <f t="array" ref="J731">IFERROR(INDEX(CourseHandicap[[Hole 1]:[Hole 18]],
  MATCH(1, (CourseHandicap[Course]=C731)*(CourseHandicap[Tees]=E731), 0),
  MATCH(G731, CourseHandicap[[#Headers],[Hole 1]:[Hole 18]], 0)
),"")</f>
        <v>12</v>
      </c>
      <c r="K731" cm="1">
        <f t="array" ref="K731">IFERROR(INDEX(CourseRatings[[Hole 1]:[Hole 18]],
  MATCH(1, (CourseRatings[Course]=C731)*(CourseRatings[Tees]=E731), 0),
  MATCH(G731, CourseRatings[[#Headers],[Hole 1]:[Hole 18]], 0)
),"")</f>
        <v>4</v>
      </c>
      <c r="L731" cm="1">
        <f t="array" ref="L731">IFERROR(
  INDEX('Golf Log'!$E$2:$V$72,
    MATCH(1,
      ('Golf Log'!$A$2:$A$72=$A731)*
      ('Golf Log'!$B$2:$B$72=$B731)*
      ('Golf Log'!$C$2:$C$72=$C731),
    0),
    MATCH($G731,'Golf Log'!$E$1:$V$1,0)
  ),
"")</f>
        <v>5</v>
      </c>
      <c r="M731">
        <f t="shared" si="46"/>
        <v>1</v>
      </c>
      <c r="N731" t="str">
        <f t="shared" si="47"/>
        <v>Bogey</v>
      </c>
      <c r="O731" cm="1">
        <f t="array" ref="O731">IFERROR(
  INDEX('Putt Log'!$E$2:$V$72,
    MATCH(1,
      ('Putt Log'!$A$2:$A$72=$A731)*
      ('Putt Log'!$B$2:$B$72=$B731)*
      ('Putt Log'!$C$2:$C$72=$C731),
    0),
    MATCH($G731,'Putt Log'!$E$1:$V$1,0)
  ),
"")</f>
        <v>2</v>
      </c>
      <c r="P731" cm="1">
        <f t="array" ref="P731">IF(K731=3,"",
  IFERROR(
    INDEX('Fairway Log'!$E$2:$V$72,
      MATCH(1,
        ('Fairway Log'!$A$2:$A$72=$A731)*
        ('Fairway Log'!$B$2:$B$72=$B731)*
        ('Fairway Log'!$C$2:$C802=$C731),
      0),
      MATCH($G731,'Fairway Log'!$E$1:$V$1,0)
    ),
  "")
)</f>
        <v>1</v>
      </c>
      <c r="Q731" t="str" cm="1">
        <f t="array" ref="Q731">IFERROR(
  INDEX('GIR Log'!$E$2:$V$72,
    MATCH(1,
      ('GIR Log'!$A$2:$A$72=$A731)*
      ('GIR Log'!$B$2:$B$72=$B731)*
      ('GIR Log'!$C$2:$C$72=$C731),
    0),
    MATCH($G731,'GIR Log'!$E$1:$V$1,0)
  ),
"")</f>
        <v>↓</v>
      </c>
    </row>
    <row r="732" spans="1:17" x14ac:dyDescent="0.25">
      <c r="A732" s="20" t="s">
        <v>126</v>
      </c>
      <c r="B732" s="2">
        <v>45897</v>
      </c>
      <c r="C732" s="15" t="s">
        <v>41</v>
      </c>
      <c r="D732" s="15" t="s">
        <v>79</v>
      </c>
      <c r="E732" s="15" t="s">
        <v>34</v>
      </c>
      <c r="F732">
        <v>89</v>
      </c>
      <c r="G732" s="12" t="s">
        <v>57</v>
      </c>
      <c r="H732" s="9">
        <f t="shared" si="45"/>
        <v>11</v>
      </c>
      <c r="I732" cm="1">
        <f t="array" ref="I732">IFERROR(INDEX(CourseYardages[[Hole 1]:[Hole 18]],
  MATCH(1, (CourseYardages[Course]=C732)*(CourseYardages[Tees]=E732), 0),
  MATCH(G732, CourseYardages[[#Headers],[Hole 1]:[Hole 18]], 0)
),"")</f>
        <v>497</v>
      </c>
      <c r="J732" cm="1">
        <f t="array" ref="J732">IFERROR(INDEX(CourseHandicap[[Hole 1]:[Hole 18]],
  MATCH(1, (CourseHandicap[Course]=C732)*(CourseHandicap[Tees]=E732), 0),
  MATCH(G732, CourseHandicap[[#Headers],[Hole 1]:[Hole 18]], 0)
),"")</f>
        <v>6</v>
      </c>
      <c r="K732" cm="1">
        <f t="array" ref="K732">IFERROR(INDEX(CourseRatings[[Hole 1]:[Hole 18]],
  MATCH(1, (CourseRatings[Course]=C732)*(CourseRatings[Tees]=E732), 0),
  MATCH(G732, CourseRatings[[#Headers],[Hole 1]:[Hole 18]], 0)
),"")</f>
        <v>5</v>
      </c>
      <c r="L732" cm="1">
        <f t="array" ref="L732">IFERROR(
  INDEX('Golf Log'!$E$2:$V$72,
    MATCH(1,
      ('Golf Log'!$A$2:$A$72=$A732)*
      ('Golf Log'!$B$2:$B$72=$B732)*
      ('Golf Log'!$C$2:$C$72=$C732),
    0),
    MATCH($G732,'Golf Log'!$E$1:$V$1,0)
  ),
"")</f>
        <v>5</v>
      </c>
      <c r="M732">
        <f t="shared" si="46"/>
        <v>0</v>
      </c>
      <c r="N732" t="str">
        <f t="shared" si="47"/>
        <v>Par</v>
      </c>
      <c r="O732" cm="1">
        <f t="array" ref="O732">IFERROR(
  INDEX('Putt Log'!$E$2:$V$72,
    MATCH(1,
      ('Putt Log'!$A$2:$A$72=$A732)*
      ('Putt Log'!$B$2:$B$72=$B732)*
      ('Putt Log'!$C$2:$C$72=$C732),
    0),
    MATCH($G732,'Putt Log'!$E$1:$V$1,0)
  ),
"")</f>
        <v>1</v>
      </c>
      <c r="P732" t="str" cm="1">
        <f t="array" ref="P732">IF(K732=3,"",
  IFERROR(
    INDEX('Fairway Log'!$E$2:$V$72,
      MATCH(1,
        ('Fairway Log'!$A$2:$A$72=$A732)*
        ('Fairway Log'!$B$2:$B$72=$B732)*
        ('Fairway Log'!$C$2:$C803=$C732),
      0),
      MATCH($G732,'Fairway Log'!$E$1:$V$1,0)
    ),
  "")
)</f>
        <v>→</v>
      </c>
      <c r="Q732" t="str" cm="1">
        <f t="array" ref="Q732">IFERROR(
  INDEX('GIR Log'!$E$2:$V$72,
    MATCH(1,
      ('GIR Log'!$A$2:$A$72=$A732)*
      ('GIR Log'!$B$2:$B$72=$B732)*
      ('GIR Log'!$C$2:$C$72=$C732),
    0),
    MATCH($G732,'GIR Log'!$E$1:$V$1,0)
  ),
"")</f>
        <v>NC</v>
      </c>
    </row>
    <row r="733" spans="1:17" x14ac:dyDescent="0.25">
      <c r="A733" s="20" t="s">
        <v>126</v>
      </c>
      <c r="B733" s="2">
        <v>45897</v>
      </c>
      <c r="C733" s="15" t="s">
        <v>41</v>
      </c>
      <c r="D733" s="15" t="s">
        <v>79</v>
      </c>
      <c r="E733" s="15" t="s">
        <v>34</v>
      </c>
      <c r="F733">
        <v>89</v>
      </c>
      <c r="G733" s="12" t="s">
        <v>58</v>
      </c>
      <c r="H733" s="9">
        <f t="shared" si="45"/>
        <v>12</v>
      </c>
      <c r="I733" cm="1">
        <f t="array" ref="I733">IFERROR(INDEX(CourseYardages[[Hole 1]:[Hole 18]],
  MATCH(1, (CourseYardages[Course]=C733)*(CourseYardages[Tees]=E733), 0),
  MATCH(G733, CourseYardages[[#Headers],[Hole 1]:[Hole 18]], 0)
),"")</f>
        <v>343</v>
      </c>
      <c r="J733" cm="1">
        <f t="array" ref="J733">IFERROR(INDEX(CourseHandicap[[Hole 1]:[Hole 18]],
  MATCH(1, (CourseHandicap[Course]=C733)*(CourseHandicap[Tees]=E733), 0),
  MATCH(G733, CourseHandicap[[#Headers],[Hole 1]:[Hole 18]], 0)
),"")</f>
        <v>14</v>
      </c>
      <c r="K733" cm="1">
        <f t="array" ref="K733">IFERROR(INDEX(CourseRatings[[Hole 1]:[Hole 18]],
  MATCH(1, (CourseRatings[Course]=C733)*(CourseRatings[Tees]=E733), 0),
  MATCH(G733, CourseRatings[[#Headers],[Hole 1]:[Hole 18]], 0)
),"")</f>
        <v>4</v>
      </c>
      <c r="L733" cm="1">
        <f t="array" ref="L733">IFERROR(
  INDEX('Golf Log'!$E$2:$V$72,
    MATCH(1,
      ('Golf Log'!$A$2:$A$72=$A733)*
      ('Golf Log'!$B$2:$B$72=$B733)*
      ('Golf Log'!$C$2:$C$72=$C733),
    0),
    MATCH($G733,'Golf Log'!$E$1:$V$1,0)
  ),
"")</f>
        <v>6</v>
      </c>
      <c r="M733">
        <f t="shared" si="46"/>
        <v>2</v>
      </c>
      <c r="N733" t="str">
        <f t="shared" si="47"/>
        <v>Double Bogey</v>
      </c>
      <c r="O733" cm="1">
        <f t="array" ref="O733">IFERROR(
  INDEX('Putt Log'!$E$2:$V$72,
    MATCH(1,
      ('Putt Log'!$A$2:$A$72=$A733)*
      ('Putt Log'!$B$2:$B$72=$B733)*
      ('Putt Log'!$C$2:$C$72=$C733),
    0),
    MATCH($G733,'Putt Log'!$E$1:$V$1,0)
  ),
"")</f>
        <v>2</v>
      </c>
      <c r="P733" t="str" cm="1">
        <f t="array" ref="P733">IF(K733=3,"",
  IFERROR(
    INDEX('Fairway Log'!$E$2:$V$72,
      MATCH(1,
        ('Fairway Log'!$A$2:$A$72=$A733)*
        ('Fairway Log'!$B$2:$B$72=$B733)*
        ('Fairway Log'!$C$2:$C804=$C733),
      0),
      MATCH($G733,'Fairway Log'!$E$1:$V$1,0)
    ),
  "")
)</f>
        <v>→</v>
      </c>
      <c r="Q733" t="str" cm="1">
        <f t="array" ref="Q733">IFERROR(
  INDEX('GIR Log'!$E$2:$V$72,
    MATCH(1,
      ('GIR Log'!$A$2:$A$72=$A733)*
      ('GIR Log'!$B$2:$B$72=$B733)*
      ('GIR Log'!$C$2:$C$72=$C733),
    0),
    MATCH($G733,'GIR Log'!$E$1:$V$1,0)
  ),
"")</f>
        <v>NC</v>
      </c>
    </row>
    <row r="734" spans="1:17" x14ac:dyDescent="0.25">
      <c r="A734" s="20" t="s">
        <v>126</v>
      </c>
      <c r="B734" s="2">
        <v>45897</v>
      </c>
      <c r="C734" s="15" t="s">
        <v>41</v>
      </c>
      <c r="D734" s="15" t="s">
        <v>79</v>
      </c>
      <c r="E734" s="15" t="s">
        <v>34</v>
      </c>
      <c r="F734">
        <v>89</v>
      </c>
      <c r="G734" s="12" t="s">
        <v>59</v>
      </c>
      <c r="H734" s="9">
        <f t="shared" si="45"/>
        <v>13</v>
      </c>
      <c r="I734" cm="1">
        <f t="array" ref="I734">IFERROR(INDEX(CourseYardages[[Hole 1]:[Hole 18]],
  MATCH(1, (CourseYardages[Course]=C734)*(CourseYardages[Tees]=E734), 0),
  MATCH(G734, CourseYardages[[#Headers],[Hole 1]:[Hole 18]], 0)
),"")</f>
        <v>180</v>
      </c>
      <c r="J734" cm="1">
        <f t="array" ref="J734">IFERROR(INDEX(CourseHandicap[[Hole 1]:[Hole 18]],
  MATCH(1, (CourseHandicap[Course]=C734)*(CourseHandicap[Tees]=E734), 0),
  MATCH(G734, CourseHandicap[[#Headers],[Hole 1]:[Hole 18]], 0)
),"")</f>
        <v>16</v>
      </c>
      <c r="K734" cm="1">
        <f t="array" ref="K734">IFERROR(INDEX(CourseRatings[[Hole 1]:[Hole 18]],
  MATCH(1, (CourseRatings[Course]=C734)*(CourseRatings[Tees]=E734), 0),
  MATCH(G734, CourseRatings[[#Headers],[Hole 1]:[Hole 18]], 0)
),"")</f>
        <v>3</v>
      </c>
      <c r="L734" cm="1">
        <f t="array" ref="L734">IFERROR(
  INDEX('Golf Log'!$E$2:$V$72,
    MATCH(1,
      ('Golf Log'!$A$2:$A$72=$A734)*
      ('Golf Log'!$B$2:$B$72=$B734)*
      ('Golf Log'!$C$2:$C$72=$C734),
    0),
    MATCH($G734,'Golf Log'!$E$1:$V$1,0)
  ),
"")</f>
        <v>4</v>
      </c>
      <c r="M734">
        <f t="shared" si="46"/>
        <v>1</v>
      </c>
      <c r="N734" t="str">
        <f t="shared" si="47"/>
        <v>Bogey</v>
      </c>
      <c r="O734" cm="1">
        <f t="array" ref="O734">IFERROR(
  INDEX('Putt Log'!$E$2:$V$72,
    MATCH(1,
      ('Putt Log'!$A$2:$A$72=$A734)*
      ('Putt Log'!$B$2:$B$72=$B734)*
      ('Putt Log'!$C$2:$C$72=$C734),
    0),
    MATCH($G734,'Putt Log'!$E$1:$V$1,0)
  ),
"")</f>
        <v>2</v>
      </c>
      <c r="P734" t="str" cm="1">
        <f t="array" ref="P734">IF(K734=3,"",
  IFERROR(
    INDEX('Fairway Log'!$E$2:$V$72,
      MATCH(1,
        ('Fairway Log'!$A$2:$A$72=$A734)*
        ('Fairway Log'!$B$2:$B$72=$B734)*
        ('Fairway Log'!$C$2:$C805=$C734),
      0),
      MATCH($G734,'Fairway Log'!$E$1:$V$1,0)
    ),
  "")
)</f>
        <v/>
      </c>
      <c r="Q734" t="str" cm="1">
        <f t="array" ref="Q734">IFERROR(
  INDEX('GIR Log'!$E$2:$V$72,
    MATCH(1,
      ('GIR Log'!$A$2:$A$72=$A734)*
      ('GIR Log'!$B$2:$B$72=$B734)*
      ('GIR Log'!$C$2:$C$72=$C734),
    0),
    MATCH($G734,'GIR Log'!$E$1:$V$1,0)
  ),
"")</f>
        <v>↓</v>
      </c>
    </row>
    <row r="735" spans="1:17" x14ac:dyDescent="0.25">
      <c r="A735" s="20" t="s">
        <v>126</v>
      </c>
      <c r="B735" s="2">
        <v>45897</v>
      </c>
      <c r="C735" s="15" t="s">
        <v>41</v>
      </c>
      <c r="D735" s="15" t="s">
        <v>79</v>
      </c>
      <c r="E735" s="15" t="s">
        <v>34</v>
      </c>
      <c r="F735">
        <v>89</v>
      </c>
      <c r="G735" s="12" t="s">
        <v>60</v>
      </c>
      <c r="H735" s="9">
        <f t="shared" si="45"/>
        <v>14</v>
      </c>
      <c r="I735" cm="1">
        <f t="array" ref="I735">IFERROR(INDEX(CourseYardages[[Hole 1]:[Hole 18]],
  MATCH(1, (CourseYardages[Course]=C735)*(CourseYardages[Tees]=E735), 0),
  MATCH(G735, CourseYardages[[#Headers],[Hole 1]:[Hole 18]], 0)
),"")</f>
        <v>411</v>
      </c>
      <c r="J735" cm="1">
        <f t="array" ref="J735">IFERROR(INDEX(CourseHandicap[[Hole 1]:[Hole 18]],
  MATCH(1, (CourseHandicap[Course]=C735)*(CourseHandicap[Tees]=E735), 0),
  MATCH(G735, CourseHandicap[[#Headers],[Hole 1]:[Hole 18]], 0)
),"")</f>
        <v>4</v>
      </c>
      <c r="K735" cm="1">
        <f t="array" ref="K735">IFERROR(INDEX(CourseRatings[[Hole 1]:[Hole 18]],
  MATCH(1, (CourseRatings[Course]=C735)*(CourseRatings[Tees]=E735), 0),
  MATCH(G735, CourseRatings[[#Headers],[Hole 1]:[Hole 18]], 0)
),"")</f>
        <v>4</v>
      </c>
      <c r="L735" cm="1">
        <f t="array" ref="L735">IFERROR(
  INDEX('Golf Log'!$E$2:$V$72,
    MATCH(1,
      ('Golf Log'!$A$2:$A$72=$A735)*
      ('Golf Log'!$B$2:$B$72=$B735)*
      ('Golf Log'!$C$2:$C$72=$C735),
    0),
    MATCH($G735,'Golf Log'!$E$1:$V$1,0)
  ),
"")</f>
        <v>5</v>
      </c>
      <c r="M735">
        <f t="shared" si="46"/>
        <v>1</v>
      </c>
      <c r="N735" t="str">
        <f t="shared" si="47"/>
        <v>Bogey</v>
      </c>
      <c r="O735" cm="1">
        <f t="array" ref="O735">IFERROR(
  INDEX('Putt Log'!$E$2:$V$72,
    MATCH(1,
      ('Putt Log'!$A$2:$A$72=$A735)*
      ('Putt Log'!$B$2:$B$72=$B735)*
      ('Putt Log'!$C$2:$C$72=$C735),
    0),
    MATCH($G735,'Putt Log'!$E$1:$V$1,0)
  ),
"")</f>
        <v>1</v>
      </c>
      <c r="P735" t="str" cm="1">
        <f t="array" ref="P735">IF(K735=3,"",
  IFERROR(
    INDEX('Fairway Log'!$E$2:$V$72,
      MATCH(1,
        ('Fairway Log'!$A$2:$A$72=$A735)*
        ('Fairway Log'!$B$2:$B$72=$B735)*
        ('Fairway Log'!$C$2:$C806=$C735),
      0),
      MATCH($G735,'Fairway Log'!$E$1:$V$1,0)
    ),
  "")
)</f>
        <v>←</v>
      </c>
      <c r="Q735" t="str" cm="1">
        <f t="array" ref="Q735">IFERROR(
  INDEX('GIR Log'!$E$2:$V$72,
    MATCH(1,
      ('GIR Log'!$A$2:$A$72=$A735)*
      ('GIR Log'!$B$2:$B$72=$B735)*
      ('GIR Log'!$C$2:$C$72=$C735),
    0),
    MATCH($G735,'GIR Log'!$E$1:$V$1,0)
  ),
"")</f>
        <v>NC</v>
      </c>
    </row>
    <row r="736" spans="1:17" x14ac:dyDescent="0.25">
      <c r="A736" s="20" t="s">
        <v>126</v>
      </c>
      <c r="B736" s="2">
        <v>45897</v>
      </c>
      <c r="C736" s="15" t="s">
        <v>41</v>
      </c>
      <c r="D736" s="15" t="s">
        <v>79</v>
      </c>
      <c r="E736" s="15" t="s">
        <v>34</v>
      </c>
      <c r="F736">
        <v>89</v>
      </c>
      <c r="G736" s="12" t="s">
        <v>61</v>
      </c>
      <c r="H736" s="9">
        <f t="shared" si="45"/>
        <v>15</v>
      </c>
      <c r="I736" cm="1">
        <f t="array" ref="I736">IFERROR(INDEX(CourseYardages[[Hole 1]:[Hole 18]],
  MATCH(1, (CourseYardages[Course]=C736)*(CourseYardages[Tees]=E736), 0),
  MATCH(G736, CourseYardages[[#Headers],[Hole 1]:[Hole 18]], 0)
),"")</f>
        <v>344</v>
      </c>
      <c r="J736" cm="1">
        <f t="array" ref="J736">IFERROR(INDEX(CourseHandicap[[Hole 1]:[Hole 18]],
  MATCH(1, (CourseHandicap[Course]=C736)*(CourseHandicap[Tees]=E736), 0),
  MATCH(G736, CourseHandicap[[#Headers],[Hole 1]:[Hole 18]], 0)
),"")</f>
        <v>8</v>
      </c>
      <c r="K736" cm="1">
        <f t="array" ref="K736">IFERROR(INDEX(CourseRatings[[Hole 1]:[Hole 18]],
  MATCH(1, (CourseRatings[Course]=C736)*(CourseRatings[Tees]=E736), 0),
  MATCH(G736, CourseRatings[[#Headers],[Hole 1]:[Hole 18]], 0)
),"")</f>
        <v>4</v>
      </c>
      <c r="L736" cm="1">
        <f t="array" ref="L736">IFERROR(
  INDEX('Golf Log'!$E$2:$V$72,
    MATCH(1,
      ('Golf Log'!$A$2:$A$72=$A736)*
      ('Golf Log'!$B$2:$B$72=$B736)*
      ('Golf Log'!$C$2:$C$72=$C736),
    0),
    MATCH($G736,'Golf Log'!$E$1:$V$1,0)
  ),
"")</f>
        <v>4</v>
      </c>
      <c r="M736">
        <f t="shared" si="46"/>
        <v>0</v>
      </c>
      <c r="N736" t="str">
        <f t="shared" si="47"/>
        <v>Par</v>
      </c>
      <c r="O736" cm="1">
        <f t="array" ref="O736">IFERROR(
  INDEX('Putt Log'!$E$2:$V$72,
    MATCH(1,
      ('Putt Log'!$A$2:$A$72=$A736)*
      ('Putt Log'!$B$2:$B$72=$B736)*
      ('Putt Log'!$C$2:$C$72=$C736),
    0),
    MATCH($G736,'Putt Log'!$E$1:$V$1,0)
  ),
"")</f>
        <v>2</v>
      </c>
      <c r="P736" t="str" cm="1">
        <f t="array" ref="P736">IF(K736=3,"",
  IFERROR(
    INDEX('Fairway Log'!$E$2:$V$72,
      MATCH(1,
        ('Fairway Log'!$A$2:$A$72=$A736)*
        ('Fairway Log'!$B$2:$B$72=$B736)*
        ('Fairway Log'!$C$2:$C807=$C736),
      0),
      MATCH($G736,'Fairway Log'!$E$1:$V$1,0)
    ),
  "")
)</f>
        <v>→</v>
      </c>
      <c r="Q736" cm="1">
        <f t="array" ref="Q736">IFERROR(
  INDEX('GIR Log'!$E$2:$V$72,
    MATCH(1,
      ('GIR Log'!$A$2:$A$72=$A736)*
      ('GIR Log'!$B$2:$B$72=$B736)*
      ('GIR Log'!$C$2:$C$72=$C736),
    0),
    MATCH($G736,'GIR Log'!$E$1:$V$1,0)
  ),
"")</f>
        <v>1</v>
      </c>
    </row>
    <row r="737" spans="1:17" x14ac:dyDescent="0.25">
      <c r="A737" s="20" t="s">
        <v>126</v>
      </c>
      <c r="B737" s="2">
        <v>45897</v>
      </c>
      <c r="C737" s="15" t="s">
        <v>41</v>
      </c>
      <c r="D737" s="15" t="s">
        <v>79</v>
      </c>
      <c r="E737" s="15" t="s">
        <v>34</v>
      </c>
      <c r="F737">
        <v>89</v>
      </c>
      <c r="G737" s="12" t="s">
        <v>62</v>
      </c>
      <c r="H737" s="9">
        <f t="shared" si="45"/>
        <v>16</v>
      </c>
      <c r="I737" cm="1">
        <f t="array" ref="I737">IFERROR(INDEX(CourseYardages[[Hole 1]:[Hole 18]],
  MATCH(1, (CourseYardages[Course]=C737)*(CourseYardages[Tees]=E737), 0),
  MATCH(G737, CourseYardages[[#Headers],[Hole 1]:[Hole 18]], 0)
),"")</f>
        <v>158</v>
      </c>
      <c r="J737" cm="1">
        <f t="array" ref="J737">IFERROR(INDEX(CourseHandicap[[Hole 1]:[Hole 18]],
  MATCH(1, (CourseHandicap[Course]=C737)*(CourseHandicap[Tees]=E737), 0),
  MATCH(G737, CourseHandicap[[#Headers],[Hole 1]:[Hole 18]], 0)
),"")</f>
        <v>18</v>
      </c>
      <c r="K737" cm="1">
        <f t="array" ref="K737">IFERROR(INDEX(CourseRatings[[Hole 1]:[Hole 18]],
  MATCH(1, (CourseRatings[Course]=C737)*(CourseRatings[Tees]=E737), 0),
  MATCH(G737, CourseRatings[[#Headers],[Hole 1]:[Hole 18]], 0)
),"")</f>
        <v>3</v>
      </c>
      <c r="L737" cm="1">
        <f t="array" ref="L737">IFERROR(
  INDEX('Golf Log'!$E$2:$V$72,
    MATCH(1,
      ('Golf Log'!$A$2:$A$72=$A737)*
      ('Golf Log'!$B$2:$B$72=$B737)*
      ('Golf Log'!$C$2:$C$72=$C737),
    0),
    MATCH($G737,'Golf Log'!$E$1:$V$1,0)
  ),
"")</f>
        <v>5</v>
      </c>
      <c r="M737">
        <f t="shared" si="46"/>
        <v>2</v>
      </c>
      <c r="N737" t="str">
        <f t="shared" si="47"/>
        <v>Double Bogey</v>
      </c>
      <c r="O737" cm="1">
        <f t="array" ref="O737">IFERROR(
  INDEX('Putt Log'!$E$2:$V$72,
    MATCH(1,
      ('Putt Log'!$A$2:$A$72=$A737)*
      ('Putt Log'!$B$2:$B$72=$B737)*
      ('Putt Log'!$C$2:$C$72=$C737),
    0),
    MATCH($G737,'Putt Log'!$E$1:$V$1,0)
  ),
"")</f>
        <v>1</v>
      </c>
      <c r="P737" t="str" cm="1">
        <f t="array" ref="P737">IF(K737=3,"",
  IFERROR(
    INDEX('Fairway Log'!$E$2:$V$72,
      MATCH(1,
        ('Fairway Log'!$A$2:$A$72=$A737)*
        ('Fairway Log'!$B$2:$B$72=$B737)*
        ('Fairway Log'!$C$2:$C808=$C737),
      0),
      MATCH($G737,'Fairway Log'!$E$1:$V$1,0)
    ),
  "")
)</f>
        <v/>
      </c>
      <c r="Q737" t="str" cm="1">
        <f t="array" ref="Q737">IFERROR(
  INDEX('GIR Log'!$E$2:$V$72,
    MATCH(1,
      ('GIR Log'!$A$2:$A$72=$A737)*
      ('GIR Log'!$B$2:$B$72=$B737)*
      ('GIR Log'!$C$2:$C$72=$C737),
    0),
    MATCH($G737,'GIR Log'!$E$1:$V$1,0)
  ),
"")</f>
        <v>↓</v>
      </c>
    </row>
    <row r="738" spans="1:17" x14ac:dyDescent="0.25">
      <c r="A738" s="20" t="s">
        <v>126</v>
      </c>
      <c r="B738" s="2">
        <v>45897</v>
      </c>
      <c r="C738" s="15" t="s">
        <v>41</v>
      </c>
      <c r="D738" s="15" t="s">
        <v>79</v>
      </c>
      <c r="E738" s="15" t="s">
        <v>34</v>
      </c>
      <c r="F738">
        <v>89</v>
      </c>
      <c r="G738" s="12" t="s">
        <v>63</v>
      </c>
      <c r="H738" s="9">
        <f t="shared" si="45"/>
        <v>17</v>
      </c>
      <c r="I738" cm="1">
        <f t="array" ref="I738">IFERROR(INDEX(CourseYardages[[Hole 1]:[Hole 18]],
  MATCH(1, (CourseYardages[Course]=C738)*(CourseYardages[Tees]=E738), 0),
  MATCH(G738, CourseYardages[[#Headers],[Hole 1]:[Hole 18]], 0)
),"")</f>
        <v>421</v>
      </c>
      <c r="J738" cm="1">
        <f t="array" ref="J738">IFERROR(INDEX(CourseHandicap[[Hole 1]:[Hole 18]],
  MATCH(1, (CourseHandicap[Course]=C738)*(CourseHandicap[Tees]=E738), 0),
  MATCH(G738, CourseHandicap[[#Headers],[Hole 1]:[Hole 18]], 0)
),"")</f>
        <v>2</v>
      </c>
      <c r="K738" cm="1">
        <f t="array" ref="K738">IFERROR(INDEX(CourseRatings[[Hole 1]:[Hole 18]],
  MATCH(1, (CourseRatings[Course]=C738)*(CourseRatings[Tees]=E738), 0),
  MATCH(G738, CourseRatings[[#Headers],[Hole 1]:[Hole 18]], 0)
),"")</f>
        <v>4</v>
      </c>
      <c r="L738" cm="1">
        <f t="array" ref="L738">IFERROR(
  INDEX('Golf Log'!$E$2:$V$72,
    MATCH(1,
      ('Golf Log'!$A$2:$A$72=$A738)*
      ('Golf Log'!$B$2:$B$72=$B738)*
      ('Golf Log'!$C$2:$C$72=$C738),
    0),
    MATCH($G738,'Golf Log'!$E$1:$V$1,0)
  ),
"")</f>
        <v>6</v>
      </c>
      <c r="M738">
        <f t="shared" si="46"/>
        <v>2</v>
      </c>
      <c r="N738" t="str">
        <f t="shared" si="47"/>
        <v>Double Bogey</v>
      </c>
      <c r="O738" cm="1">
        <f t="array" ref="O738">IFERROR(
  INDEX('Putt Log'!$E$2:$V$72,
    MATCH(1,
      ('Putt Log'!$A$2:$A$72=$A738)*
      ('Putt Log'!$B$2:$B$72=$B738)*
      ('Putt Log'!$C$2:$C$72=$C738),
    0),
    MATCH($G738,'Putt Log'!$E$1:$V$1,0)
  ),
"")</f>
        <v>2</v>
      </c>
      <c r="P738" t="str" cm="1">
        <f t="array" ref="P738">IF(K738=3,"",
  IFERROR(
    INDEX('Fairway Log'!$E$2:$V$72,
      MATCH(1,
        ('Fairway Log'!$A$2:$A$72=$A738)*
        ('Fairway Log'!$B$2:$B$72=$B738)*
        ('Fairway Log'!$C$2:$C809=$C738),
      0),
      MATCH($G738,'Fairway Log'!$E$1:$V$1,0)
    ),
  "")
)</f>
        <v>→</v>
      </c>
      <c r="Q738" t="str" cm="1">
        <f t="array" ref="Q738">IFERROR(
  INDEX('GIR Log'!$E$2:$V$72,
    MATCH(1,
      ('GIR Log'!$A$2:$A$72=$A738)*
      ('GIR Log'!$B$2:$B$72=$B738)*
      ('GIR Log'!$C$2:$C$72=$C738),
    0),
    MATCH($G738,'GIR Log'!$E$1:$V$1,0)
  ),
"")</f>
        <v>NC</v>
      </c>
    </row>
    <row r="739" spans="1:17" x14ac:dyDescent="0.25">
      <c r="A739" s="20" t="s">
        <v>126</v>
      </c>
      <c r="B739" s="2">
        <v>45897</v>
      </c>
      <c r="C739" s="15" t="s">
        <v>41</v>
      </c>
      <c r="D739" s="15" t="s">
        <v>79</v>
      </c>
      <c r="E739" s="15" t="s">
        <v>34</v>
      </c>
      <c r="F739">
        <v>89</v>
      </c>
      <c r="G739" s="12" t="s">
        <v>64</v>
      </c>
      <c r="H739" s="9">
        <f t="shared" si="45"/>
        <v>18</v>
      </c>
      <c r="I739" cm="1">
        <f t="array" ref="I739">IFERROR(INDEX(CourseYardages[[Hole 1]:[Hole 18]],
  MATCH(1, (CourseYardages[Course]=C739)*(CourseYardages[Tees]=E739), 0),
  MATCH(G739, CourseYardages[[#Headers],[Hole 1]:[Hole 18]], 0)
),"")</f>
        <v>549</v>
      </c>
      <c r="J739" cm="1">
        <f t="array" ref="J739">IFERROR(INDEX(CourseHandicap[[Hole 1]:[Hole 18]],
  MATCH(1, (CourseHandicap[Course]=C739)*(CourseHandicap[Tees]=E739), 0),
  MATCH(G739, CourseHandicap[[#Headers],[Hole 1]:[Hole 18]], 0)
),"")</f>
        <v>10</v>
      </c>
      <c r="K739" cm="1">
        <f t="array" ref="K739">IFERROR(INDEX(CourseRatings[[Hole 1]:[Hole 18]],
  MATCH(1, (CourseRatings[Course]=C739)*(CourseRatings[Tees]=E739), 0),
  MATCH(G739, CourseRatings[[#Headers],[Hole 1]:[Hole 18]], 0)
),"")</f>
        <v>5</v>
      </c>
      <c r="L739" cm="1">
        <f t="array" ref="L739">IFERROR(
  INDEX('Golf Log'!$E$2:$V$72,
    MATCH(1,
      ('Golf Log'!$A$2:$A$72=$A739)*
      ('Golf Log'!$B$2:$B$72=$B739)*
      ('Golf Log'!$C$2:$C$72=$C739),
    0),
    MATCH($G739,'Golf Log'!$E$1:$V$1,0)
  ),
"")</f>
        <v>5</v>
      </c>
      <c r="M739">
        <f t="shared" si="46"/>
        <v>0</v>
      </c>
      <c r="N739" t="str">
        <f t="shared" si="47"/>
        <v>Par</v>
      </c>
      <c r="O739" cm="1">
        <f t="array" ref="O739">IFERROR(
  INDEX('Putt Log'!$E$2:$V$72,
    MATCH(1,
      ('Putt Log'!$A$2:$A$72=$A739)*
      ('Putt Log'!$B$2:$B$72=$B739)*
      ('Putt Log'!$C$2:$C$72=$C739),
    0),
    MATCH($G739,'Putt Log'!$E$1:$V$1,0)
  ),
"")</f>
        <v>2</v>
      </c>
      <c r="P739" cm="1">
        <f t="array" ref="P739">IF(K739=3,"",
  IFERROR(
    INDEX('Fairway Log'!$E$2:$V$72,
      MATCH(1,
        ('Fairway Log'!$A$2:$A$72=$A739)*
        ('Fairway Log'!$B$2:$B$72=$B739)*
        ('Fairway Log'!$C$2:$C810=$C739),
      0),
      MATCH($G739,'Fairway Log'!$E$1:$V$1,0)
    ),
  "")
)</f>
        <v>1</v>
      </c>
      <c r="Q739" cm="1">
        <f t="array" ref="Q739">IFERROR(
  INDEX('GIR Log'!$E$2:$V$72,
    MATCH(1,
      ('GIR Log'!$A$2:$A$72=$A739)*
      ('GIR Log'!$B$2:$B$72=$B739)*
      ('GIR Log'!$C$2:$C$72=$C739),
    0),
    MATCH($G739,'GIR Log'!$E$1:$V$1,0)
  ),
"")</f>
        <v>1</v>
      </c>
    </row>
    <row r="740" spans="1:17" x14ac:dyDescent="0.25">
      <c r="A740" s="20" t="s">
        <v>127</v>
      </c>
      <c r="B740" s="2">
        <v>45894</v>
      </c>
      <c r="C740" s="20" t="s">
        <v>11</v>
      </c>
      <c r="D740" s="20" t="s">
        <v>77</v>
      </c>
      <c r="E740" s="20" t="s">
        <v>34</v>
      </c>
      <c r="F740">
        <v>112</v>
      </c>
      <c r="G740" t="s">
        <v>47</v>
      </c>
      <c r="H740" s="9">
        <f t="shared" ref="H740:H757" si="48">VALUE(RIGHT(G740, LEN(G740) - 5))</f>
        <v>1</v>
      </c>
      <c r="I740" cm="1">
        <f t="array" ref="I740">IFERROR(INDEX(CourseYardages[[Hole 1]:[Hole 18]],
  MATCH(1, (CourseYardages[Course]=C740)*(CourseYardages[Tees]=E740), 0),
  MATCH(G740, CourseYardages[[#Headers],[Hole 1]:[Hole 18]], 0)
),"")</f>
        <v>298</v>
      </c>
      <c r="J740" cm="1">
        <f t="array" ref="J740">IFERROR(INDEX(CourseHandicap[[Hole 1]:[Hole 18]],
  MATCH(1, (CourseHandicap[Course]=C740)*(CourseHandicap[Tees]=E740), 0),
  MATCH(G740, CourseHandicap[[#Headers],[Hole 1]:[Hole 18]], 0)
),"")</f>
        <v>15</v>
      </c>
      <c r="K740" cm="1">
        <f t="array" ref="K740">IFERROR(INDEX(CourseRatings[[Hole 1]:[Hole 18]],
  MATCH(1, (CourseRatings[Course]=C740)*(CourseRatings[Tees]=E740), 0),
  MATCH(G740, CourseRatings[[#Headers],[Hole 1]:[Hole 18]], 0)
),"")</f>
        <v>4</v>
      </c>
      <c r="L740" cm="1">
        <f t="array" ref="L740">IFERROR(
  INDEX('Golf Log'!$E$2:$V$72,
    MATCH(1,
      ('Golf Log'!$A$2:$A$72=$A740)*
      ('Golf Log'!$B$2:$B$72=$B740)*
      ('Golf Log'!$C$2:$C$72=$C740),
    0),
    MATCH($G740,'Golf Log'!$E$1:$V$1,0)
  ),
"")</f>
        <v>7</v>
      </c>
      <c r="M740">
        <f t="shared" ref="M740:M757" si="49">IFERROR(L740-K740,"")</f>
        <v>3</v>
      </c>
      <c r="N740" t="str">
        <f t="shared" ref="N740:N757" si="50">IF(M740="","",(IF(M740=-2,"Eagle",IF(M740=-1,"Birdie",IF(M740=0,"Par",IF(M740=1,"Bogey",IF(M740=2,"Double Bogey",IF(M740=3,"Triple Bogey",IF(M740&gt;3,"Quad Bogey+")))))))))</f>
        <v>Triple Bogey</v>
      </c>
      <c r="O740" cm="1">
        <f t="array" ref="O740">IFERROR(
  INDEX('Putt Log'!$E$2:$V$72,
    MATCH(1,
      ('Putt Log'!$A$2:$A$72=$A740)*
      ('Putt Log'!$B$2:$B$72=$B740)*
      ('Putt Log'!$C$2:$C$72=$C740),
    0),
    MATCH($G740,'Putt Log'!$E$1:$V$1,0)
  ),
"")</f>
        <v>2</v>
      </c>
      <c r="P740" cm="1">
        <f t="array" ref="P740">IF(K740=3,"",
  IFERROR(
    INDEX('Fairway Log'!$E$2:$V$72,
      MATCH(1,
        ('Fairway Log'!$A$2:$A$72=$A740)*
        ('Fairway Log'!$B$2:$B$72=$B740)*
        ('Fairway Log'!$C$2:$C811=$C740),
      0),
      MATCH($G740,'Fairway Log'!$E$1:$V$1,0)
    ),
  "")
)</f>
        <v>1</v>
      </c>
      <c r="Q740" t="str" cm="1">
        <f t="array" ref="Q740">IFERROR(
  INDEX('GIR Log'!$E$2:$V$72,
    MATCH(1,
      ('GIR Log'!$A$2:$A$72=$A740)*
      ('GIR Log'!$B$2:$B$72=$B740)*
      ('GIR Log'!$C$2:$C$72=$C740),
    0),
    MATCH($G740,'GIR Log'!$E$1:$V$1,0)
  ),
"")</f>
        <v>↓</v>
      </c>
    </row>
    <row r="741" spans="1:17" x14ac:dyDescent="0.25">
      <c r="A741" s="20" t="s">
        <v>127</v>
      </c>
      <c r="B741" s="2">
        <v>45894</v>
      </c>
      <c r="C741" s="20" t="s">
        <v>11</v>
      </c>
      <c r="D741" s="20" t="s">
        <v>77</v>
      </c>
      <c r="E741" s="20" t="s">
        <v>34</v>
      </c>
      <c r="F741">
        <v>112</v>
      </c>
      <c r="G741" t="s">
        <v>48</v>
      </c>
      <c r="H741" s="9">
        <f t="shared" si="48"/>
        <v>2</v>
      </c>
      <c r="I741" cm="1">
        <f t="array" ref="I741">IFERROR(INDEX(CourseYardages[[Hole 1]:[Hole 18]],
  MATCH(1, (CourseYardages[Course]=C741)*(CourseYardages[Tees]=E741), 0),
  MATCH(G741, CourseYardages[[#Headers],[Hole 1]:[Hole 18]], 0)
),"")</f>
        <v>130</v>
      </c>
      <c r="J741" cm="1">
        <f t="array" ref="J741">IFERROR(INDEX(CourseHandicap[[Hole 1]:[Hole 18]],
  MATCH(1, (CourseHandicap[Course]=C741)*(CourseHandicap[Tees]=E741), 0),
  MATCH(G741, CourseHandicap[[#Headers],[Hole 1]:[Hole 18]], 0)
),"")</f>
        <v>17</v>
      </c>
      <c r="K741" cm="1">
        <f t="array" ref="K741">IFERROR(INDEX(CourseRatings[[Hole 1]:[Hole 18]],
  MATCH(1, (CourseRatings[Course]=C741)*(CourseRatings[Tees]=E741), 0),
  MATCH(G741, CourseRatings[[#Headers],[Hole 1]:[Hole 18]], 0)
),"")</f>
        <v>3</v>
      </c>
      <c r="L741" cm="1">
        <f t="array" ref="L741">IFERROR(
  INDEX('Golf Log'!$E$2:$V$72,
    MATCH(1,
      ('Golf Log'!$A$2:$A$72=$A741)*
      ('Golf Log'!$B$2:$B$72=$B741)*
      ('Golf Log'!$C$2:$C$72=$C741),
    0),
    MATCH($G741,'Golf Log'!$E$1:$V$1,0)
  ),
"")</f>
        <v>4</v>
      </c>
      <c r="M741">
        <f t="shared" si="49"/>
        <v>1</v>
      </c>
      <c r="N741" t="str">
        <f t="shared" si="50"/>
        <v>Bogey</v>
      </c>
      <c r="O741" cm="1">
        <f t="array" ref="O741">IFERROR(
  INDEX('Putt Log'!$E$2:$V$72,
    MATCH(1,
      ('Putt Log'!$A$2:$A$72=$A741)*
      ('Putt Log'!$B$2:$B$72=$B741)*
      ('Putt Log'!$C$2:$C$72=$C741),
    0),
    MATCH($G741,'Putt Log'!$E$1:$V$1,0)
  ),
"")</f>
        <v>1</v>
      </c>
      <c r="P741" t="str" cm="1">
        <f t="array" ref="P741">IF(K741=3,"",
  IFERROR(
    INDEX('Fairway Log'!$E$2:$V$72,
      MATCH(1,
        ('Fairway Log'!$A$2:$A$72=$A741)*
        ('Fairway Log'!$B$2:$B$72=$B741)*
        ('Fairway Log'!$C$2:$C812=$C741),
      0),
      MATCH($G741,'Fairway Log'!$E$1:$V$1,0)
    ),
  "")
)</f>
        <v/>
      </c>
      <c r="Q741" t="str" cm="1">
        <f t="array" ref="Q741">IFERROR(
  INDEX('GIR Log'!$E$2:$V$72,
    MATCH(1,
      ('GIR Log'!$A$2:$A$72=$A741)*
      ('GIR Log'!$B$2:$B$72=$B741)*
      ('GIR Log'!$C$2:$C$72=$C741),
    0),
    MATCH($G741,'GIR Log'!$E$1:$V$1,0)
  ),
"")</f>
        <v>←</v>
      </c>
    </row>
    <row r="742" spans="1:17" x14ac:dyDescent="0.25">
      <c r="A742" s="20" t="s">
        <v>127</v>
      </c>
      <c r="B742" s="2">
        <v>45894</v>
      </c>
      <c r="C742" s="20" t="s">
        <v>11</v>
      </c>
      <c r="D742" s="20" t="s">
        <v>77</v>
      </c>
      <c r="E742" s="20" t="s">
        <v>34</v>
      </c>
      <c r="F742">
        <v>112</v>
      </c>
      <c r="G742" t="s">
        <v>49</v>
      </c>
      <c r="H742" s="9">
        <f t="shared" si="48"/>
        <v>3</v>
      </c>
      <c r="I742" cm="1">
        <f t="array" ref="I742">IFERROR(INDEX(CourseYardages[[Hole 1]:[Hole 18]],
  MATCH(1, (CourseYardages[Course]=C742)*(CourseYardages[Tees]=E742), 0),
  MATCH(G742, CourseYardages[[#Headers],[Hole 1]:[Hole 18]], 0)
),"")</f>
        <v>327</v>
      </c>
      <c r="J742" cm="1">
        <f t="array" ref="J742">IFERROR(INDEX(CourseHandicap[[Hole 1]:[Hole 18]],
  MATCH(1, (CourseHandicap[Course]=C742)*(CourseHandicap[Tees]=E742), 0),
  MATCH(G742, CourseHandicap[[#Headers],[Hole 1]:[Hole 18]], 0)
),"")</f>
        <v>9</v>
      </c>
      <c r="K742" cm="1">
        <f t="array" ref="K742">IFERROR(INDEX(CourseRatings[[Hole 1]:[Hole 18]],
  MATCH(1, (CourseRatings[Course]=C742)*(CourseRatings[Tees]=E742), 0),
  MATCH(G742, CourseRatings[[#Headers],[Hole 1]:[Hole 18]], 0)
),"")</f>
        <v>4</v>
      </c>
      <c r="L742" cm="1">
        <f t="array" ref="L742">IFERROR(
  INDEX('Golf Log'!$E$2:$V$72,
    MATCH(1,
      ('Golf Log'!$A$2:$A$72=$A742)*
      ('Golf Log'!$B$2:$B$72=$B742)*
      ('Golf Log'!$C$2:$C$72=$C742),
    0),
    MATCH($G742,'Golf Log'!$E$1:$V$1,0)
  ),
"")</f>
        <v>6</v>
      </c>
      <c r="M742">
        <f t="shared" si="49"/>
        <v>2</v>
      </c>
      <c r="N742" t="str">
        <f t="shared" si="50"/>
        <v>Double Bogey</v>
      </c>
      <c r="O742" cm="1">
        <f t="array" ref="O742">IFERROR(
  INDEX('Putt Log'!$E$2:$V$72,
    MATCH(1,
      ('Putt Log'!$A$2:$A$72=$A742)*
      ('Putt Log'!$B$2:$B$72=$B742)*
      ('Putt Log'!$C$2:$C$72=$C742),
    0),
    MATCH($G742,'Putt Log'!$E$1:$V$1,0)
  ),
"")</f>
        <v>3</v>
      </c>
      <c r="P742" t="str" cm="1">
        <f t="array" ref="P742">IF(K742=3,"",
  IFERROR(
    INDEX('Fairway Log'!$E$2:$V$72,
      MATCH(1,
        ('Fairway Log'!$A$2:$A$72=$A742)*
        ('Fairway Log'!$B$2:$B$72=$B742)*
        ('Fairway Log'!$C$2:$C813=$C742),
      0),
      MATCH($G742,'Fairway Log'!$E$1:$V$1,0)
    ),
  "")
)</f>
        <v>→</v>
      </c>
      <c r="Q742" t="str" cm="1">
        <f t="array" ref="Q742">IFERROR(
  INDEX('GIR Log'!$E$2:$V$72,
    MATCH(1,
      ('GIR Log'!$A$2:$A$72=$A742)*
      ('GIR Log'!$B$2:$B$72=$B742)*
      ('GIR Log'!$C$2:$C$72=$C742),
    0),
    MATCH($G742,'GIR Log'!$E$1:$V$1,0)
  ),
"")</f>
        <v>↓</v>
      </c>
    </row>
    <row r="743" spans="1:17" x14ac:dyDescent="0.25">
      <c r="A743" s="20" t="s">
        <v>127</v>
      </c>
      <c r="B743" s="2">
        <v>45894</v>
      </c>
      <c r="C743" s="20" t="s">
        <v>11</v>
      </c>
      <c r="D743" s="20" t="s">
        <v>77</v>
      </c>
      <c r="E743" s="20" t="s">
        <v>34</v>
      </c>
      <c r="F743">
        <v>112</v>
      </c>
      <c r="G743" t="s">
        <v>50</v>
      </c>
      <c r="H743" s="9">
        <f t="shared" si="48"/>
        <v>4</v>
      </c>
      <c r="I743" cm="1">
        <f t="array" ref="I743">IFERROR(INDEX(CourseYardages[[Hole 1]:[Hole 18]],
  MATCH(1, (CourseYardages[Course]=C743)*(CourseYardages[Tees]=E743), 0),
  MATCH(G743, CourseYardages[[#Headers],[Hole 1]:[Hole 18]], 0)
),"")</f>
        <v>176</v>
      </c>
      <c r="J743" cm="1">
        <f t="array" ref="J743">IFERROR(INDEX(CourseHandicap[[Hole 1]:[Hole 18]],
  MATCH(1, (CourseHandicap[Course]=C743)*(CourseHandicap[Tees]=E743), 0),
  MATCH(G743, CourseHandicap[[#Headers],[Hole 1]:[Hole 18]], 0)
),"")</f>
        <v>13</v>
      </c>
      <c r="K743" cm="1">
        <f t="array" ref="K743">IFERROR(INDEX(CourseRatings[[Hole 1]:[Hole 18]],
  MATCH(1, (CourseRatings[Course]=C743)*(CourseRatings[Tees]=E743), 0),
  MATCH(G743, CourseRatings[[#Headers],[Hole 1]:[Hole 18]], 0)
),"")</f>
        <v>3</v>
      </c>
      <c r="L743" cm="1">
        <f t="array" ref="L743">IFERROR(
  INDEX('Golf Log'!$E$2:$V$72,
    MATCH(1,
      ('Golf Log'!$A$2:$A$72=$A743)*
      ('Golf Log'!$B$2:$B$72=$B743)*
      ('Golf Log'!$C$2:$C$72=$C743),
    0),
    MATCH($G743,'Golf Log'!$E$1:$V$1,0)
  ),
"")</f>
        <v>7</v>
      </c>
      <c r="M743">
        <f t="shared" si="49"/>
        <v>4</v>
      </c>
      <c r="N743" t="str">
        <f t="shared" si="50"/>
        <v>Quad Bogey+</v>
      </c>
      <c r="O743" cm="1">
        <f t="array" ref="O743">IFERROR(
  INDEX('Putt Log'!$E$2:$V$72,
    MATCH(1,
      ('Putt Log'!$A$2:$A$72=$A743)*
      ('Putt Log'!$B$2:$B$72=$B743)*
      ('Putt Log'!$C$2:$C$72=$C743),
    0),
    MATCH($G743,'Putt Log'!$E$1:$V$1,0)
  ),
"")</f>
        <v>3</v>
      </c>
      <c r="P743" t="str" cm="1">
        <f t="array" ref="P743">IF(K743=3,"",
  IFERROR(
    INDEX('Fairway Log'!$E$2:$V$72,
      MATCH(1,
        ('Fairway Log'!$A$2:$A$72=$A743)*
        ('Fairway Log'!$B$2:$B$72=$B743)*
        ('Fairway Log'!$C$2:$C814=$C743),
      0),
      MATCH($G743,'Fairway Log'!$E$1:$V$1,0)
    ),
  "")
)</f>
        <v/>
      </c>
      <c r="Q743" t="str" cm="1">
        <f t="array" ref="Q743">IFERROR(
  INDEX('GIR Log'!$E$2:$V$72,
    MATCH(1,
      ('GIR Log'!$A$2:$A$72=$A743)*
      ('GIR Log'!$B$2:$B$72=$B743)*
      ('GIR Log'!$C$2:$C$72=$C743),
    0),
    MATCH($G743,'GIR Log'!$E$1:$V$1,0)
  ),
"")</f>
        <v>↓</v>
      </c>
    </row>
    <row r="744" spans="1:17" x14ac:dyDescent="0.25">
      <c r="A744" s="20" t="s">
        <v>127</v>
      </c>
      <c r="B744" s="2">
        <v>45894</v>
      </c>
      <c r="C744" s="20" t="s">
        <v>11</v>
      </c>
      <c r="D744" s="20" t="s">
        <v>77</v>
      </c>
      <c r="E744" s="20" t="s">
        <v>34</v>
      </c>
      <c r="F744">
        <v>112</v>
      </c>
      <c r="G744" t="s">
        <v>51</v>
      </c>
      <c r="H744" s="9">
        <f t="shared" si="48"/>
        <v>5</v>
      </c>
      <c r="I744" cm="1">
        <f t="array" ref="I744">IFERROR(INDEX(CourseYardages[[Hole 1]:[Hole 18]],
  MATCH(1, (CourseYardages[Course]=C744)*(CourseYardages[Tees]=E744), 0),
  MATCH(G744, CourseYardages[[#Headers],[Hole 1]:[Hole 18]], 0)
),"")</f>
        <v>457</v>
      </c>
      <c r="J744" cm="1">
        <f t="array" ref="J744">IFERROR(INDEX(CourseHandicap[[Hole 1]:[Hole 18]],
  MATCH(1, (CourseHandicap[Course]=C744)*(CourseHandicap[Tees]=E744), 0),
  MATCH(G744, CourseHandicap[[#Headers],[Hole 1]:[Hole 18]], 0)
),"")</f>
        <v>7</v>
      </c>
      <c r="K744" cm="1">
        <f t="array" ref="K744">IFERROR(INDEX(CourseRatings[[Hole 1]:[Hole 18]],
  MATCH(1, (CourseRatings[Course]=C744)*(CourseRatings[Tees]=E744), 0),
  MATCH(G744, CourseRatings[[#Headers],[Hole 1]:[Hole 18]], 0)
),"")</f>
        <v>5</v>
      </c>
      <c r="L744" cm="1">
        <f t="array" ref="L744">IFERROR(
  INDEX('Golf Log'!$E$2:$V$72,
    MATCH(1,
      ('Golf Log'!$A$2:$A$72=$A744)*
      ('Golf Log'!$B$2:$B$72=$B744)*
      ('Golf Log'!$C$2:$C$72=$C744),
    0),
    MATCH($G744,'Golf Log'!$E$1:$V$1,0)
  ),
"")</f>
        <v>6</v>
      </c>
      <c r="M744">
        <f t="shared" si="49"/>
        <v>1</v>
      </c>
      <c r="N744" t="str">
        <f t="shared" si="50"/>
        <v>Bogey</v>
      </c>
      <c r="O744" cm="1">
        <f t="array" ref="O744">IFERROR(
  INDEX('Putt Log'!$E$2:$V$72,
    MATCH(1,
      ('Putt Log'!$A$2:$A$72=$A744)*
      ('Putt Log'!$B$2:$B$72=$B744)*
      ('Putt Log'!$C$2:$C$72=$C744),
    0),
    MATCH($G744,'Putt Log'!$E$1:$V$1,0)
  ),
"")</f>
        <v>3</v>
      </c>
      <c r="P744" t="str" cm="1">
        <f t="array" ref="P744">IF(K744=3,"",
  IFERROR(
    INDEX('Fairway Log'!$E$2:$V$72,
      MATCH(1,
        ('Fairway Log'!$A$2:$A$72=$A744)*
        ('Fairway Log'!$B$2:$B$72=$B744)*
        ('Fairway Log'!$C$2:$C815=$C744),
      0),
      MATCH($G744,'Fairway Log'!$E$1:$V$1,0)
    ),
  "")
)</f>
        <v>→</v>
      </c>
      <c r="Q744" cm="1">
        <f t="array" ref="Q744">IFERROR(
  INDEX('GIR Log'!$E$2:$V$72,
    MATCH(1,
      ('GIR Log'!$A$2:$A$72=$A744)*
      ('GIR Log'!$B$2:$B$72=$B744)*
      ('GIR Log'!$C$2:$C$72=$C744),
    0),
    MATCH($G744,'GIR Log'!$E$1:$V$1,0)
  ),
"")</f>
        <v>1</v>
      </c>
    </row>
    <row r="745" spans="1:17" x14ac:dyDescent="0.25">
      <c r="A745" s="20" t="s">
        <v>127</v>
      </c>
      <c r="B745" s="2">
        <v>45894</v>
      </c>
      <c r="C745" s="20" t="s">
        <v>11</v>
      </c>
      <c r="D745" s="20" t="s">
        <v>77</v>
      </c>
      <c r="E745" s="20" t="s">
        <v>34</v>
      </c>
      <c r="F745">
        <v>112</v>
      </c>
      <c r="G745" t="s">
        <v>52</v>
      </c>
      <c r="H745" s="9">
        <f t="shared" si="48"/>
        <v>6</v>
      </c>
      <c r="I745" cm="1">
        <f t="array" ref="I745">IFERROR(INDEX(CourseYardages[[Hole 1]:[Hole 18]],
  MATCH(1, (CourseYardages[Course]=C745)*(CourseYardages[Tees]=E745), 0),
  MATCH(G745, CourseYardages[[#Headers],[Hole 1]:[Hole 18]], 0)
),"")</f>
        <v>389</v>
      </c>
      <c r="J745" cm="1">
        <f t="array" ref="J745">IFERROR(INDEX(CourseHandicap[[Hole 1]:[Hole 18]],
  MATCH(1, (CourseHandicap[Course]=C745)*(CourseHandicap[Tees]=E745), 0),
  MATCH(G745, CourseHandicap[[#Headers],[Hole 1]:[Hole 18]], 0)
),"")</f>
        <v>3</v>
      </c>
      <c r="K745" cm="1">
        <f t="array" ref="K745">IFERROR(INDEX(CourseRatings[[Hole 1]:[Hole 18]],
  MATCH(1, (CourseRatings[Course]=C745)*(CourseRatings[Tees]=E745), 0),
  MATCH(G745, CourseRatings[[#Headers],[Hole 1]:[Hole 18]], 0)
),"")</f>
        <v>4</v>
      </c>
      <c r="L745" cm="1">
        <f t="array" ref="L745">IFERROR(
  INDEX('Golf Log'!$E$2:$V$72,
    MATCH(1,
      ('Golf Log'!$A$2:$A$72=$A745)*
      ('Golf Log'!$B$2:$B$72=$B745)*
      ('Golf Log'!$C$2:$C$72=$C745),
    0),
    MATCH($G745,'Golf Log'!$E$1:$V$1,0)
  ),
"")</f>
        <v>8</v>
      </c>
      <c r="M745">
        <f t="shared" si="49"/>
        <v>4</v>
      </c>
      <c r="N745" t="str">
        <f t="shared" si="50"/>
        <v>Quad Bogey+</v>
      </c>
      <c r="O745" cm="1">
        <f t="array" ref="O745">IFERROR(
  INDEX('Putt Log'!$E$2:$V$72,
    MATCH(1,
      ('Putt Log'!$A$2:$A$72=$A745)*
      ('Putt Log'!$B$2:$B$72=$B745)*
      ('Putt Log'!$C$2:$C$72=$C745),
    0),
    MATCH($G745,'Putt Log'!$E$1:$V$1,0)
  ),
"")</f>
        <v>2</v>
      </c>
      <c r="P745" t="str" cm="1">
        <f t="array" ref="P745">IF(K745=3,"",
  IFERROR(
    INDEX('Fairway Log'!$E$2:$V$72,
      MATCH(1,
        ('Fairway Log'!$A$2:$A$72=$A745)*
        ('Fairway Log'!$B$2:$B$72=$B745)*
        ('Fairway Log'!$C$2:$C816=$C745),
      0),
      MATCH($G745,'Fairway Log'!$E$1:$V$1,0)
    ),
  "")
)</f>
        <v>→</v>
      </c>
      <c r="Q745" t="str" cm="1">
        <f t="array" ref="Q745">IFERROR(
  INDEX('GIR Log'!$E$2:$V$72,
    MATCH(1,
      ('GIR Log'!$A$2:$A$72=$A745)*
      ('GIR Log'!$B$2:$B$72=$B745)*
      ('GIR Log'!$C$2:$C$72=$C745),
    0),
    MATCH($G745,'GIR Log'!$E$1:$V$1,0)
  ),
"")</f>
        <v>↓</v>
      </c>
    </row>
    <row r="746" spans="1:17" x14ac:dyDescent="0.25">
      <c r="A746" s="20" t="s">
        <v>127</v>
      </c>
      <c r="B746" s="2">
        <v>45894</v>
      </c>
      <c r="C746" s="20" t="s">
        <v>11</v>
      </c>
      <c r="D746" s="20" t="s">
        <v>77</v>
      </c>
      <c r="E746" s="20" t="s">
        <v>34</v>
      </c>
      <c r="F746">
        <v>112</v>
      </c>
      <c r="G746" t="s">
        <v>53</v>
      </c>
      <c r="H746" s="9">
        <f t="shared" si="48"/>
        <v>7</v>
      </c>
      <c r="I746" cm="1">
        <f t="array" ref="I746">IFERROR(INDEX(CourseYardages[[Hole 1]:[Hole 18]],
  MATCH(1, (CourseYardages[Course]=C746)*(CourseYardages[Tees]=E746), 0),
  MATCH(G746, CourseYardages[[#Headers],[Hole 1]:[Hole 18]], 0)
),"")</f>
        <v>301</v>
      </c>
      <c r="J746" cm="1">
        <f t="array" ref="J746">IFERROR(INDEX(CourseHandicap[[Hole 1]:[Hole 18]],
  MATCH(1, (CourseHandicap[Course]=C746)*(CourseHandicap[Tees]=E746), 0),
  MATCH(G746, CourseHandicap[[#Headers],[Hole 1]:[Hole 18]], 0)
),"")</f>
        <v>11</v>
      </c>
      <c r="K746" cm="1">
        <f t="array" ref="K746">IFERROR(INDEX(CourseRatings[[Hole 1]:[Hole 18]],
  MATCH(1, (CourseRatings[Course]=C746)*(CourseRatings[Tees]=E746), 0),
  MATCH(G746, CourseRatings[[#Headers],[Hole 1]:[Hole 18]], 0)
),"")</f>
        <v>4</v>
      </c>
      <c r="L746" cm="1">
        <f t="array" ref="L746">IFERROR(
  INDEX('Golf Log'!$E$2:$V$72,
    MATCH(1,
      ('Golf Log'!$A$2:$A$72=$A746)*
      ('Golf Log'!$B$2:$B$72=$B746)*
      ('Golf Log'!$C$2:$C$72=$C746),
    0),
    MATCH($G746,'Golf Log'!$E$1:$V$1,0)
  ),
"")</f>
        <v>6</v>
      </c>
      <c r="M746">
        <f t="shared" si="49"/>
        <v>2</v>
      </c>
      <c r="N746" t="str">
        <f t="shared" si="50"/>
        <v>Double Bogey</v>
      </c>
      <c r="O746" cm="1">
        <f t="array" ref="O746">IFERROR(
  INDEX('Putt Log'!$E$2:$V$72,
    MATCH(1,
      ('Putt Log'!$A$2:$A$72=$A746)*
      ('Putt Log'!$B$2:$B$72=$B746)*
      ('Putt Log'!$C$2:$C$72=$C746),
    0),
    MATCH($G746,'Putt Log'!$E$1:$V$1,0)
  ),
"")</f>
        <v>2</v>
      </c>
      <c r="P746" cm="1">
        <f t="array" ref="P746">IF(K746=3,"",
  IFERROR(
    INDEX('Fairway Log'!$E$2:$V$72,
      MATCH(1,
        ('Fairway Log'!$A$2:$A$72=$A746)*
        ('Fairway Log'!$B$2:$B$72=$B746)*
        ('Fairway Log'!$C$2:$C817=$C746),
      0),
      MATCH($G746,'Fairway Log'!$E$1:$V$1,0)
    ),
  "")
)</f>
        <v>1</v>
      </c>
      <c r="Q746" t="str" cm="1">
        <f t="array" ref="Q746">IFERROR(
  INDEX('GIR Log'!$E$2:$V$72,
    MATCH(1,
      ('GIR Log'!$A$2:$A$72=$A746)*
      ('GIR Log'!$B$2:$B$72=$B746)*
      ('GIR Log'!$C$2:$C$72=$C746),
    0),
    MATCH($G746,'GIR Log'!$E$1:$V$1,0)
  ),
"")</f>
        <v>↓</v>
      </c>
    </row>
    <row r="747" spans="1:17" x14ac:dyDescent="0.25">
      <c r="A747" s="20" t="s">
        <v>127</v>
      </c>
      <c r="B747" s="2">
        <v>45894</v>
      </c>
      <c r="C747" s="20" t="s">
        <v>11</v>
      </c>
      <c r="D747" s="20" t="s">
        <v>77</v>
      </c>
      <c r="E747" s="20" t="s">
        <v>34</v>
      </c>
      <c r="F747">
        <v>112</v>
      </c>
      <c r="G747" t="s">
        <v>54</v>
      </c>
      <c r="H747" s="9">
        <f t="shared" si="48"/>
        <v>8</v>
      </c>
      <c r="I747" cm="1">
        <f t="array" ref="I747">IFERROR(INDEX(CourseYardages[[Hole 1]:[Hole 18]],
  MATCH(1, (CourseYardages[Course]=C747)*(CourseYardages[Tees]=E747), 0),
  MATCH(G747, CourseYardages[[#Headers],[Hole 1]:[Hole 18]], 0)
),"")</f>
        <v>356</v>
      </c>
      <c r="J747" cm="1">
        <f t="array" ref="J747">IFERROR(INDEX(CourseHandicap[[Hole 1]:[Hole 18]],
  MATCH(1, (CourseHandicap[Course]=C747)*(CourseHandicap[Tees]=E747), 0),
  MATCH(G747, CourseHandicap[[#Headers],[Hole 1]:[Hole 18]], 0)
),"")</f>
        <v>5</v>
      </c>
      <c r="K747" cm="1">
        <f t="array" ref="K747">IFERROR(INDEX(CourseRatings[[Hole 1]:[Hole 18]],
  MATCH(1, (CourseRatings[Course]=C747)*(CourseRatings[Tees]=E747), 0),
  MATCH(G747, CourseRatings[[#Headers],[Hole 1]:[Hole 18]], 0)
),"")</f>
        <v>4</v>
      </c>
      <c r="L747" cm="1">
        <f t="array" ref="L747">IFERROR(
  INDEX('Golf Log'!$E$2:$V$72,
    MATCH(1,
      ('Golf Log'!$A$2:$A$72=$A747)*
      ('Golf Log'!$B$2:$B$72=$B747)*
      ('Golf Log'!$C$2:$C$72=$C747),
    0),
    MATCH($G747,'Golf Log'!$E$1:$V$1,0)
  ),
"")</f>
        <v>8</v>
      </c>
      <c r="M747">
        <f t="shared" si="49"/>
        <v>4</v>
      </c>
      <c r="N747" t="str">
        <f t="shared" si="50"/>
        <v>Quad Bogey+</v>
      </c>
      <c r="O747" cm="1">
        <f t="array" ref="O747">IFERROR(
  INDEX('Putt Log'!$E$2:$V$72,
    MATCH(1,
      ('Putt Log'!$A$2:$A$72=$A747)*
      ('Putt Log'!$B$2:$B$72=$B747)*
      ('Putt Log'!$C$2:$C$72=$C747),
    0),
    MATCH($G747,'Putt Log'!$E$1:$V$1,0)
  ),
"")</f>
        <v>2</v>
      </c>
      <c r="P747" t="str" cm="1">
        <f t="array" ref="P747">IF(K747=3,"",
  IFERROR(
    INDEX('Fairway Log'!$E$2:$V$72,
      MATCH(1,
        ('Fairway Log'!$A$2:$A$72=$A747)*
        ('Fairway Log'!$B$2:$B$72=$B747)*
        ('Fairway Log'!$C$2:$C818=$C747),
      0),
      MATCH($G747,'Fairway Log'!$E$1:$V$1,0)
    ),
  "")
)</f>
        <v>→</v>
      </c>
      <c r="Q747" t="str" cm="1">
        <f t="array" ref="Q747">IFERROR(
  INDEX('GIR Log'!$E$2:$V$72,
    MATCH(1,
      ('GIR Log'!$A$2:$A$72=$A747)*
      ('GIR Log'!$B$2:$B$72=$B747)*
      ('GIR Log'!$C$2:$C$72=$C747),
    0),
    MATCH($G747,'GIR Log'!$E$1:$V$1,0)
  ),
"")</f>
        <v>↓</v>
      </c>
    </row>
    <row r="748" spans="1:17" x14ac:dyDescent="0.25">
      <c r="A748" s="20" t="s">
        <v>127</v>
      </c>
      <c r="B748" s="2">
        <v>45894</v>
      </c>
      <c r="C748" s="20" t="s">
        <v>11</v>
      </c>
      <c r="D748" s="20" t="s">
        <v>77</v>
      </c>
      <c r="E748" s="20" t="s">
        <v>34</v>
      </c>
      <c r="F748">
        <v>112</v>
      </c>
      <c r="G748" t="s">
        <v>55</v>
      </c>
      <c r="H748" s="9">
        <f t="shared" si="48"/>
        <v>9</v>
      </c>
      <c r="I748" cm="1">
        <f t="array" ref="I748">IFERROR(INDEX(CourseYardages[[Hole 1]:[Hole 18]],
  MATCH(1, (CourseYardages[Course]=C748)*(CourseYardages[Tees]=E748), 0),
  MATCH(G748, CourseYardages[[#Headers],[Hole 1]:[Hole 18]], 0)
),"")</f>
        <v>534</v>
      </c>
      <c r="J748" cm="1">
        <f t="array" ref="J748">IFERROR(INDEX(CourseHandicap[[Hole 1]:[Hole 18]],
  MATCH(1, (CourseHandicap[Course]=C748)*(CourseHandicap[Tees]=E748), 0),
  MATCH(G748, CourseHandicap[[#Headers],[Hole 1]:[Hole 18]], 0)
),"")</f>
        <v>1</v>
      </c>
      <c r="K748" cm="1">
        <f t="array" ref="K748">IFERROR(INDEX(CourseRatings[[Hole 1]:[Hole 18]],
  MATCH(1, (CourseRatings[Course]=C748)*(CourseRatings[Tees]=E748), 0),
  MATCH(G748, CourseRatings[[#Headers],[Hole 1]:[Hole 18]], 0)
),"")</f>
        <v>5</v>
      </c>
      <c r="L748" cm="1">
        <f t="array" ref="L748">IFERROR(
  INDEX('Golf Log'!$E$2:$V$72,
    MATCH(1,
      ('Golf Log'!$A$2:$A$72=$A748)*
      ('Golf Log'!$B$2:$B$72=$B748)*
      ('Golf Log'!$C$2:$C$72=$C748),
    0),
    MATCH($G748,'Golf Log'!$E$1:$V$1,0)
  ),
"")</f>
        <v>6</v>
      </c>
      <c r="M748">
        <f t="shared" si="49"/>
        <v>1</v>
      </c>
      <c r="N748" t="str">
        <f t="shared" si="50"/>
        <v>Bogey</v>
      </c>
      <c r="O748" cm="1">
        <f t="array" ref="O748">IFERROR(
  INDEX('Putt Log'!$E$2:$V$72,
    MATCH(1,
      ('Putt Log'!$A$2:$A$72=$A748)*
      ('Putt Log'!$B$2:$B$72=$B748)*
      ('Putt Log'!$C$2:$C$72=$C748),
    0),
    MATCH($G748,'Putt Log'!$E$1:$V$1,0)
  ),
"")</f>
        <v>2</v>
      </c>
      <c r="P748" t="str" cm="1">
        <f t="array" ref="P748">IF(K748=3,"",
  IFERROR(
    INDEX('Fairway Log'!$E$2:$V$72,
      MATCH(1,
        ('Fairway Log'!$A$2:$A$72=$A748)*
        ('Fairway Log'!$B$2:$B$72=$B748)*
        ('Fairway Log'!$C$2:$C819=$C748),
      0),
      MATCH($G748,'Fairway Log'!$E$1:$V$1,0)
    ),
  "")
)</f>
        <v>→</v>
      </c>
      <c r="Q748" t="str" cm="1">
        <f t="array" ref="Q748">IFERROR(
  INDEX('GIR Log'!$E$2:$V$72,
    MATCH(1,
      ('GIR Log'!$A$2:$A$72=$A748)*
      ('GIR Log'!$B$2:$B$72=$B748)*
      ('GIR Log'!$C$2:$C$72=$C748),
    0),
    MATCH($G748,'GIR Log'!$E$1:$V$1,0)
  ),
"")</f>
        <v>↓</v>
      </c>
    </row>
    <row r="749" spans="1:17" x14ac:dyDescent="0.25">
      <c r="A749" s="20" t="s">
        <v>127</v>
      </c>
      <c r="B749" s="2">
        <v>45894</v>
      </c>
      <c r="C749" s="20" t="s">
        <v>11</v>
      </c>
      <c r="D749" s="20" t="s">
        <v>77</v>
      </c>
      <c r="E749" s="20" t="s">
        <v>34</v>
      </c>
      <c r="F749">
        <v>112</v>
      </c>
      <c r="G749" t="s">
        <v>56</v>
      </c>
      <c r="H749" s="9">
        <f t="shared" si="48"/>
        <v>10</v>
      </c>
      <c r="I749" cm="1">
        <f t="array" ref="I749">IFERROR(INDEX(CourseYardages[[Hole 1]:[Hole 18]],
  MATCH(1, (CourseYardages[Course]=C749)*(CourseYardages[Tees]=E749), 0),
  MATCH(G749, CourseYardages[[#Headers],[Hole 1]:[Hole 18]], 0)
),"")</f>
        <v>339</v>
      </c>
      <c r="J749" cm="1">
        <f t="array" ref="J749">IFERROR(INDEX(CourseHandicap[[Hole 1]:[Hole 18]],
  MATCH(1, (CourseHandicap[Course]=C749)*(CourseHandicap[Tees]=E749), 0),
  MATCH(G749, CourseHandicap[[#Headers],[Hole 1]:[Hole 18]], 0)
),"")</f>
        <v>12</v>
      </c>
      <c r="K749" cm="1">
        <f t="array" ref="K749">IFERROR(INDEX(CourseRatings[[Hole 1]:[Hole 18]],
  MATCH(1, (CourseRatings[Course]=C749)*(CourseRatings[Tees]=E749), 0),
  MATCH(G749, CourseRatings[[#Headers],[Hole 1]:[Hole 18]], 0)
),"")</f>
        <v>4</v>
      </c>
      <c r="L749" cm="1">
        <f t="array" ref="L749">IFERROR(
  INDEX('Golf Log'!$E$2:$V$72,
    MATCH(1,
      ('Golf Log'!$A$2:$A$72=$A749)*
      ('Golf Log'!$B$2:$B$72=$B749)*
      ('Golf Log'!$C$2:$C$72=$C749),
    0),
    MATCH($G749,'Golf Log'!$E$1:$V$1,0)
  ),
"")</f>
        <v>6</v>
      </c>
      <c r="M749">
        <f t="shared" si="49"/>
        <v>2</v>
      </c>
      <c r="N749" t="str">
        <f t="shared" si="50"/>
        <v>Double Bogey</v>
      </c>
      <c r="O749" cm="1">
        <f t="array" ref="O749">IFERROR(
  INDEX('Putt Log'!$E$2:$V$72,
    MATCH(1,
      ('Putt Log'!$A$2:$A$72=$A749)*
      ('Putt Log'!$B$2:$B$72=$B749)*
      ('Putt Log'!$C$2:$C$72=$C749),
    0),
    MATCH($G749,'Putt Log'!$E$1:$V$1,0)
  ),
"")</f>
        <v>3</v>
      </c>
      <c r="P749" t="str" cm="1">
        <f t="array" ref="P749">IF(K749=3,"",
  IFERROR(
    INDEX('Fairway Log'!$E$2:$V$72,
      MATCH(1,
        ('Fairway Log'!$A$2:$A$72=$A749)*
        ('Fairway Log'!$B$2:$B$72=$B749)*
        ('Fairway Log'!$C$2:$C820=$C749),
      0),
      MATCH($G749,'Fairway Log'!$E$1:$V$1,0)
    ),
  "")
)</f>
        <v>→</v>
      </c>
      <c r="Q749" t="str" cm="1">
        <f t="array" ref="Q749">IFERROR(
  INDEX('GIR Log'!$E$2:$V$72,
    MATCH(1,
      ('GIR Log'!$A$2:$A$72=$A749)*
      ('GIR Log'!$B$2:$B$72=$B749)*
      ('GIR Log'!$C$2:$C$72=$C749),
    0),
    MATCH($G749,'GIR Log'!$E$1:$V$1,0)
  ),
"")</f>
        <v>↓</v>
      </c>
    </row>
    <row r="750" spans="1:17" x14ac:dyDescent="0.25">
      <c r="A750" s="20" t="s">
        <v>127</v>
      </c>
      <c r="B750" s="2">
        <v>45894</v>
      </c>
      <c r="C750" s="20" t="s">
        <v>11</v>
      </c>
      <c r="D750" s="20" t="s">
        <v>77</v>
      </c>
      <c r="E750" s="20" t="s">
        <v>34</v>
      </c>
      <c r="F750">
        <v>112</v>
      </c>
      <c r="G750" t="s">
        <v>57</v>
      </c>
      <c r="H750" s="9">
        <f t="shared" si="48"/>
        <v>11</v>
      </c>
      <c r="I750" cm="1">
        <f t="array" ref="I750">IFERROR(INDEX(CourseYardages[[Hole 1]:[Hole 18]],
  MATCH(1, (CourseYardages[Course]=C750)*(CourseYardages[Tees]=E750), 0),
  MATCH(G750, CourseYardages[[#Headers],[Hole 1]:[Hole 18]], 0)
),"")</f>
        <v>157</v>
      </c>
      <c r="J750" cm="1">
        <f t="array" ref="J750">IFERROR(INDEX(CourseHandicap[[Hole 1]:[Hole 18]],
  MATCH(1, (CourseHandicap[Course]=C750)*(CourseHandicap[Tees]=E750), 0),
  MATCH(G750, CourseHandicap[[#Headers],[Hole 1]:[Hole 18]], 0)
),"")</f>
        <v>18</v>
      </c>
      <c r="K750" cm="1">
        <f t="array" ref="K750">IFERROR(INDEX(CourseRatings[[Hole 1]:[Hole 18]],
  MATCH(1, (CourseRatings[Course]=C750)*(CourseRatings[Tees]=E750), 0),
  MATCH(G750, CourseRatings[[#Headers],[Hole 1]:[Hole 18]], 0)
),"")</f>
        <v>3</v>
      </c>
      <c r="L750" cm="1">
        <f t="array" ref="L750">IFERROR(
  INDEX('Golf Log'!$E$2:$V$72,
    MATCH(1,
      ('Golf Log'!$A$2:$A$72=$A750)*
      ('Golf Log'!$B$2:$B$72=$B750)*
      ('Golf Log'!$C$2:$C$72=$C750),
    0),
    MATCH($G750,'Golf Log'!$E$1:$V$1,0)
  ),
"")</f>
        <v>7</v>
      </c>
      <c r="M750">
        <f t="shared" si="49"/>
        <v>4</v>
      </c>
      <c r="N750" t="str">
        <f t="shared" si="50"/>
        <v>Quad Bogey+</v>
      </c>
      <c r="O750" cm="1">
        <f t="array" ref="O750">IFERROR(
  INDEX('Putt Log'!$E$2:$V$72,
    MATCH(1,
      ('Putt Log'!$A$2:$A$72=$A750)*
      ('Putt Log'!$B$2:$B$72=$B750)*
      ('Putt Log'!$C$2:$C$72=$C750),
    0),
    MATCH($G750,'Putt Log'!$E$1:$V$1,0)
  ),
"")</f>
        <v>3</v>
      </c>
      <c r="P750" t="str" cm="1">
        <f t="array" ref="P750">IF(K750=3,"",
  IFERROR(
    INDEX('Fairway Log'!$E$2:$V$72,
      MATCH(1,
        ('Fairway Log'!$A$2:$A$72=$A750)*
        ('Fairway Log'!$B$2:$B$72=$B750)*
        ('Fairway Log'!$C$2:$C821=$C750),
      0),
      MATCH($G750,'Fairway Log'!$E$1:$V$1,0)
    ),
  "")
)</f>
        <v/>
      </c>
      <c r="Q750" t="str" cm="1">
        <f t="array" ref="Q750">IFERROR(
  INDEX('GIR Log'!$E$2:$V$72,
    MATCH(1,
      ('GIR Log'!$A$2:$A$72=$A750)*
      ('GIR Log'!$B$2:$B$72=$B750)*
      ('GIR Log'!$C$2:$C$72=$C750),
    0),
    MATCH($G750,'GIR Log'!$E$1:$V$1,0)
  ),
"")</f>
        <v>↓</v>
      </c>
    </row>
    <row r="751" spans="1:17" x14ac:dyDescent="0.25">
      <c r="A751" s="20" t="s">
        <v>127</v>
      </c>
      <c r="B751" s="2">
        <v>45894</v>
      </c>
      <c r="C751" s="20" t="s">
        <v>11</v>
      </c>
      <c r="D751" s="20" t="s">
        <v>77</v>
      </c>
      <c r="E751" s="20" t="s">
        <v>34</v>
      </c>
      <c r="F751">
        <v>112</v>
      </c>
      <c r="G751" t="s">
        <v>58</v>
      </c>
      <c r="H751" s="9">
        <f t="shared" si="48"/>
        <v>12</v>
      </c>
      <c r="I751" cm="1">
        <f t="array" ref="I751">IFERROR(INDEX(CourseYardages[[Hole 1]:[Hole 18]],
  MATCH(1, (CourseYardages[Course]=C751)*(CourseYardages[Tees]=E751), 0),
  MATCH(G751, CourseYardages[[#Headers],[Hole 1]:[Hole 18]], 0)
),"")</f>
        <v>363</v>
      </c>
      <c r="J751" cm="1">
        <f t="array" ref="J751">IFERROR(INDEX(CourseHandicap[[Hole 1]:[Hole 18]],
  MATCH(1, (CourseHandicap[Course]=C751)*(CourseHandicap[Tees]=E751), 0),
  MATCH(G751, CourseHandicap[[#Headers],[Hole 1]:[Hole 18]], 0)
),"")</f>
        <v>6</v>
      </c>
      <c r="K751" cm="1">
        <f t="array" ref="K751">IFERROR(INDEX(CourseRatings[[Hole 1]:[Hole 18]],
  MATCH(1, (CourseRatings[Course]=C751)*(CourseRatings[Tees]=E751), 0),
  MATCH(G751, CourseRatings[[#Headers],[Hole 1]:[Hole 18]], 0)
),"")</f>
        <v>4</v>
      </c>
      <c r="L751" cm="1">
        <f t="array" ref="L751">IFERROR(
  INDEX('Golf Log'!$E$2:$V$72,
    MATCH(1,
      ('Golf Log'!$A$2:$A$72=$A751)*
      ('Golf Log'!$B$2:$B$72=$B751)*
      ('Golf Log'!$C$2:$C$72=$C751),
    0),
    MATCH($G751,'Golf Log'!$E$1:$V$1,0)
  ),
"")</f>
        <v>6</v>
      </c>
      <c r="M751">
        <f t="shared" si="49"/>
        <v>2</v>
      </c>
      <c r="N751" t="str">
        <f t="shared" si="50"/>
        <v>Double Bogey</v>
      </c>
      <c r="O751" cm="1">
        <f t="array" ref="O751">IFERROR(
  INDEX('Putt Log'!$E$2:$V$72,
    MATCH(1,
      ('Putt Log'!$A$2:$A$72=$A751)*
      ('Putt Log'!$B$2:$B$72=$B751)*
      ('Putt Log'!$C$2:$C$72=$C751),
    0),
    MATCH($G751,'Putt Log'!$E$1:$V$1,0)
  ),
"")</f>
        <v>1</v>
      </c>
      <c r="P751" t="str" cm="1">
        <f t="array" ref="P751">IF(K751=3,"",
  IFERROR(
    INDEX('Fairway Log'!$E$2:$V$72,
      MATCH(1,
        ('Fairway Log'!$A$2:$A$72=$A751)*
        ('Fairway Log'!$B$2:$B$72=$B751)*
        ('Fairway Log'!$C$2:$C822=$C751),
      0),
      MATCH($G751,'Fairway Log'!$E$1:$V$1,0)
    ),
  "")
)</f>
        <v>→</v>
      </c>
      <c r="Q751" t="str" cm="1">
        <f t="array" ref="Q751">IFERROR(
  INDEX('GIR Log'!$E$2:$V$72,
    MATCH(1,
      ('GIR Log'!$A$2:$A$72=$A751)*
      ('GIR Log'!$B$2:$B$72=$B751)*
      ('GIR Log'!$C$2:$C$72=$C751),
    0),
    MATCH($G751,'GIR Log'!$E$1:$V$1,0)
  ),
"")</f>
        <v>↓</v>
      </c>
    </row>
    <row r="752" spans="1:17" x14ac:dyDescent="0.25">
      <c r="A752" s="20" t="s">
        <v>127</v>
      </c>
      <c r="B752" s="2">
        <v>45894</v>
      </c>
      <c r="C752" s="20" t="s">
        <v>11</v>
      </c>
      <c r="D752" s="20" t="s">
        <v>77</v>
      </c>
      <c r="E752" s="20" t="s">
        <v>34</v>
      </c>
      <c r="F752">
        <v>112</v>
      </c>
      <c r="G752" t="s">
        <v>59</v>
      </c>
      <c r="H752" s="9">
        <f t="shared" si="48"/>
        <v>13</v>
      </c>
      <c r="I752" cm="1">
        <f t="array" ref="I752">IFERROR(INDEX(CourseYardages[[Hole 1]:[Hole 18]],
  MATCH(1, (CourseYardages[Course]=C752)*(CourseYardages[Tees]=E752), 0),
  MATCH(G752, CourseYardages[[#Headers],[Hole 1]:[Hole 18]], 0)
),"")</f>
        <v>555</v>
      </c>
      <c r="J752" cm="1">
        <f t="array" ref="J752">IFERROR(INDEX(CourseHandicap[[Hole 1]:[Hole 18]],
  MATCH(1, (CourseHandicap[Course]=C752)*(CourseHandicap[Tees]=E752), 0),
  MATCH(G752, CourseHandicap[[#Headers],[Hole 1]:[Hole 18]], 0)
),"")</f>
        <v>4</v>
      </c>
      <c r="K752" cm="1">
        <f t="array" ref="K752">IFERROR(INDEX(CourseRatings[[Hole 1]:[Hole 18]],
  MATCH(1, (CourseRatings[Course]=C752)*(CourseRatings[Tees]=E752), 0),
  MATCH(G752, CourseRatings[[#Headers],[Hole 1]:[Hole 18]], 0)
),"")</f>
        <v>5</v>
      </c>
      <c r="L752" cm="1">
        <f t="array" ref="L752">IFERROR(
  INDEX('Golf Log'!$E$2:$V$72,
    MATCH(1,
      ('Golf Log'!$A$2:$A$72=$A752)*
      ('Golf Log'!$B$2:$B$72=$B752)*
      ('Golf Log'!$C$2:$C$72=$C752),
    0),
    MATCH($G752,'Golf Log'!$E$1:$V$1,0)
  ),
"")</f>
        <v>7</v>
      </c>
      <c r="M752">
        <f t="shared" si="49"/>
        <v>2</v>
      </c>
      <c r="N752" t="str">
        <f t="shared" si="50"/>
        <v>Double Bogey</v>
      </c>
      <c r="O752" cm="1">
        <f t="array" ref="O752">IFERROR(
  INDEX('Putt Log'!$E$2:$V$72,
    MATCH(1,
      ('Putt Log'!$A$2:$A$72=$A752)*
      ('Putt Log'!$B$2:$B$72=$B752)*
      ('Putt Log'!$C$2:$C$72=$C752),
    0),
    MATCH($G752,'Putt Log'!$E$1:$V$1,0)
  ),
"")</f>
        <v>2</v>
      </c>
      <c r="P752" t="str" cm="1">
        <f t="array" ref="P752">IF(K752=3,"",
  IFERROR(
    INDEX('Fairway Log'!$E$2:$V$72,
      MATCH(1,
        ('Fairway Log'!$A$2:$A$72=$A752)*
        ('Fairway Log'!$B$2:$B$72=$B752)*
        ('Fairway Log'!$C$2:$C823=$C752),
      0),
      MATCH($G752,'Fairway Log'!$E$1:$V$1,0)
    ),
  "")
)</f>
        <v>→</v>
      </c>
      <c r="Q752" t="str" cm="1">
        <f t="array" ref="Q752">IFERROR(
  INDEX('GIR Log'!$E$2:$V$72,
    MATCH(1,
      ('GIR Log'!$A$2:$A$72=$A752)*
      ('GIR Log'!$B$2:$B$72=$B752)*
      ('GIR Log'!$C$2:$C$72=$C752),
    0),
    MATCH($G752,'GIR Log'!$E$1:$V$1,0)
  ),
"")</f>
        <v>↓</v>
      </c>
    </row>
    <row r="753" spans="1:17" x14ac:dyDescent="0.25">
      <c r="A753" s="20" t="s">
        <v>127</v>
      </c>
      <c r="B753" s="2">
        <v>45894</v>
      </c>
      <c r="C753" s="20" t="s">
        <v>11</v>
      </c>
      <c r="D753" s="20" t="s">
        <v>77</v>
      </c>
      <c r="E753" s="20" t="s">
        <v>34</v>
      </c>
      <c r="F753">
        <v>112</v>
      </c>
      <c r="G753" t="s">
        <v>60</v>
      </c>
      <c r="H753" s="9">
        <f t="shared" si="48"/>
        <v>14</v>
      </c>
      <c r="I753" cm="1">
        <f t="array" ref="I753">IFERROR(INDEX(CourseYardages[[Hole 1]:[Hole 18]],
  MATCH(1, (CourseYardages[Course]=C753)*(CourseYardages[Tees]=E753), 0),
  MATCH(G753, CourseYardages[[#Headers],[Hole 1]:[Hole 18]], 0)
),"")</f>
        <v>172</v>
      </c>
      <c r="J753" cm="1">
        <f t="array" ref="J753">IFERROR(INDEX(CourseHandicap[[Hole 1]:[Hole 18]],
  MATCH(1, (CourseHandicap[Course]=C753)*(CourseHandicap[Tees]=E753), 0),
  MATCH(G753, CourseHandicap[[#Headers],[Hole 1]:[Hole 18]], 0)
),"")</f>
        <v>14</v>
      </c>
      <c r="K753" cm="1">
        <f t="array" ref="K753">IFERROR(INDEX(CourseRatings[[Hole 1]:[Hole 18]],
  MATCH(1, (CourseRatings[Course]=C753)*(CourseRatings[Tees]=E753), 0),
  MATCH(G753, CourseRatings[[#Headers],[Hole 1]:[Hole 18]], 0)
),"")</f>
        <v>3</v>
      </c>
      <c r="L753" cm="1">
        <f t="array" ref="L753">IFERROR(
  INDEX('Golf Log'!$E$2:$V$72,
    MATCH(1,
      ('Golf Log'!$A$2:$A$72=$A753)*
      ('Golf Log'!$B$2:$B$72=$B753)*
      ('Golf Log'!$C$2:$C$72=$C753),
    0),
    MATCH($G753,'Golf Log'!$E$1:$V$1,0)
  ),
"")</f>
        <v>4</v>
      </c>
      <c r="M753">
        <f t="shared" si="49"/>
        <v>1</v>
      </c>
      <c r="N753" t="str">
        <f t="shared" si="50"/>
        <v>Bogey</v>
      </c>
      <c r="O753" cm="1">
        <f t="array" ref="O753">IFERROR(
  INDEX('Putt Log'!$E$2:$V$72,
    MATCH(1,
      ('Putt Log'!$A$2:$A$72=$A753)*
      ('Putt Log'!$B$2:$B$72=$B753)*
      ('Putt Log'!$C$2:$C$72=$C753),
    0),
    MATCH($G753,'Putt Log'!$E$1:$V$1,0)
  ),
"")</f>
        <v>3</v>
      </c>
      <c r="P753" t="str" cm="1">
        <f t="array" ref="P753">IF(K753=3,"",
  IFERROR(
    INDEX('Fairway Log'!$E$2:$V$72,
      MATCH(1,
        ('Fairway Log'!$A$2:$A$72=$A753)*
        ('Fairway Log'!$B$2:$B$72=$B753)*
        ('Fairway Log'!$C$2:$C824=$C753),
      0),
      MATCH($G753,'Fairway Log'!$E$1:$V$1,0)
    ),
  "")
)</f>
        <v/>
      </c>
      <c r="Q753" cm="1">
        <f t="array" ref="Q753">IFERROR(
  INDEX('GIR Log'!$E$2:$V$72,
    MATCH(1,
      ('GIR Log'!$A$2:$A$72=$A753)*
      ('GIR Log'!$B$2:$B$72=$B753)*
      ('GIR Log'!$C$2:$C$72=$C753),
    0),
    MATCH($G753,'GIR Log'!$E$1:$V$1,0)
  ),
"")</f>
        <v>1</v>
      </c>
    </row>
    <row r="754" spans="1:17" x14ac:dyDescent="0.25">
      <c r="A754" s="20" t="s">
        <v>127</v>
      </c>
      <c r="B754" s="2">
        <v>45894</v>
      </c>
      <c r="C754" s="20" t="s">
        <v>11</v>
      </c>
      <c r="D754" s="20" t="s">
        <v>77</v>
      </c>
      <c r="E754" s="20" t="s">
        <v>34</v>
      </c>
      <c r="F754">
        <v>112</v>
      </c>
      <c r="G754" t="s">
        <v>61</v>
      </c>
      <c r="H754" s="9">
        <f t="shared" si="48"/>
        <v>15</v>
      </c>
      <c r="I754" cm="1">
        <f t="array" ref="I754">IFERROR(INDEX(CourseYardages[[Hole 1]:[Hole 18]],
  MATCH(1, (CourseYardages[Course]=C754)*(CourseYardages[Tees]=E754), 0),
  MATCH(G754, CourseYardages[[#Headers],[Hole 1]:[Hole 18]], 0)
),"")</f>
        <v>527</v>
      </c>
      <c r="J754" cm="1">
        <f t="array" ref="J754">IFERROR(INDEX(CourseHandicap[[Hole 1]:[Hole 18]],
  MATCH(1, (CourseHandicap[Course]=C754)*(CourseHandicap[Tees]=E754), 0),
  MATCH(G754, CourseHandicap[[#Headers],[Hole 1]:[Hole 18]], 0)
),"")</f>
        <v>2</v>
      </c>
      <c r="K754" cm="1">
        <f t="array" ref="K754">IFERROR(INDEX(CourseRatings[[Hole 1]:[Hole 18]],
  MATCH(1, (CourseRatings[Course]=C754)*(CourseRatings[Tees]=E754), 0),
  MATCH(G754, CourseRatings[[#Headers],[Hole 1]:[Hole 18]], 0)
),"")</f>
        <v>5</v>
      </c>
      <c r="L754" cm="1">
        <f t="array" ref="L754">IFERROR(
  INDEX('Golf Log'!$E$2:$V$72,
    MATCH(1,
      ('Golf Log'!$A$2:$A$72=$A754)*
      ('Golf Log'!$B$2:$B$72=$B754)*
      ('Golf Log'!$C$2:$C$72=$C754),
    0),
    MATCH($G754,'Golf Log'!$E$1:$V$1,0)
  ),
"")</f>
        <v>8</v>
      </c>
      <c r="M754">
        <f t="shared" si="49"/>
        <v>3</v>
      </c>
      <c r="N754" t="str">
        <f t="shared" si="50"/>
        <v>Triple Bogey</v>
      </c>
      <c r="O754" cm="1">
        <f t="array" ref="O754">IFERROR(
  INDEX('Putt Log'!$E$2:$V$72,
    MATCH(1,
      ('Putt Log'!$A$2:$A$72=$A754)*
      ('Putt Log'!$B$2:$B$72=$B754)*
      ('Putt Log'!$C$2:$C$72=$C754),
    0),
    MATCH($G754,'Putt Log'!$E$1:$V$1,0)
  ),
"")</f>
        <v>2</v>
      </c>
      <c r="P754" t="str" cm="1">
        <f t="array" ref="P754">IF(K754=3,"",
  IFERROR(
    INDEX('Fairway Log'!$E$2:$V$72,
      MATCH(1,
        ('Fairway Log'!$A$2:$A$72=$A754)*
        ('Fairway Log'!$B$2:$B$72=$B754)*
        ('Fairway Log'!$C$2:$C825=$C754),
      0),
      MATCH($G754,'Fairway Log'!$E$1:$V$1,0)
    ),
  "")
)</f>
        <v>↓</v>
      </c>
      <c r="Q754" t="str" cm="1">
        <f t="array" ref="Q754">IFERROR(
  INDEX('GIR Log'!$E$2:$V$72,
    MATCH(1,
      ('GIR Log'!$A$2:$A$72=$A754)*
      ('GIR Log'!$B$2:$B$72=$B754)*
      ('GIR Log'!$C$2:$C$72=$C754),
    0),
    MATCH($G754,'GIR Log'!$E$1:$V$1,0)
  ),
"")</f>
        <v>↓</v>
      </c>
    </row>
    <row r="755" spans="1:17" x14ac:dyDescent="0.25">
      <c r="A755" s="20" t="s">
        <v>127</v>
      </c>
      <c r="B755" s="2">
        <v>45894</v>
      </c>
      <c r="C755" s="20" t="s">
        <v>11</v>
      </c>
      <c r="D755" s="20" t="s">
        <v>77</v>
      </c>
      <c r="E755" s="20" t="s">
        <v>34</v>
      </c>
      <c r="F755">
        <v>112</v>
      </c>
      <c r="G755" t="s">
        <v>62</v>
      </c>
      <c r="H755" s="9">
        <f t="shared" si="48"/>
        <v>16</v>
      </c>
      <c r="I755" cm="1">
        <f t="array" ref="I755">IFERROR(INDEX(CourseYardages[[Hole 1]:[Hole 18]],
  MATCH(1, (CourseYardages[Course]=C755)*(CourseYardages[Tees]=E755), 0),
  MATCH(G755, CourseYardages[[#Headers],[Hole 1]:[Hole 18]], 0)
),"")</f>
        <v>137</v>
      </c>
      <c r="J755" cm="1">
        <f t="array" ref="J755">IFERROR(INDEX(CourseHandicap[[Hole 1]:[Hole 18]],
  MATCH(1, (CourseHandicap[Course]=C755)*(CourseHandicap[Tees]=E755), 0),
  MATCH(G755, CourseHandicap[[#Headers],[Hole 1]:[Hole 18]], 0)
),"")</f>
        <v>16</v>
      </c>
      <c r="K755" cm="1">
        <f t="array" ref="K755">IFERROR(INDEX(CourseRatings[[Hole 1]:[Hole 18]],
  MATCH(1, (CourseRatings[Course]=C755)*(CourseRatings[Tees]=E755), 0),
  MATCH(G755, CourseRatings[[#Headers],[Hole 1]:[Hole 18]], 0)
),"")</f>
        <v>3</v>
      </c>
      <c r="L755" cm="1">
        <f t="array" ref="L755">IFERROR(
  INDEX('Golf Log'!$E$2:$V$72,
    MATCH(1,
      ('Golf Log'!$A$2:$A$72=$A755)*
      ('Golf Log'!$B$2:$B$72=$B755)*
      ('Golf Log'!$C$2:$C$72=$C755),
    0),
    MATCH($G755,'Golf Log'!$E$1:$V$1,0)
  ),
"")</f>
        <v>6</v>
      </c>
      <c r="M755">
        <f t="shared" si="49"/>
        <v>3</v>
      </c>
      <c r="N755" t="str">
        <f t="shared" si="50"/>
        <v>Triple Bogey</v>
      </c>
      <c r="O755" cm="1">
        <f t="array" ref="O755">IFERROR(
  INDEX('Putt Log'!$E$2:$V$72,
    MATCH(1,
      ('Putt Log'!$A$2:$A$72=$A755)*
      ('Putt Log'!$B$2:$B$72=$B755)*
      ('Putt Log'!$C$2:$C$72=$C755),
    0),
    MATCH($G755,'Putt Log'!$E$1:$V$1,0)
  ),
"")</f>
        <v>3</v>
      </c>
      <c r="P755" t="str" cm="1">
        <f t="array" ref="P755">IF(K755=3,"",
  IFERROR(
    INDEX('Fairway Log'!$E$2:$V$72,
      MATCH(1,
        ('Fairway Log'!$A$2:$A$72=$A755)*
        ('Fairway Log'!$B$2:$B$72=$B755)*
        ('Fairway Log'!$C$2:$C826=$C755),
      0),
      MATCH($G755,'Fairway Log'!$E$1:$V$1,0)
    ),
  "")
)</f>
        <v/>
      </c>
      <c r="Q755" t="str" cm="1">
        <f t="array" ref="Q755">IFERROR(
  INDEX('GIR Log'!$E$2:$V$72,
    MATCH(1,
      ('GIR Log'!$A$2:$A$72=$A755)*
      ('GIR Log'!$B$2:$B$72=$B755)*
      ('GIR Log'!$C$2:$C$72=$C755),
    0),
    MATCH($G755,'GIR Log'!$E$1:$V$1,0)
  ),
"")</f>
        <v>↓</v>
      </c>
    </row>
    <row r="756" spans="1:17" x14ac:dyDescent="0.25">
      <c r="A756" s="20" t="s">
        <v>127</v>
      </c>
      <c r="B756" s="2">
        <v>45894</v>
      </c>
      <c r="C756" s="20" t="s">
        <v>11</v>
      </c>
      <c r="D756" s="20" t="s">
        <v>77</v>
      </c>
      <c r="E756" s="20" t="s">
        <v>34</v>
      </c>
      <c r="F756">
        <v>112</v>
      </c>
      <c r="G756" t="s">
        <v>63</v>
      </c>
      <c r="H756" s="9">
        <f t="shared" si="48"/>
        <v>17</v>
      </c>
      <c r="I756" cm="1">
        <f t="array" ref="I756">IFERROR(INDEX(CourseYardages[[Hole 1]:[Hole 18]],
  MATCH(1, (CourseYardages[Course]=C756)*(CourseYardages[Tees]=E756), 0),
  MATCH(G756, CourseYardages[[#Headers],[Hole 1]:[Hole 18]], 0)
),"")</f>
        <v>394</v>
      </c>
      <c r="J756" cm="1">
        <f t="array" ref="J756">IFERROR(INDEX(CourseHandicap[[Hole 1]:[Hole 18]],
  MATCH(1, (CourseHandicap[Course]=C756)*(CourseHandicap[Tees]=E756), 0),
  MATCH(G756, CourseHandicap[[#Headers],[Hole 1]:[Hole 18]], 0)
),"")</f>
        <v>8</v>
      </c>
      <c r="K756" cm="1">
        <f t="array" ref="K756">IFERROR(INDEX(CourseRatings[[Hole 1]:[Hole 18]],
  MATCH(1, (CourseRatings[Course]=C756)*(CourseRatings[Tees]=E756), 0),
  MATCH(G756, CourseRatings[[#Headers],[Hole 1]:[Hole 18]], 0)
),"")</f>
        <v>4</v>
      </c>
      <c r="L756" cm="1">
        <f t="array" ref="L756">IFERROR(
  INDEX('Golf Log'!$E$2:$V$72,
    MATCH(1,
      ('Golf Log'!$A$2:$A$72=$A756)*
      ('Golf Log'!$B$2:$B$72=$B756)*
      ('Golf Log'!$C$2:$C$72=$C756),
    0),
    MATCH($G756,'Golf Log'!$E$1:$V$1,0)
  ),
"")</f>
        <v>5</v>
      </c>
      <c r="M756">
        <f t="shared" si="49"/>
        <v>1</v>
      </c>
      <c r="N756" t="str">
        <f t="shared" si="50"/>
        <v>Bogey</v>
      </c>
      <c r="O756" cm="1">
        <f t="array" ref="O756">IFERROR(
  INDEX('Putt Log'!$E$2:$V$72,
    MATCH(1,
      ('Putt Log'!$A$2:$A$72=$A756)*
      ('Putt Log'!$B$2:$B$72=$B756)*
      ('Putt Log'!$C$2:$C$72=$C756),
    0),
    MATCH($G756,'Putt Log'!$E$1:$V$1,0)
  ),
"")</f>
        <v>3</v>
      </c>
      <c r="P756" cm="1">
        <f t="array" ref="P756">IF(K756=3,"",
  IFERROR(
    INDEX('Fairway Log'!$E$2:$V$72,
      MATCH(1,
        ('Fairway Log'!$A$2:$A$72=$A756)*
        ('Fairway Log'!$B$2:$B$72=$B756)*
        ('Fairway Log'!$C$2:$C827=$C756),
      0),
      MATCH($G756,'Fairway Log'!$E$1:$V$1,0)
    ),
  "")
)</f>
        <v>1</v>
      </c>
      <c r="Q756" cm="1">
        <f t="array" ref="Q756">IFERROR(
  INDEX('GIR Log'!$E$2:$V$72,
    MATCH(1,
      ('GIR Log'!$A$2:$A$72=$A756)*
      ('GIR Log'!$B$2:$B$72=$B756)*
      ('GIR Log'!$C$2:$C$72=$C756),
    0),
    MATCH($G756,'GIR Log'!$E$1:$V$1,0)
  ),
"")</f>
        <v>1</v>
      </c>
    </row>
    <row r="757" spans="1:17" x14ac:dyDescent="0.25">
      <c r="A757" s="20" t="s">
        <v>127</v>
      </c>
      <c r="B757" s="2">
        <v>45894</v>
      </c>
      <c r="C757" s="20" t="s">
        <v>11</v>
      </c>
      <c r="D757" s="20" t="s">
        <v>77</v>
      </c>
      <c r="E757" s="20" t="s">
        <v>34</v>
      </c>
      <c r="F757">
        <v>112</v>
      </c>
      <c r="G757" t="s">
        <v>64</v>
      </c>
      <c r="H757" s="9">
        <f t="shared" si="48"/>
        <v>18</v>
      </c>
      <c r="I757" cm="1">
        <f t="array" ref="I757">IFERROR(INDEX(CourseYardages[[Hole 1]:[Hole 18]],
  MATCH(1, (CourseYardages[Course]=C757)*(CourseYardages[Tees]=E757), 0),
  MATCH(G757, CourseYardages[[#Headers],[Hole 1]:[Hole 18]], 0)
),"")</f>
        <v>385</v>
      </c>
      <c r="J757" cm="1">
        <f t="array" ref="J757">IFERROR(INDEX(CourseHandicap[[Hole 1]:[Hole 18]],
  MATCH(1, (CourseHandicap[Course]=C757)*(CourseHandicap[Tees]=E757), 0),
  MATCH(G757, CourseHandicap[[#Headers],[Hole 1]:[Hole 18]], 0)
),"")</f>
        <v>10</v>
      </c>
      <c r="K757" cm="1">
        <f t="array" ref="K757">IFERROR(INDEX(CourseRatings[[Hole 1]:[Hole 18]],
  MATCH(1, (CourseRatings[Course]=C757)*(CourseRatings[Tees]=E757), 0),
  MATCH(G757, CourseRatings[[#Headers],[Hole 1]:[Hole 18]], 0)
),"")</f>
        <v>4</v>
      </c>
      <c r="L757" cm="1">
        <f t="array" ref="L757">IFERROR(
  INDEX('Golf Log'!$E$2:$V$72,
    MATCH(1,
      ('Golf Log'!$A$2:$A$72=$A757)*
      ('Golf Log'!$B$2:$B$72=$B757)*
      ('Golf Log'!$C$2:$C$72=$C757),
    0),
    MATCH($G757,'Golf Log'!$E$1:$V$1,0)
  ),
"")</f>
        <v>5</v>
      </c>
      <c r="M757">
        <f t="shared" si="49"/>
        <v>1</v>
      </c>
      <c r="N757" t="str">
        <f t="shared" si="50"/>
        <v>Bogey</v>
      </c>
      <c r="O757" cm="1">
        <f t="array" ref="O757">IFERROR(
  INDEX('Putt Log'!$E$2:$V$72,
    MATCH(1,
      ('Putt Log'!$A$2:$A$72=$A757)*
      ('Putt Log'!$B$2:$B$72=$B757)*
      ('Putt Log'!$C$2:$C$72=$C757),
    0),
    MATCH($G757,'Putt Log'!$E$1:$V$1,0)
  ),
"")</f>
        <v>2</v>
      </c>
      <c r="P757" t="str" cm="1">
        <f t="array" ref="P757">IF(K757=3,"",
  IFERROR(
    INDEX('Fairway Log'!$E$2:$V$72,
      MATCH(1,
        ('Fairway Log'!$A$2:$A$72=$A757)*
        ('Fairway Log'!$B$2:$B$72=$B757)*
        ('Fairway Log'!$C$2:$C828=$C757),
      0),
      MATCH($G757,'Fairway Log'!$E$1:$V$1,0)
    ),
  "")
)</f>
        <v>→</v>
      </c>
      <c r="Q757" t="str" cm="1">
        <f t="array" ref="Q757">IFERROR(
  INDEX('GIR Log'!$E$2:$V$72,
    MATCH(1,
      ('GIR Log'!$A$2:$A$72=$A757)*
      ('GIR Log'!$B$2:$B$72=$B757)*
      ('GIR Log'!$C$2:$C$72=$C757),
    0),
    MATCH($G757,'GIR Log'!$E$1:$V$1,0)
  ),
"")</f>
        <v>↓</v>
      </c>
    </row>
    <row r="758" spans="1:17" x14ac:dyDescent="0.25">
      <c r="A758" s="35" t="s">
        <v>127</v>
      </c>
      <c r="B758" s="2">
        <v>45853</v>
      </c>
      <c r="C758" s="35" t="s">
        <v>128</v>
      </c>
      <c r="D758" s="35" t="s">
        <v>128</v>
      </c>
      <c r="E758" s="35" t="s">
        <v>36</v>
      </c>
      <c r="F758">
        <v>109</v>
      </c>
      <c r="G758" s="12" t="s">
        <v>47</v>
      </c>
      <c r="H758" s="9">
        <f t="shared" ref="H758:H821" si="51">VALUE(RIGHT(G758, LEN(G758) - 5))</f>
        <v>1</v>
      </c>
      <c r="I758" cm="1">
        <f t="array" ref="I758">IFERROR(INDEX(CourseYardages[[Hole 1]:[Hole 18]],
  MATCH(1, (CourseYardages[Course]=C758)*(CourseYardages[Tees]=E758), 0),
  MATCH(G758, CourseYardages[[#Headers],[Hole 1]:[Hole 18]], 0)
),"")</f>
        <v>513</v>
      </c>
      <c r="J758" cm="1">
        <f t="array" ref="J758">IFERROR(INDEX(CourseHandicap[[Hole 1]:[Hole 18]],
  MATCH(1, (CourseHandicap[Course]=C758)*(CourseHandicap[Tees]=E758), 0),
  MATCH(G758, CourseHandicap[[#Headers],[Hole 1]:[Hole 18]], 0)
),"")</f>
        <v>3</v>
      </c>
      <c r="K758" cm="1">
        <f t="array" ref="K758">IFERROR(INDEX(CourseRatings[[Hole 1]:[Hole 18]],
  MATCH(1, (CourseRatings[Course]=C758)*(CourseRatings[Tees]=E758), 0),
  MATCH(G758, CourseRatings[[#Headers],[Hole 1]:[Hole 18]], 0)
),"")</f>
        <v>5</v>
      </c>
      <c r="L758" cm="1">
        <f t="array" ref="L758">IFERROR(
  INDEX('Golf Log'!$E$2:$V$72,
    MATCH(1,
      ('Golf Log'!$A$2:$A$72=$A758)*
      ('Golf Log'!$B$2:$B$72=$B758)*
      ('Golf Log'!$C$2:$C$72=$C758),
    0),
    MATCH($G758,'Golf Log'!$E$1:$V$1,0)
  ),
"")</f>
        <v>7</v>
      </c>
      <c r="M758">
        <f t="shared" ref="M758:M821" si="52">IFERROR(L758-K758,"")</f>
        <v>2</v>
      </c>
      <c r="N758" t="str">
        <f t="shared" ref="N758:N821" si="53">IF(M758="","",(IF(M758=-2,"Eagle",IF(M758=-1,"Birdie",IF(M758=0,"Par",IF(M758=1,"Bogey",IF(M758=2,"Double Bogey",IF(M758=3,"Triple Bogey",IF(M758&gt;3,"Quad Bogey+")))))))))</f>
        <v>Double Bogey</v>
      </c>
      <c r="O758" cm="1">
        <f t="array" ref="O758">IFERROR(
  INDEX('Putt Log'!$E$2:$V$72,
    MATCH(1,
      ('Putt Log'!$A$2:$A$72=$A758)*
      ('Putt Log'!$B$2:$B$72=$B758)*
      ('Putt Log'!$C$2:$C$72=$C758),
    0),
    MATCH($G758,'Putt Log'!$E$1:$V$1,0)
  ),
"")</f>
        <v>3</v>
      </c>
      <c r="P758" cm="1">
        <f t="array" ref="P758">IF(K758=3,"",
  IFERROR(
    INDEX('Fairway Log'!$E$2:$V$72,
      MATCH(1,
        ('Fairway Log'!$A$2:$A$72=$A758)*
        ('Fairway Log'!$B$2:$B$72=$B758)*
        ('Fairway Log'!$C$2:$C829=$C758),
      0),
      MATCH($G758,'Fairway Log'!$E$1:$V$1,0)
    ),
  "")
)</f>
        <v>0</v>
      </c>
      <c r="Q758" cm="1">
        <f t="array" ref="Q758">IFERROR(
  INDEX('GIR Log'!$E$2:$V$72,
    MATCH(1,
      ('GIR Log'!$A$2:$A$72=$A758)*
      ('GIR Log'!$B$2:$B$72=$B758)*
      ('GIR Log'!$C$2:$C$72=$C758),
    0),
    MATCH($G758,'GIR Log'!$E$1:$V$1,0)
  ),
"")</f>
        <v>0</v>
      </c>
    </row>
    <row r="759" spans="1:17" x14ac:dyDescent="0.25">
      <c r="A759" s="35" t="s">
        <v>127</v>
      </c>
      <c r="B759" s="2">
        <v>45853</v>
      </c>
      <c r="C759" s="35" t="s">
        <v>128</v>
      </c>
      <c r="D759" s="35" t="s">
        <v>128</v>
      </c>
      <c r="E759" s="35" t="s">
        <v>36</v>
      </c>
      <c r="F759">
        <v>109</v>
      </c>
      <c r="G759" s="12" t="s">
        <v>48</v>
      </c>
      <c r="H759" s="9">
        <f t="shared" si="51"/>
        <v>2</v>
      </c>
      <c r="I759" cm="1">
        <f t="array" ref="I759">IFERROR(INDEX(CourseYardages[[Hole 1]:[Hole 18]],
  MATCH(1, (CourseYardages[Course]=C759)*(CourseYardages[Tees]=E759), 0),
  MATCH(G759, CourseYardages[[#Headers],[Hole 1]:[Hole 18]], 0)
),"")</f>
        <v>171</v>
      </c>
      <c r="J759" cm="1">
        <f t="array" ref="J759">IFERROR(INDEX(CourseHandicap[[Hole 1]:[Hole 18]],
  MATCH(1, (CourseHandicap[Course]=C759)*(CourseHandicap[Tees]=E759), 0),
  MATCH(G759, CourseHandicap[[#Headers],[Hole 1]:[Hole 18]], 0)
),"")</f>
        <v>17</v>
      </c>
      <c r="K759" cm="1">
        <f t="array" ref="K759">IFERROR(INDEX(CourseRatings[[Hole 1]:[Hole 18]],
  MATCH(1, (CourseRatings[Course]=C759)*(CourseRatings[Tees]=E759), 0),
  MATCH(G759, CourseRatings[[#Headers],[Hole 1]:[Hole 18]], 0)
),"")</f>
        <v>3</v>
      </c>
      <c r="L759" cm="1">
        <f t="array" ref="L759">IFERROR(
  INDEX('Golf Log'!$E$2:$V$72,
    MATCH(1,
      ('Golf Log'!$A$2:$A$72=$A759)*
      ('Golf Log'!$B$2:$B$72=$B759)*
      ('Golf Log'!$C$2:$C$72=$C759),
    0),
    MATCH($G759,'Golf Log'!$E$1:$V$1,0)
  ),
"")</f>
        <v>4</v>
      </c>
      <c r="M759">
        <f t="shared" si="52"/>
        <v>1</v>
      </c>
      <c r="N759" t="str">
        <f t="shared" si="53"/>
        <v>Bogey</v>
      </c>
      <c r="O759" cm="1">
        <f t="array" ref="O759">IFERROR(
  INDEX('Putt Log'!$E$2:$V$72,
    MATCH(1,
      ('Putt Log'!$A$2:$A$72=$A759)*
      ('Putt Log'!$B$2:$B$72=$B759)*
      ('Putt Log'!$C$2:$C$72=$C759),
    0),
    MATCH($G759,'Putt Log'!$E$1:$V$1,0)
  ),
"")</f>
        <v>2</v>
      </c>
      <c r="P759" t="str" cm="1">
        <f t="array" ref="P759">IF(K759=3,"",
  IFERROR(
    INDEX('Fairway Log'!$E$2:$V$72,
      MATCH(1,
        ('Fairway Log'!$A$2:$A$72=$A759)*
        ('Fairway Log'!$B$2:$B$72=$B759)*
        ('Fairway Log'!$C$2:$C830=$C759),
      0),
      MATCH($G759,'Fairway Log'!$E$1:$V$1,0)
    ),
  "")
)</f>
        <v/>
      </c>
      <c r="Q759" cm="1">
        <f t="array" ref="Q759">IFERROR(
  INDEX('GIR Log'!$E$2:$V$72,
    MATCH(1,
      ('GIR Log'!$A$2:$A$72=$A759)*
      ('GIR Log'!$B$2:$B$72=$B759)*
      ('GIR Log'!$C$2:$C$72=$C759),
    0),
    MATCH($G759,'GIR Log'!$E$1:$V$1,0)
  ),
"")</f>
        <v>0</v>
      </c>
    </row>
    <row r="760" spans="1:17" x14ac:dyDescent="0.25">
      <c r="A760" s="35" t="s">
        <v>127</v>
      </c>
      <c r="B760" s="2">
        <v>45853</v>
      </c>
      <c r="C760" s="35" t="s">
        <v>128</v>
      </c>
      <c r="D760" s="35" t="s">
        <v>128</v>
      </c>
      <c r="E760" s="35" t="s">
        <v>36</v>
      </c>
      <c r="F760">
        <v>109</v>
      </c>
      <c r="G760" s="12" t="s">
        <v>49</v>
      </c>
      <c r="H760" s="9">
        <f t="shared" si="51"/>
        <v>3</v>
      </c>
      <c r="I760" cm="1">
        <f t="array" ref="I760">IFERROR(INDEX(CourseYardages[[Hole 1]:[Hole 18]],
  MATCH(1, (CourseYardages[Course]=C760)*(CourseYardages[Tees]=E760), 0),
  MATCH(G760, CourseYardages[[#Headers],[Hole 1]:[Hole 18]], 0)
),"")</f>
        <v>375</v>
      </c>
      <c r="J760" cm="1">
        <f t="array" ref="J760">IFERROR(INDEX(CourseHandicap[[Hole 1]:[Hole 18]],
  MATCH(1, (CourseHandicap[Course]=C760)*(CourseHandicap[Tees]=E760), 0),
  MATCH(G760, CourseHandicap[[#Headers],[Hole 1]:[Hole 18]], 0)
),"")</f>
        <v>7</v>
      </c>
      <c r="K760" cm="1">
        <f t="array" ref="K760">IFERROR(INDEX(CourseRatings[[Hole 1]:[Hole 18]],
  MATCH(1, (CourseRatings[Course]=C760)*(CourseRatings[Tees]=E760), 0),
  MATCH(G760, CourseRatings[[#Headers],[Hole 1]:[Hole 18]], 0)
),"")</f>
        <v>4</v>
      </c>
      <c r="L760" cm="1">
        <f t="array" ref="L760">IFERROR(
  INDEX('Golf Log'!$E$2:$V$72,
    MATCH(1,
      ('Golf Log'!$A$2:$A$72=$A760)*
      ('Golf Log'!$B$2:$B$72=$B760)*
      ('Golf Log'!$C$2:$C$72=$C760),
    0),
    MATCH($G760,'Golf Log'!$E$1:$V$1,0)
  ),
"")</f>
        <v>6</v>
      </c>
      <c r="M760">
        <f t="shared" si="52"/>
        <v>2</v>
      </c>
      <c r="N760" t="str">
        <f t="shared" si="53"/>
        <v>Double Bogey</v>
      </c>
      <c r="O760" cm="1">
        <f t="array" ref="O760">IFERROR(
  INDEX('Putt Log'!$E$2:$V$72,
    MATCH(1,
      ('Putt Log'!$A$2:$A$72=$A760)*
      ('Putt Log'!$B$2:$B$72=$B760)*
      ('Putt Log'!$C$2:$C$72=$C760),
    0),
    MATCH($G760,'Putt Log'!$E$1:$V$1,0)
  ),
"")</f>
        <v>3</v>
      </c>
      <c r="P760" cm="1">
        <f t="array" ref="P760">IF(K760=3,"",
  IFERROR(
    INDEX('Fairway Log'!$E$2:$V$72,
      MATCH(1,
        ('Fairway Log'!$A$2:$A$72=$A760)*
        ('Fairway Log'!$B$2:$B$72=$B760)*
        ('Fairway Log'!$C$2:$C831=$C760),
      0),
      MATCH($G760,'Fairway Log'!$E$1:$V$1,0)
    ),
  "")
)</f>
        <v>0</v>
      </c>
      <c r="Q760" cm="1">
        <f t="array" ref="Q760">IFERROR(
  INDEX('GIR Log'!$E$2:$V$72,
    MATCH(1,
      ('GIR Log'!$A$2:$A$72=$A760)*
      ('GIR Log'!$B$2:$B$72=$B760)*
      ('GIR Log'!$C$2:$C$72=$C760),
    0),
    MATCH($G760,'GIR Log'!$E$1:$V$1,0)
  ),
"")</f>
        <v>0</v>
      </c>
    </row>
    <row r="761" spans="1:17" x14ac:dyDescent="0.25">
      <c r="A761" s="35" t="s">
        <v>127</v>
      </c>
      <c r="B761" s="2">
        <v>45853</v>
      </c>
      <c r="C761" s="35" t="s">
        <v>128</v>
      </c>
      <c r="D761" s="35" t="s">
        <v>128</v>
      </c>
      <c r="E761" s="35" t="s">
        <v>36</v>
      </c>
      <c r="F761">
        <v>109</v>
      </c>
      <c r="G761" s="12" t="s">
        <v>50</v>
      </c>
      <c r="H761" s="9">
        <f t="shared" si="51"/>
        <v>4</v>
      </c>
      <c r="I761" cm="1">
        <f t="array" ref="I761">IFERROR(INDEX(CourseYardages[[Hole 1]:[Hole 18]],
  MATCH(1, (CourseYardages[Course]=C761)*(CourseYardages[Tees]=E761), 0),
  MATCH(G761, CourseYardages[[#Headers],[Hole 1]:[Hole 18]], 0)
),"")</f>
        <v>526</v>
      </c>
      <c r="J761" cm="1">
        <f t="array" ref="J761">IFERROR(INDEX(CourseHandicap[[Hole 1]:[Hole 18]],
  MATCH(1, (CourseHandicap[Course]=C761)*(CourseHandicap[Tees]=E761), 0),
  MATCH(G761, CourseHandicap[[#Headers],[Hole 1]:[Hole 18]], 0)
),"")</f>
        <v>5</v>
      </c>
      <c r="K761" cm="1">
        <f t="array" ref="K761">IFERROR(INDEX(CourseRatings[[Hole 1]:[Hole 18]],
  MATCH(1, (CourseRatings[Course]=C761)*(CourseRatings[Tees]=E761), 0),
  MATCH(G761, CourseRatings[[#Headers],[Hole 1]:[Hole 18]], 0)
),"")</f>
        <v>5</v>
      </c>
      <c r="L761" cm="1">
        <f t="array" ref="L761">IFERROR(
  INDEX('Golf Log'!$E$2:$V$72,
    MATCH(1,
      ('Golf Log'!$A$2:$A$72=$A761)*
      ('Golf Log'!$B$2:$B$72=$B761)*
      ('Golf Log'!$C$2:$C$72=$C761),
    0),
    MATCH($G761,'Golf Log'!$E$1:$V$1,0)
  ),
"")</f>
        <v>9</v>
      </c>
      <c r="M761">
        <f t="shared" si="52"/>
        <v>4</v>
      </c>
      <c r="N761" t="str">
        <f t="shared" si="53"/>
        <v>Quad Bogey+</v>
      </c>
      <c r="O761" cm="1">
        <f t="array" ref="O761">IFERROR(
  INDEX('Putt Log'!$E$2:$V$72,
    MATCH(1,
      ('Putt Log'!$A$2:$A$72=$A761)*
      ('Putt Log'!$B$2:$B$72=$B761)*
      ('Putt Log'!$C$2:$C$72=$C761),
    0),
    MATCH($G761,'Putt Log'!$E$1:$V$1,0)
  ),
"")</f>
        <v>3</v>
      </c>
      <c r="P761" cm="1">
        <f t="array" ref="P761">IF(K761=3,"",
  IFERROR(
    INDEX('Fairway Log'!$E$2:$V$72,
      MATCH(1,
        ('Fairway Log'!$A$2:$A$72=$A761)*
        ('Fairway Log'!$B$2:$B$72=$B761)*
        ('Fairway Log'!$C$2:$C832=$C761),
      0),
      MATCH($G761,'Fairway Log'!$E$1:$V$1,0)
    ),
  "")
)</f>
        <v>0</v>
      </c>
      <c r="Q761" cm="1">
        <f t="array" ref="Q761">IFERROR(
  INDEX('GIR Log'!$E$2:$V$72,
    MATCH(1,
      ('GIR Log'!$A$2:$A$72=$A761)*
      ('GIR Log'!$B$2:$B$72=$B761)*
      ('GIR Log'!$C$2:$C$72=$C761),
    0),
    MATCH($G761,'GIR Log'!$E$1:$V$1,0)
  ),
"")</f>
        <v>0</v>
      </c>
    </row>
    <row r="762" spans="1:17" x14ac:dyDescent="0.25">
      <c r="A762" s="35" t="s">
        <v>127</v>
      </c>
      <c r="B762" s="2">
        <v>45853</v>
      </c>
      <c r="C762" s="35" t="s">
        <v>128</v>
      </c>
      <c r="D762" s="35" t="s">
        <v>128</v>
      </c>
      <c r="E762" s="35" t="s">
        <v>36</v>
      </c>
      <c r="F762">
        <v>109</v>
      </c>
      <c r="G762" s="12" t="s">
        <v>51</v>
      </c>
      <c r="H762" s="9">
        <f t="shared" si="51"/>
        <v>5</v>
      </c>
      <c r="I762" cm="1">
        <f t="array" ref="I762">IFERROR(INDEX(CourseYardages[[Hole 1]:[Hole 18]],
  MATCH(1, (CourseYardages[Course]=C762)*(CourseYardages[Tees]=E762), 0),
  MATCH(G762, CourseYardages[[#Headers],[Hole 1]:[Hole 18]], 0)
),"")</f>
        <v>550</v>
      </c>
      <c r="J762" cm="1">
        <f t="array" ref="J762">IFERROR(INDEX(CourseHandicap[[Hole 1]:[Hole 18]],
  MATCH(1, (CourseHandicap[Course]=C762)*(CourseHandicap[Tees]=E762), 0),
  MATCH(G762, CourseHandicap[[#Headers],[Hole 1]:[Hole 18]], 0)
),"")</f>
        <v>1</v>
      </c>
      <c r="K762" cm="1">
        <f t="array" ref="K762">IFERROR(INDEX(CourseRatings[[Hole 1]:[Hole 18]],
  MATCH(1, (CourseRatings[Course]=C762)*(CourseRatings[Tees]=E762), 0),
  MATCH(G762, CourseRatings[[#Headers],[Hole 1]:[Hole 18]], 0)
),"")</f>
        <v>4</v>
      </c>
      <c r="L762" cm="1">
        <f t="array" ref="L762">IFERROR(
  INDEX('Golf Log'!$E$2:$V$72,
    MATCH(1,
      ('Golf Log'!$A$2:$A$72=$A762)*
      ('Golf Log'!$B$2:$B$72=$B762)*
      ('Golf Log'!$C$2:$C$72=$C762),
    0),
    MATCH($G762,'Golf Log'!$E$1:$V$1,0)
  ),
"")</f>
        <v>7</v>
      </c>
      <c r="M762">
        <f t="shared" si="52"/>
        <v>3</v>
      </c>
      <c r="N762" t="str">
        <f t="shared" si="53"/>
        <v>Triple Bogey</v>
      </c>
      <c r="O762" cm="1">
        <f t="array" ref="O762">IFERROR(
  INDEX('Putt Log'!$E$2:$V$72,
    MATCH(1,
      ('Putt Log'!$A$2:$A$72=$A762)*
      ('Putt Log'!$B$2:$B$72=$B762)*
      ('Putt Log'!$C$2:$C$72=$C762),
    0),
    MATCH($G762,'Putt Log'!$E$1:$V$1,0)
  ),
"")</f>
        <v>3</v>
      </c>
      <c r="P762" cm="1">
        <f t="array" ref="P762">IF(K762=3,"",
  IFERROR(
    INDEX('Fairway Log'!$E$2:$V$72,
      MATCH(1,
        ('Fairway Log'!$A$2:$A$72=$A762)*
        ('Fairway Log'!$B$2:$B$72=$B762)*
        ('Fairway Log'!$C$2:$C833=$C762),
      0),
      MATCH($G762,'Fairway Log'!$E$1:$V$1,0)
    ),
  "")
)</f>
        <v>0</v>
      </c>
      <c r="Q762" cm="1">
        <f t="array" ref="Q762">IFERROR(
  INDEX('GIR Log'!$E$2:$V$72,
    MATCH(1,
      ('GIR Log'!$A$2:$A$72=$A762)*
      ('GIR Log'!$B$2:$B$72=$B762)*
      ('GIR Log'!$C$2:$C$72=$C762),
    0),
    MATCH($G762,'GIR Log'!$E$1:$V$1,0)
  ),
"")</f>
        <v>0</v>
      </c>
    </row>
    <row r="763" spans="1:17" x14ac:dyDescent="0.25">
      <c r="A763" s="35" t="s">
        <v>127</v>
      </c>
      <c r="B763" s="2">
        <v>45853</v>
      </c>
      <c r="C763" s="35" t="s">
        <v>128</v>
      </c>
      <c r="D763" s="35" t="s">
        <v>128</v>
      </c>
      <c r="E763" s="35" t="s">
        <v>36</v>
      </c>
      <c r="F763">
        <v>109</v>
      </c>
      <c r="G763" s="12" t="s">
        <v>52</v>
      </c>
      <c r="H763" s="9">
        <f t="shared" si="51"/>
        <v>6</v>
      </c>
      <c r="I763" cm="1">
        <f t="array" ref="I763">IFERROR(INDEX(CourseYardages[[Hole 1]:[Hole 18]],
  MATCH(1, (CourseYardages[Course]=C763)*(CourseYardages[Tees]=E763), 0),
  MATCH(G763, CourseYardages[[#Headers],[Hole 1]:[Hole 18]], 0)
),"")</f>
        <v>370</v>
      </c>
      <c r="J763" cm="1">
        <f t="array" ref="J763">IFERROR(INDEX(CourseHandicap[[Hole 1]:[Hole 18]],
  MATCH(1, (CourseHandicap[Course]=C763)*(CourseHandicap[Tees]=E763), 0),
  MATCH(G763, CourseHandicap[[#Headers],[Hole 1]:[Hole 18]], 0)
),"")</f>
        <v>9</v>
      </c>
      <c r="K763" cm="1">
        <f t="array" ref="K763">IFERROR(INDEX(CourseRatings[[Hole 1]:[Hole 18]],
  MATCH(1, (CourseRatings[Course]=C763)*(CourseRatings[Tees]=E763), 0),
  MATCH(G763, CourseRatings[[#Headers],[Hole 1]:[Hole 18]], 0)
),"")</f>
        <v>4</v>
      </c>
      <c r="L763" cm="1">
        <f t="array" ref="L763">IFERROR(
  INDEX('Golf Log'!$E$2:$V$72,
    MATCH(1,
      ('Golf Log'!$A$2:$A$72=$A763)*
      ('Golf Log'!$B$2:$B$72=$B763)*
      ('Golf Log'!$C$2:$C$72=$C763),
    0),
    MATCH($G763,'Golf Log'!$E$1:$V$1,0)
  ),
"")</f>
        <v>8</v>
      </c>
      <c r="M763">
        <f t="shared" si="52"/>
        <v>4</v>
      </c>
      <c r="N763" t="str">
        <f t="shared" si="53"/>
        <v>Quad Bogey+</v>
      </c>
      <c r="O763" cm="1">
        <f t="array" ref="O763">IFERROR(
  INDEX('Putt Log'!$E$2:$V$72,
    MATCH(1,
      ('Putt Log'!$A$2:$A$72=$A763)*
      ('Putt Log'!$B$2:$B$72=$B763)*
      ('Putt Log'!$C$2:$C$72=$C763),
    0),
    MATCH($G763,'Putt Log'!$E$1:$V$1,0)
  ),
"")</f>
        <v>3</v>
      </c>
      <c r="P763" cm="1">
        <f t="array" ref="P763">IF(K763=3,"",
  IFERROR(
    INDEX('Fairway Log'!$E$2:$V$72,
      MATCH(1,
        ('Fairway Log'!$A$2:$A$72=$A763)*
        ('Fairway Log'!$B$2:$B$72=$B763)*
        ('Fairway Log'!$C$2:$C834=$C763),
      0),
      MATCH($G763,'Fairway Log'!$E$1:$V$1,0)
    ),
  "")
)</f>
        <v>0</v>
      </c>
      <c r="Q763" cm="1">
        <f t="array" ref="Q763">IFERROR(
  INDEX('GIR Log'!$E$2:$V$72,
    MATCH(1,
      ('GIR Log'!$A$2:$A$72=$A763)*
      ('GIR Log'!$B$2:$B$72=$B763)*
      ('GIR Log'!$C$2:$C$72=$C763),
    0),
    MATCH($G763,'GIR Log'!$E$1:$V$1,0)
  ),
"")</f>
        <v>0</v>
      </c>
    </row>
    <row r="764" spans="1:17" x14ac:dyDescent="0.25">
      <c r="A764" s="35" t="s">
        <v>127</v>
      </c>
      <c r="B764" s="2">
        <v>45853</v>
      </c>
      <c r="C764" s="35" t="s">
        <v>128</v>
      </c>
      <c r="D764" s="35" t="s">
        <v>128</v>
      </c>
      <c r="E764" s="35" t="s">
        <v>36</v>
      </c>
      <c r="F764">
        <v>109</v>
      </c>
      <c r="G764" s="12" t="s">
        <v>53</v>
      </c>
      <c r="H764" s="9">
        <f t="shared" si="51"/>
        <v>7</v>
      </c>
      <c r="I764" cm="1">
        <f t="array" ref="I764">IFERROR(INDEX(CourseYardages[[Hole 1]:[Hole 18]],
  MATCH(1, (CourseYardages[Course]=C764)*(CourseYardages[Tees]=E764), 0),
  MATCH(G764, CourseYardages[[#Headers],[Hole 1]:[Hole 18]], 0)
),"")</f>
        <v>328</v>
      </c>
      <c r="J764" cm="1">
        <f t="array" ref="J764">IFERROR(INDEX(CourseHandicap[[Hole 1]:[Hole 18]],
  MATCH(1, (CourseHandicap[Course]=C764)*(CourseHandicap[Tees]=E764), 0),
  MATCH(G764, CourseHandicap[[#Headers],[Hole 1]:[Hole 18]], 0)
),"")</f>
        <v>11</v>
      </c>
      <c r="K764" cm="1">
        <f t="array" ref="K764">IFERROR(INDEX(CourseRatings[[Hole 1]:[Hole 18]],
  MATCH(1, (CourseRatings[Course]=C764)*(CourseRatings[Tees]=E764), 0),
  MATCH(G764, CourseRatings[[#Headers],[Hole 1]:[Hole 18]], 0)
),"")</f>
        <v>4</v>
      </c>
      <c r="L764" cm="1">
        <f t="array" ref="L764">IFERROR(
  INDEX('Golf Log'!$E$2:$V$72,
    MATCH(1,
      ('Golf Log'!$A$2:$A$72=$A764)*
      ('Golf Log'!$B$2:$B$72=$B764)*
      ('Golf Log'!$C$2:$C$72=$C764),
    0),
    MATCH($G764,'Golf Log'!$E$1:$V$1,0)
  ),
"")</f>
        <v>6</v>
      </c>
      <c r="M764">
        <f t="shared" si="52"/>
        <v>2</v>
      </c>
      <c r="N764" t="str">
        <f t="shared" si="53"/>
        <v>Double Bogey</v>
      </c>
      <c r="O764" cm="1">
        <f t="array" ref="O764">IFERROR(
  INDEX('Putt Log'!$E$2:$V$72,
    MATCH(1,
      ('Putt Log'!$A$2:$A$72=$A764)*
      ('Putt Log'!$B$2:$B$72=$B764)*
      ('Putt Log'!$C$2:$C$72=$C764),
    0),
    MATCH($G764,'Putt Log'!$E$1:$V$1,0)
  ),
"")</f>
        <v>2</v>
      </c>
      <c r="P764" cm="1">
        <f t="array" ref="P764">IF(K764=3,"",
  IFERROR(
    INDEX('Fairway Log'!$E$2:$V$72,
      MATCH(1,
        ('Fairway Log'!$A$2:$A$72=$A764)*
        ('Fairway Log'!$B$2:$B$72=$B764)*
        ('Fairway Log'!$C$2:$C835=$C764),
      0),
      MATCH($G764,'Fairway Log'!$E$1:$V$1,0)
    ),
  "")
)</f>
        <v>0</v>
      </c>
      <c r="Q764" cm="1">
        <f t="array" ref="Q764">IFERROR(
  INDEX('GIR Log'!$E$2:$V$72,
    MATCH(1,
      ('GIR Log'!$A$2:$A$72=$A764)*
      ('GIR Log'!$B$2:$B$72=$B764)*
      ('GIR Log'!$C$2:$C$72=$C764),
    0),
    MATCH($G764,'GIR Log'!$E$1:$V$1,0)
  ),
"")</f>
        <v>0</v>
      </c>
    </row>
    <row r="765" spans="1:17" x14ac:dyDescent="0.25">
      <c r="A765" s="35" t="s">
        <v>127</v>
      </c>
      <c r="B765" s="2">
        <v>45853</v>
      </c>
      <c r="C765" s="35" t="s">
        <v>128</v>
      </c>
      <c r="D765" s="35" t="s">
        <v>128</v>
      </c>
      <c r="E765" s="35" t="s">
        <v>36</v>
      </c>
      <c r="F765">
        <v>109</v>
      </c>
      <c r="G765" s="12" t="s">
        <v>54</v>
      </c>
      <c r="H765" s="9">
        <f t="shared" si="51"/>
        <v>8</v>
      </c>
      <c r="I765" cm="1">
        <f t="array" ref="I765">IFERROR(INDEX(CourseYardages[[Hole 1]:[Hole 18]],
  MATCH(1, (CourseYardages[Course]=C765)*(CourseYardages[Tees]=E765), 0),
  MATCH(G765, CourseYardages[[#Headers],[Hole 1]:[Hole 18]], 0)
),"")</f>
        <v>196</v>
      </c>
      <c r="J765" cm="1">
        <f t="array" ref="J765">IFERROR(INDEX(CourseHandicap[[Hole 1]:[Hole 18]],
  MATCH(1, (CourseHandicap[Course]=C765)*(CourseHandicap[Tees]=E765), 0),
  MATCH(G765, CourseHandicap[[#Headers],[Hole 1]:[Hole 18]], 0)
),"")</f>
        <v>15</v>
      </c>
      <c r="K765" cm="1">
        <f t="array" ref="K765">IFERROR(INDEX(CourseRatings[[Hole 1]:[Hole 18]],
  MATCH(1, (CourseRatings[Course]=C765)*(CourseRatings[Tees]=E765), 0),
  MATCH(G765, CourseRatings[[#Headers],[Hole 1]:[Hole 18]], 0)
),"")</f>
        <v>3</v>
      </c>
      <c r="L765" cm="1">
        <f t="array" ref="L765">IFERROR(
  INDEX('Golf Log'!$E$2:$V$72,
    MATCH(1,
      ('Golf Log'!$A$2:$A$72=$A765)*
      ('Golf Log'!$B$2:$B$72=$B765)*
      ('Golf Log'!$C$2:$C$72=$C765),
    0),
    MATCH($G765,'Golf Log'!$E$1:$V$1,0)
  ),
"")</f>
        <v>4</v>
      </c>
      <c r="M765">
        <f t="shared" si="52"/>
        <v>1</v>
      </c>
      <c r="N765" t="str">
        <f t="shared" si="53"/>
        <v>Bogey</v>
      </c>
      <c r="O765" cm="1">
        <f t="array" ref="O765">IFERROR(
  INDEX('Putt Log'!$E$2:$V$72,
    MATCH(1,
      ('Putt Log'!$A$2:$A$72=$A765)*
      ('Putt Log'!$B$2:$B$72=$B765)*
      ('Putt Log'!$C$2:$C$72=$C765),
    0),
    MATCH($G765,'Putt Log'!$E$1:$V$1,0)
  ),
"")</f>
        <v>2</v>
      </c>
      <c r="P765" t="str" cm="1">
        <f t="array" ref="P765">IF(K765=3,"",
  IFERROR(
    INDEX('Fairway Log'!$E$2:$V$72,
      MATCH(1,
        ('Fairway Log'!$A$2:$A$72=$A765)*
        ('Fairway Log'!$B$2:$B$72=$B765)*
        ('Fairway Log'!$C$2:$C836=$C765),
      0),
      MATCH($G765,'Fairway Log'!$E$1:$V$1,0)
    ),
  "")
)</f>
        <v/>
      </c>
      <c r="Q765" cm="1">
        <f t="array" ref="Q765">IFERROR(
  INDEX('GIR Log'!$E$2:$V$72,
    MATCH(1,
      ('GIR Log'!$A$2:$A$72=$A765)*
      ('GIR Log'!$B$2:$B$72=$B765)*
      ('GIR Log'!$C$2:$C$72=$C765),
    0),
    MATCH($G765,'GIR Log'!$E$1:$V$1,0)
  ),
"")</f>
        <v>0</v>
      </c>
    </row>
    <row r="766" spans="1:17" x14ac:dyDescent="0.25">
      <c r="A766" s="35" t="s">
        <v>127</v>
      </c>
      <c r="B766" s="2">
        <v>45853</v>
      </c>
      <c r="C766" s="35" t="s">
        <v>128</v>
      </c>
      <c r="D766" s="35" t="s">
        <v>128</v>
      </c>
      <c r="E766" s="35" t="s">
        <v>36</v>
      </c>
      <c r="F766">
        <v>109</v>
      </c>
      <c r="G766" s="12" t="s">
        <v>55</v>
      </c>
      <c r="H766" s="9">
        <f t="shared" si="51"/>
        <v>9</v>
      </c>
      <c r="I766" cm="1">
        <f t="array" ref="I766">IFERROR(INDEX(CourseYardages[[Hole 1]:[Hole 18]],
  MATCH(1, (CourseYardages[Course]=C766)*(CourseYardages[Tees]=E766), 0),
  MATCH(G766, CourseYardages[[#Headers],[Hole 1]:[Hole 18]], 0)
),"")</f>
        <v>352</v>
      </c>
      <c r="J766" cm="1">
        <f t="array" ref="J766">IFERROR(INDEX(CourseHandicap[[Hole 1]:[Hole 18]],
  MATCH(1, (CourseHandicap[Course]=C766)*(CourseHandicap[Tees]=E766), 0),
  MATCH(G766, CourseHandicap[[#Headers],[Hole 1]:[Hole 18]], 0)
),"")</f>
        <v>13</v>
      </c>
      <c r="K766" cm="1">
        <f t="array" ref="K766">IFERROR(INDEX(CourseRatings[[Hole 1]:[Hole 18]],
  MATCH(1, (CourseRatings[Course]=C766)*(CourseRatings[Tees]=E766), 0),
  MATCH(G766, CourseRatings[[#Headers],[Hole 1]:[Hole 18]], 0)
),"")</f>
        <v>4</v>
      </c>
      <c r="L766" cm="1">
        <f t="array" ref="L766">IFERROR(
  INDEX('Golf Log'!$E$2:$V$72,
    MATCH(1,
      ('Golf Log'!$A$2:$A$72=$A766)*
      ('Golf Log'!$B$2:$B$72=$B766)*
      ('Golf Log'!$C$2:$C$72=$C766),
    0),
    MATCH($G766,'Golf Log'!$E$1:$V$1,0)
  ),
"")</f>
        <v>6</v>
      </c>
      <c r="M766">
        <f t="shared" si="52"/>
        <v>2</v>
      </c>
      <c r="N766" t="str">
        <f t="shared" si="53"/>
        <v>Double Bogey</v>
      </c>
      <c r="O766" cm="1">
        <f t="array" ref="O766">IFERROR(
  INDEX('Putt Log'!$E$2:$V$72,
    MATCH(1,
      ('Putt Log'!$A$2:$A$72=$A766)*
      ('Putt Log'!$B$2:$B$72=$B766)*
      ('Putt Log'!$C$2:$C$72=$C766),
    0),
    MATCH($G766,'Putt Log'!$E$1:$V$1,0)
  ),
"")</f>
        <v>2</v>
      </c>
      <c r="P766" cm="1">
        <f t="array" ref="P766">IF(K766=3,"",
  IFERROR(
    INDEX('Fairway Log'!$E$2:$V$72,
      MATCH(1,
        ('Fairway Log'!$A$2:$A$72=$A766)*
        ('Fairway Log'!$B$2:$B$72=$B766)*
        ('Fairway Log'!$C$2:$C837=$C766),
      0),
      MATCH($G766,'Fairway Log'!$E$1:$V$1,0)
    ),
  "")
)</f>
        <v>0</v>
      </c>
      <c r="Q766" cm="1">
        <f t="array" ref="Q766">IFERROR(
  INDEX('GIR Log'!$E$2:$V$72,
    MATCH(1,
      ('GIR Log'!$A$2:$A$72=$A766)*
      ('GIR Log'!$B$2:$B$72=$B766)*
      ('GIR Log'!$C$2:$C$72=$C766),
    0),
    MATCH($G766,'GIR Log'!$E$1:$V$1,0)
  ),
"")</f>
        <v>0</v>
      </c>
    </row>
    <row r="767" spans="1:17" x14ac:dyDescent="0.25">
      <c r="A767" s="35" t="s">
        <v>127</v>
      </c>
      <c r="B767" s="2">
        <v>45853</v>
      </c>
      <c r="C767" s="35" t="s">
        <v>128</v>
      </c>
      <c r="D767" s="35" t="s">
        <v>128</v>
      </c>
      <c r="E767" s="35" t="s">
        <v>36</v>
      </c>
      <c r="F767">
        <v>109</v>
      </c>
      <c r="G767" s="12" t="s">
        <v>56</v>
      </c>
      <c r="H767" s="9">
        <f t="shared" si="51"/>
        <v>10</v>
      </c>
      <c r="I767" cm="1">
        <f t="array" ref="I767">IFERROR(INDEX(CourseYardages[[Hole 1]:[Hole 18]],
  MATCH(1, (CourseYardages[Course]=C767)*(CourseYardages[Tees]=E767), 0),
  MATCH(G767, CourseYardages[[#Headers],[Hole 1]:[Hole 18]], 0)
),"")</f>
        <v>367</v>
      </c>
      <c r="J767" cm="1">
        <f t="array" ref="J767">IFERROR(INDEX(CourseHandicap[[Hole 1]:[Hole 18]],
  MATCH(1, (CourseHandicap[Course]=C767)*(CourseHandicap[Tees]=E767), 0),
  MATCH(G767, CourseHandicap[[#Headers],[Hole 1]:[Hole 18]], 0)
),"")</f>
        <v>14</v>
      </c>
      <c r="K767" cm="1">
        <f t="array" ref="K767">IFERROR(INDEX(CourseRatings[[Hole 1]:[Hole 18]],
  MATCH(1, (CourseRatings[Course]=C767)*(CourseRatings[Tees]=E767), 0),
  MATCH(G767, CourseRatings[[#Headers],[Hole 1]:[Hole 18]], 0)
),"")</f>
        <v>4</v>
      </c>
      <c r="L767" cm="1">
        <f t="array" ref="L767">IFERROR(
  INDEX('Golf Log'!$E$2:$V$72,
    MATCH(1,
      ('Golf Log'!$A$2:$A$72=$A767)*
      ('Golf Log'!$B$2:$B$72=$B767)*
      ('Golf Log'!$C$2:$C$72=$C767),
    0),
    MATCH($G767,'Golf Log'!$E$1:$V$1,0)
  ),
"")</f>
        <v>5</v>
      </c>
      <c r="M767">
        <f t="shared" si="52"/>
        <v>1</v>
      </c>
      <c r="N767" t="str">
        <f t="shared" si="53"/>
        <v>Bogey</v>
      </c>
      <c r="O767" cm="1">
        <f t="array" ref="O767">IFERROR(
  INDEX('Putt Log'!$E$2:$V$72,
    MATCH(1,
      ('Putt Log'!$A$2:$A$72=$A767)*
      ('Putt Log'!$B$2:$B$72=$B767)*
      ('Putt Log'!$C$2:$C$72=$C767),
    0),
    MATCH($G767,'Putt Log'!$E$1:$V$1,0)
  ),
"")</f>
        <v>2</v>
      </c>
      <c r="P767" cm="1">
        <f t="array" ref="P767">IF(K767=3,"",
  IFERROR(
    INDEX('Fairway Log'!$E$2:$V$72,
      MATCH(1,
        ('Fairway Log'!$A$2:$A$72=$A767)*
        ('Fairway Log'!$B$2:$B$72=$B767)*
        ('Fairway Log'!$C$2:$C838=$C767),
      0),
      MATCH($G767,'Fairway Log'!$E$1:$V$1,0)
    ),
  "")
)</f>
        <v>0</v>
      </c>
      <c r="Q767" cm="1">
        <f t="array" ref="Q767">IFERROR(
  INDEX('GIR Log'!$E$2:$V$72,
    MATCH(1,
      ('GIR Log'!$A$2:$A$72=$A767)*
      ('GIR Log'!$B$2:$B$72=$B767)*
      ('GIR Log'!$C$2:$C$72=$C767),
    0),
    MATCH($G767,'GIR Log'!$E$1:$V$1,0)
  ),
"")</f>
        <v>0</v>
      </c>
    </row>
    <row r="768" spans="1:17" x14ac:dyDescent="0.25">
      <c r="A768" s="35" t="s">
        <v>127</v>
      </c>
      <c r="B768" s="2">
        <v>45853</v>
      </c>
      <c r="C768" s="35" t="s">
        <v>128</v>
      </c>
      <c r="D768" s="35" t="s">
        <v>128</v>
      </c>
      <c r="E768" s="35" t="s">
        <v>36</v>
      </c>
      <c r="F768">
        <v>109</v>
      </c>
      <c r="G768" s="12" t="s">
        <v>57</v>
      </c>
      <c r="H768" s="9">
        <f t="shared" si="51"/>
        <v>11</v>
      </c>
      <c r="I768" cm="1">
        <f t="array" ref="I768">IFERROR(INDEX(CourseYardages[[Hole 1]:[Hole 18]],
  MATCH(1, (CourseYardages[Course]=C768)*(CourseYardages[Tees]=E768), 0),
  MATCH(G768, CourseYardages[[#Headers],[Hole 1]:[Hole 18]], 0)
),"")</f>
        <v>151</v>
      </c>
      <c r="J768" cm="1">
        <f t="array" ref="J768">IFERROR(INDEX(CourseHandicap[[Hole 1]:[Hole 18]],
  MATCH(1, (CourseHandicap[Course]=C768)*(CourseHandicap[Tees]=E768), 0),
  MATCH(G768, CourseHandicap[[#Headers],[Hole 1]:[Hole 18]], 0)
),"")</f>
        <v>16</v>
      </c>
      <c r="K768" cm="1">
        <f t="array" ref="K768">IFERROR(INDEX(CourseRatings[[Hole 1]:[Hole 18]],
  MATCH(1, (CourseRatings[Course]=C768)*(CourseRatings[Tees]=E768), 0),
  MATCH(G768, CourseRatings[[#Headers],[Hole 1]:[Hole 18]], 0)
),"")</f>
        <v>3</v>
      </c>
      <c r="L768" cm="1">
        <f t="array" ref="L768">IFERROR(
  INDEX('Golf Log'!$E$2:$V$72,
    MATCH(1,
      ('Golf Log'!$A$2:$A$72=$A768)*
      ('Golf Log'!$B$2:$B$72=$B768)*
      ('Golf Log'!$C$2:$C$72=$C768),
    0),
    MATCH($G768,'Golf Log'!$E$1:$V$1,0)
  ),
"")</f>
        <v>4</v>
      </c>
      <c r="M768">
        <f t="shared" si="52"/>
        <v>1</v>
      </c>
      <c r="N768" t="str">
        <f t="shared" si="53"/>
        <v>Bogey</v>
      </c>
      <c r="O768" cm="1">
        <f t="array" ref="O768">IFERROR(
  INDEX('Putt Log'!$E$2:$V$72,
    MATCH(1,
      ('Putt Log'!$A$2:$A$72=$A768)*
      ('Putt Log'!$B$2:$B$72=$B768)*
      ('Putt Log'!$C$2:$C$72=$C768),
    0),
    MATCH($G768,'Putt Log'!$E$1:$V$1,0)
  ),
"")</f>
        <v>3</v>
      </c>
      <c r="P768" t="str" cm="1">
        <f t="array" ref="P768">IF(K768=3,"",
  IFERROR(
    INDEX('Fairway Log'!$E$2:$V$72,
      MATCH(1,
        ('Fairway Log'!$A$2:$A$72=$A768)*
        ('Fairway Log'!$B$2:$B$72=$B768)*
        ('Fairway Log'!$C$2:$C839=$C768),
      0),
      MATCH($G768,'Fairway Log'!$E$1:$V$1,0)
    ),
  "")
)</f>
        <v/>
      </c>
      <c r="Q768" cm="1">
        <f t="array" ref="Q768">IFERROR(
  INDEX('GIR Log'!$E$2:$V$72,
    MATCH(1,
      ('GIR Log'!$A$2:$A$72=$A768)*
      ('GIR Log'!$B$2:$B$72=$B768)*
      ('GIR Log'!$C$2:$C$72=$C768),
    0),
    MATCH($G768,'GIR Log'!$E$1:$V$1,0)
  ),
"")</f>
        <v>1</v>
      </c>
    </row>
    <row r="769" spans="1:17" x14ac:dyDescent="0.25">
      <c r="A769" s="35" t="s">
        <v>127</v>
      </c>
      <c r="B769" s="2">
        <v>45853</v>
      </c>
      <c r="C769" s="35" t="s">
        <v>128</v>
      </c>
      <c r="D769" s="35" t="s">
        <v>128</v>
      </c>
      <c r="E769" s="35" t="s">
        <v>36</v>
      </c>
      <c r="F769">
        <v>109</v>
      </c>
      <c r="G769" s="12" t="s">
        <v>58</v>
      </c>
      <c r="H769" s="9">
        <f t="shared" si="51"/>
        <v>12</v>
      </c>
      <c r="I769" cm="1">
        <f t="array" ref="I769">IFERROR(INDEX(CourseYardages[[Hole 1]:[Hole 18]],
  MATCH(1, (CourseYardages[Course]=C769)*(CourseYardages[Tees]=E769), 0),
  MATCH(G769, CourseYardages[[#Headers],[Hole 1]:[Hole 18]], 0)
),"")</f>
        <v>370</v>
      </c>
      <c r="J769" cm="1">
        <f t="array" ref="J769">IFERROR(INDEX(CourseHandicap[[Hole 1]:[Hole 18]],
  MATCH(1, (CourseHandicap[Course]=C769)*(CourseHandicap[Tees]=E769), 0),
  MATCH(G769, CourseHandicap[[#Headers],[Hole 1]:[Hole 18]], 0)
),"")</f>
        <v>12</v>
      </c>
      <c r="K769" cm="1">
        <f t="array" ref="K769">IFERROR(INDEX(CourseRatings[[Hole 1]:[Hole 18]],
  MATCH(1, (CourseRatings[Course]=C769)*(CourseRatings[Tees]=E769), 0),
  MATCH(G769, CourseRatings[[#Headers],[Hole 1]:[Hole 18]], 0)
),"")</f>
        <v>4</v>
      </c>
      <c r="L769" cm="1">
        <f t="array" ref="L769">IFERROR(
  INDEX('Golf Log'!$E$2:$V$72,
    MATCH(1,
      ('Golf Log'!$A$2:$A$72=$A769)*
      ('Golf Log'!$B$2:$B$72=$B769)*
      ('Golf Log'!$C$2:$C$72=$C769),
    0),
    MATCH($G769,'Golf Log'!$E$1:$V$1,0)
  ),
"")</f>
        <v>6</v>
      </c>
      <c r="M769">
        <f t="shared" si="52"/>
        <v>2</v>
      </c>
      <c r="N769" t="str">
        <f t="shared" si="53"/>
        <v>Double Bogey</v>
      </c>
      <c r="O769" cm="1">
        <f t="array" ref="O769">IFERROR(
  INDEX('Putt Log'!$E$2:$V$72,
    MATCH(1,
      ('Putt Log'!$A$2:$A$72=$A769)*
      ('Putt Log'!$B$2:$B$72=$B769)*
      ('Putt Log'!$C$2:$C$72=$C769),
    0),
    MATCH($G769,'Putt Log'!$E$1:$V$1,0)
  ),
"")</f>
        <v>2</v>
      </c>
      <c r="P769" cm="1">
        <f t="array" ref="P769">IF(K769=3,"",
  IFERROR(
    INDEX('Fairway Log'!$E$2:$V$72,
      MATCH(1,
        ('Fairway Log'!$A$2:$A$72=$A769)*
        ('Fairway Log'!$B$2:$B$72=$B769)*
        ('Fairway Log'!$C$2:$C840=$C769),
      0),
      MATCH($G769,'Fairway Log'!$E$1:$V$1,0)
    ),
  "")
)</f>
        <v>0</v>
      </c>
      <c r="Q769" cm="1">
        <f t="array" ref="Q769">IFERROR(
  INDEX('GIR Log'!$E$2:$V$72,
    MATCH(1,
      ('GIR Log'!$A$2:$A$72=$A769)*
      ('GIR Log'!$B$2:$B$72=$B769)*
      ('GIR Log'!$C$2:$C$72=$C769),
    0),
    MATCH($G769,'GIR Log'!$E$1:$V$1,0)
  ),
"")</f>
        <v>0</v>
      </c>
    </row>
    <row r="770" spans="1:17" x14ac:dyDescent="0.25">
      <c r="A770" s="35" t="s">
        <v>127</v>
      </c>
      <c r="B770" s="2">
        <v>45853</v>
      </c>
      <c r="C770" s="35" t="s">
        <v>128</v>
      </c>
      <c r="D770" s="35" t="s">
        <v>128</v>
      </c>
      <c r="E770" s="35" t="s">
        <v>36</v>
      </c>
      <c r="F770">
        <v>109</v>
      </c>
      <c r="G770" s="12" t="s">
        <v>59</v>
      </c>
      <c r="H770" s="9">
        <f t="shared" si="51"/>
        <v>13</v>
      </c>
      <c r="I770" cm="1">
        <f t="array" ref="I770">IFERROR(INDEX(CourseYardages[[Hole 1]:[Hole 18]],
  MATCH(1, (CourseYardages[Course]=C770)*(CourseYardages[Tees]=E770), 0),
  MATCH(G770, CourseYardages[[#Headers],[Hole 1]:[Hole 18]], 0)
),"")</f>
        <v>551</v>
      </c>
      <c r="J770" cm="1">
        <f t="array" ref="J770">IFERROR(INDEX(CourseHandicap[[Hole 1]:[Hole 18]],
  MATCH(1, (CourseHandicap[Course]=C770)*(CourseHandicap[Tees]=E770), 0),
  MATCH(G770, CourseHandicap[[#Headers],[Hole 1]:[Hole 18]], 0)
),"")</f>
        <v>2</v>
      </c>
      <c r="K770" cm="1">
        <f t="array" ref="K770">IFERROR(INDEX(CourseRatings[[Hole 1]:[Hole 18]],
  MATCH(1, (CourseRatings[Course]=C770)*(CourseRatings[Tees]=E770), 0),
  MATCH(G770, CourseRatings[[#Headers],[Hole 1]:[Hole 18]], 0)
),"")</f>
        <v>5</v>
      </c>
      <c r="L770" cm="1">
        <f t="array" ref="L770">IFERROR(
  INDEX('Golf Log'!$E$2:$V$72,
    MATCH(1,
      ('Golf Log'!$A$2:$A$72=$A770)*
      ('Golf Log'!$B$2:$B$72=$B770)*
      ('Golf Log'!$C$2:$C$72=$C770),
    0),
    MATCH($G770,'Golf Log'!$E$1:$V$1,0)
  ),
"")</f>
        <v>7</v>
      </c>
      <c r="M770">
        <f t="shared" si="52"/>
        <v>2</v>
      </c>
      <c r="N770" t="str">
        <f t="shared" si="53"/>
        <v>Double Bogey</v>
      </c>
      <c r="O770" cm="1">
        <f t="array" ref="O770">IFERROR(
  INDEX('Putt Log'!$E$2:$V$72,
    MATCH(1,
      ('Putt Log'!$A$2:$A$72=$A770)*
      ('Putt Log'!$B$2:$B$72=$B770)*
      ('Putt Log'!$C$2:$C$72=$C770),
    0),
    MATCH($G770,'Putt Log'!$E$1:$V$1,0)
  ),
"")</f>
        <v>3</v>
      </c>
      <c r="P770" cm="1">
        <f t="array" ref="P770">IF(K770=3,"",
  IFERROR(
    INDEX('Fairway Log'!$E$2:$V$72,
      MATCH(1,
        ('Fairway Log'!$A$2:$A$72=$A770)*
        ('Fairway Log'!$B$2:$B$72=$B770)*
        ('Fairway Log'!$C$2:$C841=$C770),
      0),
      MATCH($G770,'Fairway Log'!$E$1:$V$1,0)
    ),
  "")
)</f>
        <v>0</v>
      </c>
      <c r="Q770" cm="1">
        <f t="array" ref="Q770">IFERROR(
  INDEX('GIR Log'!$E$2:$V$72,
    MATCH(1,
      ('GIR Log'!$A$2:$A$72=$A770)*
      ('GIR Log'!$B$2:$B$72=$B770)*
      ('GIR Log'!$C$2:$C$72=$C770),
    0),
    MATCH($G770,'GIR Log'!$E$1:$V$1,0)
  ),
"")</f>
        <v>0</v>
      </c>
    </row>
    <row r="771" spans="1:17" x14ac:dyDescent="0.25">
      <c r="A771" s="35" t="s">
        <v>127</v>
      </c>
      <c r="B771" s="2">
        <v>45853</v>
      </c>
      <c r="C771" s="35" t="s">
        <v>128</v>
      </c>
      <c r="D771" s="35" t="s">
        <v>128</v>
      </c>
      <c r="E771" s="35" t="s">
        <v>36</v>
      </c>
      <c r="F771">
        <v>109</v>
      </c>
      <c r="G771" s="12" t="s">
        <v>60</v>
      </c>
      <c r="H771" s="9">
        <f t="shared" si="51"/>
        <v>14</v>
      </c>
      <c r="I771" cm="1">
        <f t="array" ref="I771">IFERROR(INDEX(CourseYardages[[Hole 1]:[Hole 18]],
  MATCH(1, (CourseYardages[Course]=C771)*(CourseYardages[Tees]=E771), 0),
  MATCH(G771, CourseYardages[[#Headers],[Hole 1]:[Hole 18]], 0)
),"")</f>
        <v>130</v>
      </c>
      <c r="J771" cm="1">
        <f t="array" ref="J771">IFERROR(INDEX(CourseHandicap[[Hole 1]:[Hole 18]],
  MATCH(1, (CourseHandicap[Course]=C771)*(CourseHandicap[Tees]=E771), 0),
  MATCH(G771, CourseHandicap[[#Headers],[Hole 1]:[Hole 18]], 0)
),"")</f>
        <v>18</v>
      </c>
      <c r="K771" cm="1">
        <f t="array" ref="K771">IFERROR(INDEX(CourseRatings[[Hole 1]:[Hole 18]],
  MATCH(1, (CourseRatings[Course]=C771)*(CourseRatings[Tees]=E771), 0),
  MATCH(G771, CourseRatings[[#Headers],[Hole 1]:[Hole 18]], 0)
),"")</f>
        <v>3</v>
      </c>
      <c r="L771" cm="1">
        <f t="array" ref="L771">IFERROR(
  INDEX('Golf Log'!$E$2:$V$72,
    MATCH(1,
      ('Golf Log'!$A$2:$A$72=$A771)*
      ('Golf Log'!$B$2:$B$72=$B771)*
      ('Golf Log'!$C$2:$C$72=$C771),
    0),
    MATCH($G771,'Golf Log'!$E$1:$V$1,0)
  ),
"")</f>
        <v>3</v>
      </c>
      <c r="M771">
        <f t="shared" si="52"/>
        <v>0</v>
      </c>
      <c r="N771" t="str">
        <f t="shared" si="53"/>
        <v>Par</v>
      </c>
      <c r="O771" cm="1">
        <f t="array" ref="O771">IFERROR(
  INDEX('Putt Log'!$E$2:$V$72,
    MATCH(1,
      ('Putt Log'!$A$2:$A$72=$A771)*
      ('Putt Log'!$B$2:$B$72=$B771)*
      ('Putt Log'!$C$2:$C$72=$C771),
    0),
    MATCH($G771,'Putt Log'!$E$1:$V$1,0)
  ),
"")</f>
        <v>2</v>
      </c>
      <c r="P771" t="str" cm="1">
        <f t="array" ref="P771">IF(K771=3,"",
  IFERROR(
    INDEX('Fairway Log'!$E$2:$V$72,
      MATCH(1,
        ('Fairway Log'!$A$2:$A$72=$A771)*
        ('Fairway Log'!$B$2:$B$72=$B771)*
        ('Fairway Log'!$C$2:$C842=$C771),
      0),
      MATCH($G771,'Fairway Log'!$E$1:$V$1,0)
    ),
  "")
)</f>
        <v/>
      </c>
      <c r="Q771" cm="1">
        <f t="array" ref="Q771">IFERROR(
  INDEX('GIR Log'!$E$2:$V$72,
    MATCH(1,
      ('GIR Log'!$A$2:$A$72=$A771)*
      ('GIR Log'!$B$2:$B$72=$B771)*
      ('GIR Log'!$C$2:$C$72=$C771),
    0),
    MATCH($G771,'GIR Log'!$E$1:$V$1,0)
  ),
"")</f>
        <v>1</v>
      </c>
    </row>
    <row r="772" spans="1:17" x14ac:dyDescent="0.25">
      <c r="A772" s="35" t="s">
        <v>127</v>
      </c>
      <c r="B772" s="2">
        <v>45853</v>
      </c>
      <c r="C772" s="35" t="s">
        <v>128</v>
      </c>
      <c r="D772" s="35" t="s">
        <v>128</v>
      </c>
      <c r="E772" s="35" t="s">
        <v>36</v>
      </c>
      <c r="F772">
        <v>109</v>
      </c>
      <c r="G772" s="12" t="s">
        <v>61</v>
      </c>
      <c r="H772" s="9">
        <f t="shared" si="51"/>
        <v>15</v>
      </c>
      <c r="I772" cm="1">
        <f t="array" ref="I772">IFERROR(INDEX(CourseYardages[[Hole 1]:[Hole 18]],
  MATCH(1, (CourseYardages[Course]=C772)*(CourseYardages[Tees]=E772), 0),
  MATCH(G772, CourseYardages[[#Headers],[Hole 1]:[Hole 18]], 0)
),"")</f>
        <v>360</v>
      </c>
      <c r="J772" cm="1">
        <f t="array" ref="J772">IFERROR(INDEX(CourseHandicap[[Hole 1]:[Hole 18]],
  MATCH(1, (CourseHandicap[Course]=C772)*(CourseHandicap[Tees]=E772), 0),
  MATCH(G772, CourseHandicap[[#Headers],[Hole 1]:[Hole 18]], 0)
),"")</f>
        <v>8</v>
      </c>
      <c r="K772" cm="1">
        <f t="array" ref="K772">IFERROR(INDEX(CourseRatings[[Hole 1]:[Hole 18]],
  MATCH(1, (CourseRatings[Course]=C772)*(CourseRatings[Tees]=E772), 0),
  MATCH(G772, CourseRatings[[#Headers],[Hole 1]:[Hole 18]], 0)
),"")</f>
        <v>4</v>
      </c>
      <c r="L772" cm="1">
        <f t="array" ref="L772">IFERROR(
  INDEX('Golf Log'!$E$2:$V$72,
    MATCH(1,
      ('Golf Log'!$A$2:$A$72=$A772)*
      ('Golf Log'!$B$2:$B$72=$B772)*
      ('Golf Log'!$C$2:$C$72=$C772),
    0),
    MATCH($G772,'Golf Log'!$E$1:$V$1,0)
  ),
"")</f>
        <v>8</v>
      </c>
      <c r="M772">
        <f t="shared" si="52"/>
        <v>4</v>
      </c>
      <c r="N772" t="str">
        <f t="shared" si="53"/>
        <v>Quad Bogey+</v>
      </c>
      <c r="O772" cm="1">
        <f t="array" ref="O772">IFERROR(
  INDEX('Putt Log'!$E$2:$V$72,
    MATCH(1,
      ('Putt Log'!$A$2:$A$72=$A772)*
      ('Putt Log'!$B$2:$B$72=$B772)*
      ('Putt Log'!$C$2:$C$72=$C772),
    0),
    MATCH($G772,'Putt Log'!$E$1:$V$1,0)
  ),
"")</f>
        <v>3</v>
      </c>
      <c r="P772" cm="1">
        <f t="array" ref="P772">IF(K772=3,"",
  IFERROR(
    INDEX('Fairway Log'!$E$2:$V$72,
      MATCH(1,
        ('Fairway Log'!$A$2:$A$72=$A772)*
        ('Fairway Log'!$B$2:$B$72=$B772)*
        ('Fairway Log'!$C$2:$C843=$C772),
      0),
      MATCH($G772,'Fairway Log'!$E$1:$V$1,0)
    ),
  "")
)</f>
        <v>0</v>
      </c>
      <c r="Q772" cm="1">
        <f t="array" ref="Q772">IFERROR(
  INDEX('GIR Log'!$E$2:$V$72,
    MATCH(1,
      ('GIR Log'!$A$2:$A$72=$A772)*
      ('GIR Log'!$B$2:$B$72=$B772)*
      ('GIR Log'!$C$2:$C$72=$C772),
    0),
    MATCH($G772,'GIR Log'!$E$1:$V$1,0)
  ),
"")</f>
        <v>0</v>
      </c>
    </row>
    <row r="773" spans="1:17" x14ac:dyDescent="0.25">
      <c r="A773" s="35" t="s">
        <v>127</v>
      </c>
      <c r="B773" s="2">
        <v>45853</v>
      </c>
      <c r="C773" s="35" t="s">
        <v>128</v>
      </c>
      <c r="D773" s="35" t="s">
        <v>128</v>
      </c>
      <c r="E773" s="35" t="s">
        <v>36</v>
      </c>
      <c r="F773">
        <v>109</v>
      </c>
      <c r="G773" s="12" t="s">
        <v>62</v>
      </c>
      <c r="H773" s="9">
        <f t="shared" si="51"/>
        <v>16</v>
      </c>
      <c r="I773" cm="1">
        <f t="array" ref="I773">IFERROR(INDEX(CourseYardages[[Hole 1]:[Hole 18]],
  MATCH(1, (CourseYardages[Course]=C773)*(CourseYardages[Tees]=E773), 0),
  MATCH(G773, CourseYardages[[#Headers],[Hole 1]:[Hole 18]], 0)
),"")</f>
        <v>338</v>
      </c>
      <c r="J773" cm="1">
        <f t="array" ref="J773">IFERROR(INDEX(CourseHandicap[[Hole 1]:[Hole 18]],
  MATCH(1, (CourseHandicap[Course]=C773)*(CourseHandicap[Tees]=E773), 0),
  MATCH(G773, CourseHandicap[[#Headers],[Hole 1]:[Hole 18]], 0)
),"")</f>
        <v>10</v>
      </c>
      <c r="K773" cm="1">
        <f t="array" ref="K773">IFERROR(INDEX(CourseRatings[[Hole 1]:[Hole 18]],
  MATCH(1, (CourseRatings[Course]=C773)*(CourseRatings[Tees]=E773), 0),
  MATCH(G773, CourseRatings[[#Headers],[Hole 1]:[Hole 18]], 0)
),"")</f>
        <v>4</v>
      </c>
      <c r="L773" cm="1">
        <f t="array" ref="L773">IFERROR(
  INDEX('Golf Log'!$E$2:$V$72,
    MATCH(1,
      ('Golf Log'!$A$2:$A$72=$A773)*
      ('Golf Log'!$B$2:$B$72=$B773)*
      ('Golf Log'!$C$2:$C$72=$C773),
    0),
    MATCH($G773,'Golf Log'!$E$1:$V$1,0)
  ),
"")</f>
        <v>6</v>
      </c>
      <c r="M773">
        <f t="shared" si="52"/>
        <v>2</v>
      </c>
      <c r="N773" t="str">
        <f t="shared" si="53"/>
        <v>Double Bogey</v>
      </c>
      <c r="O773" cm="1">
        <f t="array" ref="O773">IFERROR(
  INDEX('Putt Log'!$E$2:$V$72,
    MATCH(1,
      ('Putt Log'!$A$2:$A$72=$A773)*
      ('Putt Log'!$B$2:$B$72=$B773)*
      ('Putt Log'!$C$2:$C$72=$C773),
    0),
    MATCH($G773,'Putt Log'!$E$1:$V$1,0)
  ),
"")</f>
        <v>2</v>
      </c>
      <c r="P773" cm="1">
        <f t="array" ref="P773">IF(K773=3,"",
  IFERROR(
    INDEX('Fairway Log'!$E$2:$V$72,
      MATCH(1,
        ('Fairway Log'!$A$2:$A$72=$A773)*
        ('Fairway Log'!$B$2:$B$72=$B773)*
        ('Fairway Log'!$C$2:$C844=$C773),
      0),
      MATCH($G773,'Fairway Log'!$E$1:$V$1,0)
    ),
  "")
)</f>
        <v>0</v>
      </c>
      <c r="Q773" cm="1">
        <f t="array" ref="Q773">IFERROR(
  INDEX('GIR Log'!$E$2:$V$72,
    MATCH(1,
      ('GIR Log'!$A$2:$A$72=$A773)*
      ('GIR Log'!$B$2:$B$72=$B773)*
      ('GIR Log'!$C$2:$C$72=$C773),
    0),
    MATCH($G773,'GIR Log'!$E$1:$V$1,0)
  ),
"")</f>
        <v>0</v>
      </c>
    </row>
    <row r="774" spans="1:17" x14ac:dyDescent="0.25">
      <c r="A774" s="35" t="s">
        <v>127</v>
      </c>
      <c r="B774" s="2">
        <v>45853</v>
      </c>
      <c r="C774" s="35" t="s">
        <v>128</v>
      </c>
      <c r="D774" s="35" t="s">
        <v>128</v>
      </c>
      <c r="E774" s="35" t="s">
        <v>36</v>
      </c>
      <c r="F774">
        <v>109</v>
      </c>
      <c r="G774" s="12" t="s">
        <v>63</v>
      </c>
      <c r="H774" s="9">
        <f t="shared" si="51"/>
        <v>17</v>
      </c>
      <c r="I774" cm="1">
        <f t="array" ref="I774">IFERROR(INDEX(CourseYardages[[Hole 1]:[Hole 18]],
  MATCH(1, (CourseYardages[Course]=C774)*(CourseYardages[Tees]=E774), 0),
  MATCH(G774, CourseYardages[[#Headers],[Hole 1]:[Hole 18]], 0)
),"")</f>
        <v>360</v>
      </c>
      <c r="J774" cm="1">
        <f t="array" ref="J774">IFERROR(INDEX(CourseHandicap[[Hole 1]:[Hole 18]],
  MATCH(1, (CourseHandicap[Course]=C774)*(CourseHandicap[Tees]=E774), 0),
  MATCH(G774, CourseHandicap[[#Headers],[Hole 1]:[Hole 18]], 0)
),"")</f>
        <v>6</v>
      </c>
      <c r="K774" cm="1">
        <f t="array" ref="K774">IFERROR(INDEX(CourseRatings[[Hole 1]:[Hole 18]],
  MATCH(1, (CourseRatings[Course]=C774)*(CourseRatings[Tees]=E774), 0),
  MATCH(G774, CourseRatings[[#Headers],[Hole 1]:[Hole 18]], 0)
),"")</f>
        <v>4</v>
      </c>
      <c r="L774" cm="1">
        <f t="array" ref="L774">IFERROR(
  INDEX('Golf Log'!$E$2:$V$72,
    MATCH(1,
      ('Golf Log'!$A$2:$A$72=$A774)*
      ('Golf Log'!$B$2:$B$72=$B774)*
      ('Golf Log'!$C$2:$C$72=$C774),
    0),
    MATCH($G774,'Golf Log'!$E$1:$V$1,0)
  ),
"")</f>
        <v>8</v>
      </c>
      <c r="M774">
        <f t="shared" si="52"/>
        <v>4</v>
      </c>
      <c r="N774" t="str">
        <f t="shared" si="53"/>
        <v>Quad Bogey+</v>
      </c>
      <c r="O774" cm="1">
        <f t="array" ref="O774">IFERROR(
  INDEX('Putt Log'!$E$2:$V$72,
    MATCH(1,
      ('Putt Log'!$A$2:$A$72=$A774)*
      ('Putt Log'!$B$2:$B$72=$B774)*
      ('Putt Log'!$C$2:$C$72=$C774),
    0),
    MATCH($G774,'Putt Log'!$E$1:$V$1,0)
  ),
"")</f>
        <v>3</v>
      </c>
      <c r="P774" cm="1">
        <f t="array" ref="P774">IF(K774=3,"",
  IFERROR(
    INDEX('Fairway Log'!$E$2:$V$72,
      MATCH(1,
        ('Fairway Log'!$A$2:$A$72=$A774)*
        ('Fairway Log'!$B$2:$B$72=$B774)*
        ('Fairway Log'!$C$2:$C845=$C774),
      0),
      MATCH($G774,'Fairway Log'!$E$1:$V$1,0)
    ),
  "")
)</f>
        <v>0</v>
      </c>
      <c r="Q774" cm="1">
        <f t="array" ref="Q774">IFERROR(
  INDEX('GIR Log'!$E$2:$V$72,
    MATCH(1,
      ('GIR Log'!$A$2:$A$72=$A774)*
      ('GIR Log'!$B$2:$B$72=$B774)*
      ('GIR Log'!$C$2:$C$72=$C774),
    0),
    MATCH($G774,'GIR Log'!$E$1:$V$1,0)
  ),
"")</f>
        <v>0</v>
      </c>
    </row>
    <row r="775" spans="1:17" x14ac:dyDescent="0.25">
      <c r="A775" s="35" t="s">
        <v>127</v>
      </c>
      <c r="B775" s="2">
        <v>45853</v>
      </c>
      <c r="C775" s="35" t="s">
        <v>128</v>
      </c>
      <c r="D775" s="35" t="s">
        <v>128</v>
      </c>
      <c r="E775" s="35" t="s">
        <v>36</v>
      </c>
      <c r="F775">
        <v>109</v>
      </c>
      <c r="G775" s="12" t="s">
        <v>64</v>
      </c>
      <c r="H775" s="9">
        <f t="shared" si="51"/>
        <v>18</v>
      </c>
      <c r="I775" cm="1">
        <f t="array" ref="I775">IFERROR(INDEX(CourseYardages[[Hole 1]:[Hole 18]],
  MATCH(1, (CourseYardages[Course]=C775)*(CourseYardages[Tees]=E775), 0),
  MATCH(G775, CourseYardages[[#Headers],[Hole 1]:[Hole 18]], 0)
),"")</f>
        <v>430</v>
      </c>
      <c r="J775" cm="1">
        <f t="array" ref="J775">IFERROR(INDEX(CourseHandicap[[Hole 1]:[Hole 18]],
  MATCH(1, (CourseHandicap[Course]=C775)*(CourseHandicap[Tees]=E775), 0),
  MATCH(G775, CourseHandicap[[#Headers],[Hole 1]:[Hole 18]], 0)
),"")</f>
        <v>4</v>
      </c>
      <c r="K775" cm="1">
        <f t="array" ref="K775">IFERROR(INDEX(CourseRatings[[Hole 1]:[Hole 18]],
  MATCH(1, (CourseRatings[Course]=C775)*(CourseRatings[Tees]=E775), 0),
  MATCH(G775, CourseRatings[[#Headers],[Hole 1]:[Hole 18]], 0)
),"")</f>
        <v>4</v>
      </c>
      <c r="L775" cm="1">
        <f t="array" ref="L775">IFERROR(
  INDEX('Golf Log'!$E$2:$V$72,
    MATCH(1,
      ('Golf Log'!$A$2:$A$72=$A775)*
      ('Golf Log'!$B$2:$B$72=$B775)*
      ('Golf Log'!$C$2:$C$72=$C775),
    0),
    MATCH($G775,'Golf Log'!$E$1:$V$1,0)
  ),
"")</f>
        <v>5</v>
      </c>
      <c r="M775">
        <f t="shared" si="52"/>
        <v>1</v>
      </c>
      <c r="N775" t="str">
        <f t="shared" si="53"/>
        <v>Bogey</v>
      </c>
      <c r="O775" cm="1">
        <f t="array" ref="O775">IFERROR(
  INDEX('Putt Log'!$E$2:$V$72,
    MATCH(1,
      ('Putt Log'!$A$2:$A$72=$A775)*
      ('Putt Log'!$B$2:$B$72=$B775)*
      ('Putt Log'!$C$2:$C$72=$C775),
    0),
    MATCH($G775,'Putt Log'!$E$1:$V$1,0)
  ),
"")</f>
        <v>2</v>
      </c>
      <c r="P775" cm="1">
        <f t="array" ref="P775">IF(K775=3,"",
  IFERROR(
    INDEX('Fairway Log'!$E$2:$V$72,
      MATCH(1,
        ('Fairway Log'!$A$2:$A$72=$A775)*
        ('Fairway Log'!$B$2:$B$72=$B775)*
        ('Fairway Log'!$C$2:$C846=$C775),
      0),
      MATCH($G775,'Fairway Log'!$E$1:$V$1,0)
    ),
  "")
)</f>
        <v>0</v>
      </c>
      <c r="Q775" cm="1">
        <f t="array" ref="Q775">IFERROR(
  INDEX('GIR Log'!$E$2:$V$72,
    MATCH(1,
      ('GIR Log'!$A$2:$A$72=$A775)*
      ('GIR Log'!$B$2:$B$72=$B775)*
      ('GIR Log'!$C$2:$C$72=$C775),
    0),
    MATCH($G775,'GIR Log'!$E$1:$V$1,0)
  ),
"")</f>
        <v>0</v>
      </c>
    </row>
    <row r="776" spans="1:17" x14ac:dyDescent="0.25">
      <c r="A776" s="35" t="s">
        <v>127</v>
      </c>
      <c r="B776" s="2">
        <v>45765</v>
      </c>
      <c r="C776" s="35" t="s">
        <v>129</v>
      </c>
      <c r="D776" s="35" t="s">
        <v>129</v>
      </c>
      <c r="E776" s="35" t="s">
        <v>36</v>
      </c>
      <c r="F776">
        <v>111</v>
      </c>
      <c r="G776" t="s">
        <v>47</v>
      </c>
      <c r="H776" s="9">
        <f t="shared" si="51"/>
        <v>1</v>
      </c>
      <c r="I776" cm="1">
        <f t="array" ref="I776">IFERROR(INDEX(CourseYardages[[Hole 1]:[Hole 18]],
  MATCH(1, (CourseYardages[Course]=C776)*(CourseYardages[Tees]=E776), 0),
  MATCH(G776, CourseYardages[[#Headers],[Hole 1]:[Hole 18]], 0)
),"")</f>
        <v>354</v>
      </c>
      <c r="J776" cm="1">
        <f t="array" ref="J776">IFERROR(INDEX(CourseHandicap[[Hole 1]:[Hole 18]],
  MATCH(1, (CourseHandicap[Course]=C776)*(CourseHandicap[Tees]=E776), 0),
  MATCH(G776, CourseHandicap[[#Headers],[Hole 1]:[Hole 18]], 0)
),"")</f>
        <v>9</v>
      </c>
      <c r="K776" cm="1">
        <f t="array" ref="K776">IFERROR(INDEX(CourseRatings[[Hole 1]:[Hole 18]],
  MATCH(1, (CourseRatings[Course]=C776)*(CourseRatings[Tees]=E776), 0),
  MATCH(G776, CourseRatings[[#Headers],[Hole 1]:[Hole 18]], 0)
),"")</f>
        <v>4</v>
      </c>
      <c r="L776" cm="1">
        <f t="array" ref="L776">IFERROR(
  INDEX('Golf Log'!$E$2:$V$72,
    MATCH(1,
      ('Golf Log'!$A$2:$A$72=$A776)*
      ('Golf Log'!$B$2:$B$72=$B776)*
      ('Golf Log'!$C$2:$C$72=$C776),
    0),
    MATCH($G776,'Golf Log'!$E$1:$V$1,0)
  ),
"")</f>
        <v>8</v>
      </c>
      <c r="M776">
        <f t="shared" si="52"/>
        <v>4</v>
      </c>
      <c r="N776" t="str">
        <f t="shared" si="53"/>
        <v>Quad Bogey+</v>
      </c>
      <c r="O776" cm="1">
        <f t="array" ref="O776">IFERROR(
  INDEX('Putt Log'!$E$2:$V$72,
    MATCH(1,
      ('Putt Log'!$A$2:$A$72=$A776)*
      ('Putt Log'!$B$2:$B$72=$B776)*
      ('Putt Log'!$C$2:$C$72=$C776),
    0),
    MATCH($G776,'Putt Log'!$E$1:$V$1,0)
  ),
"")</f>
        <v>3</v>
      </c>
      <c r="P776" t="str" cm="1">
        <f t="array" ref="P776">IF(K776=3,"",
  IFERROR(
    INDEX('Fairway Log'!$E$2:$V$72,
      MATCH(1,
        ('Fairway Log'!$A$2:$A$72=$A776)*
        ('Fairway Log'!$B$2:$B$72=$B776)*
        ('Fairway Log'!$C$2:$C847=$C776),
      0),
      MATCH($G776,'Fairway Log'!$E$1:$V$1,0)
    ),
  "")
)</f>
        <v>↓</v>
      </c>
      <c r="Q776" t="str" cm="1">
        <f t="array" ref="Q776">IFERROR(
  INDEX('GIR Log'!$E$2:$V$72,
    MATCH(1,
      ('GIR Log'!$A$2:$A$72=$A776)*
      ('GIR Log'!$B$2:$B$72=$B776)*
      ('GIR Log'!$C$2:$C$72=$C776),
    0),
    MATCH($G776,'GIR Log'!$E$1:$V$1,0)
  ),
"")</f>
        <v>↓</v>
      </c>
    </row>
    <row r="777" spans="1:17" x14ac:dyDescent="0.25">
      <c r="A777" s="35" t="s">
        <v>127</v>
      </c>
      <c r="B777" s="2">
        <v>45765</v>
      </c>
      <c r="C777" s="35" t="s">
        <v>129</v>
      </c>
      <c r="D777" s="35" t="s">
        <v>129</v>
      </c>
      <c r="E777" s="35" t="s">
        <v>36</v>
      </c>
      <c r="F777">
        <v>111</v>
      </c>
      <c r="G777" t="s">
        <v>48</v>
      </c>
      <c r="H777" s="9">
        <f t="shared" si="51"/>
        <v>2</v>
      </c>
      <c r="I777" cm="1">
        <f t="array" ref="I777">IFERROR(INDEX(CourseYardages[[Hole 1]:[Hole 18]],
  MATCH(1, (CourseYardages[Course]=C777)*(CourseYardages[Tees]=E777), 0),
  MATCH(G777, CourseYardages[[#Headers],[Hole 1]:[Hole 18]], 0)
),"")</f>
        <v>178</v>
      </c>
      <c r="J777" cm="1">
        <f t="array" ref="J777">IFERROR(INDEX(CourseHandicap[[Hole 1]:[Hole 18]],
  MATCH(1, (CourseHandicap[Course]=C777)*(CourseHandicap[Tees]=E777), 0),
  MATCH(G777, CourseHandicap[[#Headers],[Hole 1]:[Hole 18]], 0)
),"")</f>
        <v>13</v>
      </c>
      <c r="K777" cm="1">
        <f t="array" ref="K777">IFERROR(INDEX(CourseRatings[[Hole 1]:[Hole 18]],
  MATCH(1, (CourseRatings[Course]=C777)*(CourseRatings[Tees]=E777), 0),
  MATCH(G777, CourseRatings[[#Headers],[Hole 1]:[Hole 18]], 0)
),"")</f>
        <v>3</v>
      </c>
      <c r="L777" cm="1">
        <f t="array" ref="L777">IFERROR(
  INDEX('Golf Log'!$E$2:$V$72,
    MATCH(1,
      ('Golf Log'!$A$2:$A$72=$A777)*
      ('Golf Log'!$B$2:$B$72=$B777)*
      ('Golf Log'!$C$2:$C$72=$C777),
    0),
    MATCH($G777,'Golf Log'!$E$1:$V$1,0)
  ),
"")</f>
        <v>7</v>
      </c>
      <c r="M777">
        <f t="shared" si="52"/>
        <v>4</v>
      </c>
      <c r="N777" t="str">
        <f t="shared" si="53"/>
        <v>Quad Bogey+</v>
      </c>
      <c r="O777" cm="1">
        <f t="array" ref="O777">IFERROR(
  INDEX('Putt Log'!$E$2:$V$72,
    MATCH(1,
      ('Putt Log'!$A$2:$A$72=$A777)*
      ('Putt Log'!$B$2:$B$72=$B777)*
      ('Putt Log'!$C$2:$C$72=$C777),
    0),
    MATCH($G777,'Putt Log'!$E$1:$V$1,0)
  ),
"")</f>
        <v>2</v>
      </c>
      <c r="P777" t="str" cm="1">
        <f t="array" ref="P777">IF(K777=3,"",
  IFERROR(
    INDEX('Fairway Log'!$E$2:$V$72,
      MATCH(1,
        ('Fairway Log'!$A$2:$A$72=$A777)*
        ('Fairway Log'!$B$2:$B$72=$B777)*
        ('Fairway Log'!$C$2:$C848=$C777),
      0),
      MATCH($G777,'Fairway Log'!$E$1:$V$1,0)
    ),
  "")
)</f>
        <v/>
      </c>
      <c r="Q777" cm="1">
        <f t="array" ref="Q777">IFERROR(
  INDEX('GIR Log'!$E$2:$V$72,
    MATCH(1,
      ('GIR Log'!$A$2:$A$72=$A777)*
      ('GIR Log'!$B$2:$B$72=$B777)*
      ('GIR Log'!$C$2:$C$72=$C777),
    0),
    MATCH($G777,'GIR Log'!$E$1:$V$1,0)
  ),
"")</f>
        <v>0</v>
      </c>
    </row>
    <row r="778" spans="1:17" x14ac:dyDescent="0.25">
      <c r="A778" s="35" t="s">
        <v>127</v>
      </c>
      <c r="B778" s="2">
        <v>45765</v>
      </c>
      <c r="C778" s="35" t="s">
        <v>129</v>
      </c>
      <c r="D778" s="35" t="s">
        <v>129</v>
      </c>
      <c r="E778" s="35" t="s">
        <v>36</v>
      </c>
      <c r="F778">
        <v>111</v>
      </c>
      <c r="G778" t="s">
        <v>49</v>
      </c>
      <c r="H778" s="9">
        <f t="shared" si="51"/>
        <v>3</v>
      </c>
      <c r="I778" cm="1">
        <f t="array" ref="I778">IFERROR(INDEX(CourseYardages[[Hole 1]:[Hole 18]],
  MATCH(1, (CourseYardages[Course]=C778)*(CourseYardages[Tees]=E778), 0),
  MATCH(G778, CourseYardages[[#Headers],[Hole 1]:[Hole 18]], 0)
),"")</f>
        <v>535</v>
      </c>
      <c r="J778" cm="1">
        <f t="array" ref="J778">IFERROR(INDEX(CourseHandicap[[Hole 1]:[Hole 18]],
  MATCH(1, (CourseHandicap[Course]=C778)*(CourseHandicap[Tees]=E778), 0),
  MATCH(G778, CourseHandicap[[#Headers],[Hole 1]:[Hole 18]], 0)
),"")</f>
        <v>1</v>
      </c>
      <c r="K778" cm="1">
        <f t="array" ref="K778">IFERROR(INDEX(CourseRatings[[Hole 1]:[Hole 18]],
  MATCH(1, (CourseRatings[Course]=C778)*(CourseRatings[Tees]=E778), 0),
  MATCH(G778, CourseRatings[[#Headers],[Hole 1]:[Hole 18]], 0)
),"")</f>
        <v>5</v>
      </c>
      <c r="L778" cm="1">
        <f t="array" ref="L778">IFERROR(
  INDEX('Golf Log'!$E$2:$V$72,
    MATCH(1,
      ('Golf Log'!$A$2:$A$72=$A778)*
      ('Golf Log'!$B$2:$B$72=$B778)*
      ('Golf Log'!$C$2:$C$72=$C778),
    0),
    MATCH($G778,'Golf Log'!$E$1:$V$1,0)
  ),
"")</f>
        <v>8</v>
      </c>
      <c r="M778">
        <f t="shared" si="52"/>
        <v>3</v>
      </c>
      <c r="N778" t="str">
        <f t="shared" si="53"/>
        <v>Triple Bogey</v>
      </c>
      <c r="O778" cm="1">
        <f t="array" ref="O778">IFERROR(
  INDEX('Putt Log'!$E$2:$V$72,
    MATCH(1,
      ('Putt Log'!$A$2:$A$72=$A778)*
      ('Putt Log'!$B$2:$B$72=$B778)*
      ('Putt Log'!$C$2:$C$72=$C778),
    0),
    MATCH($G778,'Putt Log'!$E$1:$V$1,0)
  ),
"")</f>
        <v>3</v>
      </c>
      <c r="P778" t="str" cm="1">
        <f t="array" ref="P778">IF(K778=3,"",
  IFERROR(
    INDEX('Fairway Log'!$E$2:$V$72,
      MATCH(1,
        ('Fairway Log'!$A$2:$A$72=$A778)*
        ('Fairway Log'!$B$2:$B$72=$B778)*
        ('Fairway Log'!$C$2:$C849=$C778),
      0),
      MATCH($G778,'Fairway Log'!$E$1:$V$1,0)
    ),
  "")
)</f>
        <v>←</v>
      </c>
      <c r="Q778" t="str" cm="1">
        <f t="array" ref="Q778">IFERROR(
  INDEX('GIR Log'!$E$2:$V$72,
    MATCH(1,
      ('GIR Log'!$A$2:$A$72=$A778)*
      ('GIR Log'!$B$2:$B$72=$B778)*
      ('GIR Log'!$C$2:$C$72=$C778),
    0),
    MATCH($G778,'GIR Log'!$E$1:$V$1,0)
  ),
"")</f>
        <v>↓</v>
      </c>
    </row>
    <row r="779" spans="1:17" x14ac:dyDescent="0.25">
      <c r="A779" s="35" t="s">
        <v>127</v>
      </c>
      <c r="B779" s="2">
        <v>45765</v>
      </c>
      <c r="C779" s="35" t="s">
        <v>129</v>
      </c>
      <c r="D779" s="35" t="s">
        <v>129</v>
      </c>
      <c r="E779" s="35" t="s">
        <v>36</v>
      </c>
      <c r="F779">
        <v>111</v>
      </c>
      <c r="G779" t="s">
        <v>50</v>
      </c>
      <c r="H779" s="9">
        <f t="shared" si="51"/>
        <v>4</v>
      </c>
      <c r="I779" cm="1">
        <f t="array" ref="I779">IFERROR(INDEX(CourseYardages[[Hole 1]:[Hole 18]],
  MATCH(1, (CourseYardages[Course]=C779)*(CourseYardages[Tees]=E779), 0),
  MATCH(G779, CourseYardages[[#Headers],[Hole 1]:[Hole 18]], 0)
),"")</f>
        <v>345</v>
      </c>
      <c r="J779" cm="1">
        <f t="array" ref="J779">IFERROR(INDEX(CourseHandicap[[Hole 1]:[Hole 18]],
  MATCH(1, (CourseHandicap[Course]=C779)*(CourseHandicap[Tees]=E779), 0),
  MATCH(G779, CourseHandicap[[#Headers],[Hole 1]:[Hole 18]], 0)
),"")</f>
        <v>7</v>
      </c>
      <c r="K779" cm="1">
        <f t="array" ref="K779">IFERROR(INDEX(CourseRatings[[Hole 1]:[Hole 18]],
  MATCH(1, (CourseRatings[Course]=C779)*(CourseRatings[Tees]=E779), 0),
  MATCH(G779, CourseRatings[[#Headers],[Hole 1]:[Hole 18]], 0)
),"")</f>
        <v>4</v>
      </c>
      <c r="L779" cm="1">
        <f t="array" ref="L779">IFERROR(
  INDEX('Golf Log'!$E$2:$V$72,
    MATCH(1,
      ('Golf Log'!$A$2:$A$72=$A779)*
      ('Golf Log'!$B$2:$B$72=$B779)*
      ('Golf Log'!$C$2:$C$72=$C779),
    0),
    MATCH($G779,'Golf Log'!$E$1:$V$1,0)
  ),
"")</f>
        <v>7</v>
      </c>
      <c r="M779">
        <f t="shared" si="52"/>
        <v>3</v>
      </c>
      <c r="N779" t="str">
        <f t="shared" si="53"/>
        <v>Triple Bogey</v>
      </c>
      <c r="O779" cm="1">
        <f t="array" ref="O779">IFERROR(
  INDEX('Putt Log'!$E$2:$V$72,
    MATCH(1,
      ('Putt Log'!$A$2:$A$72=$A779)*
      ('Putt Log'!$B$2:$B$72=$B779)*
      ('Putt Log'!$C$2:$C$72=$C779),
    0),
    MATCH($G779,'Putt Log'!$E$1:$V$1,0)
  ),
"")</f>
        <v>2</v>
      </c>
      <c r="P779" t="str" cm="1">
        <f t="array" ref="P779">IF(K779=3,"",
  IFERROR(
    INDEX('Fairway Log'!$E$2:$V$72,
      MATCH(1,
        ('Fairway Log'!$A$2:$A$72=$A779)*
        ('Fairway Log'!$B$2:$B$72=$B779)*
        ('Fairway Log'!$C$2:$C850=$C779),
      0),
      MATCH($G779,'Fairway Log'!$E$1:$V$1,0)
    ),
  "")
)</f>
        <v>←</v>
      </c>
      <c r="Q779" t="str" cm="1">
        <f t="array" ref="Q779">IFERROR(
  INDEX('GIR Log'!$E$2:$V$72,
    MATCH(1,
      ('GIR Log'!$A$2:$A$72=$A779)*
      ('GIR Log'!$B$2:$B$72=$B779)*
      ('GIR Log'!$C$2:$C$72=$C779),
    0),
    MATCH($G779,'GIR Log'!$E$1:$V$1,0)
  ),
"")</f>
        <v>↓</v>
      </c>
    </row>
    <row r="780" spans="1:17" x14ac:dyDescent="0.25">
      <c r="A780" s="35" t="s">
        <v>127</v>
      </c>
      <c r="B780" s="2">
        <v>45765</v>
      </c>
      <c r="C780" s="35" t="s">
        <v>129</v>
      </c>
      <c r="D780" s="35" t="s">
        <v>129</v>
      </c>
      <c r="E780" s="35" t="s">
        <v>36</v>
      </c>
      <c r="F780">
        <v>111</v>
      </c>
      <c r="G780" t="s">
        <v>51</v>
      </c>
      <c r="H780" s="9">
        <f t="shared" si="51"/>
        <v>5</v>
      </c>
      <c r="I780" cm="1">
        <f t="array" ref="I780">IFERROR(INDEX(CourseYardages[[Hole 1]:[Hole 18]],
  MATCH(1, (CourseYardages[Course]=C780)*(CourseYardages[Tees]=E780), 0),
  MATCH(G780, CourseYardages[[#Headers],[Hole 1]:[Hole 18]], 0)
),"")</f>
        <v>350</v>
      </c>
      <c r="J780" cm="1">
        <f t="array" ref="J780">IFERROR(INDEX(CourseHandicap[[Hole 1]:[Hole 18]],
  MATCH(1, (CourseHandicap[Course]=C780)*(CourseHandicap[Tees]=E780), 0),
  MATCH(G780, CourseHandicap[[#Headers],[Hole 1]:[Hole 18]], 0)
),"")</f>
        <v>11</v>
      </c>
      <c r="K780" cm="1">
        <f t="array" ref="K780">IFERROR(INDEX(CourseRatings[[Hole 1]:[Hole 18]],
  MATCH(1, (CourseRatings[Course]=C780)*(CourseRatings[Tees]=E780), 0),
  MATCH(G780, CourseRatings[[#Headers],[Hole 1]:[Hole 18]], 0)
),"")</f>
        <v>4</v>
      </c>
      <c r="L780" cm="1">
        <f t="array" ref="L780">IFERROR(
  INDEX('Golf Log'!$E$2:$V$72,
    MATCH(1,
      ('Golf Log'!$A$2:$A$72=$A780)*
      ('Golf Log'!$B$2:$B$72=$B780)*
      ('Golf Log'!$C$2:$C$72=$C780),
    0),
    MATCH($G780,'Golf Log'!$E$1:$V$1,0)
  ),
"")</f>
        <v>6</v>
      </c>
      <c r="M780">
        <f t="shared" si="52"/>
        <v>2</v>
      </c>
      <c r="N780" t="str">
        <f t="shared" si="53"/>
        <v>Double Bogey</v>
      </c>
      <c r="O780" cm="1">
        <f t="array" ref="O780">IFERROR(
  INDEX('Putt Log'!$E$2:$V$72,
    MATCH(1,
      ('Putt Log'!$A$2:$A$72=$A780)*
      ('Putt Log'!$B$2:$B$72=$B780)*
      ('Putt Log'!$C$2:$C$72=$C780),
    0),
    MATCH($G780,'Putt Log'!$E$1:$V$1,0)
  ),
"")</f>
        <v>2</v>
      </c>
      <c r="P780" t="str" cm="1">
        <f t="array" ref="P780">IF(K780=3,"",
  IFERROR(
    INDEX('Fairway Log'!$E$2:$V$72,
      MATCH(1,
        ('Fairway Log'!$A$2:$A$72=$A780)*
        ('Fairway Log'!$B$2:$B$72=$B780)*
        ('Fairway Log'!$C$2:$C851=$C780),
      0),
      MATCH($G780,'Fairway Log'!$E$1:$V$1,0)
    ),
  "")
)</f>
        <v>←</v>
      </c>
      <c r="Q780" t="str" cm="1">
        <f t="array" ref="Q780">IFERROR(
  INDEX('GIR Log'!$E$2:$V$72,
    MATCH(1,
      ('GIR Log'!$A$2:$A$72=$A780)*
      ('GIR Log'!$B$2:$B$72=$B780)*
      ('GIR Log'!$C$2:$C$72=$C780),
    0),
    MATCH($G780,'GIR Log'!$E$1:$V$1,0)
  ),
"")</f>
        <v>NC</v>
      </c>
    </row>
    <row r="781" spans="1:17" x14ac:dyDescent="0.25">
      <c r="A781" s="35" t="s">
        <v>127</v>
      </c>
      <c r="B781" s="2">
        <v>45765</v>
      </c>
      <c r="C781" s="35" t="s">
        <v>129</v>
      </c>
      <c r="D781" s="35" t="s">
        <v>129</v>
      </c>
      <c r="E781" s="35" t="s">
        <v>36</v>
      </c>
      <c r="F781">
        <v>111</v>
      </c>
      <c r="G781" t="s">
        <v>52</v>
      </c>
      <c r="H781" s="9">
        <f t="shared" si="51"/>
        <v>6</v>
      </c>
      <c r="I781" cm="1">
        <f t="array" ref="I781">IFERROR(INDEX(CourseYardages[[Hole 1]:[Hole 18]],
  MATCH(1, (CourseYardages[Course]=C781)*(CourseYardages[Tees]=E781), 0),
  MATCH(G781, CourseYardages[[#Headers],[Hole 1]:[Hole 18]], 0)
),"")</f>
        <v>158</v>
      </c>
      <c r="J781" cm="1">
        <f t="array" ref="J781">IFERROR(INDEX(CourseHandicap[[Hole 1]:[Hole 18]],
  MATCH(1, (CourseHandicap[Course]=C781)*(CourseHandicap[Tees]=E781), 0),
  MATCH(G781, CourseHandicap[[#Headers],[Hole 1]:[Hole 18]], 0)
),"")</f>
        <v>17</v>
      </c>
      <c r="K781" cm="1">
        <f t="array" ref="K781">IFERROR(INDEX(CourseRatings[[Hole 1]:[Hole 18]],
  MATCH(1, (CourseRatings[Course]=C781)*(CourseRatings[Tees]=E781), 0),
  MATCH(G781, CourseRatings[[#Headers],[Hole 1]:[Hole 18]], 0)
),"")</f>
        <v>3</v>
      </c>
      <c r="L781" cm="1">
        <f t="array" ref="L781">IFERROR(
  INDEX('Golf Log'!$E$2:$V$72,
    MATCH(1,
      ('Golf Log'!$A$2:$A$72=$A781)*
      ('Golf Log'!$B$2:$B$72=$B781)*
      ('Golf Log'!$C$2:$C$72=$C781),
    0),
    MATCH($G781,'Golf Log'!$E$1:$V$1,0)
  ),
"")</f>
        <v>5</v>
      </c>
      <c r="M781">
        <f t="shared" si="52"/>
        <v>2</v>
      </c>
      <c r="N781" t="str">
        <f t="shared" si="53"/>
        <v>Double Bogey</v>
      </c>
      <c r="O781" cm="1">
        <f t="array" ref="O781">IFERROR(
  INDEX('Putt Log'!$E$2:$V$72,
    MATCH(1,
      ('Putt Log'!$A$2:$A$72=$A781)*
      ('Putt Log'!$B$2:$B$72=$B781)*
      ('Putt Log'!$C$2:$C$72=$C781),
    0),
    MATCH($G781,'Putt Log'!$E$1:$V$1,0)
  ),
"")</f>
        <v>3</v>
      </c>
      <c r="P781" t="str" cm="1">
        <f t="array" ref="P781">IF(K781=3,"",
  IFERROR(
    INDEX('Fairway Log'!$E$2:$V$72,
      MATCH(1,
        ('Fairway Log'!$A$2:$A$72=$A781)*
        ('Fairway Log'!$B$2:$B$72=$B781)*
        ('Fairway Log'!$C$2:$C852=$C781),
      0),
      MATCH($G781,'Fairway Log'!$E$1:$V$1,0)
    ),
  "")
)</f>
        <v/>
      </c>
      <c r="Q781" t="str" cm="1">
        <f t="array" ref="Q781">IFERROR(
  INDEX('GIR Log'!$E$2:$V$72,
    MATCH(1,
      ('GIR Log'!$A$2:$A$72=$A781)*
      ('GIR Log'!$B$2:$B$72=$B781)*
      ('GIR Log'!$C$2:$C$72=$C781),
    0),
    MATCH($G781,'GIR Log'!$E$1:$V$1,0)
  ),
"")</f>
        <v>↓</v>
      </c>
    </row>
    <row r="782" spans="1:17" x14ac:dyDescent="0.25">
      <c r="A782" s="35" t="s">
        <v>127</v>
      </c>
      <c r="B782" s="2">
        <v>45765</v>
      </c>
      <c r="C782" s="35" t="s">
        <v>129</v>
      </c>
      <c r="D782" s="35" t="s">
        <v>129</v>
      </c>
      <c r="E782" s="35" t="s">
        <v>36</v>
      </c>
      <c r="F782">
        <v>111</v>
      </c>
      <c r="G782" t="s">
        <v>53</v>
      </c>
      <c r="H782" s="9">
        <f t="shared" si="51"/>
        <v>7</v>
      </c>
      <c r="I782" cm="1">
        <f t="array" ref="I782">IFERROR(INDEX(CourseYardages[[Hole 1]:[Hole 18]],
  MATCH(1, (CourseYardages[Course]=C782)*(CourseYardages[Tees]=E782), 0),
  MATCH(G782, CourseYardages[[#Headers],[Hole 1]:[Hole 18]], 0)
),"")</f>
        <v>406</v>
      </c>
      <c r="J782" cm="1">
        <f t="array" ref="J782">IFERROR(INDEX(CourseHandicap[[Hole 1]:[Hole 18]],
  MATCH(1, (CourseHandicap[Course]=C782)*(CourseHandicap[Tees]=E782), 0),
  MATCH(G782, CourseHandicap[[#Headers],[Hole 1]:[Hole 18]], 0)
),"")</f>
        <v>3</v>
      </c>
      <c r="K782" cm="1">
        <f t="array" ref="K782">IFERROR(INDEX(CourseRatings[[Hole 1]:[Hole 18]],
  MATCH(1, (CourseRatings[Course]=C782)*(CourseRatings[Tees]=E782), 0),
  MATCH(G782, CourseRatings[[#Headers],[Hole 1]:[Hole 18]], 0)
),"")</f>
        <v>4</v>
      </c>
      <c r="L782" cm="1">
        <f t="array" ref="L782">IFERROR(
  INDEX('Golf Log'!$E$2:$V$72,
    MATCH(1,
      ('Golf Log'!$A$2:$A$72=$A782)*
      ('Golf Log'!$B$2:$B$72=$B782)*
      ('Golf Log'!$C$2:$C$72=$C782),
    0),
    MATCH($G782,'Golf Log'!$E$1:$V$1,0)
  ),
"")</f>
        <v>6</v>
      </c>
      <c r="M782">
        <f t="shared" si="52"/>
        <v>2</v>
      </c>
      <c r="N782" t="str">
        <f t="shared" si="53"/>
        <v>Double Bogey</v>
      </c>
      <c r="O782" cm="1">
        <f t="array" ref="O782">IFERROR(
  INDEX('Putt Log'!$E$2:$V$72,
    MATCH(1,
      ('Putt Log'!$A$2:$A$72=$A782)*
      ('Putt Log'!$B$2:$B$72=$B782)*
      ('Putt Log'!$C$2:$C$72=$C782),
    0),
    MATCH($G782,'Putt Log'!$E$1:$V$1,0)
  ),
"")</f>
        <v>3</v>
      </c>
      <c r="P782" cm="1">
        <f t="array" ref="P782">IF(K782=3,"",
  IFERROR(
    INDEX('Fairway Log'!$E$2:$V$72,
      MATCH(1,
        ('Fairway Log'!$A$2:$A$72=$A782)*
        ('Fairway Log'!$B$2:$B$72=$B782)*
        ('Fairway Log'!$C$2:$C853=$C782),
      0),
      MATCH($G782,'Fairway Log'!$E$1:$V$1,0)
    ),
  "")
)</f>
        <v>1</v>
      </c>
      <c r="Q782" t="str" cm="1">
        <f t="array" ref="Q782">IFERROR(
  INDEX('GIR Log'!$E$2:$V$72,
    MATCH(1,
      ('GIR Log'!$A$2:$A$72=$A782)*
      ('GIR Log'!$B$2:$B$72=$B782)*
      ('GIR Log'!$C$2:$C$72=$C782),
    0),
    MATCH($G782,'GIR Log'!$E$1:$V$1,0)
  ),
"")</f>
        <v>←</v>
      </c>
    </row>
    <row r="783" spans="1:17" x14ac:dyDescent="0.25">
      <c r="A783" s="35" t="s">
        <v>127</v>
      </c>
      <c r="B783" s="2">
        <v>45765</v>
      </c>
      <c r="C783" s="35" t="s">
        <v>129</v>
      </c>
      <c r="D783" s="35" t="s">
        <v>129</v>
      </c>
      <c r="E783" s="35" t="s">
        <v>36</v>
      </c>
      <c r="F783">
        <v>111</v>
      </c>
      <c r="G783" t="s">
        <v>54</v>
      </c>
      <c r="H783" s="9">
        <f t="shared" si="51"/>
        <v>8</v>
      </c>
      <c r="I783" cm="1">
        <f t="array" ref="I783">IFERROR(INDEX(CourseYardages[[Hole 1]:[Hole 18]],
  MATCH(1, (CourseYardages[Course]=C783)*(CourseYardages[Tees]=E783), 0),
  MATCH(G783, CourseYardages[[#Headers],[Hole 1]:[Hole 18]], 0)
),"")</f>
        <v>150</v>
      </c>
      <c r="J783" cm="1">
        <f t="array" ref="J783">IFERROR(INDEX(CourseHandicap[[Hole 1]:[Hole 18]],
  MATCH(1, (CourseHandicap[Course]=C783)*(CourseHandicap[Tees]=E783), 0),
  MATCH(G783, CourseHandicap[[#Headers],[Hole 1]:[Hole 18]], 0)
),"")</f>
        <v>15</v>
      </c>
      <c r="K783" cm="1">
        <f t="array" ref="K783">IFERROR(INDEX(CourseRatings[[Hole 1]:[Hole 18]],
  MATCH(1, (CourseRatings[Course]=C783)*(CourseRatings[Tees]=E783), 0),
  MATCH(G783, CourseRatings[[#Headers],[Hole 1]:[Hole 18]], 0)
),"")</f>
        <v>3</v>
      </c>
      <c r="L783" cm="1">
        <f t="array" ref="L783">IFERROR(
  INDEX('Golf Log'!$E$2:$V$72,
    MATCH(1,
      ('Golf Log'!$A$2:$A$72=$A783)*
      ('Golf Log'!$B$2:$B$72=$B783)*
      ('Golf Log'!$C$2:$C$72=$C783),
    0),
    MATCH($G783,'Golf Log'!$E$1:$V$1,0)
  ),
"")</f>
        <v>6</v>
      </c>
      <c r="M783">
        <f t="shared" si="52"/>
        <v>3</v>
      </c>
      <c r="N783" t="str">
        <f t="shared" si="53"/>
        <v>Triple Bogey</v>
      </c>
      <c r="O783" cm="1">
        <f t="array" ref="O783">IFERROR(
  INDEX('Putt Log'!$E$2:$V$72,
    MATCH(1,
      ('Putt Log'!$A$2:$A$72=$A783)*
      ('Putt Log'!$B$2:$B$72=$B783)*
      ('Putt Log'!$C$2:$C$72=$C783),
    0),
    MATCH($G783,'Putt Log'!$E$1:$V$1,0)
  ),
"")</f>
        <v>3</v>
      </c>
      <c r="P783" t="str" cm="1">
        <f t="array" ref="P783">IF(K783=3,"",
  IFERROR(
    INDEX('Fairway Log'!$E$2:$V$72,
      MATCH(1,
        ('Fairway Log'!$A$2:$A$72=$A783)*
        ('Fairway Log'!$B$2:$B$72=$B783)*
        ('Fairway Log'!$C$2:$C854=$C783),
      0),
      MATCH($G783,'Fairway Log'!$E$1:$V$1,0)
    ),
  "")
)</f>
        <v/>
      </c>
      <c r="Q783" t="str" cm="1">
        <f t="array" ref="Q783">IFERROR(
  INDEX('GIR Log'!$E$2:$V$72,
    MATCH(1,
      ('GIR Log'!$A$2:$A$72=$A783)*
      ('GIR Log'!$B$2:$B$72=$B783)*
      ('GIR Log'!$C$2:$C$72=$C783),
    0),
    MATCH($G783,'GIR Log'!$E$1:$V$1,0)
  ),
"")</f>
        <v>←</v>
      </c>
    </row>
    <row r="784" spans="1:17" x14ac:dyDescent="0.25">
      <c r="A784" s="35" t="s">
        <v>127</v>
      </c>
      <c r="B784" s="2">
        <v>45765</v>
      </c>
      <c r="C784" s="35" t="s">
        <v>129</v>
      </c>
      <c r="D784" s="35" t="s">
        <v>129</v>
      </c>
      <c r="E784" s="35" t="s">
        <v>36</v>
      </c>
      <c r="F784">
        <v>111</v>
      </c>
      <c r="G784" t="s">
        <v>55</v>
      </c>
      <c r="H784" s="9">
        <f t="shared" si="51"/>
        <v>9</v>
      </c>
      <c r="I784" cm="1">
        <f t="array" ref="I784">IFERROR(INDEX(CourseYardages[[Hole 1]:[Hole 18]],
  MATCH(1, (CourseYardages[Course]=C784)*(CourseYardages[Tees]=E784), 0),
  MATCH(G784, CourseYardages[[#Headers],[Hole 1]:[Hole 18]], 0)
),"")</f>
        <v>518</v>
      </c>
      <c r="J784" cm="1">
        <f t="array" ref="J784">IFERROR(INDEX(CourseHandicap[[Hole 1]:[Hole 18]],
  MATCH(1, (CourseHandicap[Course]=C784)*(CourseHandicap[Tees]=E784), 0),
  MATCH(G784, CourseHandicap[[#Headers],[Hole 1]:[Hole 18]], 0)
),"")</f>
        <v>5</v>
      </c>
      <c r="K784" cm="1">
        <f t="array" ref="K784">IFERROR(INDEX(CourseRatings[[Hole 1]:[Hole 18]],
  MATCH(1, (CourseRatings[Course]=C784)*(CourseRatings[Tees]=E784), 0),
  MATCH(G784, CourseRatings[[#Headers],[Hole 1]:[Hole 18]], 0)
),"")</f>
        <v>5</v>
      </c>
      <c r="L784" cm="1">
        <f t="array" ref="L784">IFERROR(
  INDEX('Golf Log'!$E$2:$V$72,
    MATCH(1,
      ('Golf Log'!$A$2:$A$72=$A784)*
      ('Golf Log'!$B$2:$B$72=$B784)*
      ('Golf Log'!$C$2:$C$72=$C784),
    0),
    MATCH($G784,'Golf Log'!$E$1:$V$1,0)
  ),
"")</f>
        <v>5</v>
      </c>
      <c r="M784">
        <f t="shared" si="52"/>
        <v>0</v>
      </c>
      <c r="N784" t="str">
        <f t="shared" si="53"/>
        <v>Par</v>
      </c>
      <c r="O784" cm="1">
        <f t="array" ref="O784">IFERROR(
  INDEX('Putt Log'!$E$2:$V$72,
    MATCH(1,
      ('Putt Log'!$A$2:$A$72=$A784)*
      ('Putt Log'!$B$2:$B$72=$B784)*
      ('Putt Log'!$C$2:$C$72=$C784),
    0),
    MATCH($G784,'Putt Log'!$E$1:$V$1,0)
  ),
"")</f>
        <v>2</v>
      </c>
      <c r="P784" cm="1">
        <f t="array" ref="P784">IF(K784=3,"",
  IFERROR(
    INDEX('Fairway Log'!$E$2:$V$72,
      MATCH(1,
        ('Fairway Log'!$A$2:$A$72=$A784)*
        ('Fairway Log'!$B$2:$B$72=$B784)*
        ('Fairway Log'!$C$2:$C855=$C784),
      0),
      MATCH($G784,'Fairway Log'!$E$1:$V$1,0)
    ),
  "")
)</f>
        <v>1</v>
      </c>
      <c r="Q784" cm="1">
        <f t="array" ref="Q784">IFERROR(
  INDEX('GIR Log'!$E$2:$V$72,
    MATCH(1,
      ('GIR Log'!$A$2:$A$72=$A784)*
      ('GIR Log'!$B$2:$B$72=$B784)*
      ('GIR Log'!$C$2:$C$72=$C784),
    0),
    MATCH($G784,'GIR Log'!$E$1:$V$1,0)
  ),
"")</f>
        <v>1</v>
      </c>
    </row>
    <row r="785" spans="1:17" x14ac:dyDescent="0.25">
      <c r="A785" s="35" t="s">
        <v>127</v>
      </c>
      <c r="B785" s="2">
        <v>45765</v>
      </c>
      <c r="C785" s="35" t="s">
        <v>129</v>
      </c>
      <c r="D785" s="35" t="s">
        <v>129</v>
      </c>
      <c r="E785" s="35" t="s">
        <v>36</v>
      </c>
      <c r="F785">
        <v>111</v>
      </c>
      <c r="G785" t="s">
        <v>56</v>
      </c>
      <c r="H785" s="9">
        <f t="shared" si="51"/>
        <v>10</v>
      </c>
      <c r="I785" cm="1">
        <f t="array" ref="I785">IFERROR(INDEX(CourseYardages[[Hole 1]:[Hole 18]],
  MATCH(1, (CourseYardages[Course]=C785)*(CourseYardages[Tees]=E785), 0),
  MATCH(G785, CourseYardages[[#Headers],[Hole 1]:[Hole 18]], 0)
),"")</f>
        <v>314</v>
      </c>
      <c r="J785" cm="1">
        <f t="array" ref="J785">IFERROR(INDEX(CourseHandicap[[Hole 1]:[Hole 18]],
  MATCH(1, (CourseHandicap[Course]=C785)*(CourseHandicap[Tees]=E785), 0),
  MATCH(G785, CourseHandicap[[#Headers],[Hole 1]:[Hole 18]], 0)
),"")</f>
        <v>16</v>
      </c>
      <c r="K785" cm="1">
        <f t="array" ref="K785">IFERROR(INDEX(CourseRatings[[Hole 1]:[Hole 18]],
  MATCH(1, (CourseRatings[Course]=C785)*(CourseRatings[Tees]=E785), 0),
  MATCH(G785, CourseRatings[[#Headers],[Hole 1]:[Hole 18]], 0)
),"")</f>
        <v>4</v>
      </c>
      <c r="L785" cm="1">
        <f t="array" ref="L785">IFERROR(
  INDEX('Golf Log'!$E$2:$V$72,
    MATCH(1,
      ('Golf Log'!$A$2:$A$72=$A785)*
      ('Golf Log'!$B$2:$B$72=$B785)*
      ('Golf Log'!$C$2:$C$72=$C785),
    0),
    MATCH($G785,'Golf Log'!$E$1:$V$1,0)
  ),
"")</f>
        <v>6</v>
      </c>
      <c r="M785">
        <f t="shared" si="52"/>
        <v>2</v>
      </c>
      <c r="N785" t="str">
        <f t="shared" si="53"/>
        <v>Double Bogey</v>
      </c>
      <c r="O785" cm="1">
        <f t="array" ref="O785">IFERROR(
  INDEX('Putt Log'!$E$2:$V$72,
    MATCH(1,
      ('Putt Log'!$A$2:$A$72=$A785)*
      ('Putt Log'!$B$2:$B$72=$B785)*
      ('Putt Log'!$C$2:$C$72=$C785),
    0),
    MATCH($G785,'Putt Log'!$E$1:$V$1,0)
  ),
"")</f>
        <v>2</v>
      </c>
      <c r="P785" t="str" cm="1">
        <f t="array" ref="P785">IF(K785=3,"",
  IFERROR(
    INDEX('Fairway Log'!$E$2:$V$72,
      MATCH(1,
        ('Fairway Log'!$A$2:$A$72=$A785)*
        ('Fairway Log'!$B$2:$B$72=$B785)*
        ('Fairway Log'!$C$2:$C856=$C785),
      0),
      MATCH($G785,'Fairway Log'!$E$1:$V$1,0)
    ),
  "")
)</f>
        <v>→</v>
      </c>
      <c r="Q785" t="str" cm="1">
        <f t="array" ref="Q785">IFERROR(
  INDEX('GIR Log'!$E$2:$V$72,
    MATCH(1,
      ('GIR Log'!$A$2:$A$72=$A785)*
      ('GIR Log'!$B$2:$B$72=$B785)*
      ('GIR Log'!$C$2:$C$72=$C785),
    0),
    MATCH($G785,'GIR Log'!$E$1:$V$1,0)
  ),
"")</f>
        <v>←</v>
      </c>
    </row>
    <row r="786" spans="1:17" x14ac:dyDescent="0.25">
      <c r="A786" s="35" t="s">
        <v>127</v>
      </c>
      <c r="B786" s="2">
        <v>45765</v>
      </c>
      <c r="C786" s="35" t="s">
        <v>129</v>
      </c>
      <c r="D786" s="35" t="s">
        <v>129</v>
      </c>
      <c r="E786" s="35" t="s">
        <v>36</v>
      </c>
      <c r="F786">
        <v>111</v>
      </c>
      <c r="G786" t="s">
        <v>57</v>
      </c>
      <c r="H786" s="9">
        <f t="shared" si="51"/>
        <v>11</v>
      </c>
      <c r="I786" cm="1">
        <f t="array" ref="I786">IFERROR(INDEX(CourseYardages[[Hole 1]:[Hole 18]],
  MATCH(1, (CourseYardages[Course]=C786)*(CourseYardages[Tees]=E786), 0),
  MATCH(G786, CourseYardages[[#Headers],[Hole 1]:[Hole 18]], 0)
),"")</f>
        <v>308</v>
      </c>
      <c r="J786" cm="1">
        <f t="array" ref="J786">IFERROR(INDEX(CourseHandicap[[Hole 1]:[Hole 18]],
  MATCH(1, (CourseHandicap[Course]=C786)*(CourseHandicap[Tees]=E786), 0),
  MATCH(G786, CourseHandicap[[#Headers],[Hole 1]:[Hole 18]], 0)
),"")</f>
        <v>14</v>
      </c>
      <c r="K786" cm="1">
        <f t="array" ref="K786">IFERROR(INDEX(CourseRatings[[Hole 1]:[Hole 18]],
  MATCH(1, (CourseRatings[Course]=C786)*(CourseRatings[Tees]=E786), 0),
  MATCH(G786, CourseRatings[[#Headers],[Hole 1]:[Hole 18]], 0)
),"")</f>
        <v>4</v>
      </c>
      <c r="L786" cm="1">
        <f t="array" ref="L786">IFERROR(
  INDEX('Golf Log'!$E$2:$V$72,
    MATCH(1,
      ('Golf Log'!$A$2:$A$72=$A786)*
      ('Golf Log'!$B$2:$B$72=$B786)*
      ('Golf Log'!$C$2:$C$72=$C786),
    0),
    MATCH($G786,'Golf Log'!$E$1:$V$1,0)
  ),
"")</f>
        <v>6</v>
      </c>
      <c r="M786">
        <f t="shared" si="52"/>
        <v>2</v>
      </c>
      <c r="N786" t="str">
        <f t="shared" si="53"/>
        <v>Double Bogey</v>
      </c>
      <c r="O786" cm="1">
        <f t="array" ref="O786">IFERROR(
  INDEX('Putt Log'!$E$2:$V$72,
    MATCH(1,
      ('Putt Log'!$A$2:$A$72=$A786)*
      ('Putt Log'!$B$2:$B$72=$B786)*
      ('Putt Log'!$C$2:$C$72=$C786),
    0),
    MATCH($G786,'Putt Log'!$E$1:$V$1,0)
  ),
"")</f>
        <v>2</v>
      </c>
      <c r="P786" t="str" cm="1">
        <f t="array" ref="P786">IF(K786=3,"",
  IFERROR(
    INDEX('Fairway Log'!$E$2:$V$72,
      MATCH(1,
        ('Fairway Log'!$A$2:$A$72=$A786)*
        ('Fairway Log'!$B$2:$B$72=$B786)*
        ('Fairway Log'!$C$2:$C857=$C786),
      0),
      MATCH($G786,'Fairway Log'!$E$1:$V$1,0)
    ),
  "")
)</f>
        <v>→</v>
      </c>
      <c r="Q786" t="str" cm="1">
        <f t="array" ref="Q786">IFERROR(
  INDEX('GIR Log'!$E$2:$V$72,
    MATCH(1,
      ('GIR Log'!$A$2:$A$72=$A786)*
      ('GIR Log'!$B$2:$B$72=$B786)*
      ('GIR Log'!$C$2:$C$72=$C786),
    0),
    MATCH($G786,'GIR Log'!$E$1:$V$1,0)
  ),
"")</f>
        <v>←</v>
      </c>
    </row>
    <row r="787" spans="1:17" x14ac:dyDescent="0.25">
      <c r="A787" s="35" t="s">
        <v>127</v>
      </c>
      <c r="B787" s="2">
        <v>45765</v>
      </c>
      <c r="C787" s="35" t="s">
        <v>129</v>
      </c>
      <c r="D787" s="35" t="s">
        <v>129</v>
      </c>
      <c r="E787" s="35" t="s">
        <v>36</v>
      </c>
      <c r="F787">
        <v>111</v>
      </c>
      <c r="G787" t="s">
        <v>58</v>
      </c>
      <c r="H787" s="9">
        <f t="shared" si="51"/>
        <v>12</v>
      </c>
      <c r="I787" cm="1">
        <f t="array" ref="I787">IFERROR(INDEX(CourseYardages[[Hole 1]:[Hole 18]],
  MATCH(1, (CourseYardages[Course]=C787)*(CourseYardages[Tees]=E787), 0),
  MATCH(G787, CourseYardages[[#Headers],[Hole 1]:[Hole 18]], 0)
),"")</f>
        <v>443</v>
      </c>
      <c r="J787" cm="1">
        <f t="array" ref="J787">IFERROR(INDEX(CourseHandicap[[Hole 1]:[Hole 18]],
  MATCH(1, (CourseHandicap[Course]=C787)*(CourseHandicap[Tees]=E787), 0),
  MATCH(G787, CourseHandicap[[#Headers],[Hole 1]:[Hole 18]], 0)
),"")</f>
        <v>2</v>
      </c>
      <c r="K787" cm="1">
        <f t="array" ref="K787">IFERROR(INDEX(CourseRatings[[Hole 1]:[Hole 18]],
  MATCH(1, (CourseRatings[Course]=C787)*(CourseRatings[Tees]=E787), 0),
  MATCH(G787, CourseRatings[[#Headers],[Hole 1]:[Hole 18]], 0)
),"")</f>
        <v>4</v>
      </c>
      <c r="L787" cm="1">
        <f t="array" ref="L787">IFERROR(
  INDEX('Golf Log'!$E$2:$V$72,
    MATCH(1,
      ('Golf Log'!$A$2:$A$72=$A787)*
      ('Golf Log'!$B$2:$B$72=$B787)*
      ('Golf Log'!$C$2:$C$72=$C787),
    0),
    MATCH($G787,'Golf Log'!$E$1:$V$1,0)
  ),
"")</f>
        <v>5</v>
      </c>
      <c r="M787">
        <f t="shared" si="52"/>
        <v>1</v>
      </c>
      <c r="N787" t="str">
        <f t="shared" si="53"/>
        <v>Bogey</v>
      </c>
      <c r="O787" cm="1">
        <f t="array" ref="O787">IFERROR(
  INDEX('Putt Log'!$E$2:$V$72,
    MATCH(1,
      ('Putt Log'!$A$2:$A$72=$A787)*
      ('Putt Log'!$B$2:$B$72=$B787)*
      ('Putt Log'!$C$2:$C$72=$C787),
    0),
    MATCH($G787,'Putt Log'!$E$1:$V$1,0)
  ),
"")</f>
        <v>2</v>
      </c>
      <c r="P787" cm="1">
        <f t="array" ref="P787">IF(K787=3,"",
  IFERROR(
    INDEX('Fairway Log'!$E$2:$V$72,
      MATCH(1,
        ('Fairway Log'!$A$2:$A$72=$A787)*
        ('Fairway Log'!$B$2:$B$72=$B787)*
        ('Fairway Log'!$C$2:$C858=$C787),
      0),
      MATCH($G787,'Fairway Log'!$E$1:$V$1,0)
    ),
  "")
)</f>
        <v>1</v>
      </c>
      <c r="Q787" t="str" cm="1">
        <f t="array" ref="Q787">IFERROR(
  INDEX('GIR Log'!$E$2:$V$72,
    MATCH(1,
      ('GIR Log'!$A$2:$A$72=$A787)*
      ('GIR Log'!$B$2:$B$72=$B787)*
      ('GIR Log'!$C$2:$C$72=$C787),
    0),
    MATCH($G787,'GIR Log'!$E$1:$V$1,0)
  ),
"")</f>
        <v>←</v>
      </c>
    </row>
    <row r="788" spans="1:17" x14ac:dyDescent="0.25">
      <c r="A788" s="35" t="s">
        <v>127</v>
      </c>
      <c r="B788" s="2">
        <v>45765</v>
      </c>
      <c r="C788" s="35" t="s">
        <v>129</v>
      </c>
      <c r="D788" s="35" t="s">
        <v>129</v>
      </c>
      <c r="E788" s="35" t="s">
        <v>36</v>
      </c>
      <c r="F788">
        <v>111</v>
      </c>
      <c r="G788" t="s">
        <v>59</v>
      </c>
      <c r="H788" s="9">
        <f t="shared" si="51"/>
        <v>13</v>
      </c>
      <c r="I788" cm="1">
        <f t="array" ref="I788">IFERROR(INDEX(CourseYardages[[Hole 1]:[Hole 18]],
  MATCH(1, (CourseYardages[Course]=C788)*(CourseYardages[Tees]=E788), 0),
  MATCH(G788, CourseYardages[[#Headers],[Hole 1]:[Hole 18]], 0)
),"")</f>
        <v>189</v>
      </c>
      <c r="J788" cm="1">
        <f t="array" ref="J788">IFERROR(INDEX(CourseHandicap[[Hole 1]:[Hole 18]],
  MATCH(1, (CourseHandicap[Course]=C788)*(CourseHandicap[Tees]=E788), 0),
  MATCH(G788, CourseHandicap[[#Headers],[Hole 1]:[Hole 18]], 0)
),"")</f>
        <v>12</v>
      </c>
      <c r="K788" cm="1">
        <f t="array" ref="K788">IFERROR(INDEX(CourseRatings[[Hole 1]:[Hole 18]],
  MATCH(1, (CourseRatings[Course]=C788)*(CourseRatings[Tees]=E788), 0),
  MATCH(G788, CourseRatings[[#Headers],[Hole 1]:[Hole 18]], 0)
),"")</f>
        <v>3</v>
      </c>
      <c r="L788" cm="1">
        <f t="array" ref="L788">IFERROR(
  INDEX('Golf Log'!$E$2:$V$72,
    MATCH(1,
      ('Golf Log'!$A$2:$A$72=$A788)*
      ('Golf Log'!$B$2:$B$72=$B788)*
      ('Golf Log'!$C$2:$C$72=$C788),
    0),
    MATCH($G788,'Golf Log'!$E$1:$V$1,0)
  ),
"")</f>
        <v>5</v>
      </c>
      <c r="M788">
        <f t="shared" si="52"/>
        <v>2</v>
      </c>
      <c r="N788" t="str">
        <f t="shared" si="53"/>
        <v>Double Bogey</v>
      </c>
      <c r="O788" cm="1">
        <f t="array" ref="O788">IFERROR(
  INDEX('Putt Log'!$E$2:$V$72,
    MATCH(1,
      ('Putt Log'!$A$2:$A$72=$A788)*
      ('Putt Log'!$B$2:$B$72=$B788)*
      ('Putt Log'!$C$2:$C$72=$C788),
    0),
    MATCH($G788,'Putt Log'!$E$1:$V$1,0)
  ),
"")</f>
        <v>2</v>
      </c>
      <c r="P788" t="str" cm="1">
        <f t="array" ref="P788">IF(K788=3,"",
  IFERROR(
    INDEX('Fairway Log'!$E$2:$V$72,
      MATCH(1,
        ('Fairway Log'!$A$2:$A$72=$A788)*
        ('Fairway Log'!$B$2:$B$72=$B788)*
        ('Fairway Log'!$C$2:$C859=$C788),
      0),
      MATCH($G788,'Fairway Log'!$E$1:$V$1,0)
    ),
  "")
)</f>
        <v/>
      </c>
      <c r="Q788" t="str" cm="1">
        <f t="array" ref="Q788">IFERROR(
  INDEX('GIR Log'!$E$2:$V$72,
    MATCH(1,
      ('GIR Log'!$A$2:$A$72=$A788)*
      ('GIR Log'!$B$2:$B$72=$B788)*
      ('GIR Log'!$C$2:$C$72=$C788),
    0),
    MATCH($G788,'GIR Log'!$E$1:$V$1,0)
  ),
"")</f>
        <v>→</v>
      </c>
    </row>
    <row r="789" spans="1:17" x14ac:dyDescent="0.25">
      <c r="A789" s="35" t="s">
        <v>127</v>
      </c>
      <c r="B789" s="2">
        <v>45765</v>
      </c>
      <c r="C789" s="35" t="s">
        <v>129</v>
      </c>
      <c r="D789" s="35" t="s">
        <v>129</v>
      </c>
      <c r="E789" s="35" t="s">
        <v>36</v>
      </c>
      <c r="F789">
        <v>111</v>
      </c>
      <c r="G789" t="s">
        <v>60</v>
      </c>
      <c r="H789" s="9">
        <f t="shared" si="51"/>
        <v>14</v>
      </c>
      <c r="I789" cm="1">
        <f t="array" ref="I789">IFERROR(INDEX(CourseYardages[[Hole 1]:[Hole 18]],
  MATCH(1, (CourseYardages[Course]=C789)*(CourseYardages[Tees]=E789), 0),
  MATCH(G789, CourseYardages[[#Headers],[Hole 1]:[Hole 18]], 0)
),"")</f>
        <v>425</v>
      </c>
      <c r="J789" cm="1">
        <f t="array" ref="J789">IFERROR(INDEX(CourseHandicap[[Hole 1]:[Hole 18]],
  MATCH(1, (CourseHandicap[Course]=C789)*(CourseHandicap[Tees]=E789), 0),
  MATCH(G789, CourseHandicap[[#Headers],[Hole 1]:[Hole 18]], 0)
),"")</f>
        <v>4</v>
      </c>
      <c r="K789" cm="1">
        <f t="array" ref="K789">IFERROR(INDEX(CourseRatings[[Hole 1]:[Hole 18]],
  MATCH(1, (CourseRatings[Course]=C789)*(CourseRatings[Tees]=E789), 0),
  MATCH(G789, CourseRatings[[#Headers],[Hole 1]:[Hole 18]], 0)
),"")</f>
        <v>4</v>
      </c>
      <c r="L789" cm="1">
        <f t="array" ref="L789">IFERROR(
  INDEX('Golf Log'!$E$2:$V$72,
    MATCH(1,
      ('Golf Log'!$A$2:$A$72=$A789)*
      ('Golf Log'!$B$2:$B$72=$B789)*
      ('Golf Log'!$C$2:$C$72=$C789),
    0),
    MATCH($G789,'Golf Log'!$E$1:$V$1,0)
  ),
"")</f>
        <v>8</v>
      </c>
      <c r="M789">
        <f t="shared" si="52"/>
        <v>4</v>
      </c>
      <c r="N789" t="str">
        <f t="shared" si="53"/>
        <v>Quad Bogey+</v>
      </c>
      <c r="O789" cm="1">
        <f t="array" ref="O789">IFERROR(
  INDEX('Putt Log'!$E$2:$V$72,
    MATCH(1,
      ('Putt Log'!$A$2:$A$72=$A789)*
      ('Putt Log'!$B$2:$B$72=$B789)*
      ('Putt Log'!$C$2:$C$72=$C789),
    0),
    MATCH($G789,'Putt Log'!$E$1:$V$1,0)
  ),
"")</f>
        <v>2</v>
      </c>
      <c r="P789" t="str" cm="1">
        <f t="array" ref="P789">IF(K789=3,"",
  IFERROR(
    INDEX('Fairway Log'!$E$2:$V$72,
      MATCH(1,
        ('Fairway Log'!$A$2:$A$72=$A789)*
        ('Fairway Log'!$B$2:$B$72=$B789)*
        ('Fairway Log'!$C$2:$C860=$C789),
      0),
      MATCH($G789,'Fairway Log'!$E$1:$V$1,0)
    ),
  "")
)</f>
        <v>→</v>
      </c>
      <c r="Q789" t="str" cm="1">
        <f t="array" ref="Q789">IFERROR(
  INDEX('GIR Log'!$E$2:$V$72,
    MATCH(1,
      ('GIR Log'!$A$2:$A$72=$A789)*
      ('GIR Log'!$B$2:$B$72=$B789)*
      ('GIR Log'!$C$2:$C$72=$C789),
    0),
    MATCH($G789,'GIR Log'!$E$1:$V$1,0)
  ),
"")</f>
        <v>NC</v>
      </c>
    </row>
    <row r="790" spans="1:17" x14ac:dyDescent="0.25">
      <c r="A790" s="35" t="s">
        <v>127</v>
      </c>
      <c r="B790" s="2">
        <v>45765</v>
      </c>
      <c r="C790" s="35" t="s">
        <v>129</v>
      </c>
      <c r="D790" s="35" t="s">
        <v>129</v>
      </c>
      <c r="E790" s="35" t="s">
        <v>36</v>
      </c>
      <c r="F790">
        <v>111</v>
      </c>
      <c r="G790" t="s">
        <v>61</v>
      </c>
      <c r="H790" s="9">
        <f t="shared" si="51"/>
        <v>15</v>
      </c>
      <c r="I790" cm="1">
        <f t="array" ref="I790">IFERROR(INDEX(CourseYardages[[Hole 1]:[Hole 18]],
  MATCH(1, (CourseYardages[Course]=C790)*(CourseYardages[Tees]=E790), 0),
  MATCH(G790, CourseYardages[[#Headers],[Hole 1]:[Hole 18]], 0)
),"")</f>
        <v>561</v>
      </c>
      <c r="J790" cm="1">
        <f t="array" ref="J790">IFERROR(INDEX(CourseHandicap[[Hole 1]:[Hole 18]],
  MATCH(1, (CourseHandicap[Course]=C790)*(CourseHandicap[Tees]=E790), 0),
  MATCH(G790, CourseHandicap[[#Headers],[Hole 1]:[Hole 18]], 0)
),"")</f>
        <v>8</v>
      </c>
      <c r="K790" cm="1">
        <f t="array" ref="K790">IFERROR(INDEX(CourseRatings[[Hole 1]:[Hole 18]],
  MATCH(1, (CourseRatings[Course]=C790)*(CourseRatings[Tees]=E790), 0),
  MATCH(G790, CourseRatings[[#Headers],[Hole 1]:[Hole 18]], 0)
),"")</f>
        <v>5</v>
      </c>
      <c r="L790" cm="1">
        <f t="array" ref="L790">IFERROR(
  INDEX('Golf Log'!$E$2:$V$72,
    MATCH(1,
      ('Golf Log'!$A$2:$A$72=$A790)*
      ('Golf Log'!$B$2:$B$72=$B790)*
      ('Golf Log'!$C$2:$C$72=$C790),
    0),
    MATCH($G790,'Golf Log'!$E$1:$V$1,0)
  ),
"")</f>
        <v>7</v>
      </c>
      <c r="M790">
        <f t="shared" si="52"/>
        <v>2</v>
      </c>
      <c r="N790" t="str">
        <f t="shared" si="53"/>
        <v>Double Bogey</v>
      </c>
      <c r="O790" cm="1">
        <f t="array" ref="O790">IFERROR(
  INDEX('Putt Log'!$E$2:$V$72,
    MATCH(1,
      ('Putt Log'!$A$2:$A$72=$A790)*
      ('Putt Log'!$B$2:$B$72=$B790)*
      ('Putt Log'!$C$2:$C$72=$C790),
    0),
    MATCH($G790,'Putt Log'!$E$1:$V$1,0)
  ),
"")</f>
        <v>2</v>
      </c>
      <c r="P790" t="str" cm="1">
        <f t="array" ref="P790">IF(K790=3,"",
  IFERROR(
    INDEX('Fairway Log'!$E$2:$V$72,
      MATCH(1,
        ('Fairway Log'!$A$2:$A$72=$A790)*
        ('Fairway Log'!$B$2:$B$72=$B790)*
        ('Fairway Log'!$C$2:$C861=$C790),
      0),
      MATCH($G790,'Fairway Log'!$E$1:$V$1,0)
    ),
  "")
)</f>
        <v>←</v>
      </c>
      <c r="Q790" t="str" cm="1">
        <f t="array" ref="Q790">IFERROR(
  INDEX('GIR Log'!$E$2:$V$72,
    MATCH(1,
      ('GIR Log'!$A$2:$A$72=$A790)*
      ('GIR Log'!$B$2:$B$72=$B790)*
      ('GIR Log'!$C$2:$C$72=$C790),
    0),
    MATCH($G790,'GIR Log'!$E$1:$V$1,0)
  ),
"")</f>
        <v>←</v>
      </c>
    </row>
    <row r="791" spans="1:17" x14ac:dyDescent="0.25">
      <c r="A791" s="35" t="s">
        <v>127</v>
      </c>
      <c r="B791" s="2">
        <v>45765</v>
      </c>
      <c r="C791" s="35" t="s">
        <v>129</v>
      </c>
      <c r="D791" s="35" t="s">
        <v>129</v>
      </c>
      <c r="E791" s="35" t="s">
        <v>36</v>
      </c>
      <c r="F791">
        <v>111</v>
      </c>
      <c r="G791" t="s">
        <v>62</v>
      </c>
      <c r="H791" s="9">
        <f t="shared" si="51"/>
        <v>16</v>
      </c>
      <c r="I791" cm="1">
        <f t="array" ref="I791">IFERROR(INDEX(CourseYardages[[Hole 1]:[Hole 18]],
  MATCH(1, (CourseYardages[Course]=C791)*(CourseYardages[Tees]=E791), 0),
  MATCH(G791, CourseYardages[[#Headers],[Hole 1]:[Hole 18]], 0)
),"")</f>
        <v>296</v>
      </c>
      <c r="J791" cm="1">
        <f t="array" ref="J791">IFERROR(INDEX(CourseHandicap[[Hole 1]:[Hole 18]],
  MATCH(1, (CourseHandicap[Course]=C791)*(CourseHandicap[Tees]=E791), 0),
  MATCH(G791, CourseHandicap[[#Headers],[Hole 1]:[Hole 18]], 0)
),"")</f>
        <v>18</v>
      </c>
      <c r="K791" cm="1">
        <f t="array" ref="K791">IFERROR(INDEX(CourseRatings[[Hole 1]:[Hole 18]],
  MATCH(1, (CourseRatings[Course]=C791)*(CourseRatings[Tees]=E791), 0),
  MATCH(G791, CourseRatings[[#Headers],[Hole 1]:[Hole 18]], 0)
),"")</f>
        <v>4</v>
      </c>
      <c r="L791" cm="1">
        <f t="array" ref="L791">IFERROR(
  INDEX('Golf Log'!$E$2:$V$72,
    MATCH(1,
      ('Golf Log'!$A$2:$A$72=$A791)*
      ('Golf Log'!$B$2:$B$72=$B791)*
      ('Golf Log'!$C$2:$C$72=$C791),
    0),
    MATCH($G791,'Golf Log'!$E$1:$V$1,0)
  ),
"")</f>
        <v>4</v>
      </c>
      <c r="M791">
        <f t="shared" si="52"/>
        <v>0</v>
      </c>
      <c r="N791" t="str">
        <f t="shared" si="53"/>
        <v>Par</v>
      </c>
      <c r="O791" cm="1">
        <f t="array" ref="O791">IFERROR(
  INDEX('Putt Log'!$E$2:$V$72,
    MATCH(1,
      ('Putt Log'!$A$2:$A$72=$A791)*
      ('Putt Log'!$B$2:$B$72=$B791)*
      ('Putt Log'!$C$2:$C$72=$C791),
    0),
    MATCH($G791,'Putt Log'!$E$1:$V$1,0)
  ),
"")</f>
        <v>2</v>
      </c>
      <c r="P791" cm="1">
        <f t="array" ref="P791">IF(K791=3,"",
  IFERROR(
    INDEX('Fairway Log'!$E$2:$V$72,
      MATCH(1,
        ('Fairway Log'!$A$2:$A$72=$A791)*
        ('Fairway Log'!$B$2:$B$72=$B791)*
        ('Fairway Log'!$C$2:$C862=$C791),
      0),
      MATCH($G791,'Fairway Log'!$E$1:$V$1,0)
    ),
  "")
)</f>
        <v>1</v>
      </c>
      <c r="Q791" cm="1">
        <f t="array" ref="Q791">IFERROR(
  INDEX('GIR Log'!$E$2:$V$72,
    MATCH(1,
      ('GIR Log'!$A$2:$A$72=$A791)*
      ('GIR Log'!$B$2:$B$72=$B791)*
      ('GIR Log'!$C$2:$C$72=$C791),
    0),
    MATCH($G791,'GIR Log'!$E$1:$V$1,0)
  ),
"")</f>
        <v>1</v>
      </c>
    </row>
    <row r="792" spans="1:17" x14ac:dyDescent="0.25">
      <c r="A792" s="35" t="s">
        <v>127</v>
      </c>
      <c r="B792" s="2">
        <v>45765</v>
      </c>
      <c r="C792" s="35" t="s">
        <v>129</v>
      </c>
      <c r="D792" s="35" t="s">
        <v>129</v>
      </c>
      <c r="E792" s="35" t="s">
        <v>36</v>
      </c>
      <c r="F792">
        <v>111</v>
      </c>
      <c r="G792" t="s">
        <v>63</v>
      </c>
      <c r="H792" s="9">
        <f t="shared" si="51"/>
        <v>17</v>
      </c>
      <c r="I792" cm="1">
        <f t="array" ref="I792">IFERROR(INDEX(CourseYardages[[Hole 1]:[Hole 18]],
  MATCH(1, (CourseYardages[Course]=C792)*(CourseYardages[Tees]=E792), 0),
  MATCH(G792, CourseYardages[[#Headers],[Hole 1]:[Hole 18]], 0)
),"")</f>
        <v>174</v>
      </c>
      <c r="J792" cm="1">
        <f t="array" ref="J792">IFERROR(INDEX(CourseHandicap[[Hole 1]:[Hole 18]],
  MATCH(1, (CourseHandicap[Course]=C792)*(CourseHandicap[Tees]=E792), 0),
  MATCH(G792, CourseHandicap[[#Headers],[Hole 1]:[Hole 18]], 0)
),"")</f>
        <v>10</v>
      </c>
      <c r="K792" cm="1">
        <f t="array" ref="K792">IFERROR(INDEX(CourseRatings[[Hole 1]:[Hole 18]],
  MATCH(1, (CourseRatings[Course]=C792)*(CourseRatings[Tees]=E792), 0),
  MATCH(G792, CourseRatings[[#Headers],[Hole 1]:[Hole 18]], 0)
),"")</f>
        <v>3</v>
      </c>
      <c r="L792" cm="1">
        <f t="array" ref="L792">IFERROR(
  INDEX('Golf Log'!$E$2:$V$72,
    MATCH(1,
      ('Golf Log'!$A$2:$A$72=$A792)*
      ('Golf Log'!$B$2:$B$72=$B792)*
      ('Golf Log'!$C$2:$C$72=$C792),
    0),
    MATCH($G792,'Golf Log'!$E$1:$V$1,0)
  ),
"")</f>
        <v>5</v>
      </c>
      <c r="M792">
        <f t="shared" si="52"/>
        <v>2</v>
      </c>
      <c r="N792" t="str">
        <f t="shared" si="53"/>
        <v>Double Bogey</v>
      </c>
      <c r="O792" cm="1">
        <f t="array" ref="O792">IFERROR(
  INDEX('Putt Log'!$E$2:$V$72,
    MATCH(1,
      ('Putt Log'!$A$2:$A$72=$A792)*
      ('Putt Log'!$B$2:$B$72=$B792)*
      ('Putt Log'!$C$2:$C$72=$C792),
    0),
    MATCH($G792,'Putt Log'!$E$1:$V$1,0)
  ),
"")</f>
        <v>3</v>
      </c>
      <c r="P792" t="str" cm="1">
        <f t="array" ref="P792">IF(K792=3,"",
  IFERROR(
    INDEX('Fairway Log'!$E$2:$V$72,
      MATCH(1,
        ('Fairway Log'!$A$2:$A$72=$A792)*
        ('Fairway Log'!$B$2:$B$72=$B792)*
        ('Fairway Log'!$C$2:$C863=$C792),
      0),
      MATCH($G792,'Fairway Log'!$E$1:$V$1,0)
    ),
  "")
)</f>
        <v/>
      </c>
      <c r="Q792" t="str" cm="1">
        <f t="array" ref="Q792">IFERROR(
  INDEX('GIR Log'!$E$2:$V$72,
    MATCH(1,
      ('GIR Log'!$A$2:$A$72=$A792)*
      ('GIR Log'!$B$2:$B$72=$B792)*
      ('GIR Log'!$C$2:$C$72=$C792),
    0),
    MATCH($G792,'GIR Log'!$E$1:$V$1,0)
  ),
"")</f>
        <v>→</v>
      </c>
    </row>
    <row r="793" spans="1:17" x14ac:dyDescent="0.25">
      <c r="A793" s="35" t="s">
        <v>127</v>
      </c>
      <c r="B793" s="2">
        <v>45765</v>
      </c>
      <c r="C793" s="35" t="s">
        <v>129</v>
      </c>
      <c r="D793" s="35" t="s">
        <v>129</v>
      </c>
      <c r="E793" s="35" t="s">
        <v>36</v>
      </c>
      <c r="F793">
        <v>111</v>
      </c>
      <c r="G793" t="s">
        <v>64</v>
      </c>
      <c r="H793" s="9">
        <f t="shared" si="51"/>
        <v>18</v>
      </c>
      <c r="I793" cm="1">
        <f t="array" ref="I793">IFERROR(INDEX(CourseYardages[[Hole 1]:[Hole 18]],
  MATCH(1, (CourseYardages[Course]=C793)*(CourseYardages[Tees]=E793), 0),
  MATCH(G793, CourseYardages[[#Headers],[Hole 1]:[Hole 18]], 0)
),"")</f>
        <v>525</v>
      </c>
      <c r="J793" cm="1">
        <f t="array" ref="J793">IFERROR(INDEX(CourseHandicap[[Hole 1]:[Hole 18]],
  MATCH(1, (CourseHandicap[Course]=C793)*(CourseHandicap[Tees]=E793), 0),
  MATCH(G793, CourseHandicap[[#Headers],[Hole 1]:[Hole 18]], 0)
),"")</f>
        <v>6</v>
      </c>
      <c r="K793" cm="1">
        <f t="array" ref="K793">IFERROR(INDEX(CourseRatings[[Hole 1]:[Hole 18]],
  MATCH(1, (CourseRatings[Course]=C793)*(CourseRatings[Tees]=E793), 0),
  MATCH(G793, CourseRatings[[#Headers],[Hole 1]:[Hole 18]], 0)
),"")</f>
        <v>5</v>
      </c>
      <c r="L793" cm="1">
        <f t="array" ref="L793">IFERROR(
  INDEX('Golf Log'!$E$2:$V$72,
    MATCH(1,
      ('Golf Log'!$A$2:$A$72=$A793)*
      ('Golf Log'!$B$2:$B$72=$B793)*
      ('Golf Log'!$C$2:$C$72=$C793),
    0),
    MATCH($G793,'Golf Log'!$E$1:$V$1,0)
  ),
"")</f>
        <v>7</v>
      </c>
      <c r="M793">
        <f t="shared" si="52"/>
        <v>2</v>
      </c>
      <c r="N793" t="str">
        <f t="shared" si="53"/>
        <v>Double Bogey</v>
      </c>
      <c r="O793" cm="1">
        <f t="array" ref="O793">IFERROR(
  INDEX('Putt Log'!$E$2:$V$72,
    MATCH(1,
      ('Putt Log'!$A$2:$A$72=$A793)*
      ('Putt Log'!$B$2:$B$72=$B793)*
      ('Putt Log'!$C$2:$C$72=$C793),
    0),
    MATCH($G793,'Putt Log'!$E$1:$V$1,0)
  ),
"")</f>
        <v>2</v>
      </c>
      <c r="P793" cm="1">
        <f t="array" ref="P793">IF(K793=3,"",
  IFERROR(
    INDEX('Fairway Log'!$E$2:$V$72,
      MATCH(1,
        ('Fairway Log'!$A$2:$A$72=$A793)*
        ('Fairway Log'!$B$2:$B$72=$B793)*
        ('Fairway Log'!$C$2:$C864=$C793),
      0),
      MATCH($G793,'Fairway Log'!$E$1:$V$1,0)
    ),
  "")
)</f>
        <v>1</v>
      </c>
      <c r="Q793" t="str" cm="1">
        <f t="array" ref="Q793">IFERROR(
  INDEX('GIR Log'!$E$2:$V$72,
    MATCH(1,
      ('GIR Log'!$A$2:$A$72=$A793)*
      ('GIR Log'!$B$2:$B$72=$B793)*
      ('GIR Log'!$C$2:$C$72=$C793),
    0),
    MATCH($G793,'GIR Log'!$E$1:$V$1,0)
  ),
"")</f>
        <v>→</v>
      </c>
    </row>
    <row r="794" spans="1:17" x14ac:dyDescent="0.25">
      <c r="A794" s="43" t="s">
        <v>127</v>
      </c>
      <c r="B794" s="2">
        <v>45520</v>
      </c>
      <c r="C794" s="43" t="s">
        <v>46</v>
      </c>
      <c r="D794" t="s">
        <v>78</v>
      </c>
      <c r="E794" t="s">
        <v>36</v>
      </c>
      <c r="F794">
        <v>98</v>
      </c>
      <c r="G794" s="12" t="s">
        <v>47</v>
      </c>
      <c r="H794" s="9">
        <f t="shared" si="51"/>
        <v>1</v>
      </c>
      <c r="I794" cm="1">
        <f t="array" ref="I794">IFERROR(INDEX(CourseYardages[[Hole 1]:[Hole 18]],
  MATCH(1, (CourseYardages[Course]=C794)*(CourseYardages[Tees]=E794), 0),
  MATCH(G794, CourseYardages[[#Headers],[Hole 1]:[Hole 18]], 0)
),"")</f>
        <v>487</v>
      </c>
      <c r="J794" cm="1">
        <f t="array" ref="J794">IFERROR(INDEX(CourseHandicap[[Hole 1]:[Hole 18]],
  MATCH(1, (CourseHandicap[Course]=C794)*(CourseHandicap[Tees]=E794), 0),
  MATCH(G794, CourseHandicap[[#Headers],[Hole 1]:[Hole 18]], 0)
),"")</f>
        <v>3</v>
      </c>
      <c r="K794" cm="1">
        <f t="array" ref="K794">IFERROR(INDEX(CourseRatings[[Hole 1]:[Hole 18]],
  MATCH(1, (CourseRatings[Course]=C794)*(CourseRatings[Tees]=E794), 0),
  MATCH(G794, CourseRatings[[#Headers],[Hole 1]:[Hole 18]], 0)
),"")</f>
        <v>5</v>
      </c>
      <c r="L794" cm="1">
        <f t="array" ref="L794">IFERROR(
  INDEX('Golf Log'!$E$2:$V$72,
    MATCH(1,
      ('Golf Log'!$A$2:$A$72=$A794)*
      ('Golf Log'!$B$2:$B$72=$B794)*
      ('Golf Log'!$C$2:$C$72=$C794),
    0),
    MATCH($G794,'Golf Log'!$E$1:$V$1,0)
  ),
"")</f>
        <v>6</v>
      </c>
      <c r="M794">
        <f t="shared" si="52"/>
        <v>1</v>
      </c>
      <c r="N794" t="str">
        <f t="shared" si="53"/>
        <v>Bogey</v>
      </c>
      <c r="O794" cm="1">
        <f t="array" ref="O794">IFERROR(
  INDEX('Putt Log'!$E$2:$V$72,
    MATCH(1,
      ('Putt Log'!$A$2:$A$72=$A794)*
      ('Putt Log'!$B$2:$B$72=$B794)*
      ('Putt Log'!$C$2:$C$72=$C794),
    0),
    MATCH($G794,'Putt Log'!$E$1:$V$1,0)
  ),
"")</f>
        <v>2</v>
      </c>
      <c r="P794" t="str" cm="1">
        <f t="array" ref="P794">IF(K794=3,"",
  IFERROR(
    INDEX('Fairway Log'!$E$2:$V$72,
      MATCH(1,
        ('Fairway Log'!$A$2:$A$72=$A794)*
        ('Fairway Log'!$B$2:$B$72=$B794)*
        ('Fairway Log'!$C$2:$C865=$C794),
      0),
      MATCH($G794,'Fairway Log'!$E$1:$V$1,0)
    ),
  "")
)</f>
        <v>←</v>
      </c>
      <c r="Q794" t="str" cm="1">
        <f t="array" ref="Q794">IFERROR(
  INDEX('GIR Log'!$E$2:$V$72,
    MATCH(1,
      ('GIR Log'!$A$2:$A$72=$A794)*
      ('GIR Log'!$B$2:$B$72=$B794)*
      ('GIR Log'!$C$2:$C$72=$C794),
    0),
    MATCH($G794,'GIR Log'!$E$1:$V$1,0)
  ),
"")</f>
        <v>↓</v>
      </c>
    </row>
    <row r="795" spans="1:17" x14ac:dyDescent="0.25">
      <c r="A795" s="43" t="s">
        <v>127</v>
      </c>
      <c r="B795" s="2">
        <v>45520</v>
      </c>
      <c r="C795" s="43" t="s">
        <v>46</v>
      </c>
      <c r="D795" t="s">
        <v>78</v>
      </c>
      <c r="E795" t="s">
        <v>36</v>
      </c>
      <c r="F795">
        <v>98</v>
      </c>
      <c r="G795" s="12" t="s">
        <v>48</v>
      </c>
      <c r="H795" s="9">
        <f t="shared" si="51"/>
        <v>2</v>
      </c>
      <c r="I795" cm="1">
        <f t="array" ref="I795">IFERROR(INDEX(CourseYardages[[Hole 1]:[Hole 18]],
  MATCH(1, (CourseYardages[Course]=C795)*(CourseYardages[Tees]=E795), 0),
  MATCH(G795, CourseYardages[[#Headers],[Hole 1]:[Hole 18]], 0)
),"")</f>
        <v>470</v>
      </c>
      <c r="J795" cm="1">
        <f t="array" ref="J795">IFERROR(INDEX(CourseHandicap[[Hole 1]:[Hole 18]],
  MATCH(1, (CourseHandicap[Course]=C795)*(CourseHandicap[Tees]=E795), 0),
  MATCH(G795, CourseHandicap[[#Headers],[Hole 1]:[Hole 18]], 0)
),"")</f>
        <v>2</v>
      </c>
      <c r="K795" cm="1">
        <f t="array" ref="K795">IFERROR(INDEX(CourseRatings[[Hole 1]:[Hole 18]],
  MATCH(1, (CourseRatings[Course]=C795)*(CourseRatings[Tees]=E795), 0),
  MATCH(G795, CourseRatings[[#Headers],[Hole 1]:[Hole 18]], 0)
),"")</f>
        <v>4</v>
      </c>
      <c r="L795" cm="1">
        <f t="array" ref="L795">IFERROR(
  INDEX('Golf Log'!$E$2:$V$72,
    MATCH(1,
      ('Golf Log'!$A$2:$A$72=$A795)*
      ('Golf Log'!$B$2:$B$72=$B795)*
      ('Golf Log'!$C$2:$C$72=$C795),
    0),
    MATCH($G795,'Golf Log'!$E$1:$V$1,0)
  ),
"")</f>
        <v>7</v>
      </c>
      <c r="M795">
        <f t="shared" si="52"/>
        <v>3</v>
      </c>
      <c r="N795" t="str">
        <f t="shared" si="53"/>
        <v>Triple Bogey</v>
      </c>
      <c r="O795" cm="1">
        <f t="array" ref="O795">IFERROR(
  INDEX('Putt Log'!$E$2:$V$72,
    MATCH(1,
      ('Putt Log'!$A$2:$A$72=$A795)*
      ('Putt Log'!$B$2:$B$72=$B795)*
      ('Putt Log'!$C$2:$C$72=$C795),
    0),
    MATCH($G795,'Putt Log'!$E$1:$V$1,0)
  ),
"")</f>
        <v>2</v>
      </c>
      <c r="P795" t="str" cm="1">
        <f t="array" ref="P795">IF(K795=3,"",
  IFERROR(
    INDEX('Fairway Log'!$E$2:$V$72,
      MATCH(1,
        ('Fairway Log'!$A$2:$A$72=$A795)*
        ('Fairway Log'!$B$2:$B$72=$B795)*
        ('Fairway Log'!$C$2:$C866=$C795),
      0),
      MATCH($G795,'Fairway Log'!$E$1:$V$1,0)
    ),
  "")
)</f>
        <v>←</v>
      </c>
      <c r="Q795" t="str" cm="1">
        <f t="array" ref="Q795">IFERROR(
  INDEX('GIR Log'!$E$2:$V$72,
    MATCH(1,
      ('GIR Log'!$A$2:$A$72=$A795)*
      ('GIR Log'!$B$2:$B$72=$B795)*
      ('GIR Log'!$C$2:$C$72=$C795),
    0),
    MATCH($G795,'GIR Log'!$E$1:$V$1,0)
  ),
"")</f>
        <v>↓</v>
      </c>
    </row>
    <row r="796" spans="1:17" x14ac:dyDescent="0.25">
      <c r="A796" s="43" t="s">
        <v>127</v>
      </c>
      <c r="B796" s="2">
        <v>45520</v>
      </c>
      <c r="C796" s="43" t="s">
        <v>46</v>
      </c>
      <c r="D796" t="s">
        <v>78</v>
      </c>
      <c r="E796" t="s">
        <v>36</v>
      </c>
      <c r="F796">
        <v>98</v>
      </c>
      <c r="G796" s="12" t="s">
        <v>49</v>
      </c>
      <c r="H796" s="9">
        <f t="shared" si="51"/>
        <v>3</v>
      </c>
      <c r="I796" cm="1">
        <f t="array" ref="I796">IFERROR(INDEX(CourseYardages[[Hole 1]:[Hole 18]],
  MATCH(1, (CourseYardages[Course]=C796)*(CourseYardages[Tees]=E796), 0),
  MATCH(G796, CourseYardages[[#Headers],[Hole 1]:[Hole 18]], 0)
),"")</f>
        <v>366</v>
      </c>
      <c r="J796" cm="1">
        <f t="array" ref="J796">IFERROR(INDEX(CourseHandicap[[Hole 1]:[Hole 18]],
  MATCH(1, (CourseHandicap[Course]=C796)*(CourseHandicap[Tees]=E796), 0),
  MATCH(G796, CourseHandicap[[#Headers],[Hole 1]:[Hole 18]], 0)
),"")</f>
        <v>6</v>
      </c>
      <c r="K796" cm="1">
        <f t="array" ref="K796">IFERROR(INDEX(CourseRatings[[Hole 1]:[Hole 18]],
  MATCH(1, (CourseRatings[Course]=C796)*(CourseRatings[Tees]=E796), 0),
  MATCH(G796, CourseRatings[[#Headers],[Hole 1]:[Hole 18]], 0)
),"")</f>
        <v>4</v>
      </c>
      <c r="L796" cm="1">
        <f t="array" ref="L796">IFERROR(
  INDEX('Golf Log'!$E$2:$V$72,
    MATCH(1,
      ('Golf Log'!$A$2:$A$72=$A796)*
      ('Golf Log'!$B$2:$B$72=$B796)*
      ('Golf Log'!$C$2:$C$72=$C796),
    0),
    MATCH($G796,'Golf Log'!$E$1:$V$1,0)
  ),
"")</f>
        <v>4</v>
      </c>
      <c r="M796">
        <f t="shared" si="52"/>
        <v>0</v>
      </c>
      <c r="N796" t="str">
        <f t="shared" si="53"/>
        <v>Par</v>
      </c>
      <c r="O796" cm="1">
        <f t="array" ref="O796">IFERROR(
  INDEX('Putt Log'!$E$2:$V$72,
    MATCH(1,
      ('Putt Log'!$A$2:$A$72=$A796)*
      ('Putt Log'!$B$2:$B$72=$B796)*
      ('Putt Log'!$C$2:$C$72=$C796),
    0),
    MATCH($G796,'Putt Log'!$E$1:$V$1,0)
  ),
"")</f>
        <v>2</v>
      </c>
      <c r="P796" cm="1">
        <f t="array" ref="P796">IF(K796=3,"",
  IFERROR(
    INDEX('Fairway Log'!$E$2:$V$72,
      MATCH(1,
        ('Fairway Log'!$A$2:$A$72=$A796)*
        ('Fairway Log'!$B$2:$B$72=$B796)*
        ('Fairway Log'!$C$2:$C867=$C796),
      0),
      MATCH($G796,'Fairway Log'!$E$1:$V$1,0)
    ),
  "")
)</f>
        <v>1</v>
      </c>
      <c r="Q796" cm="1">
        <f t="array" ref="Q796">IFERROR(
  INDEX('GIR Log'!$E$2:$V$72,
    MATCH(1,
      ('GIR Log'!$A$2:$A$72=$A796)*
      ('GIR Log'!$B$2:$B$72=$B796)*
      ('GIR Log'!$C$2:$C$72=$C796),
    0),
    MATCH($G796,'GIR Log'!$E$1:$V$1,0)
  ),
"")</f>
        <v>1</v>
      </c>
    </row>
    <row r="797" spans="1:17" x14ac:dyDescent="0.25">
      <c r="A797" s="43" t="s">
        <v>127</v>
      </c>
      <c r="B797" s="2">
        <v>45520</v>
      </c>
      <c r="C797" s="43" t="s">
        <v>46</v>
      </c>
      <c r="D797" t="s">
        <v>78</v>
      </c>
      <c r="E797" t="s">
        <v>36</v>
      </c>
      <c r="F797">
        <v>98</v>
      </c>
      <c r="G797" s="12" t="s">
        <v>50</v>
      </c>
      <c r="H797" s="9">
        <f t="shared" si="51"/>
        <v>4</v>
      </c>
      <c r="I797" cm="1">
        <f t="array" ref="I797">IFERROR(INDEX(CourseYardages[[Hole 1]:[Hole 18]],
  MATCH(1, (CourseYardages[Course]=C797)*(CourseYardages[Tees]=E797), 0),
  MATCH(G797, CourseYardages[[#Headers],[Hole 1]:[Hole 18]], 0)
),"")</f>
        <v>198</v>
      </c>
      <c r="J797" cm="1">
        <f t="array" ref="J797">IFERROR(INDEX(CourseHandicap[[Hole 1]:[Hole 18]],
  MATCH(1, (CourseHandicap[Course]=C797)*(CourseHandicap[Tees]=E797), 0),
  MATCH(G797, CourseHandicap[[#Headers],[Hole 1]:[Hole 18]], 0)
),"")</f>
        <v>8</v>
      </c>
      <c r="K797" cm="1">
        <f t="array" ref="K797">IFERROR(INDEX(CourseRatings[[Hole 1]:[Hole 18]],
  MATCH(1, (CourseRatings[Course]=C797)*(CourseRatings[Tees]=E797), 0),
  MATCH(G797, CourseRatings[[#Headers],[Hole 1]:[Hole 18]], 0)
),"")</f>
        <v>3</v>
      </c>
      <c r="L797" cm="1">
        <f t="array" ref="L797">IFERROR(
  INDEX('Golf Log'!$E$2:$V$72,
    MATCH(1,
      ('Golf Log'!$A$2:$A$72=$A797)*
      ('Golf Log'!$B$2:$B$72=$B797)*
      ('Golf Log'!$C$2:$C$72=$C797),
    0),
    MATCH($G797,'Golf Log'!$E$1:$V$1,0)
  ),
"")</f>
        <v>4</v>
      </c>
      <c r="M797">
        <f t="shared" si="52"/>
        <v>1</v>
      </c>
      <c r="N797" t="str">
        <f t="shared" si="53"/>
        <v>Bogey</v>
      </c>
      <c r="O797" cm="1">
        <f t="array" ref="O797">IFERROR(
  INDEX('Putt Log'!$E$2:$V$72,
    MATCH(1,
      ('Putt Log'!$A$2:$A$72=$A797)*
      ('Putt Log'!$B$2:$B$72=$B797)*
      ('Putt Log'!$C$2:$C$72=$C797),
    0),
    MATCH($G797,'Putt Log'!$E$1:$V$1,0)
  ),
"")</f>
        <v>2</v>
      </c>
      <c r="P797" t="str" cm="1">
        <f t="array" ref="P797">IF(K797=3,"",
  IFERROR(
    INDEX('Fairway Log'!$E$2:$V$72,
      MATCH(1,
        ('Fairway Log'!$A$2:$A$72=$A797)*
        ('Fairway Log'!$B$2:$B$72=$B797)*
        ('Fairway Log'!$C$2:$C868=$C797),
      0),
      MATCH($G797,'Fairway Log'!$E$1:$V$1,0)
    ),
  "")
)</f>
        <v/>
      </c>
      <c r="Q797" t="str" cm="1">
        <f t="array" ref="Q797">IFERROR(
  INDEX('GIR Log'!$E$2:$V$72,
    MATCH(1,
      ('GIR Log'!$A$2:$A$72=$A797)*
      ('GIR Log'!$B$2:$B$72=$B797)*
      ('GIR Log'!$C$2:$C$72=$C797),
    0),
    MATCH($G797,'GIR Log'!$E$1:$V$1,0)
  ),
"")</f>
        <v>↓</v>
      </c>
    </row>
    <row r="798" spans="1:17" x14ac:dyDescent="0.25">
      <c r="A798" s="43" t="s">
        <v>127</v>
      </c>
      <c r="B798" s="2">
        <v>45520</v>
      </c>
      <c r="C798" s="43" t="s">
        <v>46</v>
      </c>
      <c r="D798" t="s">
        <v>78</v>
      </c>
      <c r="E798" t="s">
        <v>36</v>
      </c>
      <c r="F798">
        <v>98</v>
      </c>
      <c r="G798" s="12" t="s">
        <v>51</v>
      </c>
      <c r="H798" s="9">
        <f t="shared" si="51"/>
        <v>5</v>
      </c>
      <c r="I798" cm="1">
        <f t="array" ref="I798">IFERROR(INDEX(CourseYardages[[Hole 1]:[Hole 18]],
  MATCH(1, (CourseYardages[Course]=C798)*(CourseYardages[Tees]=E798), 0),
  MATCH(G798, CourseYardages[[#Headers],[Hole 1]:[Hole 18]], 0)
),"")</f>
        <v>361</v>
      </c>
      <c r="J798" cm="1">
        <f t="array" ref="J798">IFERROR(INDEX(CourseHandicap[[Hole 1]:[Hole 18]],
  MATCH(1, (CourseHandicap[Course]=C798)*(CourseHandicap[Tees]=E798), 0),
  MATCH(G798, CourseHandicap[[#Headers],[Hole 1]:[Hole 18]], 0)
),"")</f>
        <v>7</v>
      </c>
      <c r="K798" cm="1">
        <f t="array" ref="K798">IFERROR(INDEX(CourseRatings[[Hole 1]:[Hole 18]],
  MATCH(1, (CourseRatings[Course]=C798)*(CourseRatings[Tees]=E798), 0),
  MATCH(G798, CourseRatings[[#Headers],[Hole 1]:[Hole 18]], 0)
),"")</f>
        <v>4</v>
      </c>
      <c r="L798" cm="1">
        <f t="array" ref="L798">IFERROR(
  INDEX('Golf Log'!$E$2:$V$72,
    MATCH(1,
      ('Golf Log'!$A$2:$A$72=$A798)*
      ('Golf Log'!$B$2:$B$72=$B798)*
      ('Golf Log'!$C$2:$C$72=$C798),
    0),
    MATCH($G798,'Golf Log'!$E$1:$V$1,0)
  ),
"")</f>
        <v>4</v>
      </c>
      <c r="M798">
        <f t="shared" si="52"/>
        <v>0</v>
      </c>
      <c r="N798" t="str">
        <f t="shared" si="53"/>
        <v>Par</v>
      </c>
      <c r="O798" cm="1">
        <f t="array" ref="O798">IFERROR(
  INDEX('Putt Log'!$E$2:$V$72,
    MATCH(1,
      ('Putt Log'!$A$2:$A$72=$A798)*
      ('Putt Log'!$B$2:$B$72=$B798)*
      ('Putt Log'!$C$2:$C$72=$C798),
    0),
    MATCH($G798,'Putt Log'!$E$1:$V$1,0)
  ),
"")</f>
        <v>1</v>
      </c>
      <c r="P798" cm="1">
        <f t="array" ref="P798">IF(K798=3,"",
  IFERROR(
    INDEX('Fairway Log'!$E$2:$V$72,
      MATCH(1,
        ('Fairway Log'!$A$2:$A$72=$A798)*
        ('Fairway Log'!$B$2:$B$72=$B798)*
        ('Fairway Log'!$C$2:$C869=$C798),
      0),
      MATCH($G798,'Fairway Log'!$E$1:$V$1,0)
    ),
  "")
)</f>
        <v>1</v>
      </c>
      <c r="Q798" t="str" cm="1">
        <f t="array" ref="Q798">IFERROR(
  INDEX('GIR Log'!$E$2:$V$72,
    MATCH(1,
      ('GIR Log'!$A$2:$A$72=$A798)*
      ('GIR Log'!$B$2:$B$72=$B798)*
      ('GIR Log'!$C$2:$C$72=$C798),
    0),
    MATCH($G798,'GIR Log'!$E$1:$V$1,0)
  ),
"")</f>
        <v>↑</v>
      </c>
    </row>
    <row r="799" spans="1:17" x14ac:dyDescent="0.25">
      <c r="A799" s="43" t="s">
        <v>127</v>
      </c>
      <c r="B799" s="2">
        <v>45520</v>
      </c>
      <c r="C799" s="43" t="s">
        <v>46</v>
      </c>
      <c r="D799" t="s">
        <v>78</v>
      </c>
      <c r="E799" t="s">
        <v>36</v>
      </c>
      <c r="F799">
        <v>98</v>
      </c>
      <c r="G799" s="12" t="s">
        <v>52</v>
      </c>
      <c r="H799" s="9">
        <f t="shared" si="51"/>
        <v>6</v>
      </c>
      <c r="I799" cm="1">
        <f t="array" ref="I799">IFERROR(INDEX(CourseYardages[[Hole 1]:[Hole 18]],
  MATCH(1, (CourseYardages[Course]=C799)*(CourseYardages[Tees]=E799), 0),
  MATCH(G799, CourseYardages[[#Headers],[Hole 1]:[Hole 18]], 0)
),"")</f>
        <v>382</v>
      </c>
      <c r="J799" cm="1">
        <f t="array" ref="J799">IFERROR(INDEX(CourseHandicap[[Hole 1]:[Hole 18]],
  MATCH(1, (CourseHandicap[Course]=C799)*(CourseHandicap[Tees]=E799), 0),
  MATCH(G799, CourseHandicap[[#Headers],[Hole 1]:[Hole 18]], 0)
),"")</f>
        <v>5</v>
      </c>
      <c r="K799" cm="1">
        <f t="array" ref="K799">IFERROR(INDEX(CourseRatings[[Hole 1]:[Hole 18]],
  MATCH(1, (CourseRatings[Course]=C799)*(CourseRatings[Tees]=E799), 0),
  MATCH(G799, CourseRatings[[#Headers],[Hole 1]:[Hole 18]], 0)
),"")</f>
        <v>4</v>
      </c>
      <c r="L799" cm="1">
        <f t="array" ref="L799">IFERROR(
  INDEX('Golf Log'!$E$2:$V$72,
    MATCH(1,
      ('Golf Log'!$A$2:$A$72=$A799)*
      ('Golf Log'!$B$2:$B$72=$B799)*
      ('Golf Log'!$C$2:$C$72=$C799),
    0),
    MATCH($G799,'Golf Log'!$E$1:$V$1,0)
  ),
"")</f>
        <v>6</v>
      </c>
      <c r="M799">
        <f t="shared" si="52"/>
        <v>2</v>
      </c>
      <c r="N799" t="str">
        <f t="shared" si="53"/>
        <v>Double Bogey</v>
      </c>
      <c r="O799" cm="1">
        <f t="array" ref="O799">IFERROR(
  INDEX('Putt Log'!$E$2:$V$72,
    MATCH(1,
      ('Putt Log'!$A$2:$A$72=$A799)*
      ('Putt Log'!$B$2:$B$72=$B799)*
      ('Putt Log'!$C$2:$C$72=$C799),
    0),
    MATCH($G799,'Putt Log'!$E$1:$V$1,0)
  ),
"")</f>
        <v>2</v>
      </c>
      <c r="P799" cm="1">
        <f t="array" ref="P799">IF(K799=3,"",
  IFERROR(
    INDEX('Fairway Log'!$E$2:$V$72,
      MATCH(1,
        ('Fairway Log'!$A$2:$A$72=$A799)*
        ('Fairway Log'!$B$2:$B$72=$B799)*
        ('Fairway Log'!$C$2:$C870=$C799),
      0),
      MATCH($G799,'Fairway Log'!$E$1:$V$1,0)
    ),
  "")
)</f>
        <v>1</v>
      </c>
      <c r="Q799" t="str" cm="1">
        <f t="array" ref="Q799">IFERROR(
  INDEX('GIR Log'!$E$2:$V$72,
    MATCH(1,
      ('GIR Log'!$A$2:$A$72=$A799)*
      ('GIR Log'!$B$2:$B$72=$B799)*
      ('GIR Log'!$C$2:$C$72=$C799),
    0),
    MATCH($G799,'GIR Log'!$E$1:$V$1,0)
  ),
"")</f>
        <v>←</v>
      </c>
    </row>
    <row r="800" spans="1:17" x14ac:dyDescent="0.25">
      <c r="A800" s="43" t="s">
        <v>127</v>
      </c>
      <c r="B800" s="2">
        <v>45520</v>
      </c>
      <c r="C800" s="43" t="s">
        <v>46</v>
      </c>
      <c r="D800" t="s">
        <v>78</v>
      </c>
      <c r="E800" t="s">
        <v>36</v>
      </c>
      <c r="F800">
        <v>98</v>
      </c>
      <c r="G800" s="12" t="s">
        <v>53</v>
      </c>
      <c r="H800" s="9">
        <f t="shared" si="51"/>
        <v>7</v>
      </c>
      <c r="I800" cm="1">
        <f t="array" ref="I800">IFERROR(INDEX(CourseYardages[[Hole 1]:[Hole 18]],
  MATCH(1, (CourseYardages[Course]=C800)*(CourseYardages[Tees]=E800), 0),
  MATCH(G800, CourseYardages[[#Headers],[Hole 1]:[Hole 18]], 0)
),"")</f>
        <v>300</v>
      </c>
      <c r="J800" cm="1">
        <f t="array" ref="J800">IFERROR(INDEX(CourseHandicap[[Hole 1]:[Hole 18]],
  MATCH(1, (CourseHandicap[Course]=C800)*(CourseHandicap[Tees]=E800), 0),
  MATCH(G800, CourseHandicap[[#Headers],[Hole 1]:[Hole 18]], 0)
),"")</f>
        <v>9</v>
      </c>
      <c r="K800" cm="1">
        <f t="array" ref="K800">IFERROR(INDEX(CourseRatings[[Hole 1]:[Hole 18]],
  MATCH(1, (CourseRatings[Course]=C800)*(CourseRatings[Tees]=E800), 0),
  MATCH(G800, CourseRatings[[#Headers],[Hole 1]:[Hole 18]], 0)
),"")</f>
        <v>4</v>
      </c>
      <c r="L800" cm="1">
        <f t="array" ref="L800">IFERROR(
  INDEX('Golf Log'!$E$2:$V$72,
    MATCH(1,
      ('Golf Log'!$A$2:$A$72=$A800)*
      ('Golf Log'!$B$2:$B$72=$B800)*
      ('Golf Log'!$C$2:$C$72=$C800),
    0),
    MATCH($G800,'Golf Log'!$E$1:$V$1,0)
  ),
"")</f>
        <v>5</v>
      </c>
      <c r="M800">
        <f t="shared" si="52"/>
        <v>1</v>
      </c>
      <c r="N800" t="str">
        <f t="shared" si="53"/>
        <v>Bogey</v>
      </c>
      <c r="O800" cm="1">
        <f t="array" ref="O800">IFERROR(
  INDEX('Putt Log'!$E$2:$V$72,
    MATCH(1,
      ('Putt Log'!$A$2:$A$72=$A800)*
      ('Putt Log'!$B$2:$B$72=$B800)*
      ('Putt Log'!$C$2:$C$72=$C800),
    0),
    MATCH($G800,'Putt Log'!$E$1:$V$1,0)
  ),
"")</f>
        <v>3</v>
      </c>
      <c r="P800" cm="1">
        <f t="array" ref="P800">IF(K800=3,"",
  IFERROR(
    INDEX('Fairway Log'!$E$2:$V$72,
      MATCH(1,
        ('Fairway Log'!$A$2:$A$72=$A800)*
        ('Fairway Log'!$B$2:$B$72=$B800)*
        ('Fairway Log'!$C$2:$C871=$C800),
      0),
      MATCH($G800,'Fairway Log'!$E$1:$V$1,0)
    ),
  "")
)</f>
        <v>1</v>
      </c>
      <c r="Q800" cm="1">
        <f t="array" ref="Q800">IFERROR(
  INDEX('GIR Log'!$E$2:$V$72,
    MATCH(1,
      ('GIR Log'!$A$2:$A$72=$A800)*
      ('GIR Log'!$B$2:$B$72=$B800)*
      ('GIR Log'!$C$2:$C$72=$C800),
    0),
    MATCH($G800,'GIR Log'!$E$1:$V$1,0)
  ),
"")</f>
        <v>1</v>
      </c>
    </row>
    <row r="801" spans="1:17" x14ac:dyDescent="0.25">
      <c r="A801" s="43" t="s">
        <v>127</v>
      </c>
      <c r="B801" s="2">
        <v>45520</v>
      </c>
      <c r="C801" s="43" t="s">
        <v>46</v>
      </c>
      <c r="D801" t="s">
        <v>78</v>
      </c>
      <c r="E801" t="s">
        <v>36</v>
      </c>
      <c r="F801">
        <v>98</v>
      </c>
      <c r="G801" s="12" t="s">
        <v>54</v>
      </c>
      <c r="H801" s="9">
        <f t="shared" si="51"/>
        <v>8</v>
      </c>
      <c r="I801" cm="1">
        <f t="array" ref="I801">IFERROR(INDEX(CourseYardages[[Hole 1]:[Hole 18]],
  MATCH(1, (CourseYardages[Course]=C801)*(CourseYardages[Tees]=E801), 0),
  MATCH(G801, CourseYardages[[#Headers],[Hole 1]:[Hole 18]], 0)
),"")</f>
        <v>207</v>
      </c>
      <c r="J801" cm="1">
        <f t="array" ref="J801">IFERROR(INDEX(CourseHandicap[[Hole 1]:[Hole 18]],
  MATCH(1, (CourseHandicap[Course]=C801)*(CourseHandicap[Tees]=E801), 0),
  MATCH(G801, CourseHandicap[[#Headers],[Hole 1]:[Hole 18]], 0)
),"")</f>
        <v>4</v>
      </c>
      <c r="K801" cm="1">
        <f t="array" ref="K801">IFERROR(INDEX(CourseRatings[[Hole 1]:[Hole 18]],
  MATCH(1, (CourseRatings[Course]=C801)*(CourseRatings[Tees]=E801), 0),
  MATCH(G801, CourseRatings[[#Headers],[Hole 1]:[Hole 18]], 0)
),"")</f>
        <v>3</v>
      </c>
      <c r="L801" cm="1">
        <f t="array" ref="L801">IFERROR(
  INDEX('Golf Log'!$E$2:$V$72,
    MATCH(1,
      ('Golf Log'!$A$2:$A$72=$A801)*
      ('Golf Log'!$B$2:$B$72=$B801)*
      ('Golf Log'!$C$2:$C$72=$C801),
    0),
    MATCH($G801,'Golf Log'!$E$1:$V$1,0)
  ),
"")</f>
        <v>4</v>
      </c>
      <c r="M801">
        <f t="shared" si="52"/>
        <v>1</v>
      </c>
      <c r="N801" t="str">
        <f t="shared" si="53"/>
        <v>Bogey</v>
      </c>
      <c r="O801" cm="1">
        <f t="array" ref="O801">IFERROR(
  INDEX('Putt Log'!$E$2:$V$72,
    MATCH(1,
      ('Putt Log'!$A$2:$A$72=$A801)*
      ('Putt Log'!$B$2:$B$72=$B801)*
      ('Putt Log'!$C$2:$C$72=$C801),
    0),
    MATCH($G801,'Putt Log'!$E$1:$V$1,0)
  ),
"")</f>
        <v>2</v>
      </c>
      <c r="P801" t="str" cm="1">
        <f t="array" ref="P801">IF(K801=3,"",
  IFERROR(
    INDEX('Fairway Log'!$E$2:$V$72,
      MATCH(1,
        ('Fairway Log'!$A$2:$A$72=$A801)*
        ('Fairway Log'!$B$2:$B$72=$B801)*
        ('Fairway Log'!$C$2:$C872=$C801),
      0),
      MATCH($G801,'Fairway Log'!$E$1:$V$1,0)
    ),
  "")
)</f>
        <v/>
      </c>
      <c r="Q801" t="str" cm="1">
        <f t="array" ref="Q801">IFERROR(
  INDEX('GIR Log'!$E$2:$V$72,
    MATCH(1,
      ('GIR Log'!$A$2:$A$72=$A801)*
      ('GIR Log'!$B$2:$B$72=$B801)*
      ('GIR Log'!$C$2:$C$72=$C801),
    0),
    MATCH($G801,'GIR Log'!$E$1:$V$1,0)
  ),
"")</f>
        <v>→</v>
      </c>
    </row>
    <row r="802" spans="1:17" x14ac:dyDescent="0.25">
      <c r="A802" s="43" t="s">
        <v>127</v>
      </c>
      <c r="B802" s="2">
        <v>45520</v>
      </c>
      <c r="C802" s="43" t="s">
        <v>46</v>
      </c>
      <c r="D802" t="s">
        <v>78</v>
      </c>
      <c r="E802" t="s">
        <v>36</v>
      </c>
      <c r="F802">
        <v>98</v>
      </c>
      <c r="G802" s="12" t="s">
        <v>55</v>
      </c>
      <c r="H802" s="9">
        <f t="shared" si="51"/>
        <v>9</v>
      </c>
      <c r="I802" cm="1">
        <f t="array" ref="I802">IFERROR(INDEX(CourseYardages[[Hole 1]:[Hole 18]],
  MATCH(1, (CourseYardages[Course]=C802)*(CourseYardages[Tees]=E802), 0),
  MATCH(G802, CourseYardages[[#Headers],[Hole 1]:[Hole 18]], 0)
),"")</f>
        <v>537</v>
      </c>
      <c r="J802" cm="1">
        <f t="array" ref="J802">IFERROR(INDEX(CourseHandicap[[Hole 1]:[Hole 18]],
  MATCH(1, (CourseHandicap[Course]=C802)*(CourseHandicap[Tees]=E802), 0),
  MATCH(G802, CourseHandicap[[#Headers],[Hole 1]:[Hole 18]], 0)
),"")</f>
        <v>1</v>
      </c>
      <c r="K802" cm="1">
        <f t="array" ref="K802">IFERROR(INDEX(CourseRatings[[Hole 1]:[Hole 18]],
  MATCH(1, (CourseRatings[Course]=C802)*(CourseRatings[Tees]=E802), 0),
  MATCH(G802, CourseRatings[[#Headers],[Hole 1]:[Hole 18]], 0)
),"")</f>
        <v>5</v>
      </c>
      <c r="L802" cm="1">
        <f t="array" ref="L802">IFERROR(
  INDEX('Golf Log'!$E$2:$V$72,
    MATCH(1,
      ('Golf Log'!$A$2:$A$72=$A802)*
      ('Golf Log'!$B$2:$B$72=$B802)*
      ('Golf Log'!$C$2:$C$72=$C802),
    0),
    MATCH($G802,'Golf Log'!$E$1:$V$1,0)
  ),
"")</f>
        <v>6</v>
      </c>
      <c r="M802">
        <f t="shared" si="52"/>
        <v>1</v>
      </c>
      <c r="N802" t="str">
        <f t="shared" si="53"/>
        <v>Bogey</v>
      </c>
      <c r="O802" cm="1">
        <f t="array" ref="O802">IFERROR(
  INDEX('Putt Log'!$E$2:$V$72,
    MATCH(1,
      ('Putt Log'!$A$2:$A$72=$A802)*
      ('Putt Log'!$B$2:$B$72=$B802)*
      ('Putt Log'!$C$2:$C$72=$C802),
    0),
    MATCH($G802,'Putt Log'!$E$1:$V$1,0)
  ),
"")</f>
        <v>2</v>
      </c>
      <c r="P802" t="str" cm="1">
        <f t="array" ref="P802">IF(K802=3,"",
  IFERROR(
    INDEX('Fairway Log'!$E$2:$V$72,
      MATCH(1,
        ('Fairway Log'!$A$2:$A$72=$A802)*
        ('Fairway Log'!$B$2:$B$72=$B802)*
        ('Fairway Log'!$C$2:$C873=$C802),
      0),
      MATCH($G802,'Fairway Log'!$E$1:$V$1,0)
    ),
  "")
)</f>
        <v>←</v>
      </c>
      <c r="Q802" t="str" cm="1">
        <f t="array" ref="Q802">IFERROR(
  INDEX('GIR Log'!$E$2:$V$72,
    MATCH(1,
      ('GIR Log'!$A$2:$A$72=$A802)*
      ('GIR Log'!$B$2:$B$72=$B802)*
      ('GIR Log'!$C$2:$C$72=$C802),
    0),
    MATCH($G802,'GIR Log'!$E$1:$V$1,0)
  ),
"")</f>
        <v>↓</v>
      </c>
    </row>
    <row r="803" spans="1:17" x14ac:dyDescent="0.25">
      <c r="A803" s="43" t="s">
        <v>127</v>
      </c>
      <c r="B803" s="2">
        <v>45520</v>
      </c>
      <c r="C803" s="43" t="s">
        <v>46</v>
      </c>
      <c r="D803" t="s">
        <v>78</v>
      </c>
      <c r="E803" t="s">
        <v>36</v>
      </c>
      <c r="F803">
        <v>98</v>
      </c>
      <c r="G803" s="12" t="s">
        <v>56</v>
      </c>
      <c r="H803" s="9">
        <f t="shared" si="51"/>
        <v>10</v>
      </c>
      <c r="I803" cm="1">
        <f t="array" ref="I803">IFERROR(INDEX(CourseYardages[[Hole 1]:[Hole 18]],
  MATCH(1, (CourseYardages[Course]=C803)*(CourseYardages[Tees]=E803), 0),
  MATCH(G803, CourseYardages[[#Headers],[Hole 1]:[Hole 18]], 0)
),"")</f>
        <v>449</v>
      </c>
      <c r="J803" cm="1">
        <f t="array" ref="J803">IFERROR(INDEX(CourseHandicap[[Hole 1]:[Hole 18]],
  MATCH(1, (CourseHandicap[Course]=C803)*(CourseHandicap[Tees]=E803), 0),
  MATCH(G803, CourseHandicap[[#Headers],[Hole 1]:[Hole 18]], 0)
),"")</f>
        <v>3</v>
      </c>
      <c r="K803" cm="1">
        <f t="array" ref="K803">IFERROR(INDEX(CourseRatings[[Hole 1]:[Hole 18]],
  MATCH(1, (CourseRatings[Course]=C803)*(CourseRatings[Tees]=E803), 0),
  MATCH(G803, CourseRatings[[#Headers],[Hole 1]:[Hole 18]], 0)
),"")</f>
        <v>4</v>
      </c>
      <c r="L803" cm="1">
        <f t="array" ref="L803">IFERROR(
  INDEX('Golf Log'!$E$2:$V$72,
    MATCH(1,
      ('Golf Log'!$A$2:$A$72=$A803)*
      ('Golf Log'!$B$2:$B$72=$B803)*
      ('Golf Log'!$C$2:$C$72=$C803),
    0),
    MATCH($G803,'Golf Log'!$E$1:$V$1,0)
  ),
"")</f>
        <v>8</v>
      </c>
      <c r="M803">
        <f t="shared" si="52"/>
        <v>4</v>
      </c>
      <c r="N803" t="str">
        <f t="shared" si="53"/>
        <v>Quad Bogey+</v>
      </c>
      <c r="O803" cm="1">
        <f t="array" ref="O803">IFERROR(
  INDEX('Putt Log'!$E$2:$V$72,
    MATCH(1,
      ('Putt Log'!$A$2:$A$72=$A803)*
      ('Putt Log'!$B$2:$B$72=$B803)*
      ('Putt Log'!$C$2:$C$72=$C803),
    0),
    MATCH($G803,'Putt Log'!$E$1:$V$1,0)
  ),
"")</f>
        <v>0</v>
      </c>
      <c r="P803" t="str" cm="1">
        <f t="array" ref="P803">IF(K803=3,"",
  IFERROR(
    INDEX('Fairway Log'!$E$2:$V$72,
      MATCH(1,
        ('Fairway Log'!$A$2:$A$72=$A803)*
        ('Fairway Log'!$B$2:$B$72=$B803)*
        ('Fairway Log'!$C$2:$C874=$C803),
      0),
      MATCH($G803,'Fairway Log'!$E$1:$V$1,0)
    ),
  "")
)</f>
        <v>←</v>
      </c>
      <c r="Q803" t="str" cm="1">
        <f t="array" ref="Q803">IFERROR(
  INDEX('GIR Log'!$E$2:$V$72,
    MATCH(1,
      ('GIR Log'!$A$2:$A$72=$A803)*
      ('GIR Log'!$B$2:$B$72=$B803)*
      ('GIR Log'!$C$2:$C$72=$C803),
    0),
    MATCH($G803,'GIR Log'!$E$1:$V$1,0)
  ),
"")</f>
        <v>↓</v>
      </c>
    </row>
    <row r="804" spans="1:17" x14ac:dyDescent="0.25">
      <c r="A804" s="43" t="s">
        <v>127</v>
      </c>
      <c r="B804" s="2">
        <v>45520</v>
      </c>
      <c r="C804" s="43" t="s">
        <v>46</v>
      </c>
      <c r="D804" t="s">
        <v>78</v>
      </c>
      <c r="E804" t="s">
        <v>36</v>
      </c>
      <c r="F804">
        <v>98</v>
      </c>
      <c r="G804" s="12" t="s">
        <v>57</v>
      </c>
      <c r="H804" s="9">
        <f t="shared" si="51"/>
        <v>11</v>
      </c>
      <c r="I804" cm="1">
        <f t="array" ref="I804">IFERROR(INDEX(CourseYardages[[Hole 1]:[Hole 18]],
  MATCH(1, (CourseYardages[Course]=C804)*(CourseYardages[Tees]=E804), 0),
  MATCH(G804, CourseYardages[[#Headers],[Hole 1]:[Hole 18]], 0)
),"")</f>
        <v>345</v>
      </c>
      <c r="J804" cm="1">
        <f t="array" ref="J804">IFERROR(INDEX(CourseHandicap[[Hole 1]:[Hole 18]],
  MATCH(1, (CourseHandicap[Course]=C804)*(CourseHandicap[Tees]=E804), 0),
  MATCH(G804, CourseHandicap[[#Headers],[Hole 1]:[Hole 18]], 0)
),"")</f>
        <v>7</v>
      </c>
      <c r="K804" cm="1">
        <f t="array" ref="K804">IFERROR(INDEX(CourseRatings[[Hole 1]:[Hole 18]],
  MATCH(1, (CourseRatings[Course]=C804)*(CourseRatings[Tees]=E804), 0),
  MATCH(G804, CourseRatings[[#Headers],[Hole 1]:[Hole 18]], 0)
),"")</f>
        <v>4</v>
      </c>
      <c r="L804" cm="1">
        <f t="array" ref="L804">IFERROR(
  INDEX('Golf Log'!$E$2:$V$72,
    MATCH(1,
      ('Golf Log'!$A$2:$A$72=$A804)*
      ('Golf Log'!$B$2:$B$72=$B804)*
      ('Golf Log'!$C$2:$C$72=$C804),
    0),
    MATCH($G804,'Golf Log'!$E$1:$V$1,0)
  ),
"")</f>
        <v>5</v>
      </c>
      <c r="M804">
        <f t="shared" si="52"/>
        <v>1</v>
      </c>
      <c r="N804" t="str">
        <f t="shared" si="53"/>
        <v>Bogey</v>
      </c>
      <c r="O804" cm="1">
        <f t="array" ref="O804">IFERROR(
  INDEX('Putt Log'!$E$2:$V$72,
    MATCH(1,
      ('Putt Log'!$A$2:$A$72=$A804)*
      ('Putt Log'!$B$2:$B$72=$B804)*
      ('Putt Log'!$C$2:$C$72=$C804),
    0),
    MATCH($G804,'Putt Log'!$E$1:$V$1,0)
  ),
"")</f>
        <v>3</v>
      </c>
      <c r="P804" t="str" cm="1">
        <f t="array" ref="P804">IF(K804=3,"",
  IFERROR(
    INDEX('Fairway Log'!$E$2:$V$72,
      MATCH(1,
        ('Fairway Log'!$A$2:$A$72=$A804)*
        ('Fairway Log'!$B$2:$B$72=$B804)*
        ('Fairway Log'!$C$2:$C875=$C804),
      0),
      MATCH($G804,'Fairway Log'!$E$1:$V$1,0)
    ),
  "")
)</f>
        <v>←</v>
      </c>
      <c r="Q804" cm="1">
        <f t="array" ref="Q804">IFERROR(
  INDEX('GIR Log'!$E$2:$V$72,
    MATCH(1,
      ('GIR Log'!$A$2:$A$72=$A804)*
      ('GIR Log'!$B$2:$B$72=$B804)*
      ('GIR Log'!$C$2:$C$72=$C804),
    0),
    MATCH($G804,'GIR Log'!$E$1:$V$1,0)
  ),
"")</f>
        <v>1</v>
      </c>
    </row>
    <row r="805" spans="1:17" x14ac:dyDescent="0.25">
      <c r="A805" s="43" t="s">
        <v>127</v>
      </c>
      <c r="B805" s="2">
        <v>45520</v>
      </c>
      <c r="C805" s="43" t="s">
        <v>46</v>
      </c>
      <c r="D805" t="s">
        <v>78</v>
      </c>
      <c r="E805" t="s">
        <v>36</v>
      </c>
      <c r="F805">
        <v>98</v>
      </c>
      <c r="G805" s="12" t="s">
        <v>58</v>
      </c>
      <c r="H805" s="9">
        <f t="shared" si="51"/>
        <v>12</v>
      </c>
      <c r="I805" cm="1">
        <f t="array" ref="I805">IFERROR(INDEX(CourseYardages[[Hole 1]:[Hole 18]],
  MATCH(1, (CourseYardages[Course]=C805)*(CourseYardages[Tees]=E805), 0),
  MATCH(G805, CourseYardages[[#Headers],[Hole 1]:[Hole 18]], 0)
),"")</f>
        <v>529</v>
      </c>
      <c r="J805" cm="1">
        <f t="array" ref="J805">IFERROR(INDEX(CourseHandicap[[Hole 1]:[Hole 18]],
  MATCH(1, (CourseHandicap[Course]=C805)*(CourseHandicap[Tees]=E805), 0),
  MATCH(G805, CourseHandicap[[#Headers],[Hole 1]:[Hole 18]], 0)
),"")</f>
        <v>1</v>
      </c>
      <c r="K805" cm="1">
        <f t="array" ref="K805">IFERROR(INDEX(CourseRatings[[Hole 1]:[Hole 18]],
  MATCH(1, (CourseRatings[Course]=C805)*(CourseRatings[Tees]=E805), 0),
  MATCH(G805, CourseRatings[[#Headers],[Hole 1]:[Hole 18]], 0)
),"")</f>
        <v>5</v>
      </c>
      <c r="L805" cm="1">
        <f t="array" ref="L805">IFERROR(
  INDEX('Golf Log'!$E$2:$V$72,
    MATCH(1,
      ('Golf Log'!$A$2:$A$72=$A805)*
      ('Golf Log'!$B$2:$B$72=$B805)*
      ('Golf Log'!$C$2:$C$72=$C805),
    0),
    MATCH($G805,'Golf Log'!$E$1:$V$1,0)
  ),
"")</f>
        <v>7</v>
      </c>
      <c r="M805">
        <f t="shared" si="52"/>
        <v>2</v>
      </c>
      <c r="N805" t="str">
        <f t="shared" si="53"/>
        <v>Double Bogey</v>
      </c>
      <c r="O805" cm="1">
        <f t="array" ref="O805">IFERROR(
  INDEX('Putt Log'!$E$2:$V$72,
    MATCH(1,
      ('Putt Log'!$A$2:$A$72=$A805)*
      ('Putt Log'!$B$2:$B$72=$B805)*
      ('Putt Log'!$C$2:$C$72=$C805),
    0),
    MATCH($G805,'Putt Log'!$E$1:$V$1,0)
  ),
"")</f>
        <v>3</v>
      </c>
      <c r="P805" cm="1">
        <f t="array" ref="P805">IF(K805=3,"",
  IFERROR(
    INDEX('Fairway Log'!$E$2:$V$72,
      MATCH(1,
        ('Fairway Log'!$A$2:$A$72=$A805)*
        ('Fairway Log'!$B$2:$B$72=$B805)*
        ('Fairway Log'!$C$2:$C876=$C805),
      0),
      MATCH($G805,'Fairway Log'!$E$1:$V$1,0)
    ),
  "")
)</f>
        <v>1</v>
      </c>
      <c r="Q805" t="str" cm="1">
        <f t="array" ref="Q805">IFERROR(
  INDEX('GIR Log'!$E$2:$V$72,
    MATCH(1,
      ('GIR Log'!$A$2:$A$72=$A805)*
      ('GIR Log'!$B$2:$B$72=$B805)*
      ('GIR Log'!$C$2:$C$72=$C805),
    0),
    MATCH($G805,'GIR Log'!$E$1:$V$1,0)
  ),
"")</f>
        <v>↓</v>
      </c>
    </row>
    <row r="806" spans="1:17" x14ac:dyDescent="0.25">
      <c r="A806" s="43" t="s">
        <v>127</v>
      </c>
      <c r="B806" s="2">
        <v>45520</v>
      </c>
      <c r="C806" s="43" t="s">
        <v>46</v>
      </c>
      <c r="D806" t="s">
        <v>78</v>
      </c>
      <c r="E806" t="s">
        <v>36</v>
      </c>
      <c r="F806">
        <v>98</v>
      </c>
      <c r="G806" s="12" t="s">
        <v>59</v>
      </c>
      <c r="H806" s="9">
        <f t="shared" si="51"/>
        <v>13</v>
      </c>
      <c r="I806" cm="1">
        <f t="array" ref="I806">IFERROR(INDEX(CourseYardages[[Hole 1]:[Hole 18]],
  MATCH(1, (CourseYardages[Course]=C806)*(CourseYardages[Tees]=E806), 0),
  MATCH(G806, CourseYardages[[#Headers],[Hole 1]:[Hole 18]], 0)
),"")</f>
        <v>189</v>
      </c>
      <c r="J806" cm="1">
        <f t="array" ref="J806">IFERROR(INDEX(CourseHandicap[[Hole 1]:[Hole 18]],
  MATCH(1, (CourseHandicap[Course]=C806)*(CourseHandicap[Tees]=E806), 0),
  MATCH(G806, CourseHandicap[[#Headers],[Hole 1]:[Hole 18]], 0)
),"")</f>
        <v>8</v>
      </c>
      <c r="K806" cm="1">
        <f t="array" ref="K806">IFERROR(INDEX(CourseRatings[[Hole 1]:[Hole 18]],
  MATCH(1, (CourseRatings[Course]=C806)*(CourseRatings[Tees]=E806), 0),
  MATCH(G806, CourseRatings[[#Headers],[Hole 1]:[Hole 18]], 0)
),"")</f>
        <v>3</v>
      </c>
      <c r="L806" cm="1">
        <f t="array" ref="L806">IFERROR(
  INDEX('Golf Log'!$E$2:$V$72,
    MATCH(1,
      ('Golf Log'!$A$2:$A$72=$A806)*
      ('Golf Log'!$B$2:$B$72=$B806)*
      ('Golf Log'!$C$2:$C$72=$C806),
    0),
    MATCH($G806,'Golf Log'!$E$1:$V$1,0)
  ),
"")</f>
        <v>3</v>
      </c>
      <c r="M806">
        <f t="shared" si="52"/>
        <v>0</v>
      </c>
      <c r="N806" t="str">
        <f t="shared" si="53"/>
        <v>Par</v>
      </c>
      <c r="O806" cm="1">
        <f t="array" ref="O806">IFERROR(
  INDEX('Putt Log'!$E$2:$V$72,
    MATCH(1,
      ('Putt Log'!$A$2:$A$72=$A806)*
      ('Putt Log'!$B$2:$B$72=$B806)*
      ('Putt Log'!$C$2:$C$72=$C806),
    0),
    MATCH($G806,'Putt Log'!$E$1:$V$1,0)
  ),
"")</f>
        <v>2</v>
      </c>
      <c r="P806" t="str" cm="1">
        <f t="array" ref="P806">IF(K806=3,"",
  IFERROR(
    INDEX('Fairway Log'!$E$2:$V$72,
      MATCH(1,
        ('Fairway Log'!$A$2:$A$72=$A806)*
        ('Fairway Log'!$B$2:$B$72=$B806)*
        ('Fairway Log'!$C$2:$C877=$C806),
      0),
      MATCH($G806,'Fairway Log'!$E$1:$V$1,0)
    ),
  "")
)</f>
        <v/>
      </c>
      <c r="Q806" cm="1">
        <f t="array" ref="Q806">IFERROR(
  INDEX('GIR Log'!$E$2:$V$72,
    MATCH(1,
      ('GIR Log'!$A$2:$A$72=$A806)*
      ('GIR Log'!$B$2:$B$72=$B806)*
      ('GIR Log'!$C$2:$C$72=$C806),
    0),
    MATCH($G806,'GIR Log'!$E$1:$V$1,0)
  ),
"")</f>
        <v>1</v>
      </c>
    </row>
    <row r="807" spans="1:17" x14ac:dyDescent="0.25">
      <c r="A807" s="43" t="s">
        <v>127</v>
      </c>
      <c r="B807" s="2">
        <v>45520</v>
      </c>
      <c r="C807" s="43" t="s">
        <v>46</v>
      </c>
      <c r="D807" t="s">
        <v>78</v>
      </c>
      <c r="E807" t="s">
        <v>36</v>
      </c>
      <c r="F807">
        <v>98</v>
      </c>
      <c r="G807" s="12" t="s">
        <v>60</v>
      </c>
      <c r="H807" s="9">
        <f t="shared" si="51"/>
        <v>14</v>
      </c>
      <c r="I807" cm="1">
        <f t="array" ref="I807">IFERROR(INDEX(CourseYardages[[Hole 1]:[Hole 18]],
  MATCH(1, (CourseYardages[Course]=C807)*(CourseYardages[Tees]=E807), 0),
  MATCH(G807, CourseYardages[[#Headers],[Hole 1]:[Hole 18]], 0)
),"")</f>
        <v>389</v>
      </c>
      <c r="J807" cm="1">
        <f t="array" ref="J807">IFERROR(INDEX(CourseHandicap[[Hole 1]:[Hole 18]],
  MATCH(1, (CourseHandicap[Course]=C807)*(CourseHandicap[Tees]=E807), 0),
  MATCH(G807, CourseHandicap[[#Headers],[Hole 1]:[Hole 18]], 0)
),"")</f>
        <v>4</v>
      </c>
      <c r="K807" cm="1">
        <f t="array" ref="K807">IFERROR(INDEX(CourseRatings[[Hole 1]:[Hole 18]],
  MATCH(1, (CourseRatings[Course]=C807)*(CourseRatings[Tees]=E807), 0),
  MATCH(G807, CourseRatings[[#Headers],[Hole 1]:[Hole 18]], 0)
),"")</f>
        <v>4</v>
      </c>
      <c r="L807" cm="1">
        <f t="array" ref="L807">IFERROR(
  INDEX('Golf Log'!$E$2:$V$72,
    MATCH(1,
      ('Golf Log'!$A$2:$A$72=$A807)*
      ('Golf Log'!$B$2:$B$72=$B807)*
      ('Golf Log'!$C$2:$C$72=$C807),
    0),
    MATCH($G807,'Golf Log'!$E$1:$V$1,0)
  ),
"")</f>
        <v>6</v>
      </c>
      <c r="M807">
        <f t="shared" si="52"/>
        <v>2</v>
      </c>
      <c r="N807" t="str">
        <f t="shared" si="53"/>
        <v>Double Bogey</v>
      </c>
      <c r="O807" cm="1">
        <f t="array" ref="O807">IFERROR(
  INDEX('Putt Log'!$E$2:$V$72,
    MATCH(1,
      ('Putt Log'!$A$2:$A$72=$A807)*
      ('Putt Log'!$B$2:$B$72=$B807)*
      ('Putt Log'!$C$2:$C$72=$C807),
    0),
    MATCH($G807,'Putt Log'!$E$1:$V$1,0)
  ),
"")</f>
        <v>1</v>
      </c>
      <c r="P807" cm="1">
        <f t="array" ref="P807">IF(K807=3,"",
  IFERROR(
    INDEX('Fairway Log'!$E$2:$V$72,
      MATCH(1,
        ('Fairway Log'!$A$2:$A$72=$A807)*
        ('Fairway Log'!$B$2:$B$72=$B807)*
        ('Fairway Log'!$C$2:$C878=$C807),
      0),
      MATCH($G807,'Fairway Log'!$E$1:$V$1,0)
    ),
  "")
)</f>
        <v>1</v>
      </c>
      <c r="Q807" t="str" cm="1">
        <f t="array" ref="Q807">IFERROR(
  INDEX('GIR Log'!$E$2:$V$72,
    MATCH(1,
      ('GIR Log'!$A$2:$A$72=$A807)*
      ('GIR Log'!$B$2:$B$72=$B807)*
      ('GIR Log'!$C$2:$C$72=$C807),
    0),
    MATCH($G807,'GIR Log'!$E$1:$V$1,0)
  ),
"")</f>
        <v>↓</v>
      </c>
    </row>
    <row r="808" spans="1:17" x14ac:dyDescent="0.25">
      <c r="A808" s="43" t="s">
        <v>127</v>
      </c>
      <c r="B808" s="2">
        <v>45520</v>
      </c>
      <c r="C808" s="43" t="s">
        <v>46</v>
      </c>
      <c r="D808" t="s">
        <v>78</v>
      </c>
      <c r="E808" t="s">
        <v>36</v>
      </c>
      <c r="F808">
        <v>98</v>
      </c>
      <c r="G808" s="12" t="s">
        <v>61</v>
      </c>
      <c r="H808" s="9">
        <f t="shared" si="51"/>
        <v>15</v>
      </c>
      <c r="I808" cm="1">
        <f t="array" ref="I808">IFERROR(INDEX(CourseYardages[[Hole 1]:[Hole 18]],
  MATCH(1, (CourseYardages[Course]=C808)*(CourseYardages[Tees]=E808), 0),
  MATCH(G808, CourseYardages[[#Headers],[Hole 1]:[Hole 18]], 0)
),"")</f>
        <v>390</v>
      </c>
      <c r="J808" cm="1">
        <f t="array" ref="J808">IFERROR(INDEX(CourseHandicap[[Hole 1]:[Hole 18]],
  MATCH(1, (CourseHandicap[Course]=C808)*(CourseHandicap[Tees]=E808), 0),
  MATCH(G808, CourseHandicap[[#Headers],[Hole 1]:[Hole 18]], 0)
),"")</f>
        <v>2</v>
      </c>
      <c r="K808" cm="1">
        <f t="array" ref="K808">IFERROR(INDEX(CourseRatings[[Hole 1]:[Hole 18]],
  MATCH(1, (CourseRatings[Course]=C808)*(CourseRatings[Tees]=E808), 0),
  MATCH(G808, CourseRatings[[#Headers],[Hole 1]:[Hole 18]], 0)
),"")</f>
        <v>4</v>
      </c>
      <c r="L808" cm="1">
        <f t="array" ref="L808">IFERROR(
  INDEX('Golf Log'!$E$2:$V$72,
    MATCH(1,
      ('Golf Log'!$A$2:$A$72=$A808)*
      ('Golf Log'!$B$2:$B$72=$B808)*
      ('Golf Log'!$C$2:$C$72=$C808),
    0),
    MATCH($G808,'Golf Log'!$E$1:$V$1,0)
  ),
"")</f>
        <v>6</v>
      </c>
      <c r="M808">
        <f t="shared" si="52"/>
        <v>2</v>
      </c>
      <c r="N808" t="str">
        <f t="shared" si="53"/>
        <v>Double Bogey</v>
      </c>
      <c r="O808" cm="1">
        <f t="array" ref="O808">IFERROR(
  INDEX('Putt Log'!$E$2:$V$72,
    MATCH(1,
      ('Putt Log'!$A$2:$A$72=$A808)*
      ('Putt Log'!$B$2:$B$72=$B808)*
      ('Putt Log'!$C$2:$C$72=$C808),
    0),
    MATCH($G808,'Putt Log'!$E$1:$V$1,0)
  ),
"")</f>
        <v>3</v>
      </c>
      <c r="P808" t="str" cm="1">
        <f t="array" ref="P808">IF(K808=3,"",
  IFERROR(
    INDEX('Fairway Log'!$E$2:$V$72,
      MATCH(1,
        ('Fairway Log'!$A$2:$A$72=$A808)*
        ('Fairway Log'!$B$2:$B$72=$B808)*
        ('Fairway Log'!$C$2:$C879=$C808),
      0),
      MATCH($G808,'Fairway Log'!$E$1:$V$1,0)
    ),
  "")
)</f>
        <v>←</v>
      </c>
      <c r="Q808" t="str" cm="1">
        <f t="array" ref="Q808">IFERROR(
  INDEX('GIR Log'!$E$2:$V$72,
    MATCH(1,
      ('GIR Log'!$A$2:$A$72=$A808)*
      ('GIR Log'!$B$2:$B$72=$B808)*
      ('GIR Log'!$C$2:$C$72=$C808),
    0),
    MATCH($G808,'GIR Log'!$E$1:$V$1,0)
  ),
"")</f>
        <v>↓</v>
      </c>
    </row>
    <row r="809" spans="1:17" x14ac:dyDescent="0.25">
      <c r="A809" s="43" t="s">
        <v>127</v>
      </c>
      <c r="B809" s="2">
        <v>45520</v>
      </c>
      <c r="C809" s="43" t="s">
        <v>46</v>
      </c>
      <c r="D809" t="s">
        <v>78</v>
      </c>
      <c r="E809" t="s">
        <v>36</v>
      </c>
      <c r="F809">
        <v>98</v>
      </c>
      <c r="G809" s="12" t="s">
        <v>62</v>
      </c>
      <c r="H809" s="9">
        <f t="shared" si="51"/>
        <v>16</v>
      </c>
      <c r="I809" cm="1">
        <f t="array" ref="I809">IFERROR(INDEX(CourseYardages[[Hole 1]:[Hole 18]],
  MATCH(1, (CourseYardages[Course]=C809)*(CourseYardages[Tees]=E809), 0),
  MATCH(G809, CourseYardages[[#Headers],[Hole 1]:[Hole 18]], 0)
),"")</f>
        <v>405</v>
      </c>
      <c r="J809" cm="1">
        <f t="array" ref="J809">IFERROR(INDEX(CourseHandicap[[Hole 1]:[Hole 18]],
  MATCH(1, (CourseHandicap[Course]=C809)*(CourseHandicap[Tees]=E809), 0),
  MATCH(G809, CourseHandicap[[#Headers],[Hole 1]:[Hole 18]], 0)
),"")</f>
        <v>5</v>
      </c>
      <c r="K809" cm="1">
        <f t="array" ref="K809">IFERROR(INDEX(CourseRatings[[Hole 1]:[Hole 18]],
  MATCH(1, (CourseRatings[Course]=C809)*(CourseRatings[Tees]=E809), 0),
  MATCH(G809, CourseRatings[[#Headers],[Hole 1]:[Hole 18]], 0)
),"")</f>
        <v>4</v>
      </c>
      <c r="L809" cm="1">
        <f t="array" ref="L809">IFERROR(
  INDEX('Golf Log'!$E$2:$V$72,
    MATCH(1,
      ('Golf Log'!$A$2:$A$72=$A809)*
      ('Golf Log'!$B$2:$B$72=$B809)*
      ('Golf Log'!$C$2:$C$72=$C809),
    0),
    MATCH($G809,'Golf Log'!$E$1:$V$1,0)
  ),
"")</f>
        <v>8</v>
      </c>
      <c r="M809">
        <f t="shared" si="52"/>
        <v>4</v>
      </c>
      <c r="N809" t="str">
        <f t="shared" si="53"/>
        <v>Quad Bogey+</v>
      </c>
      <c r="O809" cm="1">
        <f t="array" ref="O809">IFERROR(
  INDEX('Putt Log'!$E$2:$V$72,
    MATCH(1,
      ('Putt Log'!$A$2:$A$72=$A809)*
      ('Putt Log'!$B$2:$B$72=$B809)*
      ('Putt Log'!$C$2:$C$72=$C809),
    0),
    MATCH($G809,'Putt Log'!$E$1:$V$1,0)
  ),
"")</f>
        <v>2</v>
      </c>
      <c r="P809" t="str" cm="1">
        <f t="array" ref="P809">IF(K809=3,"",
  IFERROR(
    INDEX('Fairway Log'!$E$2:$V$72,
      MATCH(1,
        ('Fairway Log'!$A$2:$A$72=$A809)*
        ('Fairway Log'!$B$2:$B$72=$B809)*
        ('Fairway Log'!$C$2:$C880=$C809),
      0),
      MATCH($G809,'Fairway Log'!$E$1:$V$1,0)
    ),
  "")
)</f>
        <v>→</v>
      </c>
      <c r="Q809" t="str" cm="1">
        <f t="array" ref="Q809">IFERROR(
  INDEX('GIR Log'!$E$2:$V$72,
    MATCH(1,
      ('GIR Log'!$A$2:$A$72=$A809)*
      ('GIR Log'!$B$2:$B$72=$B809)*
      ('GIR Log'!$C$2:$C$72=$C809),
    0),
    MATCH($G809,'GIR Log'!$E$1:$V$1,0)
  ),
"")</f>
        <v>↓</v>
      </c>
    </row>
    <row r="810" spans="1:17" x14ac:dyDescent="0.25">
      <c r="A810" s="43" t="s">
        <v>127</v>
      </c>
      <c r="B810" s="2">
        <v>45520</v>
      </c>
      <c r="C810" s="43" t="s">
        <v>46</v>
      </c>
      <c r="D810" t="s">
        <v>78</v>
      </c>
      <c r="E810" t="s">
        <v>36</v>
      </c>
      <c r="F810">
        <v>98</v>
      </c>
      <c r="G810" s="12" t="s">
        <v>63</v>
      </c>
      <c r="H810" s="9">
        <f t="shared" si="51"/>
        <v>17</v>
      </c>
      <c r="I810" cm="1">
        <f t="array" ref="I810">IFERROR(INDEX(CourseYardages[[Hole 1]:[Hole 18]],
  MATCH(1, (CourseYardages[Course]=C810)*(CourseYardages[Tees]=E810), 0),
  MATCH(G810, CourseYardages[[#Headers],[Hole 1]:[Hole 18]], 0)
),"")</f>
        <v>140</v>
      </c>
      <c r="J810" cm="1">
        <f t="array" ref="J810">IFERROR(INDEX(CourseHandicap[[Hole 1]:[Hole 18]],
  MATCH(1, (CourseHandicap[Course]=C810)*(CourseHandicap[Tees]=E810), 0),
  MATCH(G810, CourseHandicap[[#Headers],[Hole 1]:[Hole 18]], 0)
),"")</f>
        <v>9</v>
      </c>
      <c r="K810" cm="1">
        <f t="array" ref="K810">IFERROR(INDEX(CourseRatings[[Hole 1]:[Hole 18]],
  MATCH(1, (CourseRatings[Course]=C810)*(CourseRatings[Tees]=E810), 0),
  MATCH(G810, CourseRatings[[#Headers],[Hole 1]:[Hole 18]], 0)
),"")</f>
        <v>3</v>
      </c>
      <c r="L810" cm="1">
        <f t="array" ref="L810">IFERROR(
  INDEX('Golf Log'!$E$2:$V$72,
    MATCH(1,
      ('Golf Log'!$A$2:$A$72=$A810)*
      ('Golf Log'!$B$2:$B$72=$B810)*
      ('Golf Log'!$C$2:$C$72=$C810),
    0),
    MATCH($G810,'Golf Log'!$E$1:$V$1,0)
  ),
"")</f>
        <v>4</v>
      </c>
      <c r="M810">
        <f t="shared" si="52"/>
        <v>1</v>
      </c>
      <c r="N810" t="str">
        <f t="shared" si="53"/>
        <v>Bogey</v>
      </c>
      <c r="O810" cm="1">
        <f t="array" ref="O810">IFERROR(
  INDEX('Putt Log'!$E$2:$V$72,
    MATCH(1,
      ('Putt Log'!$A$2:$A$72=$A810)*
      ('Putt Log'!$B$2:$B$72=$B810)*
      ('Putt Log'!$C$2:$C$72=$C810),
    0),
    MATCH($G810,'Putt Log'!$E$1:$V$1,0)
  ),
"")</f>
        <v>2</v>
      </c>
      <c r="P810" t="str" cm="1">
        <f t="array" ref="P810">IF(K810=3,"",
  IFERROR(
    INDEX('Fairway Log'!$E$2:$V$72,
      MATCH(1,
        ('Fairway Log'!$A$2:$A$72=$A810)*
        ('Fairway Log'!$B$2:$B$72=$B810)*
        ('Fairway Log'!$C$2:$C881=$C810),
      0),
      MATCH($G810,'Fairway Log'!$E$1:$V$1,0)
    ),
  "")
)</f>
        <v/>
      </c>
      <c r="Q810" t="str" cm="1">
        <f t="array" ref="Q810">IFERROR(
  INDEX('GIR Log'!$E$2:$V$72,
    MATCH(1,
      ('GIR Log'!$A$2:$A$72=$A810)*
      ('GIR Log'!$B$2:$B$72=$B810)*
      ('GIR Log'!$C$2:$C$72=$C810),
    0),
    MATCH($G810,'GIR Log'!$E$1:$V$1,0)
  ),
"")</f>
        <v>↓</v>
      </c>
    </row>
    <row r="811" spans="1:17" x14ac:dyDescent="0.25">
      <c r="A811" s="43" t="s">
        <v>127</v>
      </c>
      <c r="B811" s="2">
        <v>45520</v>
      </c>
      <c r="C811" s="43" t="s">
        <v>46</v>
      </c>
      <c r="D811" t="s">
        <v>78</v>
      </c>
      <c r="E811" t="s">
        <v>36</v>
      </c>
      <c r="F811">
        <v>98</v>
      </c>
      <c r="G811" s="12" t="s">
        <v>64</v>
      </c>
      <c r="H811" s="9">
        <f t="shared" si="51"/>
        <v>18</v>
      </c>
      <c r="I811" cm="1">
        <f t="array" ref="I811">IFERROR(INDEX(CourseYardages[[Hole 1]:[Hole 18]],
  MATCH(1, (CourseYardages[Course]=C811)*(CourseYardages[Tees]=E811), 0),
  MATCH(G811, CourseYardages[[#Headers],[Hole 1]:[Hole 18]], 0)
),"")</f>
        <v>405</v>
      </c>
      <c r="J811" cm="1">
        <f t="array" ref="J811">IFERROR(INDEX(CourseHandicap[[Hole 1]:[Hole 18]],
  MATCH(1, (CourseHandicap[Course]=C811)*(CourseHandicap[Tees]=E811), 0),
  MATCH(G811, CourseHandicap[[#Headers],[Hole 1]:[Hole 18]], 0)
),"")</f>
        <v>6</v>
      </c>
      <c r="K811" cm="1">
        <f t="array" ref="K811">IFERROR(INDEX(CourseRatings[[Hole 1]:[Hole 18]],
  MATCH(1, (CourseRatings[Course]=C811)*(CourseRatings[Tees]=E811), 0),
  MATCH(G811, CourseRatings[[#Headers],[Hole 1]:[Hole 18]], 0)
),"")</f>
        <v>4</v>
      </c>
      <c r="L811" cm="1">
        <f t="array" ref="L811">IFERROR(
  INDEX('Golf Log'!$E$2:$V$72,
    MATCH(1,
      ('Golf Log'!$A$2:$A$72=$A811)*
      ('Golf Log'!$B$2:$B$72=$B811)*
      ('Golf Log'!$C$2:$C$72=$C811),
    0),
    MATCH($G811,'Golf Log'!$E$1:$V$1,0)
  ),
"")</f>
        <v>5</v>
      </c>
      <c r="M811">
        <f t="shared" si="52"/>
        <v>1</v>
      </c>
      <c r="N811" t="str">
        <f t="shared" si="53"/>
        <v>Bogey</v>
      </c>
      <c r="O811" cm="1">
        <f t="array" ref="O811">IFERROR(
  INDEX('Putt Log'!$E$2:$V$72,
    MATCH(1,
      ('Putt Log'!$A$2:$A$72=$A811)*
      ('Putt Log'!$B$2:$B$72=$B811)*
      ('Putt Log'!$C$2:$C$72=$C811),
    0),
    MATCH($G811,'Putt Log'!$E$1:$V$1,0)
  ),
"")</f>
        <v>2</v>
      </c>
      <c r="P811" cm="1">
        <f t="array" ref="P811">IF(K811=3,"",
  IFERROR(
    INDEX('Fairway Log'!$E$2:$V$72,
      MATCH(1,
        ('Fairway Log'!$A$2:$A$72=$A811)*
        ('Fairway Log'!$B$2:$B$72=$B811)*
        ('Fairway Log'!$C$2:$C882=$C811),
      0),
      MATCH($G811,'Fairway Log'!$E$1:$V$1,0)
    ),
  "")
)</f>
        <v>1</v>
      </c>
      <c r="Q811" t="str" cm="1">
        <f t="array" ref="Q811">IFERROR(
  INDEX('GIR Log'!$E$2:$V$72,
    MATCH(1,
      ('GIR Log'!$A$2:$A$72=$A811)*
      ('GIR Log'!$B$2:$B$72=$B811)*
      ('GIR Log'!$C$2:$C$72=$C811),
    0),
    MATCH($G811,'GIR Log'!$E$1:$V$1,0)
  ),
"")</f>
        <v>↓</v>
      </c>
    </row>
    <row r="812" spans="1:17" x14ac:dyDescent="0.25">
      <c r="A812" s="43" t="s">
        <v>127</v>
      </c>
      <c r="B812" s="2">
        <v>45492</v>
      </c>
      <c r="C812" s="43" t="s">
        <v>6</v>
      </c>
      <c r="D812" s="43" t="s">
        <v>75</v>
      </c>
      <c r="E812" s="43" t="s">
        <v>34</v>
      </c>
      <c r="F812">
        <v>104</v>
      </c>
      <c r="G812" t="s">
        <v>47</v>
      </c>
      <c r="H812" s="9">
        <f t="shared" si="51"/>
        <v>1</v>
      </c>
      <c r="I812" cm="1">
        <f t="array" ref="I812">IFERROR(INDEX(CourseYardages[[Hole 1]:[Hole 18]],
  MATCH(1, (CourseYardages[Course]=C812)*(CourseYardages[Tees]=E812), 0),
  MATCH(G812, CourseYardages[[#Headers],[Hole 1]:[Hole 18]], 0)
),"")</f>
        <v>489</v>
      </c>
      <c r="J812" cm="1">
        <f t="array" ref="J812">IFERROR(INDEX(CourseHandicap[[Hole 1]:[Hole 18]],
  MATCH(1, (CourseHandicap[Course]=C812)*(CourseHandicap[Tees]=E812), 0),
  MATCH(G812, CourseHandicap[[#Headers],[Hole 1]:[Hole 18]], 0)
),"")</f>
        <v>6</v>
      </c>
      <c r="K812" cm="1">
        <f t="array" ref="K812">IFERROR(INDEX(CourseRatings[[Hole 1]:[Hole 18]],
  MATCH(1, (CourseRatings[Course]=C812)*(CourseRatings[Tees]=E812), 0),
  MATCH(G812, CourseRatings[[#Headers],[Hole 1]:[Hole 18]], 0)
),"")</f>
        <v>5</v>
      </c>
      <c r="L812" cm="1">
        <f t="array" ref="L812">IFERROR(
  INDEX('Golf Log'!$E$2:$V$72,
    MATCH(1,
      ('Golf Log'!$A$2:$A$72=$A812)*
      ('Golf Log'!$B$2:$B$72=$B812)*
      ('Golf Log'!$C$2:$C$72=$C812),
    0),
    MATCH($G812,'Golf Log'!$E$1:$V$1,0)
  ),
"")</f>
        <v>8</v>
      </c>
      <c r="M812">
        <f t="shared" si="52"/>
        <v>3</v>
      </c>
      <c r="N812" t="str">
        <f t="shared" si="53"/>
        <v>Triple Bogey</v>
      </c>
      <c r="O812" cm="1">
        <f t="array" ref="O812">IFERROR(
  INDEX('Putt Log'!$E$2:$V$72,
    MATCH(1,
      ('Putt Log'!$A$2:$A$72=$A812)*
      ('Putt Log'!$B$2:$B$72=$B812)*
      ('Putt Log'!$C$2:$C$72=$C812),
    0),
    MATCH($G812,'Putt Log'!$E$1:$V$1,0)
  ),
"")</f>
        <v>2</v>
      </c>
      <c r="P812" cm="1">
        <f t="array" ref="P812">IF(K812=3,"",
  IFERROR(
    INDEX('Fairway Log'!$E$2:$V$72,
      MATCH(1,
        ('Fairway Log'!$A$2:$A$72=$A812)*
        ('Fairway Log'!$B$2:$B$72=$B812)*
        ('Fairway Log'!$C$2:$C883=$C812),
      0),
      MATCH($G812,'Fairway Log'!$E$1:$V$1,0)
    ),
  "")
)</f>
        <v>1</v>
      </c>
      <c r="Q812" t="str" cm="1">
        <f t="array" ref="Q812">IFERROR(
  INDEX('GIR Log'!$E$2:$V$72,
    MATCH(1,
      ('GIR Log'!$A$2:$A$72=$A812)*
      ('GIR Log'!$B$2:$B$72=$B812)*
      ('GIR Log'!$C$2:$C$72=$C812),
    0),
    MATCH($G812,'GIR Log'!$E$1:$V$1,0)
  ),
"")</f>
        <v>↑</v>
      </c>
    </row>
    <row r="813" spans="1:17" x14ac:dyDescent="0.25">
      <c r="A813" s="43" t="s">
        <v>127</v>
      </c>
      <c r="B813" s="2">
        <v>45492</v>
      </c>
      <c r="C813" s="43" t="s">
        <v>6</v>
      </c>
      <c r="D813" s="43" t="s">
        <v>75</v>
      </c>
      <c r="E813" s="43" t="s">
        <v>34</v>
      </c>
      <c r="F813">
        <v>104</v>
      </c>
      <c r="G813" t="s">
        <v>48</v>
      </c>
      <c r="H813" s="9">
        <f t="shared" si="51"/>
        <v>2</v>
      </c>
      <c r="I813" cm="1">
        <f t="array" ref="I813">IFERROR(INDEX(CourseYardages[[Hole 1]:[Hole 18]],
  MATCH(1, (CourseYardages[Course]=C813)*(CourseYardages[Tees]=E813), 0),
  MATCH(G813, CourseYardages[[#Headers],[Hole 1]:[Hole 18]], 0)
),"")</f>
        <v>372</v>
      </c>
      <c r="J813" cm="1">
        <f t="array" ref="J813">IFERROR(INDEX(CourseHandicap[[Hole 1]:[Hole 18]],
  MATCH(1, (CourseHandicap[Course]=C813)*(CourseHandicap[Tees]=E813), 0),
  MATCH(G813, CourseHandicap[[#Headers],[Hole 1]:[Hole 18]], 0)
),"")</f>
        <v>2</v>
      </c>
      <c r="K813" cm="1">
        <f t="array" ref="K813">IFERROR(INDEX(CourseRatings[[Hole 1]:[Hole 18]],
  MATCH(1, (CourseRatings[Course]=C813)*(CourseRatings[Tees]=E813), 0),
  MATCH(G813, CourseRatings[[#Headers],[Hole 1]:[Hole 18]], 0)
),"")</f>
        <v>4</v>
      </c>
      <c r="L813" cm="1">
        <f t="array" ref="L813">IFERROR(
  INDEX('Golf Log'!$E$2:$V$72,
    MATCH(1,
      ('Golf Log'!$A$2:$A$72=$A813)*
      ('Golf Log'!$B$2:$B$72=$B813)*
      ('Golf Log'!$C$2:$C$72=$C813),
    0),
    MATCH($G813,'Golf Log'!$E$1:$V$1,0)
  ),
"")</f>
        <v>6</v>
      </c>
      <c r="M813">
        <f t="shared" si="52"/>
        <v>2</v>
      </c>
      <c r="N813" t="str">
        <f t="shared" si="53"/>
        <v>Double Bogey</v>
      </c>
      <c r="O813" cm="1">
        <f t="array" ref="O813">IFERROR(
  INDEX('Putt Log'!$E$2:$V$72,
    MATCH(1,
      ('Putt Log'!$A$2:$A$72=$A813)*
      ('Putt Log'!$B$2:$B$72=$B813)*
      ('Putt Log'!$C$2:$C$72=$C813),
    0),
    MATCH($G813,'Putt Log'!$E$1:$V$1,0)
  ),
"")</f>
        <v>2</v>
      </c>
      <c r="P813" t="str" cm="1">
        <f t="array" ref="P813">IF(K813=3,"",
  IFERROR(
    INDEX('Fairway Log'!$E$2:$V$72,
      MATCH(1,
        ('Fairway Log'!$A$2:$A$72=$A813)*
        ('Fairway Log'!$B$2:$B$72=$B813)*
        ('Fairway Log'!$C$2:$C884=$C813),
      0),
      MATCH($G813,'Fairway Log'!$E$1:$V$1,0)
    ),
  "")
)</f>
        <v>↓</v>
      </c>
      <c r="Q813" t="str" cm="1">
        <f t="array" ref="Q813">IFERROR(
  INDEX('GIR Log'!$E$2:$V$72,
    MATCH(1,
      ('GIR Log'!$A$2:$A$72=$A813)*
      ('GIR Log'!$B$2:$B$72=$B813)*
      ('GIR Log'!$C$2:$C$72=$C813),
    0),
    MATCH($G813,'GIR Log'!$E$1:$V$1,0)
  ),
"")</f>
        <v>→</v>
      </c>
    </row>
    <row r="814" spans="1:17" x14ac:dyDescent="0.25">
      <c r="A814" s="43" t="s">
        <v>127</v>
      </c>
      <c r="B814" s="2">
        <v>45492</v>
      </c>
      <c r="C814" s="43" t="s">
        <v>6</v>
      </c>
      <c r="D814" s="43" t="s">
        <v>75</v>
      </c>
      <c r="E814" s="43" t="s">
        <v>34</v>
      </c>
      <c r="F814">
        <v>104</v>
      </c>
      <c r="G814" t="s">
        <v>49</v>
      </c>
      <c r="H814" s="9">
        <f t="shared" si="51"/>
        <v>3</v>
      </c>
      <c r="I814" cm="1">
        <f t="array" ref="I814">IFERROR(INDEX(CourseYardages[[Hole 1]:[Hole 18]],
  MATCH(1, (CourseYardages[Course]=C814)*(CourseYardages[Tees]=E814), 0),
  MATCH(G814, CourseYardages[[#Headers],[Hole 1]:[Hole 18]], 0)
),"")</f>
        <v>180</v>
      </c>
      <c r="J814" cm="1">
        <f t="array" ref="J814">IFERROR(INDEX(CourseHandicap[[Hole 1]:[Hole 18]],
  MATCH(1, (CourseHandicap[Course]=C814)*(CourseHandicap[Tees]=E814), 0),
  MATCH(G814, CourseHandicap[[#Headers],[Hole 1]:[Hole 18]], 0)
),"")</f>
        <v>14</v>
      </c>
      <c r="K814" cm="1">
        <f t="array" ref="K814">IFERROR(INDEX(CourseRatings[[Hole 1]:[Hole 18]],
  MATCH(1, (CourseRatings[Course]=C814)*(CourseRatings[Tees]=E814), 0),
  MATCH(G814, CourseRatings[[#Headers],[Hole 1]:[Hole 18]], 0)
),"")</f>
        <v>3</v>
      </c>
      <c r="L814" cm="1">
        <f t="array" ref="L814">IFERROR(
  INDEX('Golf Log'!$E$2:$V$72,
    MATCH(1,
      ('Golf Log'!$A$2:$A$72=$A814)*
      ('Golf Log'!$B$2:$B$72=$B814)*
      ('Golf Log'!$C$2:$C$72=$C814),
    0),
    MATCH($G814,'Golf Log'!$E$1:$V$1,0)
  ),
"")</f>
        <v>6</v>
      </c>
      <c r="M814">
        <f t="shared" si="52"/>
        <v>3</v>
      </c>
      <c r="N814" t="str">
        <f t="shared" si="53"/>
        <v>Triple Bogey</v>
      </c>
      <c r="O814" cm="1">
        <f t="array" ref="O814">IFERROR(
  INDEX('Putt Log'!$E$2:$V$72,
    MATCH(1,
      ('Putt Log'!$A$2:$A$72=$A814)*
      ('Putt Log'!$B$2:$B$72=$B814)*
      ('Putt Log'!$C$2:$C$72=$C814),
    0),
    MATCH($G814,'Putt Log'!$E$1:$V$1,0)
  ),
"")</f>
        <v>3</v>
      </c>
      <c r="P814" t="str" cm="1">
        <f t="array" ref="P814">IF(K814=3,"",
  IFERROR(
    INDEX('Fairway Log'!$E$2:$V$72,
      MATCH(1,
        ('Fairway Log'!$A$2:$A$72=$A814)*
        ('Fairway Log'!$B$2:$B$72=$B814)*
        ('Fairway Log'!$C$2:$C885=$C814),
      0),
      MATCH($G814,'Fairway Log'!$E$1:$V$1,0)
    ),
  "")
)</f>
        <v/>
      </c>
      <c r="Q814" t="str" cm="1">
        <f t="array" ref="Q814">IFERROR(
  INDEX('GIR Log'!$E$2:$V$72,
    MATCH(1,
      ('GIR Log'!$A$2:$A$72=$A814)*
      ('GIR Log'!$B$2:$B$72=$B814)*
      ('GIR Log'!$C$2:$C$72=$C814),
    0),
    MATCH($G814,'GIR Log'!$E$1:$V$1,0)
  ),
"")</f>
        <v>→</v>
      </c>
    </row>
    <row r="815" spans="1:17" x14ac:dyDescent="0.25">
      <c r="A815" s="43" t="s">
        <v>127</v>
      </c>
      <c r="B815" s="2">
        <v>45492</v>
      </c>
      <c r="C815" s="43" t="s">
        <v>6</v>
      </c>
      <c r="D815" s="43" t="s">
        <v>75</v>
      </c>
      <c r="E815" s="43" t="s">
        <v>34</v>
      </c>
      <c r="F815">
        <v>104</v>
      </c>
      <c r="G815" t="s">
        <v>50</v>
      </c>
      <c r="H815" s="9">
        <f t="shared" si="51"/>
        <v>4</v>
      </c>
      <c r="I815" cm="1">
        <f t="array" ref="I815">IFERROR(INDEX(CourseYardages[[Hole 1]:[Hole 18]],
  MATCH(1, (CourseYardages[Course]=C815)*(CourseYardages[Tees]=E815), 0),
  MATCH(G815, CourseYardages[[#Headers],[Hole 1]:[Hole 18]], 0)
),"")</f>
        <v>497</v>
      </c>
      <c r="J815" cm="1">
        <f t="array" ref="J815">IFERROR(INDEX(CourseHandicap[[Hole 1]:[Hole 18]],
  MATCH(1, (CourseHandicap[Course]=C815)*(CourseHandicap[Tees]=E815), 0),
  MATCH(G815, CourseHandicap[[#Headers],[Hole 1]:[Hole 18]], 0)
),"")</f>
        <v>8</v>
      </c>
      <c r="K815" cm="1">
        <f t="array" ref="K815">IFERROR(INDEX(CourseRatings[[Hole 1]:[Hole 18]],
  MATCH(1, (CourseRatings[Course]=C815)*(CourseRatings[Tees]=E815), 0),
  MATCH(G815, CourseRatings[[#Headers],[Hole 1]:[Hole 18]], 0)
),"")</f>
        <v>5</v>
      </c>
      <c r="L815" cm="1">
        <f t="array" ref="L815">IFERROR(
  INDEX('Golf Log'!$E$2:$V$72,
    MATCH(1,
      ('Golf Log'!$A$2:$A$72=$A815)*
      ('Golf Log'!$B$2:$B$72=$B815)*
      ('Golf Log'!$C$2:$C$72=$C815),
    0),
    MATCH($G815,'Golf Log'!$E$1:$V$1,0)
  ),
"")</f>
        <v>6</v>
      </c>
      <c r="M815">
        <f t="shared" si="52"/>
        <v>1</v>
      </c>
      <c r="N815" t="str">
        <f t="shared" si="53"/>
        <v>Bogey</v>
      </c>
      <c r="O815" cm="1">
        <f t="array" ref="O815">IFERROR(
  INDEX('Putt Log'!$E$2:$V$72,
    MATCH(1,
      ('Putt Log'!$A$2:$A$72=$A815)*
      ('Putt Log'!$B$2:$B$72=$B815)*
      ('Putt Log'!$C$2:$C$72=$C815),
    0),
    MATCH($G815,'Putt Log'!$E$1:$V$1,0)
  ),
"")</f>
        <v>2</v>
      </c>
      <c r="P815" t="str" cm="1">
        <f t="array" ref="P815">IF(K815=3,"",
  IFERROR(
    INDEX('Fairway Log'!$E$2:$V$72,
      MATCH(1,
        ('Fairway Log'!$A$2:$A$72=$A815)*
        ('Fairway Log'!$B$2:$B$72=$B815)*
        ('Fairway Log'!$C$2:$C886=$C815),
      0),
      MATCH($G815,'Fairway Log'!$E$1:$V$1,0)
    ),
  "")
)</f>
        <v>→</v>
      </c>
      <c r="Q815" t="str" cm="1">
        <f t="array" ref="Q815">IFERROR(
  INDEX('GIR Log'!$E$2:$V$72,
    MATCH(1,
      ('GIR Log'!$A$2:$A$72=$A815)*
      ('GIR Log'!$B$2:$B$72=$B815)*
      ('GIR Log'!$C$2:$C$72=$C815),
    0),
    MATCH($G815,'GIR Log'!$E$1:$V$1,0)
  ),
"")</f>
        <v>↓</v>
      </c>
    </row>
    <row r="816" spans="1:17" x14ac:dyDescent="0.25">
      <c r="A816" s="43" t="s">
        <v>127</v>
      </c>
      <c r="B816" s="2">
        <v>45492</v>
      </c>
      <c r="C816" s="43" t="s">
        <v>6</v>
      </c>
      <c r="D816" s="43" t="s">
        <v>75</v>
      </c>
      <c r="E816" s="43" t="s">
        <v>34</v>
      </c>
      <c r="F816">
        <v>104</v>
      </c>
      <c r="G816" t="s">
        <v>51</v>
      </c>
      <c r="H816" s="9">
        <f t="shared" si="51"/>
        <v>5</v>
      </c>
      <c r="I816" cm="1">
        <f t="array" ref="I816">IFERROR(INDEX(CourseYardages[[Hole 1]:[Hole 18]],
  MATCH(1, (CourseYardages[Course]=C816)*(CourseYardages[Tees]=E816), 0),
  MATCH(G816, CourseYardages[[#Headers],[Hole 1]:[Hole 18]], 0)
),"")</f>
        <v>149</v>
      </c>
      <c r="J816" cm="1">
        <f t="array" ref="J816">IFERROR(INDEX(CourseHandicap[[Hole 1]:[Hole 18]],
  MATCH(1, (CourseHandicap[Course]=C816)*(CourseHandicap[Tees]=E816), 0),
  MATCH(G816, CourseHandicap[[#Headers],[Hole 1]:[Hole 18]], 0)
),"")</f>
        <v>16</v>
      </c>
      <c r="K816" cm="1">
        <f t="array" ref="K816">IFERROR(INDEX(CourseRatings[[Hole 1]:[Hole 18]],
  MATCH(1, (CourseRatings[Course]=C816)*(CourseRatings[Tees]=E816), 0),
  MATCH(G816, CourseRatings[[#Headers],[Hole 1]:[Hole 18]], 0)
),"")</f>
        <v>3</v>
      </c>
      <c r="L816" cm="1">
        <f t="array" ref="L816">IFERROR(
  INDEX('Golf Log'!$E$2:$V$72,
    MATCH(1,
      ('Golf Log'!$A$2:$A$72=$A816)*
      ('Golf Log'!$B$2:$B$72=$B816)*
      ('Golf Log'!$C$2:$C$72=$C816),
    0),
    MATCH($G816,'Golf Log'!$E$1:$V$1,0)
  ),
"")</f>
        <v>6</v>
      </c>
      <c r="M816">
        <f t="shared" si="52"/>
        <v>3</v>
      </c>
      <c r="N816" t="str">
        <f t="shared" si="53"/>
        <v>Triple Bogey</v>
      </c>
      <c r="O816" cm="1">
        <f t="array" ref="O816">IFERROR(
  INDEX('Putt Log'!$E$2:$V$72,
    MATCH(1,
      ('Putt Log'!$A$2:$A$72=$A816)*
      ('Putt Log'!$B$2:$B$72=$B816)*
      ('Putt Log'!$C$2:$C$72=$C816),
    0),
    MATCH($G816,'Putt Log'!$E$1:$V$1,0)
  ),
"")</f>
        <v>2</v>
      </c>
      <c r="P816" t="str" cm="1">
        <f t="array" ref="P816">IF(K816=3,"",
  IFERROR(
    INDEX('Fairway Log'!$E$2:$V$72,
      MATCH(1,
        ('Fairway Log'!$A$2:$A$72=$A816)*
        ('Fairway Log'!$B$2:$B$72=$B816)*
        ('Fairway Log'!$C$2:$C887=$C816),
      0),
      MATCH($G816,'Fairway Log'!$E$1:$V$1,0)
    ),
  "")
)</f>
        <v/>
      </c>
      <c r="Q816" t="str" cm="1">
        <f t="array" ref="Q816">IFERROR(
  INDEX('GIR Log'!$E$2:$V$72,
    MATCH(1,
      ('GIR Log'!$A$2:$A$72=$A816)*
      ('GIR Log'!$B$2:$B$72=$B816)*
      ('GIR Log'!$C$2:$C$72=$C816),
    0),
    MATCH($G816,'GIR Log'!$E$1:$V$1,0)
  ),
"")</f>
        <v>→</v>
      </c>
    </row>
    <row r="817" spans="1:17" x14ac:dyDescent="0.25">
      <c r="A817" s="43" t="s">
        <v>127</v>
      </c>
      <c r="B817" s="2">
        <v>45492</v>
      </c>
      <c r="C817" s="43" t="s">
        <v>6</v>
      </c>
      <c r="D817" s="43" t="s">
        <v>75</v>
      </c>
      <c r="E817" s="43" t="s">
        <v>34</v>
      </c>
      <c r="F817">
        <v>104</v>
      </c>
      <c r="G817" t="s">
        <v>52</v>
      </c>
      <c r="H817" s="9">
        <f t="shared" si="51"/>
        <v>6</v>
      </c>
      <c r="I817" cm="1">
        <f t="array" ref="I817">IFERROR(INDEX(CourseYardages[[Hole 1]:[Hole 18]],
  MATCH(1, (CourseYardages[Course]=C817)*(CourseYardages[Tees]=E817), 0),
  MATCH(G817, CourseYardages[[#Headers],[Hole 1]:[Hole 18]], 0)
),"")</f>
        <v>386</v>
      </c>
      <c r="J817" cm="1">
        <f t="array" ref="J817">IFERROR(INDEX(CourseHandicap[[Hole 1]:[Hole 18]],
  MATCH(1, (CourseHandicap[Course]=C817)*(CourseHandicap[Tees]=E817), 0),
  MATCH(G817, CourseHandicap[[#Headers],[Hole 1]:[Hole 18]], 0)
),"")</f>
        <v>4</v>
      </c>
      <c r="K817" cm="1">
        <f t="array" ref="K817">IFERROR(INDEX(CourseRatings[[Hole 1]:[Hole 18]],
  MATCH(1, (CourseRatings[Course]=C817)*(CourseRatings[Tees]=E817), 0),
  MATCH(G817, CourseRatings[[#Headers],[Hole 1]:[Hole 18]], 0)
),"")</f>
        <v>4</v>
      </c>
      <c r="L817" cm="1">
        <f t="array" ref="L817">IFERROR(
  INDEX('Golf Log'!$E$2:$V$72,
    MATCH(1,
      ('Golf Log'!$A$2:$A$72=$A817)*
      ('Golf Log'!$B$2:$B$72=$B817)*
      ('Golf Log'!$C$2:$C$72=$C817),
    0),
    MATCH($G817,'Golf Log'!$E$1:$V$1,0)
  ),
"")</f>
        <v>5</v>
      </c>
      <c r="M817">
        <f t="shared" si="52"/>
        <v>1</v>
      </c>
      <c r="N817" t="str">
        <f t="shared" si="53"/>
        <v>Bogey</v>
      </c>
      <c r="O817" cm="1">
        <f t="array" ref="O817">IFERROR(
  INDEX('Putt Log'!$E$2:$V$72,
    MATCH(1,
      ('Putt Log'!$A$2:$A$72=$A817)*
      ('Putt Log'!$B$2:$B$72=$B817)*
      ('Putt Log'!$C$2:$C$72=$C817),
    0),
    MATCH($G817,'Putt Log'!$E$1:$V$1,0)
  ),
"")</f>
        <v>2</v>
      </c>
      <c r="P817" cm="1">
        <f t="array" ref="P817">IF(K817=3,"",
  IFERROR(
    INDEX('Fairway Log'!$E$2:$V$72,
      MATCH(1,
        ('Fairway Log'!$A$2:$A$72=$A817)*
        ('Fairway Log'!$B$2:$B$72=$B817)*
        ('Fairway Log'!$C$2:$C888=$C817),
      0),
      MATCH($G817,'Fairway Log'!$E$1:$V$1,0)
    ),
  "")
)</f>
        <v>1</v>
      </c>
      <c r="Q817" t="str" cm="1">
        <f t="array" ref="Q817">IFERROR(
  INDEX('GIR Log'!$E$2:$V$72,
    MATCH(1,
      ('GIR Log'!$A$2:$A$72=$A817)*
      ('GIR Log'!$B$2:$B$72=$B817)*
      ('GIR Log'!$C$2:$C$72=$C817),
    0),
    MATCH($G817,'GIR Log'!$E$1:$V$1,0)
  ),
"")</f>
        <v>↓</v>
      </c>
    </row>
    <row r="818" spans="1:17" x14ac:dyDescent="0.25">
      <c r="A818" s="43" t="s">
        <v>127</v>
      </c>
      <c r="B818" s="2">
        <v>45492</v>
      </c>
      <c r="C818" s="43" t="s">
        <v>6</v>
      </c>
      <c r="D818" s="43" t="s">
        <v>75</v>
      </c>
      <c r="E818" s="43" t="s">
        <v>34</v>
      </c>
      <c r="F818">
        <v>104</v>
      </c>
      <c r="G818" t="s">
        <v>53</v>
      </c>
      <c r="H818" s="9">
        <f t="shared" si="51"/>
        <v>7</v>
      </c>
      <c r="I818" cm="1">
        <f t="array" ref="I818">IFERROR(INDEX(CourseYardages[[Hole 1]:[Hole 18]],
  MATCH(1, (CourseYardages[Course]=C818)*(CourseYardages[Tees]=E818), 0),
  MATCH(G818, CourseYardages[[#Headers],[Hole 1]:[Hole 18]], 0)
),"")</f>
        <v>369</v>
      </c>
      <c r="J818" cm="1">
        <f t="array" ref="J818">IFERROR(INDEX(CourseHandicap[[Hole 1]:[Hole 18]],
  MATCH(1, (CourseHandicap[Course]=C818)*(CourseHandicap[Tees]=E818), 0),
  MATCH(G818, CourseHandicap[[#Headers],[Hole 1]:[Hole 18]], 0)
),"")</f>
        <v>10</v>
      </c>
      <c r="K818" cm="1">
        <f t="array" ref="K818">IFERROR(INDEX(CourseRatings[[Hole 1]:[Hole 18]],
  MATCH(1, (CourseRatings[Course]=C818)*(CourseRatings[Tees]=E818), 0),
  MATCH(G818, CourseRatings[[#Headers],[Hole 1]:[Hole 18]], 0)
),"")</f>
        <v>4</v>
      </c>
      <c r="L818" cm="1">
        <f t="array" ref="L818">IFERROR(
  INDEX('Golf Log'!$E$2:$V$72,
    MATCH(1,
      ('Golf Log'!$A$2:$A$72=$A818)*
      ('Golf Log'!$B$2:$B$72=$B818)*
      ('Golf Log'!$C$2:$C$72=$C818),
    0),
    MATCH($G818,'Golf Log'!$E$1:$V$1,0)
  ),
"")</f>
        <v>8</v>
      </c>
      <c r="M818">
        <f t="shared" si="52"/>
        <v>4</v>
      </c>
      <c r="N818" t="str">
        <f t="shared" si="53"/>
        <v>Quad Bogey+</v>
      </c>
      <c r="O818" cm="1">
        <f t="array" ref="O818">IFERROR(
  INDEX('Putt Log'!$E$2:$V$72,
    MATCH(1,
      ('Putt Log'!$A$2:$A$72=$A818)*
      ('Putt Log'!$B$2:$B$72=$B818)*
      ('Putt Log'!$C$2:$C$72=$C818),
    0),
    MATCH($G818,'Putt Log'!$E$1:$V$1,0)
  ),
"")</f>
        <v>3</v>
      </c>
      <c r="P818" t="str" cm="1">
        <f t="array" ref="P818">IF(K818=3,"",
  IFERROR(
    INDEX('Fairway Log'!$E$2:$V$72,
      MATCH(1,
        ('Fairway Log'!$A$2:$A$72=$A818)*
        ('Fairway Log'!$B$2:$B$72=$B818)*
        ('Fairway Log'!$C$2:$C889=$C818),
      0),
      MATCH($G818,'Fairway Log'!$E$1:$V$1,0)
    ),
  "")
)</f>
        <v>→</v>
      </c>
      <c r="Q818" t="str" cm="1">
        <f t="array" ref="Q818">IFERROR(
  INDEX('GIR Log'!$E$2:$V$72,
    MATCH(1,
      ('GIR Log'!$A$2:$A$72=$A818)*
      ('GIR Log'!$B$2:$B$72=$B818)*
      ('GIR Log'!$C$2:$C$72=$C818),
    0),
    MATCH($G818,'GIR Log'!$E$1:$V$1,0)
  ),
"")</f>
        <v>↓</v>
      </c>
    </row>
    <row r="819" spans="1:17" x14ac:dyDescent="0.25">
      <c r="A819" s="43" t="s">
        <v>127</v>
      </c>
      <c r="B819" s="2">
        <v>45492</v>
      </c>
      <c r="C819" s="43" t="s">
        <v>6</v>
      </c>
      <c r="D819" s="43" t="s">
        <v>75</v>
      </c>
      <c r="E819" s="43" t="s">
        <v>34</v>
      </c>
      <c r="F819">
        <v>104</v>
      </c>
      <c r="G819" t="s">
        <v>54</v>
      </c>
      <c r="H819" s="9">
        <f t="shared" si="51"/>
        <v>8</v>
      </c>
      <c r="I819" cm="1">
        <f t="array" ref="I819">IFERROR(INDEX(CourseYardages[[Hole 1]:[Hole 18]],
  MATCH(1, (CourseYardages[Course]=C819)*(CourseYardages[Tees]=E819), 0),
  MATCH(G819, CourseYardages[[#Headers],[Hole 1]:[Hole 18]], 0)
),"")</f>
        <v>304</v>
      </c>
      <c r="J819" cm="1">
        <f t="array" ref="J819">IFERROR(INDEX(CourseHandicap[[Hole 1]:[Hole 18]],
  MATCH(1, (CourseHandicap[Course]=C819)*(CourseHandicap[Tees]=E819), 0),
  MATCH(G819, CourseHandicap[[#Headers],[Hole 1]:[Hole 18]], 0)
),"")</f>
        <v>18</v>
      </c>
      <c r="K819" cm="1">
        <f t="array" ref="K819">IFERROR(INDEX(CourseRatings[[Hole 1]:[Hole 18]],
  MATCH(1, (CourseRatings[Course]=C819)*(CourseRatings[Tees]=E819), 0),
  MATCH(G819, CourseRatings[[#Headers],[Hole 1]:[Hole 18]], 0)
),"")</f>
        <v>4</v>
      </c>
      <c r="L819" cm="1">
        <f t="array" ref="L819">IFERROR(
  INDEX('Golf Log'!$E$2:$V$72,
    MATCH(1,
      ('Golf Log'!$A$2:$A$72=$A819)*
      ('Golf Log'!$B$2:$B$72=$B819)*
      ('Golf Log'!$C$2:$C$72=$C819),
    0),
    MATCH($G819,'Golf Log'!$E$1:$V$1,0)
  ),
"")</f>
        <v>6</v>
      </c>
      <c r="M819">
        <f t="shared" si="52"/>
        <v>2</v>
      </c>
      <c r="N819" t="str">
        <f t="shared" si="53"/>
        <v>Double Bogey</v>
      </c>
      <c r="O819" cm="1">
        <f t="array" ref="O819">IFERROR(
  INDEX('Putt Log'!$E$2:$V$72,
    MATCH(1,
      ('Putt Log'!$A$2:$A$72=$A819)*
      ('Putt Log'!$B$2:$B$72=$B819)*
      ('Putt Log'!$C$2:$C$72=$C819),
    0),
    MATCH($G819,'Putt Log'!$E$1:$V$1,0)
  ),
"")</f>
        <v>2</v>
      </c>
      <c r="P819" t="str" cm="1">
        <f t="array" ref="P819">IF(K819=3,"",
  IFERROR(
    INDEX('Fairway Log'!$E$2:$V$72,
      MATCH(1,
        ('Fairway Log'!$A$2:$A$72=$A819)*
        ('Fairway Log'!$B$2:$B$72=$B819)*
        ('Fairway Log'!$C$2:$C890=$C819),
      0),
      MATCH($G819,'Fairway Log'!$E$1:$V$1,0)
    ),
  "")
)</f>
        <v>↓</v>
      </c>
      <c r="Q819" t="str" cm="1">
        <f t="array" ref="Q819">IFERROR(
  INDEX('GIR Log'!$E$2:$V$72,
    MATCH(1,
      ('GIR Log'!$A$2:$A$72=$A819)*
      ('GIR Log'!$B$2:$B$72=$B819)*
      ('GIR Log'!$C$2:$C$72=$C819),
    0),
    MATCH($G819,'GIR Log'!$E$1:$V$1,0)
  ),
"")</f>
        <v>↓</v>
      </c>
    </row>
    <row r="820" spans="1:17" x14ac:dyDescent="0.25">
      <c r="A820" s="43" t="s">
        <v>127</v>
      </c>
      <c r="B820" s="2">
        <v>45492</v>
      </c>
      <c r="C820" s="43" t="s">
        <v>6</v>
      </c>
      <c r="D820" s="43" t="s">
        <v>75</v>
      </c>
      <c r="E820" s="43" t="s">
        <v>34</v>
      </c>
      <c r="F820">
        <v>104</v>
      </c>
      <c r="G820" t="s">
        <v>55</v>
      </c>
      <c r="H820" s="9">
        <f t="shared" si="51"/>
        <v>9</v>
      </c>
      <c r="I820" cm="1">
        <f t="array" ref="I820">IFERROR(INDEX(CourseYardages[[Hole 1]:[Hole 18]],
  MATCH(1, (CourseYardages[Course]=C820)*(CourseYardages[Tees]=E820), 0),
  MATCH(G820, CourseYardages[[#Headers],[Hole 1]:[Hole 18]], 0)
),"")</f>
        <v>338</v>
      </c>
      <c r="J820" cm="1">
        <f t="array" ref="J820">IFERROR(INDEX(CourseHandicap[[Hole 1]:[Hole 18]],
  MATCH(1, (CourseHandicap[Course]=C820)*(CourseHandicap[Tees]=E820), 0),
  MATCH(G820, CourseHandicap[[#Headers],[Hole 1]:[Hole 18]], 0)
),"")</f>
        <v>12</v>
      </c>
      <c r="K820" cm="1">
        <f t="array" ref="K820">IFERROR(INDEX(CourseRatings[[Hole 1]:[Hole 18]],
  MATCH(1, (CourseRatings[Course]=C820)*(CourseRatings[Tees]=E820), 0),
  MATCH(G820, CourseRatings[[#Headers],[Hole 1]:[Hole 18]], 0)
),"")</f>
        <v>4</v>
      </c>
      <c r="L820" cm="1">
        <f t="array" ref="L820">IFERROR(
  INDEX('Golf Log'!$E$2:$V$72,
    MATCH(1,
      ('Golf Log'!$A$2:$A$72=$A820)*
      ('Golf Log'!$B$2:$B$72=$B820)*
      ('Golf Log'!$C$2:$C$72=$C820),
    0),
    MATCH($G820,'Golf Log'!$E$1:$V$1,0)
  ),
"")</f>
        <v>6</v>
      </c>
      <c r="M820">
        <f t="shared" si="52"/>
        <v>2</v>
      </c>
      <c r="N820" t="str">
        <f t="shared" si="53"/>
        <v>Double Bogey</v>
      </c>
      <c r="O820" cm="1">
        <f t="array" ref="O820">IFERROR(
  INDEX('Putt Log'!$E$2:$V$72,
    MATCH(1,
      ('Putt Log'!$A$2:$A$72=$A820)*
      ('Putt Log'!$B$2:$B$72=$B820)*
      ('Putt Log'!$C$2:$C$72=$C820),
    0),
    MATCH($G820,'Putt Log'!$E$1:$V$1,0)
  ),
"")</f>
        <v>2</v>
      </c>
      <c r="P820" t="str" cm="1">
        <f t="array" ref="P820">IF(K820=3,"",
  IFERROR(
    INDEX('Fairway Log'!$E$2:$V$72,
      MATCH(1,
        ('Fairway Log'!$A$2:$A$72=$A820)*
        ('Fairway Log'!$B$2:$B$72=$B820)*
        ('Fairway Log'!$C$2:$C891=$C820),
      0),
      MATCH($G820,'Fairway Log'!$E$1:$V$1,0)
    ),
  "")
)</f>
        <v>↓</v>
      </c>
      <c r="Q820" t="str" cm="1">
        <f t="array" ref="Q820">IFERROR(
  INDEX('GIR Log'!$E$2:$V$72,
    MATCH(1,
      ('GIR Log'!$A$2:$A$72=$A820)*
      ('GIR Log'!$B$2:$B$72=$B820)*
      ('GIR Log'!$C$2:$C$72=$C820),
    0),
    MATCH($G820,'GIR Log'!$E$1:$V$1,0)
  ),
"")</f>
        <v>↓</v>
      </c>
    </row>
    <row r="821" spans="1:17" x14ac:dyDescent="0.25">
      <c r="A821" s="43" t="s">
        <v>127</v>
      </c>
      <c r="B821" s="2">
        <v>45492</v>
      </c>
      <c r="C821" s="43" t="s">
        <v>6</v>
      </c>
      <c r="D821" s="43" t="s">
        <v>75</v>
      </c>
      <c r="E821" s="43" t="s">
        <v>34</v>
      </c>
      <c r="F821">
        <v>104</v>
      </c>
      <c r="G821" t="s">
        <v>56</v>
      </c>
      <c r="H821" s="9">
        <f t="shared" si="51"/>
        <v>10</v>
      </c>
      <c r="I821" cm="1">
        <f t="array" ref="I821">IFERROR(INDEX(CourseYardages[[Hole 1]:[Hole 18]],
  MATCH(1, (CourseYardages[Course]=C821)*(CourseYardages[Tees]=E821), 0),
  MATCH(G821, CourseYardages[[#Headers],[Hole 1]:[Hole 18]], 0)
),"")</f>
        <v>357</v>
      </c>
      <c r="J821" cm="1">
        <f t="array" ref="J821">IFERROR(INDEX(CourseHandicap[[Hole 1]:[Hole 18]],
  MATCH(1, (CourseHandicap[Course]=C821)*(CourseHandicap[Tees]=E821), 0),
  MATCH(G821, CourseHandicap[[#Headers],[Hole 1]:[Hole 18]], 0)
),"")</f>
        <v>13</v>
      </c>
      <c r="K821" cm="1">
        <f t="array" ref="K821">IFERROR(INDEX(CourseRatings[[Hole 1]:[Hole 18]],
  MATCH(1, (CourseRatings[Course]=C821)*(CourseRatings[Tees]=E821), 0),
  MATCH(G821, CourseRatings[[#Headers],[Hole 1]:[Hole 18]], 0)
),"")</f>
        <v>4</v>
      </c>
      <c r="L821" cm="1">
        <f t="array" ref="L821">IFERROR(
  INDEX('Golf Log'!$E$2:$V$72,
    MATCH(1,
      ('Golf Log'!$A$2:$A$72=$A821)*
      ('Golf Log'!$B$2:$B$72=$B821)*
      ('Golf Log'!$C$2:$C$72=$C821),
    0),
    MATCH($G821,'Golf Log'!$E$1:$V$1,0)
  ),
"")</f>
        <v>6</v>
      </c>
      <c r="M821">
        <f t="shared" si="52"/>
        <v>2</v>
      </c>
      <c r="N821" t="str">
        <f t="shared" si="53"/>
        <v>Double Bogey</v>
      </c>
      <c r="O821" cm="1">
        <f t="array" ref="O821">IFERROR(
  INDEX('Putt Log'!$E$2:$V$72,
    MATCH(1,
      ('Putt Log'!$A$2:$A$72=$A821)*
      ('Putt Log'!$B$2:$B$72=$B821)*
      ('Putt Log'!$C$2:$C$72=$C821),
    0),
    MATCH($G821,'Putt Log'!$E$1:$V$1,0)
  ),
"")</f>
        <v>2</v>
      </c>
      <c r="P821" t="str" cm="1">
        <f t="array" ref="P821">IF(K821=3,"",
  IFERROR(
    INDEX('Fairway Log'!$E$2:$V$72,
      MATCH(1,
        ('Fairway Log'!$A$2:$A$72=$A821)*
        ('Fairway Log'!$B$2:$B$72=$B821)*
        ('Fairway Log'!$C$2:$C892=$C821),
      0),
      MATCH($G821,'Fairway Log'!$E$1:$V$1,0)
    ),
  "")
)</f>
        <v>↓</v>
      </c>
      <c r="Q821" t="str" cm="1">
        <f t="array" ref="Q821">IFERROR(
  INDEX('GIR Log'!$E$2:$V$72,
    MATCH(1,
      ('GIR Log'!$A$2:$A$72=$A821)*
      ('GIR Log'!$B$2:$B$72=$B821)*
      ('GIR Log'!$C$2:$C$72=$C821),
    0),
    MATCH($G821,'GIR Log'!$E$1:$V$1,0)
  ),
"")</f>
        <v>↓</v>
      </c>
    </row>
    <row r="822" spans="1:17" x14ac:dyDescent="0.25">
      <c r="A822" s="43" t="s">
        <v>127</v>
      </c>
      <c r="B822" s="2">
        <v>45492</v>
      </c>
      <c r="C822" s="43" t="s">
        <v>6</v>
      </c>
      <c r="D822" s="43" t="s">
        <v>75</v>
      </c>
      <c r="E822" s="43" t="s">
        <v>34</v>
      </c>
      <c r="F822">
        <v>104</v>
      </c>
      <c r="G822" t="s">
        <v>57</v>
      </c>
      <c r="H822" s="9">
        <f t="shared" ref="H822:H829" si="54">VALUE(RIGHT(G822, LEN(G822) - 5))</f>
        <v>11</v>
      </c>
      <c r="I822" cm="1">
        <f t="array" ref="I822">IFERROR(INDEX(CourseYardages[[Hole 1]:[Hole 18]],
  MATCH(1, (CourseYardages[Course]=C822)*(CourseYardages[Tees]=E822), 0),
  MATCH(G822, CourseYardages[[#Headers],[Hole 1]:[Hole 18]], 0)
),"")</f>
        <v>310</v>
      </c>
      <c r="J822" cm="1">
        <f t="array" ref="J822">IFERROR(INDEX(CourseHandicap[[Hole 1]:[Hole 18]],
  MATCH(1, (CourseHandicap[Course]=C822)*(CourseHandicap[Tees]=E822), 0),
  MATCH(G822, CourseHandicap[[#Headers],[Hole 1]:[Hole 18]], 0)
),"")</f>
        <v>11</v>
      </c>
      <c r="K822" cm="1">
        <f t="array" ref="K822">IFERROR(INDEX(CourseRatings[[Hole 1]:[Hole 18]],
  MATCH(1, (CourseRatings[Course]=C822)*(CourseRatings[Tees]=E822), 0),
  MATCH(G822, CourseRatings[[#Headers],[Hole 1]:[Hole 18]], 0)
),"")</f>
        <v>4</v>
      </c>
      <c r="L822" cm="1">
        <f t="array" ref="L822">IFERROR(
  INDEX('Golf Log'!$E$2:$V$72,
    MATCH(1,
      ('Golf Log'!$A$2:$A$72=$A822)*
      ('Golf Log'!$B$2:$B$72=$B822)*
      ('Golf Log'!$C$2:$C$72=$C822),
    0),
    MATCH($G822,'Golf Log'!$E$1:$V$1,0)
  ),
"")</f>
        <v>6</v>
      </c>
      <c r="M822">
        <f t="shared" ref="M822:M829" si="55">IFERROR(L822-K822,"")</f>
        <v>2</v>
      </c>
      <c r="N822" t="str">
        <f t="shared" ref="N822:N829" si="56">IF(M822="","",(IF(M822=-2,"Eagle",IF(M822=-1,"Birdie",IF(M822=0,"Par",IF(M822=1,"Bogey",IF(M822=2,"Double Bogey",IF(M822=3,"Triple Bogey",IF(M822&gt;3,"Quad Bogey+")))))))))</f>
        <v>Double Bogey</v>
      </c>
      <c r="O822" cm="1">
        <f t="array" ref="O822">IFERROR(
  INDEX('Putt Log'!$E$2:$V$72,
    MATCH(1,
      ('Putt Log'!$A$2:$A$72=$A822)*
      ('Putt Log'!$B$2:$B$72=$B822)*
      ('Putt Log'!$C$2:$C$72=$C822),
    0),
    MATCH($G822,'Putt Log'!$E$1:$V$1,0)
  ),
"")</f>
        <v>2</v>
      </c>
      <c r="P822" t="str" cm="1">
        <f t="array" ref="P822">IF(K822=3,"",
  IFERROR(
    INDEX('Fairway Log'!$E$2:$V$72,
      MATCH(1,
        ('Fairway Log'!$A$2:$A$72=$A822)*
        ('Fairway Log'!$B$2:$B$72=$B822)*
        ('Fairway Log'!$C$2:$C893=$C822),
      0),
      MATCH($G822,'Fairway Log'!$E$1:$V$1,0)
    ),
  "")
)</f>
        <v>→</v>
      </c>
      <c r="Q822" t="str" cm="1">
        <f t="array" ref="Q822">IFERROR(
  INDEX('GIR Log'!$E$2:$V$72,
    MATCH(1,
      ('GIR Log'!$A$2:$A$72=$A822)*
      ('GIR Log'!$B$2:$B$72=$B822)*
      ('GIR Log'!$C$2:$C$72=$C822),
    0),
    MATCH($G822,'GIR Log'!$E$1:$V$1,0)
  ),
"")</f>
        <v>↓</v>
      </c>
    </row>
    <row r="823" spans="1:17" x14ac:dyDescent="0.25">
      <c r="A823" s="43" t="s">
        <v>127</v>
      </c>
      <c r="B823" s="2">
        <v>45492</v>
      </c>
      <c r="C823" s="43" t="s">
        <v>6</v>
      </c>
      <c r="D823" s="43" t="s">
        <v>75</v>
      </c>
      <c r="E823" s="43" t="s">
        <v>34</v>
      </c>
      <c r="F823">
        <v>104</v>
      </c>
      <c r="G823" t="s">
        <v>58</v>
      </c>
      <c r="H823" s="9">
        <f t="shared" si="54"/>
        <v>12</v>
      </c>
      <c r="I823" cm="1">
        <f t="array" ref="I823">IFERROR(INDEX(CourseYardages[[Hole 1]:[Hole 18]],
  MATCH(1, (CourseYardages[Course]=C823)*(CourseYardages[Tees]=E823), 0),
  MATCH(G823, CourseYardages[[#Headers],[Hole 1]:[Hole 18]], 0)
),"")</f>
        <v>386</v>
      </c>
      <c r="J823" cm="1">
        <f t="array" ref="J823">IFERROR(INDEX(CourseHandicap[[Hole 1]:[Hole 18]],
  MATCH(1, (CourseHandicap[Course]=C823)*(CourseHandicap[Tees]=E823), 0),
  MATCH(G823, CourseHandicap[[#Headers],[Hole 1]:[Hole 18]], 0)
),"")</f>
        <v>5</v>
      </c>
      <c r="K823" cm="1">
        <f t="array" ref="K823">IFERROR(INDEX(CourseRatings[[Hole 1]:[Hole 18]],
  MATCH(1, (CourseRatings[Course]=C823)*(CourseRatings[Tees]=E823), 0),
  MATCH(G823, CourseRatings[[#Headers],[Hole 1]:[Hole 18]], 0)
),"")</f>
        <v>4</v>
      </c>
      <c r="L823" cm="1">
        <f t="array" ref="L823">IFERROR(
  INDEX('Golf Log'!$E$2:$V$72,
    MATCH(1,
      ('Golf Log'!$A$2:$A$72=$A823)*
      ('Golf Log'!$B$2:$B$72=$B823)*
      ('Golf Log'!$C$2:$C$72=$C823),
    0),
    MATCH($G823,'Golf Log'!$E$1:$V$1,0)
  ),
"")</f>
        <v>6</v>
      </c>
      <c r="M823">
        <f t="shared" si="55"/>
        <v>2</v>
      </c>
      <c r="N823" t="str">
        <f t="shared" si="56"/>
        <v>Double Bogey</v>
      </c>
      <c r="O823" cm="1">
        <f t="array" ref="O823">IFERROR(
  INDEX('Putt Log'!$E$2:$V$72,
    MATCH(1,
      ('Putt Log'!$A$2:$A$72=$A823)*
      ('Putt Log'!$B$2:$B$72=$B823)*
      ('Putt Log'!$C$2:$C$72=$C823),
    0),
    MATCH($G823,'Putt Log'!$E$1:$V$1,0)
  ),
"")</f>
        <v>1</v>
      </c>
      <c r="P823" t="str" cm="1">
        <f t="array" ref="P823">IF(K823=3,"",
  IFERROR(
    INDEX('Fairway Log'!$E$2:$V$72,
      MATCH(1,
        ('Fairway Log'!$A$2:$A$72=$A823)*
        ('Fairway Log'!$B$2:$B$72=$B823)*
        ('Fairway Log'!$C$2:$C894=$C823),
      0),
      MATCH($G823,'Fairway Log'!$E$1:$V$1,0)
    ),
  "")
)</f>
        <v>→</v>
      </c>
      <c r="Q823" t="str" cm="1">
        <f t="array" ref="Q823">IFERROR(
  INDEX('GIR Log'!$E$2:$V$72,
    MATCH(1,
      ('GIR Log'!$A$2:$A$72=$A823)*
      ('GIR Log'!$B$2:$B$72=$B823)*
      ('GIR Log'!$C$2:$C$72=$C823),
    0),
    MATCH($G823,'GIR Log'!$E$1:$V$1,0)
  ),
"")</f>
        <v>↓</v>
      </c>
    </row>
    <row r="824" spans="1:17" x14ac:dyDescent="0.25">
      <c r="A824" s="43" t="s">
        <v>127</v>
      </c>
      <c r="B824" s="2">
        <v>45492</v>
      </c>
      <c r="C824" s="43" t="s">
        <v>6</v>
      </c>
      <c r="D824" s="43" t="s">
        <v>75</v>
      </c>
      <c r="E824" s="43" t="s">
        <v>34</v>
      </c>
      <c r="F824">
        <v>104</v>
      </c>
      <c r="G824" t="s">
        <v>59</v>
      </c>
      <c r="H824" s="9">
        <f t="shared" si="54"/>
        <v>13</v>
      </c>
      <c r="I824" cm="1">
        <f t="array" ref="I824">IFERROR(INDEX(CourseYardages[[Hole 1]:[Hole 18]],
  MATCH(1, (CourseYardages[Course]=C824)*(CourseYardages[Tees]=E824), 0),
  MATCH(G824, CourseYardages[[#Headers],[Hole 1]:[Hole 18]], 0)
),"")</f>
        <v>326</v>
      </c>
      <c r="J824" cm="1">
        <f t="array" ref="J824">IFERROR(INDEX(CourseHandicap[[Hole 1]:[Hole 18]],
  MATCH(1, (CourseHandicap[Course]=C824)*(CourseHandicap[Tees]=E824), 0),
  MATCH(G824, CourseHandicap[[#Headers],[Hole 1]:[Hole 18]], 0)
),"")</f>
        <v>9</v>
      </c>
      <c r="K824" cm="1">
        <f t="array" ref="K824">IFERROR(INDEX(CourseRatings[[Hole 1]:[Hole 18]],
  MATCH(1, (CourseRatings[Course]=C824)*(CourseRatings[Tees]=E824), 0),
  MATCH(G824, CourseRatings[[#Headers],[Hole 1]:[Hole 18]], 0)
),"")</f>
        <v>4</v>
      </c>
      <c r="L824" cm="1">
        <f t="array" ref="L824">IFERROR(
  INDEX('Golf Log'!$E$2:$V$72,
    MATCH(1,
      ('Golf Log'!$A$2:$A$72=$A824)*
      ('Golf Log'!$B$2:$B$72=$B824)*
      ('Golf Log'!$C$2:$C$72=$C824),
    0),
    MATCH($G824,'Golf Log'!$E$1:$V$1,0)
  ),
"")</f>
        <v>5</v>
      </c>
      <c r="M824">
        <f t="shared" si="55"/>
        <v>1</v>
      </c>
      <c r="N824" t="str">
        <f t="shared" si="56"/>
        <v>Bogey</v>
      </c>
      <c r="O824" cm="1">
        <f t="array" ref="O824">IFERROR(
  INDEX('Putt Log'!$E$2:$V$72,
    MATCH(1,
      ('Putt Log'!$A$2:$A$72=$A824)*
      ('Putt Log'!$B$2:$B$72=$B824)*
      ('Putt Log'!$C$2:$C$72=$C824),
    0),
    MATCH($G824,'Putt Log'!$E$1:$V$1,0)
  ),
"")</f>
        <v>1</v>
      </c>
      <c r="P824" cm="1">
        <f t="array" ref="P824">IF(K824=3,"",
  IFERROR(
    INDEX('Fairway Log'!$E$2:$V$72,
      MATCH(1,
        ('Fairway Log'!$A$2:$A$72=$A824)*
        ('Fairway Log'!$B$2:$B$72=$B824)*
        ('Fairway Log'!$C$2:$C895=$C824),
      0),
      MATCH($G824,'Fairway Log'!$E$1:$V$1,0)
    ),
  "")
)</f>
        <v>1</v>
      </c>
      <c r="Q824" t="str" cm="1">
        <f t="array" ref="Q824">IFERROR(
  INDEX('GIR Log'!$E$2:$V$72,
    MATCH(1,
      ('GIR Log'!$A$2:$A$72=$A824)*
      ('GIR Log'!$B$2:$B$72=$B824)*
      ('GIR Log'!$C$2:$C$72=$C824),
    0),
    MATCH($G824,'GIR Log'!$E$1:$V$1,0)
  ),
"")</f>
        <v>↓</v>
      </c>
    </row>
    <row r="825" spans="1:17" x14ac:dyDescent="0.25">
      <c r="A825" s="43" t="s">
        <v>127</v>
      </c>
      <c r="B825" s="2">
        <v>45492</v>
      </c>
      <c r="C825" s="43" t="s">
        <v>6</v>
      </c>
      <c r="D825" s="43" t="s">
        <v>75</v>
      </c>
      <c r="E825" s="43" t="s">
        <v>34</v>
      </c>
      <c r="F825">
        <v>104</v>
      </c>
      <c r="G825" t="s">
        <v>60</v>
      </c>
      <c r="H825" s="9">
        <f t="shared" si="54"/>
        <v>14</v>
      </c>
      <c r="I825" cm="1">
        <f t="array" ref="I825">IFERROR(INDEX(CourseYardages[[Hole 1]:[Hole 18]],
  MATCH(1, (CourseYardages[Course]=C825)*(CourseYardages[Tees]=E825), 0),
  MATCH(G825, CourseYardages[[#Headers],[Hole 1]:[Hole 18]], 0)
),"")</f>
        <v>170</v>
      </c>
      <c r="J825" cm="1">
        <f t="array" ref="J825">IFERROR(INDEX(CourseHandicap[[Hole 1]:[Hole 18]],
  MATCH(1, (CourseHandicap[Course]=C825)*(CourseHandicap[Tees]=E825), 0),
  MATCH(G825, CourseHandicap[[#Headers],[Hole 1]:[Hole 18]], 0)
),"")</f>
        <v>15</v>
      </c>
      <c r="K825" cm="1">
        <f t="array" ref="K825">IFERROR(INDEX(CourseRatings[[Hole 1]:[Hole 18]],
  MATCH(1, (CourseRatings[Course]=C825)*(CourseRatings[Tees]=E825), 0),
  MATCH(G825, CourseRatings[[#Headers],[Hole 1]:[Hole 18]], 0)
),"")</f>
        <v>3</v>
      </c>
      <c r="L825" cm="1">
        <f t="array" ref="L825">IFERROR(
  INDEX('Golf Log'!$E$2:$V$72,
    MATCH(1,
      ('Golf Log'!$A$2:$A$72=$A825)*
      ('Golf Log'!$B$2:$B$72=$B825)*
      ('Golf Log'!$C$2:$C$72=$C825),
    0),
    MATCH($G825,'Golf Log'!$E$1:$V$1,0)
  ),
"")</f>
        <v>4</v>
      </c>
      <c r="M825">
        <f t="shared" si="55"/>
        <v>1</v>
      </c>
      <c r="N825" t="str">
        <f t="shared" si="56"/>
        <v>Bogey</v>
      </c>
      <c r="O825" cm="1">
        <f t="array" ref="O825">IFERROR(
  INDEX('Putt Log'!$E$2:$V$72,
    MATCH(1,
      ('Putt Log'!$A$2:$A$72=$A825)*
      ('Putt Log'!$B$2:$B$72=$B825)*
      ('Putt Log'!$C$2:$C$72=$C825),
    0),
    MATCH($G825,'Putt Log'!$E$1:$V$1,0)
  ),
"")</f>
        <v>1</v>
      </c>
      <c r="P825" t="str" cm="1">
        <f t="array" ref="P825">IF(K825=3,"",
  IFERROR(
    INDEX('Fairway Log'!$E$2:$V$72,
      MATCH(1,
        ('Fairway Log'!$A$2:$A$72=$A825)*
        ('Fairway Log'!$B$2:$B$72=$B825)*
        ('Fairway Log'!$C$2:$C896=$C825),
      0),
      MATCH($G825,'Fairway Log'!$E$1:$V$1,0)
    ),
  "")
)</f>
        <v/>
      </c>
      <c r="Q825" t="str" cm="1">
        <f t="array" ref="Q825">IFERROR(
  INDEX('GIR Log'!$E$2:$V$72,
    MATCH(1,
      ('GIR Log'!$A$2:$A$72=$A825)*
      ('GIR Log'!$B$2:$B$72=$B825)*
      ('GIR Log'!$C$2:$C$72=$C825),
    0),
    MATCH($G825,'GIR Log'!$E$1:$V$1,0)
  ),
"")</f>
        <v>↓</v>
      </c>
    </row>
    <row r="826" spans="1:17" x14ac:dyDescent="0.25">
      <c r="A826" s="43" t="s">
        <v>127</v>
      </c>
      <c r="B826" s="2">
        <v>45492</v>
      </c>
      <c r="C826" s="43" t="s">
        <v>6</v>
      </c>
      <c r="D826" s="43" t="s">
        <v>75</v>
      </c>
      <c r="E826" s="43" t="s">
        <v>34</v>
      </c>
      <c r="F826">
        <v>104</v>
      </c>
      <c r="G826" t="s">
        <v>61</v>
      </c>
      <c r="H826" s="9">
        <f t="shared" si="54"/>
        <v>15</v>
      </c>
      <c r="I826" cm="1">
        <f t="array" ref="I826">IFERROR(INDEX(CourseYardages[[Hole 1]:[Hole 18]],
  MATCH(1, (CourseYardages[Course]=C826)*(CourseYardages[Tees]=E826), 0),
  MATCH(G826, CourseYardages[[#Headers],[Hole 1]:[Hole 18]], 0)
),"")</f>
        <v>417</v>
      </c>
      <c r="J826" cm="1">
        <f t="array" ref="J826">IFERROR(INDEX(CourseHandicap[[Hole 1]:[Hole 18]],
  MATCH(1, (CourseHandicap[Course]=C826)*(CourseHandicap[Tees]=E826), 0),
  MATCH(G826, CourseHandicap[[#Headers],[Hole 1]:[Hole 18]], 0)
),"")</f>
        <v>1</v>
      </c>
      <c r="K826" cm="1">
        <f t="array" ref="K826">IFERROR(INDEX(CourseRatings[[Hole 1]:[Hole 18]],
  MATCH(1, (CourseRatings[Course]=C826)*(CourseRatings[Tees]=E826), 0),
  MATCH(G826, CourseRatings[[#Headers],[Hole 1]:[Hole 18]], 0)
),"")</f>
        <v>4</v>
      </c>
      <c r="L826" cm="1">
        <f t="array" ref="L826">IFERROR(
  INDEX('Golf Log'!$E$2:$V$72,
    MATCH(1,
      ('Golf Log'!$A$2:$A$72=$A826)*
      ('Golf Log'!$B$2:$B$72=$B826)*
      ('Golf Log'!$C$2:$C$72=$C826),
    0),
    MATCH($G826,'Golf Log'!$E$1:$V$1,0)
  ),
"")</f>
        <v>6</v>
      </c>
      <c r="M826">
        <f t="shared" si="55"/>
        <v>2</v>
      </c>
      <c r="N826" t="str">
        <f t="shared" si="56"/>
        <v>Double Bogey</v>
      </c>
      <c r="O826" cm="1">
        <f t="array" ref="O826">IFERROR(
  INDEX('Putt Log'!$E$2:$V$72,
    MATCH(1,
      ('Putt Log'!$A$2:$A$72=$A826)*
      ('Putt Log'!$B$2:$B$72=$B826)*
      ('Putt Log'!$C$2:$C$72=$C826),
    0),
    MATCH($G826,'Putt Log'!$E$1:$V$1,0)
  ),
"")</f>
        <v>2</v>
      </c>
      <c r="P826" cm="1">
        <f t="array" ref="P826">IF(K826=3,"",
  IFERROR(
    INDEX('Fairway Log'!$E$2:$V$72,
      MATCH(1,
        ('Fairway Log'!$A$2:$A$72=$A826)*
        ('Fairway Log'!$B$2:$B$72=$B826)*
        ('Fairway Log'!$C$2:$C897=$C826),
      0),
      MATCH($G826,'Fairway Log'!$E$1:$V$1,0)
    ),
  "")
)</f>
        <v>1</v>
      </c>
      <c r="Q826" t="str" cm="1">
        <f t="array" ref="Q826">IFERROR(
  INDEX('GIR Log'!$E$2:$V$72,
    MATCH(1,
      ('GIR Log'!$A$2:$A$72=$A826)*
      ('GIR Log'!$B$2:$B$72=$B826)*
      ('GIR Log'!$C$2:$C$72=$C826),
    0),
    MATCH($G826,'GIR Log'!$E$1:$V$1,0)
  ),
"")</f>
        <v>←</v>
      </c>
    </row>
    <row r="827" spans="1:17" x14ac:dyDescent="0.25">
      <c r="A827" s="43" t="s">
        <v>127</v>
      </c>
      <c r="B827" s="2">
        <v>45492</v>
      </c>
      <c r="C827" s="43" t="s">
        <v>6</v>
      </c>
      <c r="D827" s="43" t="s">
        <v>75</v>
      </c>
      <c r="E827" s="43" t="s">
        <v>34</v>
      </c>
      <c r="F827">
        <v>104</v>
      </c>
      <c r="G827" t="s">
        <v>62</v>
      </c>
      <c r="H827" s="9">
        <f t="shared" si="54"/>
        <v>16</v>
      </c>
      <c r="I827" cm="1">
        <f t="array" ref="I827">IFERROR(INDEX(CourseYardages[[Hole 1]:[Hole 18]],
  MATCH(1, (CourseYardages[Course]=C827)*(CourseYardages[Tees]=E827), 0),
  MATCH(G827, CourseYardages[[#Headers],[Hole 1]:[Hole 18]], 0)
),"")</f>
        <v>277</v>
      </c>
      <c r="J827" cm="1">
        <f t="array" ref="J827">IFERROR(INDEX(CourseHandicap[[Hole 1]:[Hole 18]],
  MATCH(1, (CourseHandicap[Course]=C827)*(CourseHandicap[Tees]=E827), 0),
  MATCH(G827, CourseHandicap[[#Headers],[Hole 1]:[Hole 18]], 0)
),"")</f>
        <v>17</v>
      </c>
      <c r="K827" cm="1">
        <f t="array" ref="K827">IFERROR(INDEX(CourseRatings[[Hole 1]:[Hole 18]],
  MATCH(1, (CourseRatings[Course]=C827)*(CourseRatings[Tees]=E827), 0),
  MATCH(G827, CourseRatings[[#Headers],[Hole 1]:[Hole 18]], 0)
),"")</f>
        <v>4</v>
      </c>
      <c r="L827" cm="1">
        <f t="array" ref="L827">IFERROR(
  INDEX('Golf Log'!$E$2:$V$72,
    MATCH(1,
      ('Golf Log'!$A$2:$A$72=$A827)*
      ('Golf Log'!$B$2:$B$72=$B827)*
      ('Golf Log'!$C$2:$C$72=$C827),
    0),
    MATCH($G827,'Golf Log'!$E$1:$V$1,0)
  ),
"")</f>
        <v>3</v>
      </c>
      <c r="M827">
        <f t="shared" si="55"/>
        <v>-1</v>
      </c>
      <c r="N827" t="str">
        <f t="shared" si="56"/>
        <v>Birdie</v>
      </c>
      <c r="O827" cm="1">
        <f t="array" ref="O827">IFERROR(
  INDEX('Putt Log'!$E$2:$V$72,
    MATCH(1,
      ('Putt Log'!$A$2:$A$72=$A827)*
      ('Putt Log'!$B$2:$B$72=$B827)*
      ('Putt Log'!$C$2:$C$72=$C827),
    0),
    MATCH($G827,'Putt Log'!$E$1:$V$1,0)
  ),
"")</f>
        <v>1</v>
      </c>
      <c r="P827" cm="1">
        <f t="array" ref="P827">IF(K827=3,"",
  IFERROR(
    INDEX('Fairway Log'!$E$2:$V$72,
      MATCH(1,
        ('Fairway Log'!$A$2:$A$72=$A827)*
        ('Fairway Log'!$B$2:$B$72=$B827)*
        ('Fairway Log'!$C$2:$C898=$C827),
      0),
      MATCH($G827,'Fairway Log'!$E$1:$V$1,0)
    ),
  "")
)</f>
        <v>1</v>
      </c>
      <c r="Q827" cm="1">
        <f t="array" ref="Q827">IFERROR(
  INDEX('GIR Log'!$E$2:$V$72,
    MATCH(1,
      ('GIR Log'!$A$2:$A$72=$A827)*
      ('GIR Log'!$B$2:$B$72=$B827)*
      ('GIR Log'!$C$2:$C$72=$C827),
    0),
    MATCH($G827,'GIR Log'!$E$1:$V$1,0)
  ),
"")</f>
        <v>1</v>
      </c>
    </row>
    <row r="828" spans="1:17" x14ac:dyDescent="0.25">
      <c r="A828" s="43" t="s">
        <v>127</v>
      </c>
      <c r="B828" s="2">
        <v>45492</v>
      </c>
      <c r="C828" s="43" t="s">
        <v>6</v>
      </c>
      <c r="D828" s="43" t="s">
        <v>75</v>
      </c>
      <c r="E828" s="43" t="s">
        <v>34</v>
      </c>
      <c r="F828">
        <v>104</v>
      </c>
      <c r="G828" t="s">
        <v>63</v>
      </c>
      <c r="H828" s="9">
        <f t="shared" si="54"/>
        <v>17</v>
      </c>
      <c r="I828" cm="1">
        <f t="array" ref="I828">IFERROR(INDEX(CourseYardages[[Hole 1]:[Hole 18]],
  MATCH(1, (CourseYardages[Course]=C828)*(CourseYardages[Tees]=E828), 0),
  MATCH(G828, CourseYardages[[#Headers],[Hole 1]:[Hole 18]], 0)
),"")</f>
        <v>479</v>
      </c>
      <c r="J828" cm="1">
        <f t="array" ref="J828">IFERROR(INDEX(CourseHandicap[[Hole 1]:[Hole 18]],
  MATCH(1, (CourseHandicap[Course]=C828)*(CourseHandicap[Tees]=E828), 0),
  MATCH(G828, CourseHandicap[[#Headers],[Hole 1]:[Hole 18]], 0)
),"")</f>
        <v>3</v>
      </c>
      <c r="K828" cm="1">
        <f t="array" ref="K828">IFERROR(INDEX(CourseRatings[[Hole 1]:[Hole 18]],
  MATCH(1, (CourseRatings[Course]=C828)*(CourseRatings[Tees]=E828), 0),
  MATCH(G828, CourseRatings[[#Headers],[Hole 1]:[Hole 18]], 0)
),"")</f>
        <v>5</v>
      </c>
      <c r="L828" cm="1">
        <f t="array" ref="L828">IFERROR(
  INDEX('Golf Log'!$E$2:$V$72,
    MATCH(1,
      ('Golf Log'!$A$2:$A$72=$A828)*
      ('Golf Log'!$B$2:$B$72=$B828)*
      ('Golf Log'!$C$2:$C$72=$C828),
    0),
    MATCH($G828,'Golf Log'!$E$1:$V$1,0)
  ),
"")</f>
        <v>6</v>
      </c>
      <c r="M828">
        <f t="shared" si="55"/>
        <v>1</v>
      </c>
      <c r="N828" t="str">
        <f t="shared" si="56"/>
        <v>Bogey</v>
      </c>
      <c r="O828" cm="1">
        <f t="array" ref="O828">IFERROR(
  INDEX('Putt Log'!$E$2:$V$72,
    MATCH(1,
      ('Putt Log'!$A$2:$A$72=$A828)*
      ('Putt Log'!$B$2:$B$72=$B828)*
      ('Putt Log'!$C$2:$C$72=$C828),
    0),
    MATCH($G828,'Putt Log'!$E$1:$V$1,0)
  ),
"")</f>
        <v>2</v>
      </c>
      <c r="P828" cm="1">
        <f t="array" ref="P828">IF(K828=3,"",
  IFERROR(
    INDEX('Fairway Log'!$E$2:$V$72,
      MATCH(1,
        ('Fairway Log'!$A$2:$A$72=$A828)*
        ('Fairway Log'!$B$2:$B$72=$B828)*
        ('Fairway Log'!$C$2:$C899=$C828),
      0),
      MATCH($G828,'Fairway Log'!$E$1:$V$1,0)
    ),
  "")
)</f>
        <v>1</v>
      </c>
      <c r="Q828" t="str" cm="1">
        <f t="array" ref="Q828">IFERROR(
  INDEX('GIR Log'!$E$2:$V$72,
    MATCH(1,
      ('GIR Log'!$A$2:$A$72=$A828)*
      ('GIR Log'!$B$2:$B$72=$B828)*
      ('GIR Log'!$C$2:$C$72=$C828),
    0),
    MATCH($G828,'GIR Log'!$E$1:$V$1,0)
  ),
"")</f>
        <v>←</v>
      </c>
    </row>
    <row r="829" spans="1:17" x14ac:dyDescent="0.25">
      <c r="A829" s="43" t="s">
        <v>127</v>
      </c>
      <c r="B829" s="2">
        <v>45492</v>
      </c>
      <c r="C829" s="43" t="s">
        <v>6</v>
      </c>
      <c r="D829" s="43" t="s">
        <v>75</v>
      </c>
      <c r="E829" s="43" t="s">
        <v>34</v>
      </c>
      <c r="F829">
        <v>104</v>
      </c>
      <c r="G829" t="s">
        <v>64</v>
      </c>
      <c r="H829" s="9">
        <f t="shared" si="54"/>
        <v>18</v>
      </c>
      <c r="I829" cm="1">
        <f t="array" ref="I829">IFERROR(INDEX(CourseYardages[[Hole 1]:[Hole 18]],
  MATCH(1, (CourseYardages[Course]=C829)*(CourseYardages[Tees]=E829), 0),
  MATCH(G829, CourseYardages[[#Headers],[Hole 1]:[Hole 18]], 0)
),"")</f>
        <v>367</v>
      </c>
      <c r="J829" cm="1">
        <f t="array" ref="J829">IFERROR(INDEX(CourseHandicap[[Hole 1]:[Hole 18]],
  MATCH(1, (CourseHandicap[Course]=C829)*(CourseHandicap[Tees]=E829), 0),
  MATCH(G829, CourseHandicap[[#Headers],[Hole 1]:[Hole 18]], 0)
),"")</f>
        <v>7</v>
      </c>
      <c r="K829" cm="1">
        <f t="array" ref="K829">IFERROR(INDEX(CourseRatings[[Hole 1]:[Hole 18]],
  MATCH(1, (CourseRatings[Course]=C829)*(CourseRatings[Tees]=E829), 0),
  MATCH(G829, CourseRatings[[#Headers],[Hole 1]:[Hole 18]], 0)
),"")</f>
        <v>4</v>
      </c>
      <c r="L829" cm="1">
        <f t="array" ref="L829">IFERROR(
  INDEX('Golf Log'!$E$2:$V$72,
    MATCH(1,
      ('Golf Log'!$A$2:$A$72=$A829)*
      ('Golf Log'!$B$2:$B$72=$B829)*
      ('Golf Log'!$C$2:$C$72=$C829),
    0),
    MATCH($G829,'Golf Log'!$E$1:$V$1,0)
  ),
"")</f>
        <v>5</v>
      </c>
      <c r="M829">
        <f t="shared" si="55"/>
        <v>1</v>
      </c>
      <c r="N829" t="str">
        <f t="shared" si="56"/>
        <v>Bogey</v>
      </c>
      <c r="O829" cm="1">
        <f t="array" ref="O829">IFERROR(
  INDEX('Putt Log'!$E$2:$V$72,
    MATCH(1,
      ('Putt Log'!$A$2:$A$72=$A829)*
      ('Putt Log'!$B$2:$B$72=$B829)*
      ('Putt Log'!$C$2:$C$72=$C829),
    0),
    MATCH($G829,'Putt Log'!$E$1:$V$1,0)
  ),
"")</f>
        <v>2</v>
      </c>
      <c r="P829" cm="1">
        <f t="array" ref="P829">IF(K829=3,"",
  IFERROR(
    INDEX('Fairway Log'!$E$2:$V$72,
      MATCH(1,
        ('Fairway Log'!$A$2:$A$72=$A829)*
        ('Fairway Log'!$B$2:$B$72=$B829)*
        ('Fairway Log'!$C$2:$C900=$C829),
      0),
      MATCH($G829,'Fairway Log'!$E$1:$V$1,0)
    ),
  "")
)</f>
        <v>1</v>
      </c>
      <c r="Q829" t="str" cm="1">
        <f t="array" ref="Q829">IFERROR(
  INDEX('GIR Log'!$E$2:$V$72,
    MATCH(1,
      ('GIR Log'!$A$2:$A$72=$A829)*
      ('GIR Log'!$B$2:$B$72=$B829)*
      ('GIR Log'!$C$2:$C$72=$C829),
    0),
    MATCH($G829,'GIR Log'!$E$1:$V$1,0)
  ),
"")</f>
        <v>←</v>
      </c>
    </row>
    <row r="830" spans="1:17" x14ac:dyDescent="0.25">
      <c r="A830" s="43" t="s">
        <v>127</v>
      </c>
      <c r="B830" s="2">
        <v>45453</v>
      </c>
      <c r="C830" s="43" t="s">
        <v>11</v>
      </c>
      <c r="D830" s="43" t="s">
        <v>77</v>
      </c>
      <c r="E830" s="43" t="s">
        <v>34</v>
      </c>
      <c r="F830">
        <v>109</v>
      </c>
      <c r="G830" s="12" t="s">
        <v>47</v>
      </c>
      <c r="H830" s="9">
        <f t="shared" ref="H830:H847" si="57">VALUE(RIGHT(G830, LEN(G830) - 5))</f>
        <v>1</v>
      </c>
      <c r="I830" cm="1">
        <f t="array" ref="I830">IFERROR(INDEX(CourseYardages[[Hole 1]:[Hole 18]],
  MATCH(1, (CourseYardages[Course]=C830)*(CourseYardages[Tees]=E830), 0),
  MATCH(G830, CourseYardages[[#Headers],[Hole 1]:[Hole 18]], 0)
),"")</f>
        <v>298</v>
      </c>
      <c r="J830" cm="1">
        <f t="array" ref="J830">IFERROR(INDEX(CourseHandicap[[Hole 1]:[Hole 18]],
  MATCH(1, (CourseHandicap[Course]=C830)*(CourseHandicap[Tees]=E830), 0),
  MATCH(G830, CourseHandicap[[#Headers],[Hole 1]:[Hole 18]], 0)
),"")</f>
        <v>15</v>
      </c>
      <c r="K830" cm="1">
        <f t="array" ref="K830">IFERROR(INDEX(CourseRatings[[Hole 1]:[Hole 18]],
  MATCH(1, (CourseRatings[Course]=C830)*(CourseRatings[Tees]=E830), 0),
  MATCH(G830, CourseRatings[[#Headers],[Hole 1]:[Hole 18]], 0)
),"")</f>
        <v>4</v>
      </c>
      <c r="L830" cm="1">
        <f t="array" ref="L830">IFERROR(
  INDEX('Golf Log'!$E$2:$V$72,
    MATCH(1,
      ('Golf Log'!$A$2:$A$72=$A830)*
      ('Golf Log'!$B$2:$B$72=$B830)*
      ('Golf Log'!$C$2:$C$72=$C830),
    0),
    MATCH($G830,'Golf Log'!$E$1:$V$1,0)
  ),
"")</f>
        <v>5</v>
      </c>
      <c r="M830">
        <f t="shared" ref="M830:M847" si="58">IFERROR(L830-K830,"")</f>
        <v>1</v>
      </c>
      <c r="N830" t="str">
        <f t="shared" ref="N830:N847" si="59">IF(M830="","",(IF(M830=-2,"Eagle",IF(M830=-1,"Birdie",IF(M830=0,"Par",IF(M830=1,"Bogey",IF(M830=2,"Double Bogey",IF(M830=3,"Triple Bogey",IF(M830&gt;3,"Quad Bogey+")))))))))</f>
        <v>Bogey</v>
      </c>
      <c r="O830" cm="1">
        <f t="array" ref="O830">IFERROR(
  INDEX('Putt Log'!$E$2:$V$72,
    MATCH(1,
      ('Putt Log'!$A$2:$A$72=$A830)*
      ('Putt Log'!$B$2:$B$72=$B830)*
      ('Putt Log'!$C$2:$C$72=$C830),
    0),
    MATCH($G830,'Putt Log'!$E$1:$V$1,0)
  ),
"")</f>
        <v>1</v>
      </c>
      <c r="P830" cm="1">
        <f t="array" ref="P830">IF(K830=3,"",
  IFERROR(
    INDEX('Fairway Log'!$E$2:$V$72,
      MATCH(1,
        ('Fairway Log'!$A$2:$A$72=$A830)*
        ('Fairway Log'!$B$2:$B$72=$B830)*
        ('Fairway Log'!$C$2:$C901=$C830),
      0),
      MATCH($G830,'Fairway Log'!$E$1:$V$1,0)
    ),
  "")
)</f>
        <v>0</v>
      </c>
      <c r="Q830" cm="1">
        <f t="array" ref="Q830">IFERROR(
  INDEX('GIR Log'!$E$2:$V$72,
    MATCH(1,
      ('GIR Log'!$A$2:$A$72=$A830)*
      ('GIR Log'!$B$2:$B$72=$B830)*
      ('GIR Log'!$C$2:$C$72=$C830),
    0),
    MATCH($G830,'GIR Log'!$E$1:$V$1,0)
  ),
"")</f>
        <v>0</v>
      </c>
    </row>
    <row r="831" spans="1:17" x14ac:dyDescent="0.25">
      <c r="A831" s="43" t="s">
        <v>127</v>
      </c>
      <c r="B831" s="2">
        <v>45453</v>
      </c>
      <c r="C831" s="43" t="s">
        <v>11</v>
      </c>
      <c r="D831" s="43" t="s">
        <v>77</v>
      </c>
      <c r="E831" s="43" t="s">
        <v>34</v>
      </c>
      <c r="F831">
        <v>109</v>
      </c>
      <c r="G831" s="12" t="s">
        <v>48</v>
      </c>
      <c r="H831" s="9">
        <f t="shared" si="57"/>
        <v>2</v>
      </c>
      <c r="I831" cm="1">
        <f t="array" ref="I831">IFERROR(INDEX(CourseYardages[[Hole 1]:[Hole 18]],
  MATCH(1, (CourseYardages[Course]=C831)*(CourseYardages[Tees]=E831), 0),
  MATCH(G831, CourseYardages[[#Headers],[Hole 1]:[Hole 18]], 0)
),"")</f>
        <v>130</v>
      </c>
      <c r="J831" cm="1">
        <f t="array" ref="J831">IFERROR(INDEX(CourseHandicap[[Hole 1]:[Hole 18]],
  MATCH(1, (CourseHandicap[Course]=C831)*(CourseHandicap[Tees]=E831), 0),
  MATCH(G831, CourseHandicap[[#Headers],[Hole 1]:[Hole 18]], 0)
),"")</f>
        <v>17</v>
      </c>
      <c r="K831" cm="1">
        <f t="array" ref="K831">IFERROR(INDEX(CourseRatings[[Hole 1]:[Hole 18]],
  MATCH(1, (CourseRatings[Course]=C831)*(CourseRatings[Tees]=E831), 0),
  MATCH(G831, CourseRatings[[#Headers],[Hole 1]:[Hole 18]], 0)
),"")</f>
        <v>3</v>
      </c>
      <c r="L831" cm="1">
        <f t="array" ref="L831">IFERROR(
  INDEX('Golf Log'!$E$2:$V$72,
    MATCH(1,
      ('Golf Log'!$A$2:$A$72=$A831)*
      ('Golf Log'!$B$2:$B$72=$B831)*
      ('Golf Log'!$C$2:$C$72=$C831),
    0),
    MATCH($G831,'Golf Log'!$E$1:$V$1,0)
  ),
"")</f>
        <v>4</v>
      </c>
      <c r="M831">
        <f t="shared" si="58"/>
        <v>1</v>
      </c>
      <c r="N831" t="str">
        <f t="shared" si="59"/>
        <v>Bogey</v>
      </c>
      <c r="O831" cm="1">
        <f t="array" ref="O831">IFERROR(
  INDEX('Putt Log'!$E$2:$V$72,
    MATCH(1,
      ('Putt Log'!$A$2:$A$72=$A831)*
      ('Putt Log'!$B$2:$B$72=$B831)*
      ('Putt Log'!$C$2:$C$72=$C831),
    0),
    MATCH($G831,'Putt Log'!$E$1:$V$1,0)
  ),
"")</f>
        <v>2</v>
      </c>
      <c r="P831" t="str" cm="1">
        <f t="array" ref="P831">IF(K831=3,"",
  IFERROR(
    INDEX('Fairway Log'!$E$2:$V$72,
      MATCH(1,
        ('Fairway Log'!$A$2:$A$72=$A831)*
        ('Fairway Log'!$B$2:$B$72=$B831)*
        ('Fairway Log'!$C$2:$C902=$C831),
      0),
      MATCH($G831,'Fairway Log'!$E$1:$V$1,0)
    ),
  "")
)</f>
        <v/>
      </c>
      <c r="Q831" cm="1">
        <f t="array" ref="Q831">IFERROR(
  INDEX('GIR Log'!$E$2:$V$72,
    MATCH(1,
      ('GIR Log'!$A$2:$A$72=$A831)*
      ('GIR Log'!$B$2:$B$72=$B831)*
      ('GIR Log'!$C$2:$C$72=$C831),
    0),
    MATCH($G831,'GIR Log'!$E$1:$V$1,0)
  ),
"")</f>
        <v>0</v>
      </c>
    </row>
    <row r="832" spans="1:17" x14ac:dyDescent="0.25">
      <c r="A832" s="43" t="s">
        <v>127</v>
      </c>
      <c r="B832" s="2">
        <v>45453</v>
      </c>
      <c r="C832" s="43" t="s">
        <v>11</v>
      </c>
      <c r="D832" s="43" t="s">
        <v>77</v>
      </c>
      <c r="E832" s="43" t="s">
        <v>34</v>
      </c>
      <c r="F832">
        <v>109</v>
      </c>
      <c r="G832" s="12" t="s">
        <v>49</v>
      </c>
      <c r="H832" s="9">
        <f t="shared" si="57"/>
        <v>3</v>
      </c>
      <c r="I832" cm="1">
        <f t="array" ref="I832">IFERROR(INDEX(CourseYardages[[Hole 1]:[Hole 18]],
  MATCH(1, (CourseYardages[Course]=C832)*(CourseYardages[Tees]=E832), 0),
  MATCH(G832, CourseYardages[[#Headers],[Hole 1]:[Hole 18]], 0)
),"")</f>
        <v>327</v>
      </c>
      <c r="J832" cm="1">
        <f t="array" ref="J832">IFERROR(INDEX(CourseHandicap[[Hole 1]:[Hole 18]],
  MATCH(1, (CourseHandicap[Course]=C832)*(CourseHandicap[Tees]=E832), 0),
  MATCH(G832, CourseHandicap[[#Headers],[Hole 1]:[Hole 18]], 0)
),"")</f>
        <v>9</v>
      </c>
      <c r="K832" cm="1">
        <f t="array" ref="K832">IFERROR(INDEX(CourseRatings[[Hole 1]:[Hole 18]],
  MATCH(1, (CourseRatings[Course]=C832)*(CourseRatings[Tees]=E832), 0),
  MATCH(G832, CourseRatings[[#Headers],[Hole 1]:[Hole 18]], 0)
),"")</f>
        <v>4</v>
      </c>
      <c r="L832" cm="1">
        <f t="array" ref="L832">IFERROR(
  INDEX('Golf Log'!$E$2:$V$72,
    MATCH(1,
      ('Golf Log'!$A$2:$A$72=$A832)*
      ('Golf Log'!$B$2:$B$72=$B832)*
      ('Golf Log'!$C$2:$C$72=$C832),
    0),
    MATCH($G832,'Golf Log'!$E$1:$V$1,0)
  ),
"")</f>
        <v>7</v>
      </c>
      <c r="M832">
        <f t="shared" si="58"/>
        <v>3</v>
      </c>
      <c r="N832" t="str">
        <f t="shared" si="59"/>
        <v>Triple Bogey</v>
      </c>
      <c r="O832" cm="1">
        <f t="array" ref="O832">IFERROR(
  INDEX('Putt Log'!$E$2:$V$72,
    MATCH(1,
      ('Putt Log'!$A$2:$A$72=$A832)*
      ('Putt Log'!$B$2:$B$72=$B832)*
      ('Putt Log'!$C$2:$C$72=$C832),
    0),
    MATCH($G832,'Putt Log'!$E$1:$V$1,0)
  ),
"")</f>
        <v>1</v>
      </c>
      <c r="P832" cm="1">
        <f t="array" ref="P832">IF(K832=3,"",
  IFERROR(
    INDEX('Fairway Log'!$E$2:$V$72,
      MATCH(1,
        ('Fairway Log'!$A$2:$A$72=$A832)*
        ('Fairway Log'!$B$2:$B$72=$B832)*
        ('Fairway Log'!$C$2:$C903=$C832),
      0),
      MATCH($G832,'Fairway Log'!$E$1:$V$1,0)
    ),
  "")
)</f>
        <v>0</v>
      </c>
      <c r="Q832" cm="1">
        <f t="array" ref="Q832">IFERROR(
  INDEX('GIR Log'!$E$2:$V$72,
    MATCH(1,
      ('GIR Log'!$A$2:$A$72=$A832)*
      ('GIR Log'!$B$2:$B$72=$B832)*
      ('GIR Log'!$C$2:$C$72=$C832),
    0),
    MATCH($G832,'GIR Log'!$E$1:$V$1,0)
  ),
"")</f>
        <v>0</v>
      </c>
    </row>
    <row r="833" spans="1:17" x14ac:dyDescent="0.25">
      <c r="A833" s="43" t="s">
        <v>127</v>
      </c>
      <c r="B833" s="2">
        <v>45453</v>
      </c>
      <c r="C833" s="43" t="s">
        <v>11</v>
      </c>
      <c r="D833" s="43" t="s">
        <v>77</v>
      </c>
      <c r="E833" s="43" t="s">
        <v>34</v>
      </c>
      <c r="F833">
        <v>109</v>
      </c>
      <c r="G833" s="12" t="s">
        <v>50</v>
      </c>
      <c r="H833" s="9">
        <f t="shared" si="57"/>
        <v>4</v>
      </c>
      <c r="I833" cm="1">
        <f t="array" ref="I833">IFERROR(INDEX(CourseYardages[[Hole 1]:[Hole 18]],
  MATCH(1, (CourseYardages[Course]=C833)*(CourseYardages[Tees]=E833), 0),
  MATCH(G833, CourseYardages[[#Headers],[Hole 1]:[Hole 18]], 0)
),"")</f>
        <v>176</v>
      </c>
      <c r="J833" cm="1">
        <f t="array" ref="J833">IFERROR(INDEX(CourseHandicap[[Hole 1]:[Hole 18]],
  MATCH(1, (CourseHandicap[Course]=C833)*(CourseHandicap[Tees]=E833), 0),
  MATCH(G833, CourseHandicap[[#Headers],[Hole 1]:[Hole 18]], 0)
),"")</f>
        <v>13</v>
      </c>
      <c r="K833" cm="1">
        <f t="array" ref="K833">IFERROR(INDEX(CourseRatings[[Hole 1]:[Hole 18]],
  MATCH(1, (CourseRatings[Course]=C833)*(CourseRatings[Tees]=E833), 0),
  MATCH(G833, CourseRatings[[#Headers],[Hole 1]:[Hole 18]], 0)
),"")</f>
        <v>3</v>
      </c>
      <c r="L833" cm="1">
        <f t="array" ref="L833">IFERROR(
  INDEX('Golf Log'!$E$2:$V$72,
    MATCH(1,
      ('Golf Log'!$A$2:$A$72=$A833)*
      ('Golf Log'!$B$2:$B$72=$B833)*
      ('Golf Log'!$C$2:$C$72=$C833),
    0),
    MATCH($G833,'Golf Log'!$E$1:$V$1,0)
  ),
"")</f>
        <v>5</v>
      </c>
      <c r="M833">
        <f t="shared" si="58"/>
        <v>2</v>
      </c>
      <c r="N833" t="str">
        <f t="shared" si="59"/>
        <v>Double Bogey</v>
      </c>
      <c r="O833" cm="1">
        <f t="array" ref="O833">IFERROR(
  INDEX('Putt Log'!$E$2:$V$72,
    MATCH(1,
      ('Putt Log'!$A$2:$A$72=$A833)*
      ('Putt Log'!$B$2:$B$72=$B833)*
      ('Putt Log'!$C$2:$C$72=$C833),
    0),
    MATCH($G833,'Putt Log'!$E$1:$V$1,0)
  ),
"")</f>
        <v>3</v>
      </c>
      <c r="P833" t="str" cm="1">
        <f t="array" ref="P833">IF(K833=3,"",
  IFERROR(
    INDEX('Fairway Log'!$E$2:$V$72,
      MATCH(1,
        ('Fairway Log'!$A$2:$A$72=$A833)*
        ('Fairway Log'!$B$2:$B$72=$B833)*
        ('Fairway Log'!$C$2:$C904=$C833),
      0),
      MATCH($G833,'Fairway Log'!$E$1:$V$1,0)
    ),
  "")
)</f>
        <v/>
      </c>
      <c r="Q833" cm="1">
        <f t="array" ref="Q833">IFERROR(
  INDEX('GIR Log'!$E$2:$V$72,
    MATCH(1,
      ('GIR Log'!$A$2:$A$72=$A833)*
      ('GIR Log'!$B$2:$B$72=$B833)*
      ('GIR Log'!$C$2:$C$72=$C833),
    0),
    MATCH($G833,'GIR Log'!$E$1:$V$1,0)
  ),
"")</f>
        <v>0</v>
      </c>
    </row>
    <row r="834" spans="1:17" x14ac:dyDescent="0.25">
      <c r="A834" s="43" t="s">
        <v>127</v>
      </c>
      <c r="B834" s="2">
        <v>45453</v>
      </c>
      <c r="C834" s="43" t="s">
        <v>11</v>
      </c>
      <c r="D834" s="43" t="s">
        <v>77</v>
      </c>
      <c r="E834" s="43" t="s">
        <v>34</v>
      </c>
      <c r="F834">
        <v>109</v>
      </c>
      <c r="G834" s="12" t="s">
        <v>51</v>
      </c>
      <c r="H834" s="9">
        <f t="shared" si="57"/>
        <v>5</v>
      </c>
      <c r="I834" cm="1">
        <f t="array" ref="I834">IFERROR(INDEX(CourseYardages[[Hole 1]:[Hole 18]],
  MATCH(1, (CourseYardages[Course]=C834)*(CourseYardages[Tees]=E834), 0),
  MATCH(G834, CourseYardages[[#Headers],[Hole 1]:[Hole 18]], 0)
),"")</f>
        <v>457</v>
      </c>
      <c r="J834" cm="1">
        <f t="array" ref="J834">IFERROR(INDEX(CourseHandicap[[Hole 1]:[Hole 18]],
  MATCH(1, (CourseHandicap[Course]=C834)*(CourseHandicap[Tees]=E834), 0),
  MATCH(G834, CourseHandicap[[#Headers],[Hole 1]:[Hole 18]], 0)
),"")</f>
        <v>7</v>
      </c>
      <c r="K834" cm="1">
        <f t="array" ref="K834">IFERROR(INDEX(CourseRatings[[Hole 1]:[Hole 18]],
  MATCH(1, (CourseRatings[Course]=C834)*(CourseRatings[Tees]=E834), 0),
  MATCH(G834, CourseRatings[[#Headers],[Hole 1]:[Hole 18]], 0)
),"")</f>
        <v>5</v>
      </c>
      <c r="L834" cm="1">
        <f t="array" ref="L834">IFERROR(
  INDEX('Golf Log'!$E$2:$V$72,
    MATCH(1,
      ('Golf Log'!$A$2:$A$72=$A834)*
      ('Golf Log'!$B$2:$B$72=$B834)*
      ('Golf Log'!$C$2:$C$72=$C834),
    0),
    MATCH($G834,'Golf Log'!$E$1:$V$1,0)
  ),
"")</f>
        <v>6</v>
      </c>
      <c r="M834">
        <f t="shared" si="58"/>
        <v>1</v>
      </c>
      <c r="N834" t="str">
        <f t="shared" si="59"/>
        <v>Bogey</v>
      </c>
      <c r="O834" cm="1">
        <f t="array" ref="O834">IFERROR(
  INDEX('Putt Log'!$E$2:$V$72,
    MATCH(1,
      ('Putt Log'!$A$2:$A$72=$A834)*
      ('Putt Log'!$B$2:$B$72=$B834)*
      ('Putt Log'!$C$2:$C$72=$C834),
    0),
    MATCH($G834,'Putt Log'!$E$1:$V$1,0)
  ),
"")</f>
        <v>2</v>
      </c>
      <c r="P834" cm="1">
        <f t="array" ref="P834">IF(K834=3,"",
  IFERROR(
    INDEX('Fairway Log'!$E$2:$V$72,
      MATCH(1,
        ('Fairway Log'!$A$2:$A$72=$A834)*
        ('Fairway Log'!$B$2:$B$72=$B834)*
        ('Fairway Log'!$C$2:$C905=$C834),
      0),
      MATCH($G834,'Fairway Log'!$E$1:$V$1,0)
    ),
  "")
)</f>
        <v>0</v>
      </c>
      <c r="Q834" cm="1">
        <f t="array" ref="Q834">IFERROR(
  INDEX('GIR Log'!$E$2:$V$72,
    MATCH(1,
      ('GIR Log'!$A$2:$A$72=$A834)*
      ('GIR Log'!$B$2:$B$72=$B834)*
      ('GIR Log'!$C$2:$C$72=$C834),
    0),
    MATCH($G834,'GIR Log'!$E$1:$V$1,0)
  ),
"")</f>
        <v>0</v>
      </c>
    </row>
    <row r="835" spans="1:17" x14ac:dyDescent="0.25">
      <c r="A835" s="43" t="s">
        <v>127</v>
      </c>
      <c r="B835" s="2">
        <v>45453</v>
      </c>
      <c r="C835" s="43" t="s">
        <v>11</v>
      </c>
      <c r="D835" s="43" t="s">
        <v>77</v>
      </c>
      <c r="E835" s="43" t="s">
        <v>34</v>
      </c>
      <c r="F835">
        <v>109</v>
      </c>
      <c r="G835" s="12" t="s">
        <v>52</v>
      </c>
      <c r="H835" s="9">
        <f t="shared" si="57"/>
        <v>6</v>
      </c>
      <c r="I835" cm="1">
        <f t="array" ref="I835">IFERROR(INDEX(CourseYardages[[Hole 1]:[Hole 18]],
  MATCH(1, (CourseYardages[Course]=C835)*(CourseYardages[Tees]=E835), 0),
  MATCH(G835, CourseYardages[[#Headers],[Hole 1]:[Hole 18]], 0)
),"")</f>
        <v>389</v>
      </c>
      <c r="J835" cm="1">
        <f t="array" ref="J835">IFERROR(INDEX(CourseHandicap[[Hole 1]:[Hole 18]],
  MATCH(1, (CourseHandicap[Course]=C835)*(CourseHandicap[Tees]=E835), 0),
  MATCH(G835, CourseHandicap[[#Headers],[Hole 1]:[Hole 18]], 0)
),"")</f>
        <v>3</v>
      </c>
      <c r="K835" cm="1">
        <f t="array" ref="K835">IFERROR(INDEX(CourseRatings[[Hole 1]:[Hole 18]],
  MATCH(1, (CourseRatings[Course]=C835)*(CourseRatings[Tees]=E835), 0),
  MATCH(G835, CourseRatings[[#Headers],[Hole 1]:[Hole 18]], 0)
),"")</f>
        <v>4</v>
      </c>
      <c r="L835" cm="1">
        <f t="array" ref="L835">IFERROR(
  INDEX('Golf Log'!$E$2:$V$72,
    MATCH(1,
      ('Golf Log'!$A$2:$A$72=$A835)*
      ('Golf Log'!$B$2:$B$72=$B835)*
      ('Golf Log'!$C$2:$C$72=$C835),
    0),
    MATCH($G835,'Golf Log'!$E$1:$V$1,0)
  ),
"")</f>
        <v>7</v>
      </c>
      <c r="M835">
        <f t="shared" si="58"/>
        <v>3</v>
      </c>
      <c r="N835" t="str">
        <f t="shared" si="59"/>
        <v>Triple Bogey</v>
      </c>
      <c r="O835" cm="1">
        <f t="array" ref="O835">IFERROR(
  INDEX('Putt Log'!$E$2:$V$72,
    MATCH(1,
      ('Putt Log'!$A$2:$A$72=$A835)*
      ('Putt Log'!$B$2:$B$72=$B835)*
      ('Putt Log'!$C$2:$C$72=$C835),
    0),
    MATCH($G835,'Putt Log'!$E$1:$V$1,0)
  ),
"")</f>
        <v>2</v>
      </c>
      <c r="P835" cm="1">
        <f t="array" ref="P835">IF(K835=3,"",
  IFERROR(
    INDEX('Fairway Log'!$E$2:$V$72,
      MATCH(1,
        ('Fairway Log'!$A$2:$A$72=$A835)*
        ('Fairway Log'!$B$2:$B$72=$B835)*
        ('Fairway Log'!$C$2:$C906=$C835),
      0),
      MATCH($G835,'Fairway Log'!$E$1:$V$1,0)
    ),
  "")
)</f>
        <v>0</v>
      </c>
      <c r="Q835" cm="1">
        <f t="array" ref="Q835">IFERROR(
  INDEX('GIR Log'!$E$2:$V$72,
    MATCH(1,
      ('GIR Log'!$A$2:$A$72=$A835)*
      ('GIR Log'!$B$2:$B$72=$B835)*
      ('GIR Log'!$C$2:$C$72=$C835),
    0),
    MATCH($G835,'GIR Log'!$E$1:$V$1,0)
  ),
"")</f>
        <v>0</v>
      </c>
    </row>
    <row r="836" spans="1:17" x14ac:dyDescent="0.25">
      <c r="A836" s="43" t="s">
        <v>127</v>
      </c>
      <c r="B836" s="2">
        <v>45453</v>
      </c>
      <c r="C836" s="43" t="s">
        <v>11</v>
      </c>
      <c r="D836" s="43" t="s">
        <v>77</v>
      </c>
      <c r="E836" s="43" t="s">
        <v>34</v>
      </c>
      <c r="F836">
        <v>109</v>
      </c>
      <c r="G836" s="12" t="s">
        <v>53</v>
      </c>
      <c r="H836" s="9">
        <f t="shared" si="57"/>
        <v>7</v>
      </c>
      <c r="I836" cm="1">
        <f t="array" ref="I836">IFERROR(INDEX(CourseYardages[[Hole 1]:[Hole 18]],
  MATCH(1, (CourseYardages[Course]=C836)*(CourseYardages[Tees]=E836), 0),
  MATCH(G836, CourseYardages[[#Headers],[Hole 1]:[Hole 18]], 0)
),"")</f>
        <v>301</v>
      </c>
      <c r="J836" cm="1">
        <f t="array" ref="J836">IFERROR(INDEX(CourseHandicap[[Hole 1]:[Hole 18]],
  MATCH(1, (CourseHandicap[Course]=C836)*(CourseHandicap[Tees]=E836), 0),
  MATCH(G836, CourseHandicap[[#Headers],[Hole 1]:[Hole 18]], 0)
),"")</f>
        <v>11</v>
      </c>
      <c r="K836" cm="1">
        <f t="array" ref="K836">IFERROR(INDEX(CourseRatings[[Hole 1]:[Hole 18]],
  MATCH(1, (CourseRatings[Course]=C836)*(CourseRatings[Tees]=E836), 0),
  MATCH(G836, CourseRatings[[#Headers],[Hole 1]:[Hole 18]], 0)
),"")</f>
        <v>4</v>
      </c>
      <c r="L836" cm="1">
        <f t="array" ref="L836">IFERROR(
  INDEX('Golf Log'!$E$2:$V$72,
    MATCH(1,
      ('Golf Log'!$A$2:$A$72=$A836)*
      ('Golf Log'!$B$2:$B$72=$B836)*
      ('Golf Log'!$C$2:$C$72=$C836),
    0),
    MATCH($G836,'Golf Log'!$E$1:$V$1,0)
  ),
"")</f>
        <v>5</v>
      </c>
      <c r="M836">
        <f t="shared" si="58"/>
        <v>1</v>
      </c>
      <c r="N836" t="str">
        <f t="shared" si="59"/>
        <v>Bogey</v>
      </c>
      <c r="O836" cm="1">
        <f t="array" ref="O836">IFERROR(
  INDEX('Putt Log'!$E$2:$V$72,
    MATCH(1,
      ('Putt Log'!$A$2:$A$72=$A836)*
      ('Putt Log'!$B$2:$B$72=$B836)*
      ('Putt Log'!$C$2:$C$72=$C836),
    0),
    MATCH($G836,'Putt Log'!$E$1:$V$1,0)
  ),
"")</f>
        <v>2</v>
      </c>
      <c r="P836" cm="1">
        <f t="array" ref="P836">IF(K836=3,"",
  IFERROR(
    INDEX('Fairway Log'!$E$2:$V$72,
      MATCH(1,
        ('Fairway Log'!$A$2:$A$72=$A836)*
        ('Fairway Log'!$B$2:$B$72=$B836)*
        ('Fairway Log'!$C$2:$C907=$C836),
      0),
      MATCH($G836,'Fairway Log'!$E$1:$V$1,0)
    ),
  "")
)</f>
        <v>0</v>
      </c>
      <c r="Q836" cm="1">
        <f t="array" ref="Q836">IFERROR(
  INDEX('GIR Log'!$E$2:$V$72,
    MATCH(1,
      ('GIR Log'!$A$2:$A$72=$A836)*
      ('GIR Log'!$B$2:$B$72=$B836)*
      ('GIR Log'!$C$2:$C$72=$C836),
    0),
    MATCH($G836,'GIR Log'!$E$1:$V$1,0)
  ),
"")</f>
        <v>0</v>
      </c>
    </row>
    <row r="837" spans="1:17" x14ac:dyDescent="0.25">
      <c r="A837" s="43" t="s">
        <v>127</v>
      </c>
      <c r="B837" s="2">
        <v>45453</v>
      </c>
      <c r="C837" s="43" t="s">
        <v>11</v>
      </c>
      <c r="D837" s="43" t="s">
        <v>77</v>
      </c>
      <c r="E837" s="43" t="s">
        <v>34</v>
      </c>
      <c r="F837">
        <v>109</v>
      </c>
      <c r="G837" s="12" t="s">
        <v>54</v>
      </c>
      <c r="H837" s="9">
        <f t="shared" si="57"/>
        <v>8</v>
      </c>
      <c r="I837" cm="1">
        <f t="array" ref="I837">IFERROR(INDEX(CourseYardages[[Hole 1]:[Hole 18]],
  MATCH(1, (CourseYardages[Course]=C837)*(CourseYardages[Tees]=E837), 0),
  MATCH(G837, CourseYardages[[#Headers],[Hole 1]:[Hole 18]], 0)
),"")</f>
        <v>356</v>
      </c>
      <c r="J837" cm="1">
        <f t="array" ref="J837">IFERROR(INDEX(CourseHandicap[[Hole 1]:[Hole 18]],
  MATCH(1, (CourseHandicap[Course]=C837)*(CourseHandicap[Tees]=E837), 0),
  MATCH(G837, CourseHandicap[[#Headers],[Hole 1]:[Hole 18]], 0)
),"")</f>
        <v>5</v>
      </c>
      <c r="K837" cm="1">
        <f t="array" ref="K837">IFERROR(INDEX(CourseRatings[[Hole 1]:[Hole 18]],
  MATCH(1, (CourseRatings[Course]=C837)*(CourseRatings[Tees]=E837), 0),
  MATCH(G837, CourseRatings[[#Headers],[Hole 1]:[Hole 18]], 0)
),"")</f>
        <v>4</v>
      </c>
      <c r="L837" cm="1">
        <f t="array" ref="L837">IFERROR(
  INDEX('Golf Log'!$E$2:$V$72,
    MATCH(1,
      ('Golf Log'!$A$2:$A$72=$A837)*
      ('Golf Log'!$B$2:$B$72=$B837)*
      ('Golf Log'!$C$2:$C$72=$C837),
    0),
    MATCH($G837,'Golf Log'!$E$1:$V$1,0)
  ),
"")</f>
        <v>7</v>
      </c>
      <c r="M837">
        <f t="shared" si="58"/>
        <v>3</v>
      </c>
      <c r="N837" t="str">
        <f t="shared" si="59"/>
        <v>Triple Bogey</v>
      </c>
      <c r="O837" cm="1">
        <f t="array" ref="O837">IFERROR(
  INDEX('Putt Log'!$E$2:$V$72,
    MATCH(1,
      ('Putt Log'!$A$2:$A$72=$A837)*
      ('Putt Log'!$B$2:$B$72=$B837)*
      ('Putt Log'!$C$2:$C$72=$C837),
    0),
    MATCH($G837,'Putt Log'!$E$1:$V$1,0)
  ),
"")</f>
        <v>3</v>
      </c>
      <c r="P837" cm="1">
        <f t="array" ref="P837">IF(K837=3,"",
  IFERROR(
    INDEX('Fairway Log'!$E$2:$V$72,
      MATCH(1,
        ('Fairway Log'!$A$2:$A$72=$A837)*
        ('Fairway Log'!$B$2:$B$72=$B837)*
        ('Fairway Log'!$C$2:$C908=$C837),
      0),
      MATCH($G837,'Fairway Log'!$E$1:$V$1,0)
    ),
  "")
)</f>
        <v>0</v>
      </c>
      <c r="Q837" cm="1">
        <f t="array" ref="Q837">IFERROR(
  INDEX('GIR Log'!$E$2:$V$72,
    MATCH(1,
      ('GIR Log'!$A$2:$A$72=$A837)*
      ('GIR Log'!$B$2:$B$72=$B837)*
      ('GIR Log'!$C$2:$C$72=$C837),
    0),
    MATCH($G837,'GIR Log'!$E$1:$V$1,0)
  ),
"")</f>
        <v>0</v>
      </c>
    </row>
    <row r="838" spans="1:17" x14ac:dyDescent="0.25">
      <c r="A838" s="43" t="s">
        <v>127</v>
      </c>
      <c r="B838" s="2">
        <v>45453</v>
      </c>
      <c r="C838" s="43" t="s">
        <v>11</v>
      </c>
      <c r="D838" s="43" t="s">
        <v>77</v>
      </c>
      <c r="E838" s="43" t="s">
        <v>34</v>
      </c>
      <c r="F838">
        <v>109</v>
      </c>
      <c r="G838" s="12" t="s">
        <v>55</v>
      </c>
      <c r="H838" s="9">
        <f t="shared" si="57"/>
        <v>9</v>
      </c>
      <c r="I838" cm="1">
        <f t="array" ref="I838">IFERROR(INDEX(CourseYardages[[Hole 1]:[Hole 18]],
  MATCH(1, (CourseYardages[Course]=C838)*(CourseYardages[Tees]=E838), 0),
  MATCH(G838, CourseYardages[[#Headers],[Hole 1]:[Hole 18]], 0)
),"")</f>
        <v>534</v>
      </c>
      <c r="J838" cm="1">
        <f t="array" ref="J838">IFERROR(INDEX(CourseHandicap[[Hole 1]:[Hole 18]],
  MATCH(1, (CourseHandicap[Course]=C838)*(CourseHandicap[Tees]=E838), 0),
  MATCH(G838, CourseHandicap[[#Headers],[Hole 1]:[Hole 18]], 0)
),"")</f>
        <v>1</v>
      </c>
      <c r="K838" cm="1">
        <f t="array" ref="K838">IFERROR(INDEX(CourseRatings[[Hole 1]:[Hole 18]],
  MATCH(1, (CourseRatings[Course]=C838)*(CourseRatings[Tees]=E838), 0),
  MATCH(G838, CourseRatings[[#Headers],[Hole 1]:[Hole 18]], 0)
),"")</f>
        <v>5</v>
      </c>
      <c r="L838" cm="1">
        <f t="array" ref="L838">IFERROR(
  INDEX('Golf Log'!$E$2:$V$72,
    MATCH(1,
      ('Golf Log'!$A$2:$A$72=$A838)*
      ('Golf Log'!$B$2:$B$72=$B838)*
      ('Golf Log'!$C$2:$C$72=$C838),
    0),
    MATCH($G838,'Golf Log'!$E$1:$V$1,0)
  ),
"")</f>
        <v>8</v>
      </c>
      <c r="M838">
        <f t="shared" si="58"/>
        <v>3</v>
      </c>
      <c r="N838" t="str">
        <f t="shared" si="59"/>
        <v>Triple Bogey</v>
      </c>
      <c r="O838" cm="1">
        <f t="array" ref="O838">IFERROR(
  INDEX('Putt Log'!$E$2:$V$72,
    MATCH(1,
      ('Putt Log'!$A$2:$A$72=$A838)*
      ('Putt Log'!$B$2:$B$72=$B838)*
      ('Putt Log'!$C$2:$C$72=$C838),
    0),
    MATCH($G838,'Putt Log'!$E$1:$V$1,0)
  ),
"")</f>
        <v>2</v>
      </c>
      <c r="P838" cm="1">
        <f t="array" ref="P838">IF(K838=3,"",
  IFERROR(
    INDEX('Fairway Log'!$E$2:$V$72,
      MATCH(1,
        ('Fairway Log'!$A$2:$A$72=$A838)*
        ('Fairway Log'!$B$2:$B$72=$B838)*
        ('Fairway Log'!$C$2:$C909=$C838),
      0),
      MATCH($G838,'Fairway Log'!$E$1:$V$1,0)
    ),
  "")
)</f>
        <v>0</v>
      </c>
      <c r="Q838" cm="1">
        <f t="array" ref="Q838">IFERROR(
  INDEX('GIR Log'!$E$2:$V$72,
    MATCH(1,
      ('GIR Log'!$A$2:$A$72=$A838)*
      ('GIR Log'!$B$2:$B$72=$B838)*
      ('GIR Log'!$C$2:$C$72=$C838),
    0),
    MATCH($G838,'GIR Log'!$E$1:$V$1,0)
  ),
"")</f>
        <v>0</v>
      </c>
    </row>
    <row r="839" spans="1:17" x14ac:dyDescent="0.25">
      <c r="A839" s="43" t="s">
        <v>127</v>
      </c>
      <c r="B839" s="2">
        <v>45453</v>
      </c>
      <c r="C839" s="43" t="s">
        <v>11</v>
      </c>
      <c r="D839" s="43" t="s">
        <v>77</v>
      </c>
      <c r="E839" s="43" t="s">
        <v>34</v>
      </c>
      <c r="F839">
        <v>109</v>
      </c>
      <c r="G839" s="12" t="s">
        <v>56</v>
      </c>
      <c r="H839" s="9">
        <f t="shared" si="57"/>
        <v>10</v>
      </c>
      <c r="I839" cm="1">
        <f t="array" ref="I839">IFERROR(INDEX(CourseYardages[[Hole 1]:[Hole 18]],
  MATCH(1, (CourseYardages[Course]=C839)*(CourseYardages[Tees]=E839), 0),
  MATCH(G839, CourseYardages[[#Headers],[Hole 1]:[Hole 18]], 0)
),"")</f>
        <v>339</v>
      </c>
      <c r="J839" cm="1">
        <f t="array" ref="J839">IFERROR(INDEX(CourseHandicap[[Hole 1]:[Hole 18]],
  MATCH(1, (CourseHandicap[Course]=C839)*(CourseHandicap[Tees]=E839), 0),
  MATCH(G839, CourseHandicap[[#Headers],[Hole 1]:[Hole 18]], 0)
),"")</f>
        <v>12</v>
      </c>
      <c r="K839" cm="1">
        <f t="array" ref="K839">IFERROR(INDEX(CourseRatings[[Hole 1]:[Hole 18]],
  MATCH(1, (CourseRatings[Course]=C839)*(CourseRatings[Tees]=E839), 0),
  MATCH(G839, CourseRatings[[#Headers],[Hole 1]:[Hole 18]], 0)
),"")</f>
        <v>4</v>
      </c>
      <c r="L839" cm="1">
        <f t="array" ref="L839">IFERROR(
  INDEX('Golf Log'!$E$2:$V$72,
    MATCH(1,
      ('Golf Log'!$A$2:$A$72=$A839)*
      ('Golf Log'!$B$2:$B$72=$B839)*
      ('Golf Log'!$C$2:$C$72=$C839),
    0),
    MATCH($G839,'Golf Log'!$E$1:$V$1,0)
  ),
"")</f>
        <v>7</v>
      </c>
      <c r="M839">
        <f t="shared" si="58"/>
        <v>3</v>
      </c>
      <c r="N839" t="str">
        <f t="shared" si="59"/>
        <v>Triple Bogey</v>
      </c>
      <c r="O839" cm="1">
        <f t="array" ref="O839">IFERROR(
  INDEX('Putt Log'!$E$2:$V$72,
    MATCH(1,
      ('Putt Log'!$A$2:$A$72=$A839)*
      ('Putt Log'!$B$2:$B$72=$B839)*
      ('Putt Log'!$C$2:$C$72=$C839),
    0),
    MATCH($G839,'Putt Log'!$E$1:$V$1,0)
  ),
"")</f>
        <v>2</v>
      </c>
      <c r="P839" cm="1">
        <f t="array" ref="P839">IF(K839=3,"",
  IFERROR(
    INDEX('Fairway Log'!$E$2:$V$72,
      MATCH(1,
        ('Fairway Log'!$A$2:$A$72=$A839)*
        ('Fairway Log'!$B$2:$B$72=$B839)*
        ('Fairway Log'!$C$2:$C910=$C839),
      0),
      MATCH($G839,'Fairway Log'!$E$1:$V$1,0)
    ),
  "")
)</f>
        <v>0</v>
      </c>
      <c r="Q839" cm="1">
        <f t="array" ref="Q839">IFERROR(
  INDEX('GIR Log'!$E$2:$V$72,
    MATCH(1,
      ('GIR Log'!$A$2:$A$72=$A839)*
      ('GIR Log'!$B$2:$B$72=$B839)*
      ('GIR Log'!$C$2:$C$72=$C839),
    0),
    MATCH($G839,'GIR Log'!$E$1:$V$1,0)
  ),
"")</f>
        <v>0</v>
      </c>
    </row>
    <row r="840" spans="1:17" x14ac:dyDescent="0.25">
      <c r="A840" s="43" t="s">
        <v>127</v>
      </c>
      <c r="B840" s="2">
        <v>45453</v>
      </c>
      <c r="C840" s="43" t="s">
        <v>11</v>
      </c>
      <c r="D840" s="43" t="s">
        <v>77</v>
      </c>
      <c r="E840" s="43" t="s">
        <v>34</v>
      </c>
      <c r="F840">
        <v>109</v>
      </c>
      <c r="G840" s="12" t="s">
        <v>57</v>
      </c>
      <c r="H840" s="9">
        <f t="shared" si="57"/>
        <v>11</v>
      </c>
      <c r="I840" cm="1">
        <f t="array" ref="I840">IFERROR(INDEX(CourseYardages[[Hole 1]:[Hole 18]],
  MATCH(1, (CourseYardages[Course]=C840)*(CourseYardages[Tees]=E840), 0),
  MATCH(G840, CourseYardages[[#Headers],[Hole 1]:[Hole 18]], 0)
),"")</f>
        <v>157</v>
      </c>
      <c r="J840" cm="1">
        <f t="array" ref="J840">IFERROR(INDEX(CourseHandicap[[Hole 1]:[Hole 18]],
  MATCH(1, (CourseHandicap[Course]=C840)*(CourseHandicap[Tees]=E840), 0),
  MATCH(G840, CourseHandicap[[#Headers],[Hole 1]:[Hole 18]], 0)
),"")</f>
        <v>18</v>
      </c>
      <c r="K840" cm="1">
        <f t="array" ref="K840">IFERROR(INDEX(CourseRatings[[Hole 1]:[Hole 18]],
  MATCH(1, (CourseRatings[Course]=C840)*(CourseRatings[Tees]=E840), 0),
  MATCH(G840, CourseRatings[[#Headers],[Hole 1]:[Hole 18]], 0)
),"")</f>
        <v>3</v>
      </c>
      <c r="L840" cm="1">
        <f t="array" ref="L840">IFERROR(
  INDEX('Golf Log'!$E$2:$V$72,
    MATCH(1,
      ('Golf Log'!$A$2:$A$72=$A840)*
      ('Golf Log'!$B$2:$B$72=$B840)*
      ('Golf Log'!$C$2:$C$72=$C840),
    0),
    MATCH($G840,'Golf Log'!$E$1:$V$1,0)
  ),
"")</f>
        <v>5</v>
      </c>
      <c r="M840">
        <f t="shared" si="58"/>
        <v>2</v>
      </c>
      <c r="N840" t="str">
        <f t="shared" si="59"/>
        <v>Double Bogey</v>
      </c>
      <c r="O840" cm="1">
        <f t="array" ref="O840">IFERROR(
  INDEX('Putt Log'!$E$2:$V$72,
    MATCH(1,
      ('Putt Log'!$A$2:$A$72=$A840)*
      ('Putt Log'!$B$2:$B$72=$B840)*
      ('Putt Log'!$C$2:$C$72=$C840),
    0),
    MATCH($G840,'Putt Log'!$E$1:$V$1,0)
  ),
"")</f>
        <v>1</v>
      </c>
      <c r="P840" t="str" cm="1">
        <f t="array" ref="P840">IF(K840=3,"",
  IFERROR(
    INDEX('Fairway Log'!$E$2:$V$72,
      MATCH(1,
        ('Fairway Log'!$A$2:$A$72=$A840)*
        ('Fairway Log'!$B$2:$B$72=$B840)*
        ('Fairway Log'!$C$2:$C911=$C840),
      0),
      MATCH($G840,'Fairway Log'!$E$1:$V$1,0)
    ),
  "")
)</f>
        <v/>
      </c>
      <c r="Q840" cm="1">
        <f t="array" ref="Q840">IFERROR(
  INDEX('GIR Log'!$E$2:$V$72,
    MATCH(1,
      ('GIR Log'!$A$2:$A$72=$A840)*
      ('GIR Log'!$B$2:$B$72=$B840)*
      ('GIR Log'!$C$2:$C$72=$C840),
    0),
    MATCH($G840,'GIR Log'!$E$1:$V$1,0)
  ),
"")</f>
        <v>0</v>
      </c>
    </row>
    <row r="841" spans="1:17" x14ac:dyDescent="0.25">
      <c r="A841" s="43" t="s">
        <v>127</v>
      </c>
      <c r="B841" s="2">
        <v>45453</v>
      </c>
      <c r="C841" s="43" t="s">
        <v>11</v>
      </c>
      <c r="D841" s="43" t="s">
        <v>77</v>
      </c>
      <c r="E841" s="43" t="s">
        <v>34</v>
      </c>
      <c r="F841">
        <v>109</v>
      </c>
      <c r="G841" s="12" t="s">
        <v>58</v>
      </c>
      <c r="H841" s="9">
        <f t="shared" si="57"/>
        <v>12</v>
      </c>
      <c r="I841" cm="1">
        <f t="array" ref="I841">IFERROR(INDEX(CourseYardages[[Hole 1]:[Hole 18]],
  MATCH(1, (CourseYardages[Course]=C841)*(CourseYardages[Tees]=E841), 0),
  MATCH(G841, CourseYardages[[#Headers],[Hole 1]:[Hole 18]], 0)
),"")</f>
        <v>363</v>
      </c>
      <c r="J841" cm="1">
        <f t="array" ref="J841">IFERROR(INDEX(CourseHandicap[[Hole 1]:[Hole 18]],
  MATCH(1, (CourseHandicap[Course]=C841)*(CourseHandicap[Tees]=E841), 0),
  MATCH(G841, CourseHandicap[[#Headers],[Hole 1]:[Hole 18]], 0)
),"")</f>
        <v>6</v>
      </c>
      <c r="K841" cm="1">
        <f t="array" ref="K841">IFERROR(INDEX(CourseRatings[[Hole 1]:[Hole 18]],
  MATCH(1, (CourseRatings[Course]=C841)*(CourseRatings[Tees]=E841), 0),
  MATCH(G841, CourseRatings[[#Headers],[Hole 1]:[Hole 18]], 0)
),"")</f>
        <v>4</v>
      </c>
      <c r="L841" cm="1">
        <f t="array" ref="L841">IFERROR(
  INDEX('Golf Log'!$E$2:$V$72,
    MATCH(1,
      ('Golf Log'!$A$2:$A$72=$A841)*
      ('Golf Log'!$B$2:$B$72=$B841)*
      ('Golf Log'!$C$2:$C$72=$C841),
    0),
    MATCH($G841,'Golf Log'!$E$1:$V$1,0)
  ),
"")</f>
        <v>7</v>
      </c>
      <c r="M841">
        <f t="shared" si="58"/>
        <v>3</v>
      </c>
      <c r="N841" t="str">
        <f t="shared" si="59"/>
        <v>Triple Bogey</v>
      </c>
      <c r="O841" cm="1">
        <f t="array" ref="O841">IFERROR(
  INDEX('Putt Log'!$E$2:$V$72,
    MATCH(1,
      ('Putt Log'!$A$2:$A$72=$A841)*
      ('Putt Log'!$B$2:$B$72=$B841)*
      ('Putt Log'!$C$2:$C$72=$C841),
    0),
    MATCH($G841,'Putt Log'!$E$1:$V$1,0)
  ),
"")</f>
        <v>2</v>
      </c>
      <c r="P841" cm="1">
        <f t="array" ref="P841">IF(K841=3,"",
  IFERROR(
    INDEX('Fairway Log'!$E$2:$V$72,
      MATCH(1,
        ('Fairway Log'!$A$2:$A$72=$A841)*
        ('Fairway Log'!$B$2:$B$72=$B841)*
        ('Fairway Log'!$C$2:$C912=$C841),
      0),
      MATCH($G841,'Fairway Log'!$E$1:$V$1,0)
    ),
  "")
)</f>
        <v>0</v>
      </c>
      <c r="Q841" cm="1">
        <f t="array" ref="Q841">IFERROR(
  INDEX('GIR Log'!$E$2:$V$72,
    MATCH(1,
      ('GIR Log'!$A$2:$A$72=$A841)*
      ('GIR Log'!$B$2:$B$72=$B841)*
      ('GIR Log'!$C$2:$C$72=$C841),
    0),
    MATCH($G841,'GIR Log'!$E$1:$V$1,0)
  ),
"")</f>
        <v>0</v>
      </c>
    </row>
    <row r="842" spans="1:17" x14ac:dyDescent="0.25">
      <c r="A842" s="43" t="s">
        <v>127</v>
      </c>
      <c r="B842" s="2">
        <v>45453</v>
      </c>
      <c r="C842" s="43" t="s">
        <v>11</v>
      </c>
      <c r="D842" s="43" t="s">
        <v>77</v>
      </c>
      <c r="E842" s="43" t="s">
        <v>34</v>
      </c>
      <c r="F842">
        <v>109</v>
      </c>
      <c r="G842" s="12" t="s">
        <v>59</v>
      </c>
      <c r="H842" s="9">
        <f t="shared" si="57"/>
        <v>13</v>
      </c>
      <c r="I842" cm="1">
        <f t="array" ref="I842">IFERROR(INDEX(CourseYardages[[Hole 1]:[Hole 18]],
  MATCH(1, (CourseYardages[Course]=C842)*(CourseYardages[Tees]=E842), 0),
  MATCH(G842, CourseYardages[[#Headers],[Hole 1]:[Hole 18]], 0)
),"")</f>
        <v>555</v>
      </c>
      <c r="J842" cm="1">
        <f t="array" ref="J842">IFERROR(INDEX(CourseHandicap[[Hole 1]:[Hole 18]],
  MATCH(1, (CourseHandicap[Course]=C842)*(CourseHandicap[Tees]=E842), 0),
  MATCH(G842, CourseHandicap[[#Headers],[Hole 1]:[Hole 18]], 0)
),"")</f>
        <v>4</v>
      </c>
      <c r="K842" cm="1">
        <f t="array" ref="K842">IFERROR(INDEX(CourseRatings[[Hole 1]:[Hole 18]],
  MATCH(1, (CourseRatings[Course]=C842)*(CourseRatings[Tees]=E842), 0),
  MATCH(G842, CourseRatings[[#Headers],[Hole 1]:[Hole 18]], 0)
),"")</f>
        <v>5</v>
      </c>
      <c r="L842" cm="1">
        <f t="array" ref="L842">IFERROR(
  INDEX('Golf Log'!$E$2:$V$72,
    MATCH(1,
      ('Golf Log'!$A$2:$A$72=$A842)*
      ('Golf Log'!$B$2:$B$72=$B842)*
      ('Golf Log'!$C$2:$C$72=$C842),
    0),
    MATCH($G842,'Golf Log'!$E$1:$V$1,0)
  ),
"")</f>
        <v>6</v>
      </c>
      <c r="M842">
        <f t="shared" si="58"/>
        <v>1</v>
      </c>
      <c r="N842" t="str">
        <f t="shared" si="59"/>
        <v>Bogey</v>
      </c>
      <c r="O842" cm="1">
        <f t="array" ref="O842">IFERROR(
  INDEX('Putt Log'!$E$2:$V$72,
    MATCH(1,
      ('Putt Log'!$A$2:$A$72=$A842)*
      ('Putt Log'!$B$2:$B$72=$B842)*
      ('Putt Log'!$C$2:$C$72=$C842),
    0),
    MATCH($G842,'Putt Log'!$E$1:$V$1,0)
  ),
"")</f>
        <v>2</v>
      </c>
      <c r="P842" cm="1">
        <f t="array" ref="P842">IF(K842=3,"",
  IFERROR(
    INDEX('Fairway Log'!$E$2:$V$72,
      MATCH(1,
        ('Fairway Log'!$A$2:$A$72=$A842)*
        ('Fairway Log'!$B$2:$B$72=$B842)*
        ('Fairway Log'!$C$2:$C913=$C842),
      0),
      MATCH($G842,'Fairway Log'!$E$1:$V$1,0)
    ),
  "")
)</f>
        <v>0</v>
      </c>
      <c r="Q842" cm="1">
        <f t="array" ref="Q842">IFERROR(
  INDEX('GIR Log'!$E$2:$V$72,
    MATCH(1,
      ('GIR Log'!$A$2:$A$72=$A842)*
      ('GIR Log'!$B$2:$B$72=$B842)*
      ('GIR Log'!$C$2:$C$72=$C842),
    0),
    MATCH($G842,'GIR Log'!$E$1:$V$1,0)
  ),
"")</f>
        <v>1</v>
      </c>
    </row>
    <row r="843" spans="1:17" x14ac:dyDescent="0.25">
      <c r="A843" s="43" t="s">
        <v>127</v>
      </c>
      <c r="B843" s="2">
        <v>45453</v>
      </c>
      <c r="C843" s="43" t="s">
        <v>11</v>
      </c>
      <c r="D843" s="43" t="s">
        <v>77</v>
      </c>
      <c r="E843" s="43" t="s">
        <v>34</v>
      </c>
      <c r="F843">
        <v>109</v>
      </c>
      <c r="G843" s="12" t="s">
        <v>60</v>
      </c>
      <c r="H843" s="9">
        <f t="shared" si="57"/>
        <v>14</v>
      </c>
      <c r="I843" cm="1">
        <f t="array" ref="I843">IFERROR(INDEX(CourseYardages[[Hole 1]:[Hole 18]],
  MATCH(1, (CourseYardages[Course]=C843)*(CourseYardages[Tees]=E843), 0),
  MATCH(G843, CourseYardages[[#Headers],[Hole 1]:[Hole 18]], 0)
),"")</f>
        <v>172</v>
      </c>
      <c r="J843" cm="1">
        <f t="array" ref="J843">IFERROR(INDEX(CourseHandicap[[Hole 1]:[Hole 18]],
  MATCH(1, (CourseHandicap[Course]=C843)*(CourseHandicap[Tees]=E843), 0),
  MATCH(G843, CourseHandicap[[#Headers],[Hole 1]:[Hole 18]], 0)
),"")</f>
        <v>14</v>
      </c>
      <c r="K843" cm="1">
        <f t="array" ref="K843">IFERROR(INDEX(CourseRatings[[Hole 1]:[Hole 18]],
  MATCH(1, (CourseRatings[Course]=C843)*(CourseRatings[Tees]=E843), 0),
  MATCH(G843, CourseRatings[[#Headers],[Hole 1]:[Hole 18]], 0)
),"")</f>
        <v>3</v>
      </c>
      <c r="L843" cm="1">
        <f t="array" ref="L843">IFERROR(
  INDEX('Golf Log'!$E$2:$V$72,
    MATCH(1,
      ('Golf Log'!$A$2:$A$72=$A843)*
      ('Golf Log'!$B$2:$B$72=$B843)*
      ('Golf Log'!$C$2:$C$72=$C843),
    0),
    MATCH($G843,'Golf Log'!$E$1:$V$1,0)
  ),
"")</f>
        <v>6</v>
      </c>
      <c r="M843">
        <f t="shared" si="58"/>
        <v>3</v>
      </c>
      <c r="N843" t="str">
        <f t="shared" si="59"/>
        <v>Triple Bogey</v>
      </c>
      <c r="O843" cm="1">
        <f t="array" ref="O843">IFERROR(
  INDEX('Putt Log'!$E$2:$V$72,
    MATCH(1,
      ('Putt Log'!$A$2:$A$72=$A843)*
      ('Putt Log'!$B$2:$B$72=$B843)*
      ('Putt Log'!$C$2:$C$72=$C843),
    0),
    MATCH($G843,'Putt Log'!$E$1:$V$1,0)
  ),
"")</f>
        <v>2</v>
      </c>
      <c r="P843" t="str" cm="1">
        <f t="array" ref="P843">IF(K843=3,"",
  IFERROR(
    INDEX('Fairway Log'!$E$2:$V$72,
      MATCH(1,
        ('Fairway Log'!$A$2:$A$72=$A843)*
        ('Fairway Log'!$B$2:$B$72=$B843)*
        ('Fairway Log'!$C$2:$C914=$C843),
      0),
      MATCH($G843,'Fairway Log'!$E$1:$V$1,0)
    ),
  "")
)</f>
        <v/>
      </c>
      <c r="Q843" cm="1">
        <f t="array" ref="Q843">IFERROR(
  INDEX('GIR Log'!$E$2:$V$72,
    MATCH(1,
      ('GIR Log'!$A$2:$A$72=$A843)*
      ('GIR Log'!$B$2:$B$72=$B843)*
      ('GIR Log'!$C$2:$C$72=$C843),
    0),
    MATCH($G843,'GIR Log'!$E$1:$V$1,0)
  ),
"")</f>
        <v>0</v>
      </c>
    </row>
    <row r="844" spans="1:17" x14ac:dyDescent="0.25">
      <c r="A844" s="43" t="s">
        <v>127</v>
      </c>
      <c r="B844" s="2">
        <v>45453</v>
      </c>
      <c r="C844" s="43" t="s">
        <v>11</v>
      </c>
      <c r="D844" s="43" t="s">
        <v>77</v>
      </c>
      <c r="E844" s="43" t="s">
        <v>34</v>
      </c>
      <c r="F844">
        <v>109</v>
      </c>
      <c r="G844" s="12" t="s">
        <v>61</v>
      </c>
      <c r="H844" s="9">
        <f t="shared" si="57"/>
        <v>15</v>
      </c>
      <c r="I844" cm="1">
        <f t="array" ref="I844">IFERROR(INDEX(CourseYardages[[Hole 1]:[Hole 18]],
  MATCH(1, (CourseYardages[Course]=C844)*(CourseYardages[Tees]=E844), 0),
  MATCH(G844, CourseYardages[[#Headers],[Hole 1]:[Hole 18]], 0)
),"")</f>
        <v>527</v>
      </c>
      <c r="J844" cm="1">
        <f t="array" ref="J844">IFERROR(INDEX(CourseHandicap[[Hole 1]:[Hole 18]],
  MATCH(1, (CourseHandicap[Course]=C844)*(CourseHandicap[Tees]=E844), 0),
  MATCH(G844, CourseHandicap[[#Headers],[Hole 1]:[Hole 18]], 0)
),"")</f>
        <v>2</v>
      </c>
      <c r="K844" cm="1">
        <f t="array" ref="K844">IFERROR(INDEX(CourseRatings[[Hole 1]:[Hole 18]],
  MATCH(1, (CourseRatings[Course]=C844)*(CourseRatings[Tees]=E844), 0),
  MATCH(G844, CourseRatings[[#Headers],[Hole 1]:[Hole 18]], 0)
),"")</f>
        <v>5</v>
      </c>
      <c r="L844" cm="1">
        <f t="array" ref="L844">IFERROR(
  INDEX('Golf Log'!$E$2:$V$72,
    MATCH(1,
      ('Golf Log'!$A$2:$A$72=$A844)*
      ('Golf Log'!$B$2:$B$72=$B844)*
      ('Golf Log'!$C$2:$C$72=$C844),
    0),
    MATCH($G844,'Golf Log'!$E$1:$V$1,0)
  ),
"")</f>
        <v>8</v>
      </c>
      <c r="M844">
        <f t="shared" si="58"/>
        <v>3</v>
      </c>
      <c r="N844" t="str">
        <f t="shared" si="59"/>
        <v>Triple Bogey</v>
      </c>
      <c r="O844" cm="1">
        <f t="array" ref="O844">IFERROR(
  INDEX('Putt Log'!$E$2:$V$72,
    MATCH(1,
      ('Putt Log'!$A$2:$A$72=$A844)*
      ('Putt Log'!$B$2:$B$72=$B844)*
      ('Putt Log'!$C$2:$C$72=$C844),
    0),
    MATCH($G844,'Putt Log'!$E$1:$V$1,0)
  ),
"")</f>
        <v>2</v>
      </c>
      <c r="P844" cm="1">
        <f t="array" ref="P844">IF(K844=3,"",
  IFERROR(
    INDEX('Fairway Log'!$E$2:$V$72,
      MATCH(1,
        ('Fairway Log'!$A$2:$A$72=$A844)*
        ('Fairway Log'!$B$2:$B$72=$B844)*
        ('Fairway Log'!$C$2:$C915=$C844),
      0),
      MATCH($G844,'Fairway Log'!$E$1:$V$1,0)
    ),
  "")
)</f>
        <v>0</v>
      </c>
      <c r="Q844" cm="1">
        <f t="array" ref="Q844">IFERROR(
  INDEX('GIR Log'!$E$2:$V$72,
    MATCH(1,
      ('GIR Log'!$A$2:$A$72=$A844)*
      ('GIR Log'!$B$2:$B$72=$B844)*
      ('GIR Log'!$C$2:$C$72=$C844),
    0),
    MATCH($G844,'GIR Log'!$E$1:$V$1,0)
  ),
"")</f>
        <v>0</v>
      </c>
    </row>
    <row r="845" spans="1:17" x14ac:dyDescent="0.25">
      <c r="A845" s="43" t="s">
        <v>127</v>
      </c>
      <c r="B845" s="2">
        <v>45453</v>
      </c>
      <c r="C845" s="43" t="s">
        <v>11</v>
      </c>
      <c r="D845" s="43" t="s">
        <v>77</v>
      </c>
      <c r="E845" s="43" t="s">
        <v>34</v>
      </c>
      <c r="F845">
        <v>109</v>
      </c>
      <c r="G845" s="12" t="s">
        <v>62</v>
      </c>
      <c r="H845" s="9">
        <f t="shared" si="57"/>
        <v>16</v>
      </c>
      <c r="I845" cm="1">
        <f t="array" ref="I845">IFERROR(INDEX(CourseYardages[[Hole 1]:[Hole 18]],
  MATCH(1, (CourseYardages[Course]=C845)*(CourseYardages[Tees]=E845), 0),
  MATCH(G845, CourseYardages[[#Headers],[Hole 1]:[Hole 18]], 0)
),"")</f>
        <v>137</v>
      </c>
      <c r="J845" cm="1">
        <f t="array" ref="J845">IFERROR(INDEX(CourseHandicap[[Hole 1]:[Hole 18]],
  MATCH(1, (CourseHandicap[Course]=C845)*(CourseHandicap[Tees]=E845), 0),
  MATCH(G845, CourseHandicap[[#Headers],[Hole 1]:[Hole 18]], 0)
),"")</f>
        <v>16</v>
      </c>
      <c r="K845" cm="1">
        <f t="array" ref="K845">IFERROR(INDEX(CourseRatings[[Hole 1]:[Hole 18]],
  MATCH(1, (CourseRatings[Course]=C845)*(CourseRatings[Tees]=E845), 0),
  MATCH(G845, CourseRatings[[#Headers],[Hole 1]:[Hole 18]], 0)
),"")</f>
        <v>3</v>
      </c>
      <c r="L845" cm="1">
        <f t="array" ref="L845">IFERROR(
  INDEX('Golf Log'!$E$2:$V$72,
    MATCH(1,
      ('Golf Log'!$A$2:$A$72=$A845)*
      ('Golf Log'!$B$2:$B$72=$B845)*
      ('Golf Log'!$C$2:$C$72=$C845),
    0),
    MATCH($G845,'Golf Log'!$E$1:$V$1,0)
  ),
"")</f>
        <v>5</v>
      </c>
      <c r="M845">
        <f t="shared" si="58"/>
        <v>2</v>
      </c>
      <c r="N845" t="str">
        <f t="shared" si="59"/>
        <v>Double Bogey</v>
      </c>
      <c r="O845" cm="1">
        <f t="array" ref="O845">IFERROR(
  INDEX('Putt Log'!$E$2:$V$72,
    MATCH(1,
      ('Putt Log'!$A$2:$A$72=$A845)*
      ('Putt Log'!$B$2:$B$72=$B845)*
      ('Putt Log'!$C$2:$C$72=$C845),
    0),
    MATCH($G845,'Putt Log'!$E$1:$V$1,0)
  ),
"")</f>
        <v>2</v>
      </c>
      <c r="P845" t="str" cm="1">
        <f t="array" ref="P845">IF(K845=3,"",
  IFERROR(
    INDEX('Fairway Log'!$E$2:$V$72,
      MATCH(1,
        ('Fairway Log'!$A$2:$A$72=$A845)*
        ('Fairway Log'!$B$2:$B$72=$B845)*
        ('Fairway Log'!$C$2:$C916=$C845),
      0),
      MATCH($G845,'Fairway Log'!$E$1:$V$1,0)
    ),
  "")
)</f>
        <v/>
      </c>
      <c r="Q845" cm="1">
        <f t="array" ref="Q845">IFERROR(
  INDEX('GIR Log'!$E$2:$V$72,
    MATCH(1,
      ('GIR Log'!$A$2:$A$72=$A845)*
      ('GIR Log'!$B$2:$B$72=$B845)*
      ('GIR Log'!$C$2:$C$72=$C845),
    0),
    MATCH($G845,'GIR Log'!$E$1:$V$1,0)
  ),
"")</f>
        <v>0</v>
      </c>
    </row>
    <row r="846" spans="1:17" x14ac:dyDescent="0.25">
      <c r="A846" s="43" t="s">
        <v>127</v>
      </c>
      <c r="B846" s="2">
        <v>45453</v>
      </c>
      <c r="C846" s="43" t="s">
        <v>11</v>
      </c>
      <c r="D846" s="43" t="s">
        <v>77</v>
      </c>
      <c r="E846" s="43" t="s">
        <v>34</v>
      </c>
      <c r="F846">
        <v>109</v>
      </c>
      <c r="G846" s="12" t="s">
        <v>63</v>
      </c>
      <c r="H846" s="9">
        <f t="shared" si="57"/>
        <v>17</v>
      </c>
      <c r="I846" cm="1">
        <f t="array" ref="I846">IFERROR(INDEX(CourseYardages[[Hole 1]:[Hole 18]],
  MATCH(1, (CourseYardages[Course]=C846)*(CourseYardages[Tees]=E846), 0),
  MATCH(G846, CourseYardages[[#Headers],[Hole 1]:[Hole 18]], 0)
),"")</f>
        <v>394</v>
      </c>
      <c r="J846" cm="1">
        <f t="array" ref="J846">IFERROR(INDEX(CourseHandicap[[Hole 1]:[Hole 18]],
  MATCH(1, (CourseHandicap[Course]=C846)*(CourseHandicap[Tees]=E846), 0),
  MATCH(G846, CourseHandicap[[#Headers],[Hole 1]:[Hole 18]], 0)
),"")</f>
        <v>8</v>
      </c>
      <c r="K846" cm="1">
        <f t="array" ref="K846">IFERROR(INDEX(CourseRatings[[Hole 1]:[Hole 18]],
  MATCH(1, (CourseRatings[Course]=C846)*(CourseRatings[Tees]=E846), 0),
  MATCH(G846, CourseRatings[[#Headers],[Hole 1]:[Hole 18]], 0)
),"")</f>
        <v>4</v>
      </c>
      <c r="L846" cm="1">
        <f t="array" ref="L846">IFERROR(
  INDEX('Golf Log'!$E$2:$V$72,
    MATCH(1,
      ('Golf Log'!$A$2:$A$72=$A846)*
      ('Golf Log'!$B$2:$B$72=$B846)*
      ('Golf Log'!$C$2:$C$72=$C846),
    0),
    MATCH($G846,'Golf Log'!$E$1:$V$1,0)
  ),
"")</f>
        <v>5</v>
      </c>
      <c r="M846">
        <f t="shared" si="58"/>
        <v>1</v>
      </c>
      <c r="N846" t="str">
        <f t="shared" si="59"/>
        <v>Bogey</v>
      </c>
      <c r="O846" cm="1">
        <f t="array" ref="O846">IFERROR(
  INDEX('Putt Log'!$E$2:$V$72,
    MATCH(1,
      ('Putt Log'!$A$2:$A$72=$A846)*
      ('Putt Log'!$B$2:$B$72=$B846)*
      ('Putt Log'!$C$2:$C$72=$C846),
    0),
    MATCH($G846,'Putt Log'!$E$1:$V$1,0)
  ),
"")</f>
        <v>2</v>
      </c>
      <c r="P846" cm="1">
        <f t="array" ref="P846">IF(K846=3,"",
  IFERROR(
    INDEX('Fairway Log'!$E$2:$V$72,
      MATCH(1,
        ('Fairway Log'!$A$2:$A$72=$A846)*
        ('Fairway Log'!$B$2:$B$72=$B846)*
        ('Fairway Log'!$C$2:$C917=$C846),
      0),
      MATCH($G846,'Fairway Log'!$E$1:$V$1,0)
    ),
  "")
)</f>
        <v>0</v>
      </c>
      <c r="Q846" cm="1">
        <f t="array" ref="Q846">IFERROR(
  INDEX('GIR Log'!$E$2:$V$72,
    MATCH(1,
      ('GIR Log'!$A$2:$A$72=$A846)*
      ('GIR Log'!$B$2:$B$72=$B846)*
      ('GIR Log'!$C$2:$C$72=$C846),
    0),
    MATCH($G846,'GIR Log'!$E$1:$V$1,0)
  ),
"")</f>
        <v>0</v>
      </c>
    </row>
    <row r="847" spans="1:17" x14ac:dyDescent="0.25">
      <c r="A847" s="43" t="s">
        <v>127</v>
      </c>
      <c r="B847" s="2">
        <v>45453</v>
      </c>
      <c r="C847" s="43" t="s">
        <v>11</v>
      </c>
      <c r="D847" s="43" t="s">
        <v>77</v>
      </c>
      <c r="E847" s="43" t="s">
        <v>34</v>
      </c>
      <c r="F847">
        <v>109</v>
      </c>
      <c r="G847" s="12" t="s">
        <v>64</v>
      </c>
      <c r="H847" s="9">
        <f t="shared" si="57"/>
        <v>18</v>
      </c>
      <c r="I847" cm="1">
        <f t="array" ref="I847">IFERROR(INDEX(CourseYardages[[Hole 1]:[Hole 18]],
  MATCH(1, (CourseYardages[Course]=C847)*(CourseYardages[Tees]=E847), 0),
  MATCH(G847, CourseYardages[[#Headers],[Hole 1]:[Hole 18]], 0)
),"")</f>
        <v>385</v>
      </c>
      <c r="J847" cm="1">
        <f t="array" ref="J847">IFERROR(INDEX(CourseHandicap[[Hole 1]:[Hole 18]],
  MATCH(1, (CourseHandicap[Course]=C847)*(CourseHandicap[Tees]=E847), 0),
  MATCH(G847, CourseHandicap[[#Headers],[Hole 1]:[Hole 18]], 0)
),"")</f>
        <v>10</v>
      </c>
      <c r="K847" cm="1">
        <f t="array" ref="K847">IFERROR(INDEX(CourseRatings[[Hole 1]:[Hole 18]],
  MATCH(1, (CourseRatings[Course]=C847)*(CourseRatings[Tees]=E847), 0),
  MATCH(G847, CourseRatings[[#Headers],[Hole 1]:[Hole 18]], 0)
),"")</f>
        <v>4</v>
      </c>
      <c r="L847" cm="1">
        <f t="array" ref="L847">IFERROR(
  INDEX('Golf Log'!$E$2:$V$72,
    MATCH(1,
      ('Golf Log'!$A$2:$A$72=$A847)*
      ('Golf Log'!$B$2:$B$72=$B847)*
      ('Golf Log'!$C$2:$C$72=$C847),
    0),
    MATCH($G847,'Golf Log'!$E$1:$V$1,0)
  ),
"")</f>
        <v>6</v>
      </c>
      <c r="M847">
        <f t="shared" si="58"/>
        <v>2</v>
      </c>
      <c r="N847" t="str">
        <f t="shared" si="59"/>
        <v>Double Bogey</v>
      </c>
      <c r="O847" cm="1">
        <f t="array" ref="O847">IFERROR(
  INDEX('Putt Log'!$E$2:$V$72,
    MATCH(1,
      ('Putt Log'!$A$2:$A$72=$A847)*
      ('Putt Log'!$B$2:$B$72=$B847)*
      ('Putt Log'!$C$2:$C$72=$C847),
    0),
    MATCH($G847,'Putt Log'!$E$1:$V$1,0)
  ),
"")</f>
        <v>2</v>
      </c>
      <c r="P847" cm="1">
        <f t="array" ref="P847">IF(K847=3,"",
  IFERROR(
    INDEX('Fairway Log'!$E$2:$V$72,
      MATCH(1,
        ('Fairway Log'!$A$2:$A$72=$A847)*
        ('Fairway Log'!$B$2:$B$72=$B847)*
        ('Fairway Log'!$C$2:$C918=$C847),
      0),
      MATCH($G847,'Fairway Log'!$E$1:$V$1,0)
    ),
  "")
)</f>
        <v>0</v>
      </c>
      <c r="Q847" cm="1">
        <f t="array" ref="Q847">IFERROR(
  INDEX('GIR Log'!$E$2:$V$72,
    MATCH(1,
      ('GIR Log'!$A$2:$A$72=$A847)*
      ('GIR Log'!$B$2:$B$72=$B847)*
      ('GIR Log'!$C$2:$C$72=$C847),
    0),
    MATCH($G847,'GIR Log'!$E$1:$V$1,0)
  ),
"")</f>
        <v>0</v>
      </c>
    </row>
    <row r="848" spans="1:17" x14ac:dyDescent="0.25">
      <c r="A848" s="51" t="s">
        <v>130</v>
      </c>
      <c r="B848" s="2">
        <v>45156</v>
      </c>
      <c r="C848" s="51" t="s">
        <v>46</v>
      </c>
      <c r="D848" s="51" t="s">
        <v>78</v>
      </c>
      <c r="E848" s="51" t="s">
        <v>34</v>
      </c>
      <c r="F848">
        <v>89</v>
      </c>
      <c r="G848" t="s">
        <v>47</v>
      </c>
      <c r="H848" s="9">
        <f t="shared" ref="H848:H911" si="60">VALUE(RIGHT(G848, LEN(G848) - 5))</f>
        <v>1</v>
      </c>
      <c r="I848" t="str" cm="1">
        <f t="array" ref="I848">IFERROR(INDEX(CourseYardages[[Hole 1]:[Hole 18]],
  MATCH(1, (CourseYardages[Course]=C848)*(CourseYardages[Tees]=E848), 0),
  MATCH(G848, CourseYardages[[#Headers],[Hole 1]:[Hole 18]], 0)
),"")</f>
        <v/>
      </c>
      <c r="J848" t="str" cm="1">
        <f t="array" ref="J848">IFERROR(INDEX(CourseHandicap[[Hole 1]:[Hole 18]],
  MATCH(1, (CourseHandicap[Course]=C848)*(CourseHandicap[Tees]=E848), 0),
  MATCH(G848, CourseHandicap[[#Headers],[Hole 1]:[Hole 18]], 0)
),"")</f>
        <v/>
      </c>
      <c r="K848" t="str" cm="1">
        <f t="array" ref="K848">IFERROR(INDEX(CourseRatings[[Hole 1]:[Hole 18]],
  MATCH(1, (CourseRatings[Course]=C848)*(CourseRatings[Tees]=E848), 0),
  MATCH(G848, CourseRatings[[#Headers],[Hole 1]:[Hole 18]], 0)
),"")</f>
        <v/>
      </c>
      <c r="L848" cm="1">
        <f t="array" ref="L848">IFERROR(
  INDEX('Golf Log'!$E$2:$V$72,
    MATCH(1,
      ('Golf Log'!$A$2:$A$72=$A848)*
      ('Golf Log'!$B$2:$B$72=$B848)*
      ('Golf Log'!$C$2:$C$72=$C848),
    0),
    MATCH($G848,'Golf Log'!$E$1:$V$1,0)
  ),
"")</f>
        <v>5</v>
      </c>
      <c r="M848" t="str">
        <f t="shared" ref="M848:M911" si="61">IFERROR(L848-K848,"")</f>
        <v/>
      </c>
      <c r="N848" t="str">
        <f t="shared" ref="N848:N911" si="62">IF(M848="","",(IF(M848=-2,"Eagle",IF(M848=-1,"Birdie",IF(M848=0,"Par",IF(M848=1,"Bogey",IF(M848=2,"Double Bogey",IF(M848=3,"Triple Bogey",IF(M848&gt;3,"Quad Bogey+")))))))))</f>
        <v/>
      </c>
      <c r="O848" cm="1">
        <f t="array" ref="O848">IFERROR(
  INDEX('Putt Log'!$E$2:$V$72,
    MATCH(1,
      ('Putt Log'!$A$2:$A$72=$A848)*
      ('Putt Log'!$B$2:$B$72=$B848)*
      ('Putt Log'!$C$2:$C$72=$C848),
    0),
    MATCH($G848,'Putt Log'!$E$1:$V$1,0)
  ),
"")</f>
        <v>1</v>
      </c>
      <c r="P848" cm="1">
        <f t="array" ref="P848">IF(K848=3,"",
  IFERROR(
    INDEX('Fairway Log'!$E$2:$V$72,
      MATCH(1,
        ('Fairway Log'!$A$2:$A$72=$A848)*
        ('Fairway Log'!$B$2:$B$72=$B848)*
        ('Fairway Log'!$C$2:$C919=$C848),
      0),
      MATCH($G848,'Fairway Log'!$E$1:$V$1,0)
    ),
  "")
)</f>
        <v>0</v>
      </c>
      <c r="Q848" cm="1">
        <f t="array" ref="Q848">IFERROR(
  INDEX('GIR Log'!$E$2:$V$72,
    MATCH(1,
      ('GIR Log'!$A$2:$A$72=$A848)*
      ('GIR Log'!$B$2:$B$72=$B848)*
      ('GIR Log'!$C$2:$C$72=$C848),
    0),
    MATCH($G848,'GIR Log'!$E$1:$V$1,0)
  ),
"")</f>
        <v>0</v>
      </c>
    </row>
    <row r="849" spans="1:17" x14ac:dyDescent="0.25">
      <c r="A849" s="51" t="s">
        <v>130</v>
      </c>
      <c r="B849" s="2">
        <v>45156</v>
      </c>
      <c r="C849" s="51" t="s">
        <v>46</v>
      </c>
      <c r="D849" s="51" t="s">
        <v>78</v>
      </c>
      <c r="E849" s="51" t="s">
        <v>34</v>
      </c>
      <c r="F849">
        <v>89</v>
      </c>
      <c r="G849" t="s">
        <v>48</v>
      </c>
      <c r="H849" s="9">
        <f t="shared" si="60"/>
        <v>2</v>
      </c>
      <c r="I849" t="str" cm="1">
        <f t="array" ref="I849">IFERROR(INDEX(CourseYardages[[Hole 1]:[Hole 18]],
  MATCH(1, (CourseYardages[Course]=C849)*(CourseYardages[Tees]=E849), 0),
  MATCH(G849, CourseYardages[[#Headers],[Hole 1]:[Hole 18]], 0)
),"")</f>
        <v/>
      </c>
      <c r="J849" t="str" cm="1">
        <f t="array" ref="J849">IFERROR(INDEX(CourseHandicap[[Hole 1]:[Hole 18]],
  MATCH(1, (CourseHandicap[Course]=C849)*(CourseHandicap[Tees]=E849), 0),
  MATCH(G849, CourseHandicap[[#Headers],[Hole 1]:[Hole 18]], 0)
),"")</f>
        <v/>
      </c>
      <c r="K849" t="str" cm="1">
        <f t="array" ref="K849">IFERROR(INDEX(CourseRatings[[Hole 1]:[Hole 18]],
  MATCH(1, (CourseRatings[Course]=C849)*(CourseRatings[Tees]=E849), 0),
  MATCH(G849, CourseRatings[[#Headers],[Hole 1]:[Hole 18]], 0)
),"")</f>
        <v/>
      </c>
      <c r="L849" cm="1">
        <f t="array" ref="L849">IFERROR(
  INDEX('Golf Log'!$E$2:$V$72,
    MATCH(1,
      ('Golf Log'!$A$2:$A$72=$A849)*
      ('Golf Log'!$B$2:$B$72=$B849)*
      ('Golf Log'!$C$2:$C$72=$C849),
    0),
    MATCH($G849,'Golf Log'!$E$1:$V$1,0)
  ),
"")</f>
        <v>6</v>
      </c>
      <c r="M849" t="str">
        <f t="shared" si="61"/>
        <v/>
      </c>
      <c r="N849" t="str">
        <f t="shared" si="62"/>
        <v/>
      </c>
      <c r="O849" cm="1">
        <f t="array" ref="O849">IFERROR(
  INDEX('Putt Log'!$E$2:$V$72,
    MATCH(1,
      ('Putt Log'!$A$2:$A$72=$A849)*
      ('Putt Log'!$B$2:$B$72=$B849)*
      ('Putt Log'!$C$2:$C$72=$C849),
    0),
    MATCH($G849,'Putt Log'!$E$1:$V$1,0)
  ),
"")</f>
        <v>2</v>
      </c>
      <c r="P849" cm="1">
        <f t="array" ref="P849">IF(K849=3,"",
  IFERROR(
    INDEX('Fairway Log'!$E$2:$V$72,
      MATCH(1,
        ('Fairway Log'!$A$2:$A$72=$A849)*
        ('Fairway Log'!$B$2:$B$72=$B849)*
        ('Fairway Log'!$C$2:$C920=$C849),
      0),
      MATCH($G849,'Fairway Log'!$E$1:$V$1,0)
    ),
  "")
)</f>
        <v>0</v>
      </c>
      <c r="Q849" cm="1">
        <f t="array" ref="Q849">IFERROR(
  INDEX('GIR Log'!$E$2:$V$72,
    MATCH(1,
      ('GIR Log'!$A$2:$A$72=$A849)*
      ('GIR Log'!$B$2:$B$72=$B849)*
      ('GIR Log'!$C$2:$C$72=$C849),
    0),
    MATCH($G849,'GIR Log'!$E$1:$V$1,0)
  ),
"")</f>
        <v>0</v>
      </c>
    </row>
    <row r="850" spans="1:17" x14ac:dyDescent="0.25">
      <c r="A850" s="51" t="s">
        <v>130</v>
      </c>
      <c r="B850" s="2">
        <v>45156</v>
      </c>
      <c r="C850" s="51" t="s">
        <v>46</v>
      </c>
      <c r="D850" s="51" t="s">
        <v>78</v>
      </c>
      <c r="E850" s="51" t="s">
        <v>34</v>
      </c>
      <c r="F850">
        <v>89</v>
      </c>
      <c r="G850" t="s">
        <v>49</v>
      </c>
      <c r="H850" s="9">
        <f t="shared" si="60"/>
        <v>3</v>
      </c>
      <c r="I850" t="str" cm="1">
        <f t="array" ref="I850">IFERROR(INDEX(CourseYardages[[Hole 1]:[Hole 18]],
  MATCH(1, (CourseYardages[Course]=C850)*(CourseYardages[Tees]=E850), 0),
  MATCH(G850, CourseYardages[[#Headers],[Hole 1]:[Hole 18]], 0)
),"")</f>
        <v/>
      </c>
      <c r="J850" t="str" cm="1">
        <f t="array" ref="J850">IFERROR(INDEX(CourseHandicap[[Hole 1]:[Hole 18]],
  MATCH(1, (CourseHandicap[Course]=C850)*(CourseHandicap[Tees]=E850), 0),
  MATCH(G850, CourseHandicap[[#Headers],[Hole 1]:[Hole 18]], 0)
),"")</f>
        <v/>
      </c>
      <c r="K850" t="str" cm="1">
        <f t="array" ref="K850">IFERROR(INDEX(CourseRatings[[Hole 1]:[Hole 18]],
  MATCH(1, (CourseRatings[Course]=C850)*(CourseRatings[Tees]=E850), 0),
  MATCH(G850, CourseRatings[[#Headers],[Hole 1]:[Hole 18]], 0)
),"")</f>
        <v/>
      </c>
      <c r="L850" cm="1">
        <f t="array" ref="L850">IFERROR(
  INDEX('Golf Log'!$E$2:$V$72,
    MATCH(1,
      ('Golf Log'!$A$2:$A$72=$A850)*
      ('Golf Log'!$B$2:$B$72=$B850)*
      ('Golf Log'!$C$2:$C$72=$C850),
    0),
    MATCH($G850,'Golf Log'!$E$1:$V$1,0)
  ),
"")</f>
        <v>5</v>
      </c>
      <c r="M850" t="str">
        <f t="shared" si="61"/>
        <v/>
      </c>
      <c r="N850" t="str">
        <f t="shared" si="62"/>
        <v/>
      </c>
      <c r="O850" cm="1">
        <f t="array" ref="O850">IFERROR(
  INDEX('Putt Log'!$E$2:$V$72,
    MATCH(1,
      ('Putt Log'!$A$2:$A$72=$A850)*
      ('Putt Log'!$B$2:$B$72=$B850)*
      ('Putt Log'!$C$2:$C$72=$C850),
    0),
    MATCH($G850,'Putt Log'!$E$1:$V$1,0)
  ),
"")</f>
        <v>2</v>
      </c>
      <c r="P850" cm="1">
        <f t="array" ref="P850">IF(K850=3,"",
  IFERROR(
    INDEX('Fairway Log'!$E$2:$V$72,
      MATCH(1,
        ('Fairway Log'!$A$2:$A$72=$A850)*
        ('Fairway Log'!$B$2:$B$72=$B850)*
        ('Fairway Log'!$C$2:$C921=$C850),
      0),
      MATCH($G850,'Fairway Log'!$E$1:$V$1,0)
    ),
  "")
)</f>
        <v>0</v>
      </c>
      <c r="Q850" cm="1">
        <f t="array" ref="Q850">IFERROR(
  INDEX('GIR Log'!$E$2:$V$72,
    MATCH(1,
      ('GIR Log'!$A$2:$A$72=$A850)*
      ('GIR Log'!$B$2:$B$72=$B850)*
      ('GIR Log'!$C$2:$C$72=$C850),
    0),
    MATCH($G850,'GIR Log'!$E$1:$V$1,0)
  ),
"")</f>
        <v>0</v>
      </c>
    </row>
    <row r="851" spans="1:17" x14ac:dyDescent="0.25">
      <c r="A851" s="51" t="s">
        <v>130</v>
      </c>
      <c r="B851" s="2">
        <v>45156</v>
      </c>
      <c r="C851" s="51" t="s">
        <v>46</v>
      </c>
      <c r="D851" s="51" t="s">
        <v>78</v>
      </c>
      <c r="E851" s="51" t="s">
        <v>34</v>
      </c>
      <c r="F851">
        <v>89</v>
      </c>
      <c r="G851" t="s">
        <v>50</v>
      </c>
      <c r="H851" s="9">
        <f t="shared" si="60"/>
        <v>4</v>
      </c>
      <c r="I851" t="str" cm="1">
        <f t="array" ref="I851">IFERROR(INDEX(CourseYardages[[Hole 1]:[Hole 18]],
  MATCH(1, (CourseYardages[Course]=C851)*(CourseYardages[Tees]=E851), 0),
  MATCH(G851, CourseYardages[[#Headers],[Hole 1]:[Hole 18]], 0)
),"")</f>
        <v/>
      </c>
      <c r="J851" t="str" cm="1">
        <f t="array" ref="J851">IFERROR(INDEX(CourseHandicap[[Hole 1]:[Hole 18]],
  MATCH(1, (CourseHandicap[Course]=C851)*(CourseHandicap[Tees]=E851), 0),
  MATCH(G851, CourseHandicap[[#Headers],[Hole 1]:[Hole 18]], 0)
),"")</f>
        <v/>
      </c>
      <c r="K851" t="str" cm="1">
        <f t="array" ref="K851">IFERROR(INDEX(CourseRatings[[Hole 1]:[Hole 18]],
  MATCH(1, (CourseRatings[Course]=C851)*(CourseRatings[Tees]=E851), 0),
  MATCH(G851, CourseRatings[[#Headers],[Hole 1]:[Hole 18]], 0)
),"")</f>
        <v/>
      </c>
      <c r="L851" cm="1">
        <f t="array" ref="L851">IFERROR(
  INDEX('Golf Log'!$E$2:$V$72,
    MATCH(1,
      ('Golf Log'!$A$2:$A$72=$A851)*
      ('Golf Log'!$B$2:$B$72=$B851)*
      ('Golf Log'!$C$2:$C$72=$C851),
    0),
    MATCH($G851,'Golf Log'!$E$1:$V$1,0)
  ),
"")</f>
        <v>4</v>
      </c>
      <c r="M851" t="str">
        <f t="shared" si="61"/>
        <v/>
      </c>
      <c r="N851" t="str">
        <f t="shared" si="62"/>
        <v/>
      </c>
      <c r="O851" cm="1">
        <f t="array" ref="O851">IFERROR(
  INDEX('Putt Log'!$E$2:$V$72,
    MATCH(1,
      ('Putt Log'!$A$2:$A$72=$A851)*
      ('Putt Log'!$B$2:$B$72=$B851)*
      ('Putt Log'!$C$2:$C$72=$C851),
    0),
    MATCH($G851,'Putt Log'!$E$1:$V$1,0)
  ),
"")</f>
        <v>3</v>
      </c>
      <c r="P851" cm="1">
        <f t="array" ref="P851">IF(K851=3,"",
  IFERROR(
    INDEX('Fairway Log'!$E$2:$V$72,
      MATCH(1,
        ('Fairway Log'!$A$2:$A$72=$A851)*
        ('Fairway Log'!$B$2:$B$72=$B851)*
        ('Fairway Log'!$C$2:$C922=$C851),
      0),
      MATCH($G851,'Fairway Log'!$E$1:$V$1,0)
    ),
  "")
)</f>
        <v>0</v>
      </c>
      <c r="Q851" cm="1">
        <f t="array" ref="Q851">IFERROR(
  INDEX('GIR Log'!$E$2:$V$72,
    MATCH(1,
      ('GIR Log'!$A$2:$A$72=$A851)*
      ('GIR Log'!$B$2:$B$72=$B851)*
      ('GIR Log'!$C$2:$C$72=$C851),
    0),
    MATCH($G851,'GIR Log'!$E$1:$V$1,0)
  ),
"")</f>
        <v>0</v>
      </c>
    </row>
    <row r="852" spans="1:17" x14ac:dyDescent="0.25">
      <c r="A852" s="51" t="s">
        <v>130</v>
      </c>
      <c r="B852" s="2">
        <v>45156</v>
      </c>
      <c r="C852" s="51" t="s">
        <v>46</v>
      </c>
      <c r="D852" s="51" t="s">
        <v>78</v>
      </c>
      <c r="E852" s="51" t="s">
        <v>34</v>
      </c>
      <c r="F852">
        <v>89</v>
      </c>
      <c r="G852" t="s">
        <v>51</v>
      </c>
      <c r="H852" s="9">
        <f t="shared" si="60"/>
        <v>5</v>
      </c>
      <c r="I852" t="str" cm="1">
        <f t="array" ref="I852">IFERROR(INDEX(CourseYardages[[Hole 1]:[Hole 18]],
  MATCH(1, (CourseYardages[Course]=C852)*(CourseYardages[Tees]=E852), 0),
  MATCH(G852, CourseYardages[[#Headers],[Hole 1]:[Hole 18]], 0)
),"")</f>
        <v/>
      </c>
      <c r="J852" t="str" cm="1">
        <f t="array" ref="J852">IFERROR(INDEX(CourseHandicap[[Hole 1]:[Hole 18]],
  MATCH(1, (CourseHandicap[Course]=C852)*(CourseHandicap[Tees]=E852), 0),
  MATCH(G852, CourseHandicap[[#Headers],[Hole 1]:[Hole 18]], 0)
),"")</f>
        <v/>
      </c>
      <c r="K852" t="str" cm="1">
        <f t="array" ref="K852">IFERROR(INDEX(CourseRatings[[Hole 1]:[Hole 18]],
  MATCH(1, (CourseRatings[Course]=C852)*(CourseRatings[Tees]=E852), 0),
  MATCH(G852, CourseRatings[[#Headers],[Hole 1]:[Hole 18]], 0)
),"")</f>
        <v/>
      </c>
      <c r="L852" cm="1">
        <f t="array" ref="L852">IFERROR(
  INDEX('Golf Log'!$E$2:$V$72,
    MATCH(1,
      ('Golf Log'!$A$2:$A$72=$A852)*
      ('Golf Log'!$B$2:$B$72=$B852)*
      ('Golf Log'!$C$2:$C$72=$C852),
    0),
    MATCH($G852,'Golf Log'!$E$1:$V$1,0)
  ),
"")</f>
        <v>4</v>
      </c>
      <c r="M852" t="str">
        <f t="shared" si="61"/>
        <v/>
      </c>
      <c r="N852" t="str">
        <f t="shared" si="62"/>
        <v/>
      </c>
      <c r="O852" cm="1">
        <f t="array" ref="O852">IFERROR(
  INDEX('Putt Log'!$E$2:$V$72,
    MATCH(1,
      ('Putt Log'!$A$2:$A$72=$A852)*
      ('Putt Log'!$B$2:$B$72=$B852)*
      ('Putt Log'!$C$2:$C$72=$C852),
    0),
    MATCH($G852,'Putt Log'!$E$1:$V$1,0)
  ),
"")</f>
        <v>1</v>
      </c>
      <c r="P852" cm="1">
        <f t="array" ref="P852">IF(K852=3,"",
  IFERROR(
    INDEX('Fairway Log'!$E$2:$V$72,
      MATCH(1,
        ('Fairway Log'!$A$2:$A$72=$A852)*
        ('Fairway Log'!$B$2:$B$72=$B852)*
        ('Fairway Log'!$C$2:$C923=$C852),
      0),
      MATCH($G852,'Fairway Log'!$E$1:$V$1,0)
    ),
  "")
)</f>
        <v>0</v>
      </c>
      <c r="Q852" cm="1">
        <f t="array" ref="Q852">IFERROR(
  INDEX('GIR Log'!$E$2:$V$72,
    MATCH(1,
      ('GIR Log'!$A$2:$A$72=$A852)*
      ('GIR Log'!$B$2:$B$72=$B852)*
      ('GIR Log'!$C$2:$C$72=$C852),
    0),
    MATCH($G852,'GIR Log'!$E$1:$V$1,0)
  ),
"")</f>
        <v>0</v>
      </c>
    </row>
    <row r="853" spans="1:17" x14ac:dyDescent="0.25">
      <c r="A853" s="51" t="s">
        <v>130</v>
      </c>
      <c r="B853" s="2">
        <v>45156</v>
      </c>
      <c r="C853" s="51" t="s">
        <v>46</v>
      </c>
      <c r="D853" s="51" t="s">
        <v>78</v>
      </c>
      <c r="E853" s="51" t="s">
        <v>34</v>
      </c>
      <c r="F853">
        <v>89</v>
      </c>
      <c r="G853" t="s">
        <v>52</v>
      </c>
      <c r="H853" s="9">
        <f t="shared" si="60"/>
        <v>6</v>
      </c>
      <c r="I853" t="str" cm="1">
        <f t="array" ref="I853">IFERROR(INDEX(CourseYardages[[Hole 1]:[Hole 18]],
  MATCH(1, (CourseYardages[Course]=C853)*(CourseYardages[Tees]=E853), 0),
  MATCH(G853, CourseYardages[[#Headers],[Hole 1]:[Hole 18]], 0)
),"")</f>
        <v/>
      </c>
      <c r="J853" t="str" cm="1">
        <f t="array" ref="J853">IFERROR(INDEX(CourseHandicap[[Hole 1]:[Hole 18]],
  MATCH(1, (CourseHandicap[Course]=C853)*(CourseHandicap[Tees]=E853), 0),
  MATCH(G853, CourseHandicap[[#Headers],[Hole 1]:[Hole 18]], 0)
),"")</f>
        <v/>
      </c>
      <c r="K853" t="str" cm="1">
        <f t="array" ref="K853">IFERROR(INDEX(CourseRatings[[Hole 1]:[Hole 18]],
  MATCH(1, (CourseRatings[Course]=C853)*(CourseRatings[Tees]=E853), 0),
  MATCH(G853, CourseRatings[[#Headers],[Hole 1]:[Hole 18]], 0)
),"")</f>
        <v/>
      </c>
      <c r="L853" cm="1">
        <f t="array" ref="L853">IFERROR(
  INDEX('Golf Log'!$E$2:$V$72,
    MATCH(1,
      ('Golf Log'!$A$2:$A$72=$A853)*
      ('Golf Log'!$B$2:$B$72=$B853)*
      ('Golf Log'!$C$2:$C$72=$C853),
    0),
    MATCH($G853,'Golf Log'!$E$1:$V$1,0)
  ),
"")</f>
        <v>5</v>
      </c>
      <c r="M853" t="str">
        <f t="shared" si="61"/>
        <v/>
      </c>
      <c r="N853" t="str">
        <f t="shared" si="62"/>
        <v/>
      </c>
      <c r="O853" cm="1">
        <f t="array" ref="O853">IFERROR(
  INDEX('Putt Log'!$E$2:$V$72,
    MATCH(1,
      ('Putt Log'!$A$2:$A$72=$A853)*
      ('Putt Log'!$B$2:$B$72=$B853)*
      ('Putt Log'!$C$2:$C$72=$C853),
    0),
    MATCH($G853,'Putt Log'!$E$1:$V$1,0)
  ),
"")</f>
        <v>2</v>
      </c>
      <c r="P853" cm="1">
        <f t="array" ref="P853">IF(K853=3,"",
  IFERROR(
    INDEX('Fairway Log'!$E$2:$V$72,
      MATCH(1,
        ('Fairway Log'!$A$2:$A$72=$A853)*
        ('Fairway Log'!$B$2:$B$72=$B853)*
        ('Fairway Log'!$C$2:$C924=$C853),
      0),
      MATCH($G853,'Fairway Log'!$E$1:$V$1,0)
    ),
  "")
)</f>
        <v>0</v>
      </c>
      <c r="Q853" cm="1">
        <f t="array" ref="Q853">IFERROR(
  INDEX('GIR Log'!$E$2:$V$72,
    MATCH(1,
      ('GIR Log'!$A$2:$A$72=$A853)*
      ('GIR Log'!$B$2:$B$72=$B853)*
      ('GIR Log'!$C$2:$C$72=$C853),
    0),
    MATCH($G853,'GIR Log'!$E$1:$V$1,0)
  ),
"")</f>
        <v>0</v>
      </c>
    </row>
    <row r="854" spans="1:17" x14ac:dyDescent="0.25">
      <c r="A854" s="51" t="s">
        <v>130</v>
      </c>
      <c r="B854" s="2">
        <v>45156</v>
      </c>
      <c r="C854" s="51" t="s">
        <v>46</v>
      </c>
      <c r="D854" s="51" t="s">
        <v>78</v>
      </c>
      <c r="E854" s="51" t="s">
        <v>34</v>
      </c>
      <c r="F854">
        <v>89</v>
      </c>
      <c r="G854" t="s">
        <v>53</v>
      </c>
      <c r="H854" s="9">
        <f t="shared" si="60"/>
        <v>7</v>
      </c>
      <c r="I854" t="str" cm="1">
        <f t="array" ref="I854">IFERROR(INDEX(CourseYardages[[Hole 1]:[Hole 18]],
  MATCH(1, (CourseYardages[Course]=C854)*(CourseYardages[Tees]=E854), 0),
  MATCH(G854, CourseYardages[[#Headers],[Hole 1]:[Hole 18]], 0)
),"")</f>
        <v/>
      </c>
      <c r="J854" t="str" cm="1">
        <f t="array" ref="J854">IFERROR(INDEX(CourseHandicap[[Hole 1]:[Hole 18]],
  MATCH(1, (CourseHandicap[Course]=C854)*(CourseHandicap[Tees]=E854), 0),
  MATCH(G854, CourseHandicap[[#Headers],[Hole 1]:[Hole 18]], 0)
),"")</f>
        <v/>
      </c>
      <c r="K854" t="str" cm="1">
        <f t="array" ref="K854">IFERROR(INDEX(CourseRatings[[Hole 1]:[Hole 18]],
  MATCH(1, (CourseRatings[Course]=C854)*(CourseRatings[Tees]=E854), 0),
  MATCH(G854, CourseRatings[[#Headers],[Hole 1]:[Hole 18]], 0)
),"")</f>
        <v/>
      </c>
      <c r="L854" cm="1">
        <f t="array" ref="L854">IFERROR(
  INDEX('Golf Log'!$E$2:$V$72,
    MATCH(1,
      ('Golf Log'!$A$2:$A$72=$A854)*
      ('Golf Log'!$B$2:$B$72=$B854)*
      ('Golf Log'!$C$2:$C$72=$C854),
    0),
    MATCH($G854,'Golf Log'!$E$1:$V$1,0)
  ),
"")</f>
        <v>5</v>
      </c>
      <c r="M854" t="str">
        <f t="shared" si="61"/>
        <v/>
      </c>
      <c r="N854" t="str">
        <f t="shared" si="62"/>
        <v/>
      </c>
      <c r="O854" cm="1">
        <f t="array" ref="O854">IFERROR(
  INDEX('Putt Log'!$E$2:$V$72,
    MATCH(1,
      ('Putt Log'!$A$2:$A$72=$A854)*
      ('Putt Log'!$B$2:$B$72=$B854)*
      ('Putt Log'!$C$2:$C$72=$C854),
    0),
    MATCH($G854,'Putt Log'!$E$1:$V$1,0)
  ),
"")</f>
        <v>2</v>
      </c>
      <c r="P854" cm="1">
        <f t="array" ref="P854">IF(K854=3,"",
  IFERROR(
    INDEX('Fairway Log'!$E$2:$V$72,
      MATCH(1,
        ('Fairway Log'!$A$2:$A$72=$A854)*
        ('Fairway Log'!$B$2:$B$72=$B854)*
        ('Fairway Log'!$C$2:$C925=$C854),
      0),
      MATCH($G854,'Fairway Log'!$E$1:$V$1,0)
    ),
  "")
)</f>
        <v>0</v>
      </c>
      <c r="Q854" cm="1">
        <f t="array" ref="Q854">IFERROR(
  INDEX('GIR Log'!$E$2:$V$72,
    MATCH(1,
      ('GIR Log'!$A$2:$A$72=$A854)*
      ('GIR Log'!$B$2:$B$72=$B854)*
      ('GIR Log'!$C$2:$C$72=$C854),
    0),
    MATCH($G854,'GIR Log'!$E$1:$V$1,0)
  ),
"")</f>
        <v>0</v>
      </c>
    </row>
    <row r="855" spans="1:17" x14ac:dyDescent="0.25">
      <c r="A855" s="51" t="s">
        <v>130</v>
      </c>
      <c r="B855" s="2">
        <v>45156</v>
      </c>
      <c r="C855" s="51" t="s">
        <v>46</v>
      </c>
      <c r="D855" s="51" t="s">
        <v>78</v>
      </c>
      <c r="E855" s="51" t="s">
        <v>34</v>
      </c>
      <c r="F855">
        <v>89</v>
      </c>
      <c r="G855" t="s">
        <v>54</v>
      </c>
      <c r="H855" s="9">
        <f t="shared" si="60"/>
        <v>8</v>
      </c>
      <c r="I855" t="str" cm="1">
        <f t="array" ref="I855">IFERROR(INDEX(CourseYardages[[Hole 1]:[Hole 18]],
  MATCH(1, (CourseYardages[Course]=C855)*(CourseYardages[Tees]=E855), 0),
  MATCH(G855, CourseYardages[[#Headers],[Hole 1]:[Hole 18]], 0)
),"")</f>
        <v/>
      </c>
      <c r="J855" t="str" cm="1">
        <f t="array" ref="J855">IFERROR(INDEX(CourseHandicap[[Hole 1]:[Hole 18]],
  MATCH(1, (CourseHandicap[Course]=C855)*(CourseHandicap[Tees]=E855), 0),
  MATCH(G855, CourseHandicap[[#Headers],[Hole 1]:[Hole 18]], 0)
),"")</f>
        <v/>
      </c>
      <c r="K855" t="str" cm="1">
        <f t="array" ref="K855">IFERROR(INDEX(CourseRatings[[Hole 1]:[Hole 18]],
  MATCH(1, (CourseRatings[Course]=C855)*(CourseRatings[Tees]=E855), 0),
  MATCH(G855, CourseRatings[[#Headers],[Hole 1]:[Hole 18]], 0)
),"")</f>
        <v/>
      </c>
      <c r="L855" cm="1">
        <f t="array" ref="L855">IFERROR(
  INDEX('Golf Log'!$E$2:$V$72,
    MATCH(1,
      ('Golf Log'!$A$2:$A$72=$A855)*
      ('Golf Log'!$B$2:$B$72=$B855)*
      ('Golf Log'!$C$2:$C$72=$C855),
    0),
    MATCH($G855,'Golf Log'!$E$1:$V$1,0)
  ),
"")</f>
        <v>3</v>
      </c>
      <c r="M855" t="str">
        <f t="shared" si="61"/>
        <v/>
      </c>
      <c r="N855" t="str">
        <f t="shared" si="62"/>
        <v/>
      </c>
      <c r="O855" cm="1">
        <f t="array" ref="O855">IFERROR(
  INDEX('Putt Log'!$E$2:$V$72,
    MATCH(1,
      ('Putt Log'!$A$2:$A$72=$A855)*
      ('Putt Log'!$B$2:$B$72=$B855)*
      ('Putt Log'!$C$2:$C$72=$C855),
    0),
    MATCH($G855,'Putt Log'!$E$1:$V$1,0)
  ),
"")</f>
        <v>1</v>
      </c>
      <c r="P855" cm="1">
        <f t="array" ref="P855">IF(K855=3,"",
  IFERROR(
    INDEX('Fairway Log'!$E$2:$V$72,
      MATCH(1,
        ('Fairway Log'!$A$2:$A$72=$A855)*
        ('Fairway Log'!$B$2:$B$72=$B855)*
        ('Fairway Log'!$C$2:$C926=$C855),
      0),
      MATCH($G855,'Fairway Log'!$E$1:$V$1,0)
    ),
  "")
)</f>
        <v>0</v>
      </c>
      <c r="Q855" cm="1">
        <f t="array" ref="Q855">IFERROR(
  INDEX('GIR Log'!$E$2:$V$72,
    MATCH(1,
      ('GIR Log'!$A$2:$A$72=$A855)*
      ('GIR Log'!$B$2:$B$72=$B855)*
      ('GIR Log'!$C$2:$C$72=$C855),
    0),
    MATCH($G855,'GIR Log'!$E$1:$V$1,0)
  ),
"")</f>
        <v>0</v>
      </c>
    </row>
    <row r="856" spans="1:17" x14ac:dyDescent="0.25">
      <c r="A856" s="51" t="s">
        <v>130</v>
      </c>
      <c r="B856" s="2">
        <v>45156</v>
      </c>
      <c r="C856" s="51" t="s">
        <v>46</v>
      </c>
      <c r="D856" s="51" t="s">
        <v>78</v>
      </c>
      <c r="E856" s="51" t="s">
        <v>34</v>
      </c>
      <c r="F856">
        <v>89</v>
      </c>
      <c r="G856" t="s">
        <v>55</v>
      </c>
      <c r="H856" s="9">
        <f t="shared" si="60"/>
        <v>9</v>
      </c>
      <c r="I856" t="str" cm="1">
        <f t="array" ref="I856">IFERROR(INDEX(CourseYardages[[Hole 1]:[Hole 18]],
  MATCH(1, (CourseYardages[Course]=C856)*(CourseYardages[Tees]=E856), 0),
  MATCH(G856, CourseYardages[[#Headers],[Hole 1]:[Hole 18]], 0)
),"")</f>
        <v/>
      </c>
      <c r="J856" t="str" cm="1">
        <f t="array" ref="J856">IFERROR(INDEX(CourseHandicap[[Hole 1]:[Hole 18]],
  MATCH(1, (CourseHandicap[Course]=C856)*(CourseHandicap[Tees]=E856), 0),
  MATCH(G856, CourseHandicap[[#Headers],[Hole 1]:[Hole 18]], 0)
),"")</f>
        <v/>
      </c>
      <c r="K856" t="str" cm="1">
        <f t="array" ref="K856">IFERROR(INDEX(CourseRatings[[Hole 1]:[Hole 18]],
  MATCH(1, (CourseRatings[Course]=C856)*(CourseRatings[Tees]=E856), 0),
  MATCH(G856, CourseRatings[[#Headers],[Hole 1]:[Hole 18]], 0)
),"")</f>
        <v/>
      </c>
      <c r="L856" cm="1">
        <f t="array" ref="L856">IFERROR(
  INDEX('Golf Log'!$E$2:$V$72,
    MATCH(1,
      ('Golf Log'!$A$2:$A$72=$A856)*
      ('Golf Log'!$B$2:$B$72=$B856)*
      ('Golf Log'!$C$2:$C$72=$C856),
    0),
    MATCH($G856,'Golf Log'!$E$1:$V$1,0)
  ),
"")</f>
        <v>6</v>
      </c>
      <c r="M856" t="str">
        <f t="shared" si="61"/>
        <v/>
      </c>
      <c r="N856" t="str">
        <f t="shared" si="62"/>
        <v/>
      </c>
      <c r="O856" cm="1">
        <f t="array" ref="O856">IFERROR(
  INDEX('Putt Log'!$E$2:$V$72,
    MATCH(1,
      ('Putt Log'!$A$2:$A$72=$A856)*
      ('Putt Log'!$B$2:$B$72=$B856)*
      ('Putt Log'!$C$2:$C$72=$C856),
    0),
    MATCH($G856,'Putt Log'!$E$1:$V$1,0)
  ),
"")</f>
        <v>1</v>
      </c>
      <c r="P856" cm="1">
        <f t="array" ref="P856">IF(K856=3,"",
  IFERROR(
    INDEX('Fairway Log'!$E$2:$V$72,
      MATCH(1,
        ('Fairway Log'!$A$2:$A$72=$A856)*
        ('Fairway Log'!$B$2:$B$72=$B856)*
        ('Fairway Log'!$C$2:$C927=$C856),
      0),
      MATCH($G856,'Fairway Log'!$E$1:$V$1,0)
    ),
  "")
)</f>
        <v>0</v>
      </c>
      <c r="Q856" cm="1">
        <f t="array" ref="Q856">IFERROR(
  INDEX('GIR Log'!$E$2:$V$72,
    MATCH(1,
      ('GIR Log'!$A$2:$A$72=$A856)*
      ('GIR Log'!$B$2:$B$72=$B856)*
      ('GIR Log'!$C$2:$C$72=$C856),
    0),
    MATCH($G856,'GIR Log'!$E$1:$V$1,0)
  ),
"")</f>
        <v>0</v>
      </c>
    </row>
    <row r="857" spans="1:17" x14ac:dyDescent="0.25">
      <c r="A857" s="51" t="s">
        <v>130</v>
      </c>
      <c r="B857" s="2">
        <v>45156</v>
      </c>
      <c r="C857" s="51" t="s">
        <v>46</v>
      </c>
      <c r="D857" s="51" t="s">
        <v>78</v>
      </c>
      <c r="E857" s="51" t="s">
        <v>34</v>
      </c>
      <c r="F857">
        <v>89</v>
      </c>
      <c r="G857" t="s">
        <v>56</v>
      </c>
      <c r="H857" s="9">
        <f t="shared" si="60"/>
        <v>10</v>
      </c>
      <c r="I857" t="str" cm="1">
        <f t="array" ref="I857">IFERROR(INDEX(CourseYardages[[Hole 1]:[Hole 18]],
  MATCH(1, (CourseYardages[Course]=C857)*(CourseYardages[Tees]=E857), 0),
  MATCH(G857, CourseYardages[[#Headers],[Hole 1]:[Hole 18]], 0)
),"")</f>
        <v/>
      </c>
      <c r="J857" t="str" cm="1">
        <f t="array" ref="J857">IFERROR(INDEX(CourseHandicap[[Hole 1]:[Hole 18]],
  MATCH(1, (CourseHandicap[Course]=C857)*(CourseHandicap[Tees]=E857), 0),
  MATCH(G857, CourseHandicap[[#Headers],[Hole 1]:[Hole 18]], 0)
),"")</f>
        <v/>
      </c>
      <c r="K857" t="str" cm="1">
        <f t="array" ref="K857">IFERROR(INDEX(CourseRatings[[Hole 1]:[Hole 18]],
  MATCH(1, (CourseRatings[Course]=C857)*(CourseRatings[Tees]=E857), 0),
  MATCH(G857, CourseRatings[[#Headers],[Hole 1]:[Hole 18]], 0)
),"")</f>
        <v/>
      </c>
      <c r="L857" cm="1">
        <f t="array" ref="L857">IFERROR(
  INDEX('Golf Log'!$E$2:$V$72,
    MATCH(1,
      ('Golf Log'!$A$2:$A$72=$A857)*
      ('Golf Log'!$B$2:$B$72=$B857)*
      ('Golf Log'!$C$2:$C$72=$C857),
    0),
    MATCH($G857,'Golf Log'!$E$1:$V$1,0)
  ),
"")</f>
        <v>6</v>
      </c>
      <c r="M857" t="str">
        <f t="shared" si="61"/>
        <v/>
      </c>
      <c r="N857" t="str">
        <f t="shared" si="62"/>
        <v/>
      </c>
      <c r="O857" cm="1">
        <f t="array" ref="O857">IFERROR(
  INDEX('Putt Log'!$E$2:$V$72,
    MATCH(1,
      ('Putt Log'!$A$2:$A$72=$A857)*
      ('Putt Log'!$B$2:$B$72=$B857)*
      ('Putt Log'!$C$2:$C$72=$C857),
    0),
    MATCH($G857,'Putt Log'!$E$1:$V$1,0)
  ),
"")</f>
        <v>2</v>
      </c>
      <c r="P857" cm="1">
        <f t="array" ref="P857">IF(K857=3,"",
  IFERROR(
    INDEX('Fairway Log'!$E$2:$V$72,
      MATCH(1,
        ('Fairway Log'!$A$2:$A$72=$A857)*
        ('Fairway Log'!$B$2:$B$72=$B857)*
        ('Fairway Log'!$C$2:$C928=$C857),
      0),
      MATCH($G857,'Fairway Log'!$E$1:$V$1,0)
    ),
  "")
)</f>
        <v>0</v>
      </c>
      <c r="Q857" cm="1">
        <f t="array" ref="Q857">IFERROR(
  INDEX('GIR Log'!$E$2:$V$72,
    MATCH(1,
      ('GIR Log'!$A$2:$A$72=$A857)*
      ('GIR Log'!$B$2:$B$72=$B857)*
      ('GIR Log'!$C$2:$C$72=$C857),
    0),
    MATCH($G857,'GIR Log'!$E$1:$V$1,0)
  ),
"")</f>
        <v>0</v>
      </c>
    </row>
    <row r="858" spans="1:17" x14ac:dyDescent="0.25">
      <c r="A858" s="51" t="s">
        <v>130</v>
      </c>
      <c r="B858" s="2">
        <v>45156</v>
      </c>
      <c r="C858" s="51" t="s">
        <v>46</v>
      </c>
      <c r="D858" s="51" t="s">
        <v>78</v>
      </c>
      <c r="E858" s="51" t="s">
        <v>34</v>
      </c>
      <c r="F858">
        <v>89</v>
      </c>
      <c r="G858" t="s">
        <v>57</v>
      </c>
      <c r="H858" s="9">
        <f t="shared" si="60"/>
        <v>11</v>
      </c>
      <c r="I858" t="str" cm="1">
        <f t="array" ref="I858">IFERROR(INDEX(CourseYardages[[Hole 1]:[Hole 18]],
  MATCH(1, (CourseYardages[Course]=C858)*(CourseYardages[Tees]=E858), 0),
  MATCH(G858, CourseYardages[[#Headers],[Hole 1]:[Hole 18]], 0)
),"")</f>
        <v/>
      </c>
      <c r="J858" t="str" cm="1">
        <f t="array" ref="J858">IFERROR(INDEX(CourseHandicap[[Hole 1]:[Hole 18]],
  MATCH(1, (CourseHandicap[Course]=C858)*(CourseHandicap[Tees]=E858), 0),
  MATCH(G858, CourseHandicap[[#Headers],[Hole 1]:[Hole 18]], 0)
),"")</f>
        <v/>
      </c>
      <c r="K858" t="str" cm="1">
        <f t="array" ref="K858">IFERROR(INDEX(CourseRatings[[Hole 1]:[Hole 18]],
  MATCH(1, (CourseRatings[Course]=C858)*(CourseRatings[Tees]=E858), 0),
  MATCH(G858, CourseRatings[[#Headers],[Hole 1]:[Hole 18]], 0)
),"")</f>
        <v/>
      </c>
      <c r="L858" cm="1">
        <f t="array" ref="L858">IFERROR(
  INDEX('Golf Log'!$E$2:$V$72,
    MATCH(1,
      ('Golf Log'!$A$2:$A$72=$A858)*
      ('Golf Log'!$B$2:$B$72=$B858)*
      ('Golf Log'!$C$2:$C$72=$C858),
    0),
    MATCH($G858,'Golf Log'!$E$1:$V$1,0)
  ),
"")</f>
        <v>5</v>
      </c>
      <c r="M858" t="str">
        <f t="shared" si="61"/>
        <v/>
      </c>
      <c r="N858" t="str">
        <f t="shared" si="62"/>
        <v/>
      </c>
      <c r="O858" cm="1">
        <f t="array" ref="O858">IFERROR(
  INDEX('Putt Log'!$E$2:$V$72,
    MATCH(1,
      ('Putt Log'!$A$2:$A$72=$A858)*
      ('Putt Log'!$B$2:$B$72=$B858)*
      ('Putt Log'!$C$2:$C$72=$C858),
    0),
    MATCH($G858,'Putt Log'!$E$1:$V$1,0)
  ),
"")</f>
        <v>2</v>
      </c>
      <c r="P858" cm="1">
        <f t="array" ref="P858">IF(K858=3,"",
  IFERROR(
    INDEX('Fairway Log'!$E$2:$V$72,
      MATCH(1,
        ('Fairway Log'!$A$2:$A$72=$A858)*
        ('Fairway Log'!$B$2:$B$72=$B858)*
        ('Fairway Log'!$C$2:$C929=$C858),
      0),
      MATCH($G858,'Fairway Log'!$E$1:$V$1,0)
    ),
  "")
)</f>
        <v>0</v>
      </c>
      <c r="Q858" cm="1">
        <f t="array" ref="Q858">IFERROR(
  INDEX('GIR Log'!$E$2:$V$72,
    MATCH(1,
      ('GIR Log'!$A$2:$A$72=$A858)*
      ('GIR Log'!$B$2:$B$72=$B858)*
      ('GIR Log'!$C$2:$C$72=$C858),
    0),
    MATCH($G858,'GIR Log'!$E$1:$V$1,0)
  ),
"")</f>
        <v>0</v>
      </c>
    </row>
    <row r="859" spans="1:17" x14ac:dyDescent="0.25">
      <c r="A859" s="51" t="s">
        <v>130</v>
      </c>
      <c r="B859" s="2">
        <v>45156</v>
      </c>
      <c r="C859" s="51" t="s">
        <v>46</v>
      </c>
      <c r="D859" s="51" t="s">
        <v>78</v>
      </c>
      <c r="E859" s="51" t="s">
        <v>34</v>
      </c>
      <c r="F859">
        <v>89</v>
      </c>
      <c r="G859" t="s">
        <v>58</v>
      </c>
      <c r="H859" s="9">
        <f t="shared" si="60"/>
        <v>12</v>
      </c>
      <c r="I859" t="str" cm="1">
        <f t="array" ref="I859">IFERROR(INDEX(CourseYardages[[Hole 1]:[Hole 18]],
  MATCH(1, (CourseYardages[Course]=C859)*(CourseYardages[Tees]=E859), 0),
  MATCH(G859, CourseYardages[[#Headers],[Hole 1]:[Hole 18]], 0)
),"")</f>
        <v/>
      </c>
      <c r="J859" t="str" cm="1">
        <f t="array" ref="J859">IFERROR(INDEX(CourseHandicap[[Hole 1]:[Hole 18]],
  MATCH(1, (CourseHandicap[Course]=C859)*(CourseHandicap[Tees]=E859), 0),
  MATCH(G859, CourseHandicap[[#Headers],[Hole 1]:[Hole 18]], 0)
),"")</f>
        <v/>
      </c>
      <c r="K859" t="str" cm="1">
        <f t="array" ref="K859">IFERROR(INDEX(CourseRatings[[Hole 1]:[Hole 18]],
  MATCH(1, (CourseRatings[Course]=C859)*(CourseRatings[Tees]=E859), 0),
  MATCH(G859, CourseRatings[[#Headers],[Hole 1]:[Hole 18]], 0)
),"")</f>
        <v/>
      </c>
      <c r="L859" cm="1">
        <f t="array" ref="L859">IFERROR(
  INDEX('Golf Log'!$E$2:$V$72,
    MATCH(1,
      ('Golf Log'!$A$2:$A$72=$A859)*
      ('Golf Log'!$B$2:$B$72=$B859)*
      ('Golf Log'!$C$2:$C$72=$C859),
    0),
    MATCH($G859,'Golf Log'!$E$1:$V$1,0)
  ),
"")</f>
        <v>7</v>
      </c>
      <c r="M859" t="str">
        <f t="shared" si="61"/>
        <v/>
      </c>
      <c r="N859" t="str">
        <f t="shared" si="62"/>
        <v/>
      </c>
      <c r="O859" cm="1">
        <f t="array" ref="O859">IFERROR(
  INDEX('Putt Log'!$E$2:$V$72,
    MATCH(1,
      ('Putt Log'!$A$2:$A$72=$A859)*
      ('Putt Log'!$B$2:$B$72=$B859)*
      ('Putt Log'!$C$2:$C$72=$C859),
    0),
    MATCH($G859,'Putt Log'!$E$1:$V$1,0)
  ),
"")</f>
        <v>2</v>
      </c>
      <c r="P859" cm="1">
        <f t="array" ref="P859">IF(K859=3,"",
  IFERROR(
    INDEX('Fairway Log'!$E$2:$V$72,
      MATCH(1,
        ('Fairway Log'!$A$2:$A$72=$A859)*
        ('Fairway Log'!$B$2:$B$72=$B859)*
        ('Fairway Log'!$C$2:$C930=$C859),
      0),
      MATCH($G859,'Fairway Log'!$E$1:$V$1,0)
    ),
  "")
)</f>
        <v>0</v>
      </c>
      <c r="Q859" cm="1">
        <f t="array" ref="Q859">IFERROR(
  INDEX('GIR Log'!$E$2:$V$72,
    MATCH(1,
      ('GIR Log'!$A$2:$A$72=$A859)*
      ('GIR Log'!$B$2:$B$72=$B859)*
      ('GIR Log'!$C$2:$C$72=$C859),
    0),
    MATCH($G859,'GIR Log'!$E$1:$V$1,0)
  ),
"")</f>
        <v>0</v>
      </c>
    </row>
    <row r="860" spans="1:17" x14ac:dyDescent="0.25">
      <c r="A860" s="51" t="s">
        <v>130</v>
      </c>
      <c r="B860" s="2">
        <v>45156</v>
      </c>
      <c r="C860" s="51" t="s">
        <v>46</v>
      </c>
      <c r="D860" s="51" t="s">
        <v>78</v>
      </c>
      <c r="E860" s="51" t="s">
        <v>34</v>
      </c>
      <c r="F860">
        <v>89</v>
      </c>
      <c r="G860" t="s">
        <v>59</v>
      </c>
      <c r="H860" s="9">
        <f t="shared" si="60"/>
        <v>13</v>
      </c>
      <c r="I860" t="str" cm="1">
        <f t="array" ref="I860">IFERROR(INDEX(CourseYardages[[Hole 1]:[Hole 18]],
  MATCH(1, (CourseYardages[Course]=C860)*(CourseYardages[Tees]=E860), 0),
  MATCH(G860, CourseYardages[[#Headers],[Hole 1]:[Hole 18]], 0)
),"")</f>
        <v/>
      </c>
      <c r="J860" t="str" cm="1">
        <f t="array" ref="J860">IFERROR(INDEX(CourseHandicap[[Hole 1]:[Hole 18]],
  MATCH(1, (CourseHandicap[Course]=C860)*(CourseHandicap[Tees]=E860), 0),
  MATCH(G860, CourseHandicap[[#Headers],[Hole 1]:[Hole 18]], 0)
),"")</f>
        <v/>
      </c>
      <c r="K860" t="str" cm="1">
        <f t="array" ref="K860">IFERROR(INDEX(CourseRatings[[Hole 1]:[Hole 18]],
  MATCH(1, (CourseRatings[Course]=C860)*(CourseRatings[Tees]=E860), 0),
  MATCH(G860, CourseRatings[[#Headers],[Hole 1]:[Hole 18]], 0)
),"")</f>
        <v/>
      </c>
      <c r="L860" cm="1">
        <f t="array" ref="L860">IFERROR(
  INDEX('Golf Log'!$E$2:$V$72,
    MATCH(1,
      ('Golf Log'!$A$2:$A$72=$A860)*
      ('Golf Log'!$B$2:$B$72=$B860)*
      ('Golf Log'!$C$2:$C$72=$C860),
    0),
    MATCH($G860,'Golf Log'!$E$1:$V$1,0)
  ),
"")</f>
        <v>3</v>
      </c>
      <c r="M860" t="str">
        <f t="shared" si="61"/>
        <v/>
      </c>
      <c r="N860" t="str">
        <f t="shared" si="62"/>
        <v/>
      </c>
      <c r="O860" cm="1">
        <f t="array" ref="O860">IFERROR(
  INDEX('Putt Log'!$E$2:$V$72,
    MATCH(1,
      ('Putt Log'!$A$2:$A$72=$A860)*
      ('Putt Log'!$B$2:$B$72=$B860)*
      ('Putt Log'!$C$2:$C$72=$C860),
    0),
    MATCH($G860,'Putt Log'!$E$1:$V$1,0)
  ),
"")</f>
        <v>1</v>
      </c>
      <c r="P860" cm="1">
        <f t="array" ref="P860">IF(K860=3,"",
  IFERROR(
    INDEX('Fairway Log'!$E$2:$V$72,
      MATCH(1,
        ('Fairway Log'!$A$2:$A$72=$A860)*
        ('Fairway Log'!$B$2:$B$72=$B860)*
        ('Fairway Log'!$C$2:$C931=$C860),
      0),
      MATCH($G860,'Fairway Log'!$E$1:$V$1,0)
    ),
  "")
)</f>
        <v>0</v>
      </c>
      <c r="Q860" cm="1">
        <f t="array" ref="Q860">IFERROR(
  INDEX('GIR Log'!$E$2:$V$72,
    MATCH(1,
      ('GIR Log'!$A$2:$A$72=$A860)*
      ('GIR Log'!$B$2:$B$72=$B860)*
      ('GIR Log'!$C$2:$C$72=$C860),
    0),
    MATCH($G860,'GIR Log'!$E$1:$V$1,0)
  ),
"")</f>
        <v>0</v>
      </c>
    </row>
    <row r="861" spans="1:17" x14ac:dyDescent="0.25">
      <c r="A861" s="51" t="s">
        <v>130</v>
      </c>
      <c r="B861" s="2">
        <v>45156</v>
      </c>
      <c r="C861" s="51" t="s">
        <v>46</v>
      </c>
      <c r="D861" s="51" t="s">
        <v>78</v>
      </c>
      <c r="E861" s="51" t="s">
        <v>34</v>
      </c>
      <c r="F861">
        <v>89</v>
      </c>
      <c r="G861" t="s">
        <v>60</v>
      </c>
      <c r="H861" s="9">
        <f t="shared" si="60"/>
        <v>14</v>
      </c>
      <c r="I861" t="str" cm="1">
        <f t="array" ref="I861">IFERROR(INDEX(CourseYardages[[Hole 1]:[Hole 18]],
  MATCH(1, (CourseYardages[Course]=C861)*(CourseYardages[Tees]=E861), 0),
  MATCH(G861, CourseYardages[[#Headers],[Hole 1]:[Hole 18]], 0)
),"")</f>
        <v/>
      </c>
      <c r="J861" t="str" cm="1">
        <f t="array" ref="J861">IFERROR(INDEX(CourseHandicap[[Hole 1]:[Hole 18]],
  MATCH(1, (CourseHandicap[Course]=C861)*(CourseHandicap[Tees]=E861), 0),
  MATCH(G861, CourseHandicap[[#Headers],[Hole 1]:[Hole 18]], 0)
),"")</f>
        <v/>
      </c>
      <c r="K861" t="str" cm="1">
        <f t="array" ref="K861">IFERROR(INDEX(CourseRatings[[Hole 1]:[Hole 18]],
  MATCH(1, (CourseRatings[Course]=C861)*(CourseRatings[Tees]=E861), 0),
  MATCH(G861, CourseRatings[[#Headers],[Hole 1]:[Hole 18]], 0)
),"")</f>
        <v/>
      </c>
      <c r="L861" cm="1">
        <f t="array" ref="L861">IFERROR(
  INDEX('Golf Log'!$E$2:$V$72,
    MATCH(1,
      ('Golf Log'!$A$2:$A$72=$A861)*
      ('Golf Log'!$B$2:$B$72=$B861)*
      ('Golf Log'!$C$2:$C$72=$C861),
    0),
    MATCH($G861,'Golf Log'!$E$1:$V$1,0)
  ),
"")</f>
        <v>5</v>
      </c>
      <c r="M861" t="str">
        <f t="shared" si="61"/>
        <v/>
      </c>
      <c r="N861" t="str">
        <f t="shared" si="62"/>
        <v/>
      </c>
      <c r="O861" cm="1">
        <f t="array" ref="O861">IFERROR(
  INDEX('Putt Log'!$E$2:$V$72,
    MATCH(1,
      ('Putt Log'!$A$2:$A$72=$A861)*
      ('Putt Log'!$B$2:$B$72=$B861)*
      ('Putt Log'!$C$2:$C$72=$C861),
    0),
    MATCH($G861,'Putt Log'!$E$1:$V$1,0)
  ),
"")</f>
        <v>2</v>
      </c>
      <c r="P861" cm="1">
        <f t="array" ref="P861">IF(K861=3,"",
  IFERROR(
    INDEX('Fairway Log'!$E$2:$V$72,
      MATCH(1,
        ('Fairway Log'!$A$2:$A$72=$A861)*
        ('Fairway Log'!$B$2:$B$72=$B861)*
        ('Fairway Log'!$C$2:$C932=$C861),
      0),
      MATCH($G861,'Fairway Log'!$E$1:$V$1,0)
    ),
  "")
)</f>
        <v>0</v>
      </c>
      <c r="Q861" cm="1">
        <f t="array" ref="Q861">IFERROR(
  INDEX('GIR Log'!$E$2:$V$72,
    MATCH(1,
      ('GIR Log'!$A$2:$A$72=$A861)*
      ('GIR Log'!$B$2:$B$72=$B861)*
      ('GIR Log'!$C$2:$C$72=$C861),
    0),
    MATCH($G861,'GIR Log'!$E$1:$V$1,0)
  ),
"")</f>
        <v>0</v>
      </c>
    </row>
    <row r="862" spans="1:17" x14ac:dyDescent="0.25">
      <c r="A862" s="51" t="s">
        <v>130</v>
      </c>
      <c r="B862" s="2">
        <v>45156</v>
      </c>
      <c r="C862" s="51" t="s">
        <v>46</v>
      </c>
      <c r="D862" s="51" t="s">
        <v>78</v>
      </c>
      <c r="E862" s="51" t="s">
        <v>34</v>
      </c>
      <c r="F862">
        <v>89</v>
      </c>
      <c r="G862" t="s">
        <v>61</v>
      </c>
      <c r="H862" s="9">
        <f t="shared" si="60"/>
        <v>15</v>
      </c>
      <c r="I862" t="str" cm="1">
        <f t="array" ref="I862">IFERROR(INDEX(CourseYardages[[Hole 1]:[Hole 18]],
  MATCH(1, (CourseYardages[Course]=C862)*(CourseYardages[Tees]=E862), 0),
  MATCH(G862, CourseYardages[[#Headers],[Hole 1]:[Hole 18]], 0)
),"")</f>
        <v/>
      </c>
      <c r="J862" t="str" cm="1">
        <f t="array" ref="J862">IFERROR(INDEX(CourseHandicap[[Hole 1]:[Hole 18]],
  MATCH(1, (CourseHandicap[Course]=C862)*(CourseHandicap[Tees]=E862), 0),
  MATCH(G862, CourseHandicap[[#Headers],[Hole 1]:[Hole 18]], 0)
),"")</f>
        <v/>
      </c>
      <c r="K862" t="str" cm="1">
        <f t="array" ref="K862">IFERROR(INDEX(CourseRatings[[Hole 1]:[Hole 18]],
  MATCH(1, (CourseRatings[Course]=C862)*(CourseRatings[Tees]=E862), 0),
  MATCH(G862, CourseRatings[[#Headers],[Hole 1]:[Hole 18]], 0)
),"")</f>
        <v/>
      </c>
      <c r="L862" cm="1">
        <f t="array" ref="L862">IFERROR(
  INDEX('Golf Log'!$E$2:$V$72,
    MATCH(1,
      ('Golf Log'!$A$2:$A$72=$A862)*
      ('Golf Log'!$B$2:$B$72=$B862)*
      ('Golf Log'!$C$2:$C$72=$C862),
    0),
    MATCH($G862,'Golf Log'!$E$1:$V$1,0)
  ),
"")</f>
        <v>5</v>
      </c>
      <c r="M862" t="str">
        <f t="shared" si="61"/>
        <v/>
      </c>
      <c r="N862" t="str">
        <f t="shared" si="62"/>
        <v/>
      </c>
      <c r="O862" cm="1">
        <f t="array" ref="O862">IFERROR(
  INDEX('Putt Log'!$E$2:$V$72,
    MATCH(1,
      ('Putt Log'!$A$2:$A$72=$A862)*
      ('Putt Log'!$B$2:$B$72=$B862)*
      ('Putt Log'!$C$2:$C$72=$C862),
    0),
    MATCH($G862,'Putt Log'!$E$1:$V$1,0)
  ),
"")</f>
        <v>1</v>
      </c>
      <c r="P862" cm="1">
        <f t="array" ref="P862">IF(K862=3,"",
  IFERROR(
    INDEX('Fairway Log'!$E$2:$V$72,
      MATCH(1,
        ('Fairway Log'!$A$2:$A$72=$A862)*
        ('Fairway Log'!$B$2:$B$72=$B862)*
        ('Fairway Log'!$C$2:$C933=$C862),
      0),
      MATCH($G862,'Fairway Log'!$E$1:$V$1,0)
    ),
  "")
)</f>
        <v>0</v>
      </c>
      <c r="Q862" cm="1">
        <f t="array" ref="Q862">IFERROR(
  INDEX('GIR Log'!$E$2:$V$72,
    MATCH(1,
      ('GIR Log'!$A$2:$A$72=$A862)*
      ('GIR Log'!$B$2:$B$72=$B862)*
      ('GIR Log'!$C$2:$C$72=$C862),
    0),
    MATCH($G862,'GIR Log'!$E$1:$V$1,0)
  ),
"")</f>
        <v>0</v>
      </c>
    </row>
    <row r="863" spans="1:17" x14ac:dyDescent="0.25">
      <c r="A863" s="51" t="s">
        <v>130</v>
      </c>
      <c r="B863" s="2">
        <v>45156</v>
      </c>
      <c r="C863" s="51" t="s">
        <v>46</v>
      </c>
      <c r="D863" s="51" t="s">
        <v>78</v>
      </c>
      <c r="E863" s="51" t="s">
        <v>34</v>
      </c>
      <c r="F863">
        <v>89</v>
      </c>
      <c r="G863" t="s">
        <v>62</v>
      </c>
      <c r="H863" s="9">
        <f t="shared" si="60"/>
        <v>16</v>
      </c>
      <c r="I863" t="str" cm="1">
        <f t="array" ref="I863">IFERROR(INDEX(CourseYardages[[Hole 1]:[Hole 18]],
  MATCH(1, (CourseYardages[Course]=C863)*(CourseYardages[Tees]=E863), 0),
  MATCH(G863, CourseYardages[[#Headers],[Hole 1]:[Hole 18]], 0)
),"")</f>
        <v/>
      </c>
      <c r="J863" t="str" cm="1">
        <f t="array" ref="J863">IFERROR(INDEX(CourseHandicap[[Hole 1]:[Hole 18]],
  MATCH(1, (CourseHandicap[Course]=C863)*(CourseHandicap[Tees]=E863), 0),
  MATCH(G863, CourseHandicap[[#Headers],[Hole 1]:[Hole 18]], 0)
),"")</f>
        <v/>
      </c>
      <c r="K863" t="str" cm="1">
        <f t="array" ref="K863">IFERROR(INDEX(CourseRatings[[Hole 1]:[Hole 18]],
  MATCH(1, (CourseRatings[Course]=C863)*(CourseRatings[Tees]=E863), 0),
  MATCH(G863, CourseRatings[[#Headers],[Hole 1]:[Hole 18]], 0)
),"")</f>
        <v/>
      </c>
      <c r="L863" cm="1">
        <f t="array" ref="L863">IFERROR(
  INDEX('Golf Log'!$E$2:$V$72,
    MATCH(1,
      ('Golf Log'!$A$2:$A$72=$A863)*
      ('Golf Log'!$B$2:$B$72=$B863)*
      ('Golf Log'!$C$2:$C$72=$C863),
    0),
    MATCH($G863,'Golf Log'!$E$1:$V$1,0)
  ),
"")</f>
        <v>5</v>
      </c>
      <c r="M863" t="str">
        <f t="shared" si="61"/>
        <v/>
      </c>
      <c r="N863" t="str">
        <f t="shared" si="62"/>
        <v/>
      </c>
      <c r="O863" cm="1">
        <f t="array" ref="O863">IFERROR(
  INDEX('Putt Log'!$E$2:$V$72,
    MATCH(1,
      ('Putt Log'!$A$2:$A$72=$A863)*
      ('Putt Log'!$B$2:$B$72=$B863)*
      ('Putt Log'!$C$2:$C$72=$C863),
    0),
    MATCH($G863,'Putt Log'!$E$1:$V$1,0)
  ),
"")</f>
        <v>1</v>
      </c>
      <c r="P863" cm="1">
        <f t="array" ref="P863">IF(K863=3,"",
  IFERROR(
    INDEX('Fairway Log'!$E$2:$V$72,
      MATCH(1,
        ('Fairway Log'!$A$2:$A$72=$A863)*
        ('Fairway Log'!$B$2:$B$72=$B863)*
        ('Fairway Log'!$C$2:$C934=$C863),
      0),
      MATCH($G863,'Fairway Log'!$E$1:$V$1,0)
    ),
  "")
)</f>
        <v>0</v>
      </c>
      <c r="Q863" cm="1">
        <f t="array" ref="Q863">IFERROR(
  INDEX('GIR Log'!$E$2:$V$72,
    MATCH(1,
      ('GIR Log'!$A$2:$A$72=$A863)*
      ('GIR Log'!$B$2:$B$72=$B863)*
      ('GIR Log'!$C$2:$C$72=$C863),
    0),
    MATCH($G863,'GIR Log'!$E$1:$V$1,0)
  ),
"")</f>
        <v>0</v>
      </c>
    </row>
    <row r="864" spans="1:17" x14ac:dyDescent="0.25">
      <c r="A864" s="51" t="s">
        <v>130</v>
      </c>
      <c r="B864" s="2">
        <v>45156</v>
      </c>
      <c r="C864" s="51" t="s">
        <v>46</v>
      </c>
      <c r="D864" s="51" t="s">
        <v>78</v>
      </c>
      <c r="E864" s="51" t="s">
        <v>34</v>
      </c>
      <c r="F864">
        <v>89</v>
      </c>
      <c r="G864" t="s">
        <v>63</v>
      </c>
      <c r="H864" s="9">
        <f t="shared" si="60"/>
        <v>17</v>
      </c>
      <c r="I864" t="str" cm="1">
        <f t="array" ref="I864">IFERROR(INDEX(CourseYardages[[Hole 1]:[Hole 18]],
  MATCH(1, (CourseYardages[Course]=C864)*(CourseYardages[Tees]=E864), 0),
  MATCH(G864, CourseYardages[[#Headers],[Hole 1]:[Hole 18]], 0)
),"")</f>
        <v/>
      </c>
      <c r="J864" t="str" cm="1">
        <f t="array" ref="J864">IFERROR(INDEX(CourseHandicap[[Hole 1]:[Hole 18]],
  MATCH(1, (CourseHandicap[Course]=C864)*(CourseHandicap[Tees]=E864), 0),
  MATCH(G864, CourseHandicap[[#Headers],[Hole 1]:[Hole 18]], 0)
),"")</f>
        <v/>
      </c>
      <c r="K864" t="str" cm="1">
        <f t="array" ref="K864">IFERROR(INDEX(CourseRatings[[Hole 1]:[Hole 18]],
  MATCH(1, (CourseRatings[Course]=C864)*(CourseRatings[Tees]=E864), 0),
  MATCH(G864, CourseRatings[[#Headers],[Hole 1]:[Hole 18]], 0)
),"")</f>
        <v/>
      </c>
      <c r="L864" cm="1">
        <f t="array" ref="L864">IFERROR(
  INDEX('Golf Log'!$E$2:$V$72,
    MATCH(1,
      ('Golf Log'!$A$2:$A$72=$A864)*
      ('Golf Log'!$B$2:$B$72=$B864)*
      ('Golf Log'!$C$2:$C$72=$C864),
    0),
    MATCH($G864,'Golf Log'!$E$1:$V$1,0)
  ),
"")</f>
        <v>4</v>
      </c>
      <c r="M864" t="str">
        <f t="shared" si="61"/>
        <v/>
      </c>
      <c r="N864" t="str">
        <f t="shared" si="62"/>
        <v/>
      </c>
      <c r="O864" cm="1">
        <f t="array" ref="O864">IFERROR(
  INDEX('Putt Log'!$E$2:$V$72,
    MATCH(1,
      ('Putt Log'!$A$2:$A$72=$A864)*
      ('Putt Log'!$B$2:$B$72=$B864)*
      ('Putt Log'!$C$2:$C$72=$C864),
    0),
    MATCH($G864,'Putt Log'!$E$1:$V$1,0)
  ),
"")</f>
        <v>2</v>
      </c>
      <c r="P864" cm="1">
        <f t="array" ref="P864">IF(K864=3,"",
  IFERROR(
    INDEX('Fairway Log'!$E$2:$V$72,
      MATCH(1,
        ('Fairway Log'!$A$2:$A$72=$A864)*
        ('Fairway Log'!$B$2:$B$72=$B864)*
        ('Fairway Log'!$C$2:$C935=$C864),
      0),
      MATCH($G864,'Fairway Log'!$E$1:$V$1,0)
    ),
  "")
)</f>
        <v>0</v>
      </c>
      <c r="Q864" cm="1">
        <f t="array" ref="Q864">IFERROR(
  INDEX('GIR Log'!$E$2:$V$72,
    MATCH(1,
      ('GIR Log'!$A$2:$A$72=$A864)*
      ('GIR Log'!$B$2:$B$72=$B864)*
      ('GIR Log'!$C$2:$C$72=$C864),
    0),
    MATCH($G864,'GIR Log'!$E$1:$V$1,0)
  ),
"")</f>
        <v>0</v>
      </c>
    </row>
    <row r="865" spans="1:17" x14ac:dyDescent="0.25">
      <c r="A865" s="51" t="s">
        <v>130</v>
      </c>
      <c r="B865" s="2">
        <v>45156</v>
      </c>
      <c r="C865" s="51" t="s">
        <v>46</v>
      </c>
      <c r="D865" s="51" t="s">
        <v>78</v>
      </c>
      <c r="E865" s="51" t="s">
        <v>34</v>
      </c>
      <c r="F865">
        <v>89</v>
      </c>
      <c r="G865" t="s">
        <v>64</v>
      </c>
      <c r="H865" s="9">
        <f t="shared" si="60"/>
        <v>18</v>
      </c>
      <c r="I865" t="str" cm="1">
        <f t="array" ref="I865">IFERROR(INDEX(CourseYardages[[Hole 1]:[Hole 18]],
  MATCH(1, (CourseYardages[Course]=C865)*(CourseYardages[Tees]=E865), 0),
  MATCH(G865, CourseYardages[[#Headers],[Hole 1]:[Hole 18]], 0)
),"")</f>
        <v/>
      </c>
      <c r="J865" t="str" cm="1">
        <f t="array" ref="J865">IFERROR(INDEX(CourseHandicap[[Hole 1]:[Hole 18]],
  MATCH(1, (CourseHandicap[Course]=C865)*(CourseHandicap[Tees]=E865), 0),
  MATCH(G865, CourseHandicap[[#Headers],[Hole 1]:[Hole 18]], 0)
),"")</f>
        <v/>
      </c>
      <c r="K865" t="str" cm="1">
        <f t="array" ref="K865">IFERROR(INDEX(CourseRatings[[Hole 1]:[Hole 18]],
  MATCH(1, (CourseRatings[Course]=C865)*(CourseRatings[Tees]=E865), 0),
  MATCH(G865, CourseRatings[[#Headers],[Hole 1]:[Hole 18]], 0)
),"")</f>
        <v/>
      </c>
      <c r="L865" cm="1">
        <f t="array" ref="L865">IFERROR(
  INDEX('Golf Log'!$E$2:$V$72,
    MATCH(1,
      ('Golf Log'!$A$2:$A$72=$A865)*
      ('Golf Log'!$B$2:$B$72=$B865)*
      ('Golf Log'!$C$2:$C$72=$C865),
    0),
    MATCH($G865,'Golf Log'!$E$1:$V$1,0)
  ),
"")</f>
        <v>6</v>
      </c>
      <c r="M865" t="str">
        <f t="shared" si="61"/>
        <v/>
      </c>
      <c r="N865" t="str">
        <f t="shared" si="62"/>
        <v/>
      </c>
      <c r="O865" cm="1">
        <f t="array" ref="O865">IFERROR(
  INDEX('Putt Log'!$E$2:$V$72,
    MATCH(1,
      ('Putt Log'!$A$2:$A$72=$A865)*
      ('Putt Log'!$B$2:$B$72=$B865)*
      ('Putt Log'!$C$2:$C$72=$C865),
    0),
    MATCH($G865,'Putt Log'!$E$1:$V$1,0)
  ),
"")</f>
        <v>3</v>
      </c>
      <c r="P865" cm="1">
        <f t="array" ref="P865">IF(K865=3,"",
  IFERROR(
    INDEX('Fairway Log'!$E$2:$V$72,
      MATCH(1,
        ('Fairway Log'!$A$2:$A$72=$A865)*
        ('Fairway Log'!$B$2:$B$72=$B865)*
        ('Fairway Log'!$C$2:$C936=$C865),
      0),
      MATCH($G865,'Fairway Log'!$E$1:$V$1,0)
    ),
  "")
)</f>
        <v>0</v>
      </c>
      <c r="Q865" cm="1">
        <f t="array" ref="Q865">IFERROR(
  INDEX('GIR Log'!$E$2:$V$72,
    MATCH(1,
      ('GIR Log'!$A$2:$A$72=$A865)*
      ('GIR Log'!$B$2:$B$72=$B865)*
      ('GIR Log'!$C$2:$C$72=$C865),
    0),
    MATCH($G865,'GIR Log'!$E$1:$V$1,0)
  ),
"")</f>
        <v>0</v>
      </c>
    </row>
    <row r="866" spans="1:17" x14ac:dyDescent="0.25">
      <c r="A866" s="51" t="s">
        <v>130</v>
      </c>
      <c r="B866" s="2">
        <v>45465</v>
      </c>
      <c r="C866" t="s">
        <v>12</v>
      </c>
      <c r="D866" s="51" t="s">
        <v>76</v>
      </c>
      <c r="E866" s="51" t="s">
        <v>34</v>
      </c>
      <c r="F866">
        <v>99</v>
      </c>
      <c r="G866" s="12" t="s">
        <v>47</v>
      </c>
      <c r="H866" s="9">
        <f t="shared" si="60"/>
        <v>1</v>
      </c>
      <c r="I866" cm="1">
        <f t="array" ref="I866">IFERROR(INDEX(CourseYardages[[Hole 1]:[Hole 18]],
  MATCH(1, (CourseYardages[Course]=C866)*(CourseYardages[Tees]=E866), 0),
  MATCH(G866, CourseYardages[[#Headers],[Hole 1]:[Hole 18]], 0)
),"")</f>
        <v>360</v>
      </c>
      <c r="J866" cm="1">
        <f t="array" ref="J866">IFERROR(INDEX(CourseHandicap[[Hole 1]:[Hole 18]],
  MATCH(1, (CourseHandicap[Course]=C866)*(CourseHandicap[Tees]=E866), 0),
  MATCH(G866, CourseHandicap[[#Headers],[Hole 1]:[Hole 18]], 0)
),"")</f>
        <v>9</v>
      </c>
      <c r="K866" cm="1">
        <f t="array" ref="K866">IFERROR(INDEX(CourseRatings[[Hole 1]:[Hole 18]],
  MATCH(1, (CourseRatings[Course]=C866)*(CourseRatings[Tees]=E866), 0),
  MATCH(G866, CourseRatings[[#Headers],[Hole 1]:[Hole 18]], 0)
),"")</f>
        <v>4</v>
      </c>
      <c r="L866" cm="1">
        <f t="array" ref="L866">IFERROR(
  INDEX('Golf Log'!$E$2:$V$72,
    MATCH(1,
      ('Golf Log'!$A$2:$A$72=$A866)*
      ('Golf Log'!$B$2:$B$72=$B866)*
      ('Golf Log'!$C$2:$C$72=$C866),
    0),
    MATCH($G866,'Golf Log'!$E$1:$V$1,0)
  ),
"")</f>
        <v>7</v>
      </c>
      <c r="M866">
        <f t="shared" si="61"/>
        <v>3</v>
      </c>
      <c r="N866" t="str">
        <f t="shared" si="62"/>
        <v>Triple Bogey</v>
      </c>
      <c r="O866" cm="1">
        <f t="array" ref="O866">IFERROR(
  INDEX('Putt Log'!$E$2:$V$72,
    MATCH(1,
      ('Putt Log'!$A$2:$A$72=$A866)*
      ('Putt Log'!$B$2:$B$72=$B866)*
      ('Putt Log'!$C$2:$C$72=$C866),
    0),
    MATCH($G866,'Putt Log'!$E$1:$V$1,0)
  ),
"")</f>
        <v>1</v>
      </c>
      <c r="P866" t="str" cm="1">
        <f t="array" ref="P866">IF(K866=3,"",
  IFERROR(
    INDEX('Fairway Log'!$E$2:$V$72,
      MATCH(1,
        ('Fairway Log'!$A$2:$A$72=$A866)*
        ('Fairway Log'!$B$2:$B$72=$B866)*
        ('Fairway Log'!$C$2:$C937=$C866),
      0),
      MATCH($G866,'Fairway Log'!$E$1:$V$1,0)
    ),
  "")
)</f>
        <v>↓</v>
      </c>
      <c r="Q866" t="str" cm="1">
        <f t="array" ref="Q866">IFERROR(
  INDEX('GIR Log'!$E$2:$V$72,
    MATCH(1,
      ('GIR Log'!$A$2:$A$72=$A866)*
      ('GIR Log'!$B$2:$B$72=$B866)*
      ('GIR Log'!$C$2:$C$72=$C866),
    0),
    MATCH($G866,'GIR Log'!$E$1:$V$1,0)
  ),
"")</f>
        <v>↓</v>
      </c>
    </row>
    <row r="867" spans="1:17" x14ac:dyDescent="0.25">
      <c r="A867" s="51" t="s">
        <v>130</v>
      </c>
      <c r="B867" s="2">
        <v>45465</v>
      </c>
      <c r="C867" t="s">
        <v>12</v>
      </c>
      <c r="D867" s="51" t="s">
        <v>76</v>
      </c>
      <c r="E867" s="51" t="s">
        <v>34</v>
      </c>
      <c r="F867">
        <v>99</v>
      </c>
      <c r="G867" s="12" t="s">
        <v>48</v>
      </c>
      <c r="H867" s="9">
        <f t="shared" si="60"/>
        <v>2</v>
      </c>
      <c r="I867" cm="1">
        <f t="array" ref="I867">IFERROR(INDEX(CourseYardages[[Hole 1]:[Hole 18]],
  MATCH(1, (CourseYardages[Course]=C867)*(CourseYardages[Tees]=E867), 0),
  MATCH(G867, CourseYardages[[#Headers],[Hole 1]:[Hole 18]], 0)
),"")</f>
        <v>480</v>
      </c>
      <c r="J867" cm="1">
        <f t="array" ref="J867">IFERROR(INDEX(CourseHandicap[[Hole 1]:[Hole 18]],
  MATCH(1, (CourseHandicap[Course]=C867)*(CourseHandicap[Tees]=E867), 0),
  MATCH(G867, CourseHandicap[[#Headers],[Hole 1]:[Hole 18]], 0)
),"")</f>
        <v>5</v>
      </c>
      <c r="K867" cm="1">
        <f t="array" ref="K867">IFERROR(INDEX(CourseRatings[[Hole 1]:[Hole 18]],
  MATCH(1, (CourseRatings[Course]=C867)*(CourseRatings[Tees]=E867), 0),
  MATCH(G867, CourseRatings[[#Headers],[Hole 1]:[Hole 18]], 0)
),"")</f>
        <v>5</v>
      </c>
      <c r="L867" cm="1">
        <f t="array" ref="L867">IFERROR(
  INDEX('Golf Log'!$E$2:$V$72,
    MATCH(1,
      ('Golf Log'!$A$2:$A$72=$A867)*
      ('Golf Log'!$B$2:$B$72=$B867)*
      ('Golf Log'!$C$2:$C$72=$C867),
    0),
    MATCH($G867,'Golf Log'!$E$1:$V$1,0)
  ),
"")</f>
        <v>5</v>
      </c>
      <c r="M867">
        <f t="shared" si="61"/>
        <v>0</v>
      </c>
      <c r="N867" t="str">
        <f t="shared" si="62"/>
        <v>Par</v>
      </c>
      <c r="O867" cm="1">
        <f t="array" ref="O867">IFERROR(
  INDEX('Putt Log'!$E$2:$V$72,
    MATCH(1,
      ('Putt Log'!$A$2:$A$72=$A867)*
      ('Putt Log'!$B$2:$B$72=$B867)*
      ('Putt Log'!$C$2:$C$72=$C867),
    0),
    MATCH($G867,'Putt Log'!$E$1:$V$1,0)
  ),
"")</f>
        <v>1</v>
      </c>
      <c r="P867" t="str" cm="1">
        <f t="array" ref="P867">IF(K867=3,"",
  IFERROR(
    INDEX('Fairway Log'!$E$2:$V$72,
      MATCH(1,
        ('Fairway Log'!$A$2:$A$72=$A867)*
        ('Fairway Log'!$B$2:$B$72=$B867)*
        ('Fairway Log'!$C$2:$C938=$C867),
      0),
      MATCH($G867,'Fairway Log'!$E$1:$V$1,0)
    ),
  "")
)</f>
        <v>←</v>
      </c>
      <c r="Q867" t="str" cm="1">
        <f t="array" ref="Q867">IFERROR(
  INDEX('GIR Log'!$E$2:$V$72,
    MATCH(1,
      ('GIR Log'!$A$2:$A$72=$A867)*
      ('GIR Log'!$B$2:$B$72=$B867)*
      ('GIR Log'!$C$2:$C$72=$C867),
    0),
    MATCH($G867,'GIR Log'!$E$1:$V$1,0)
  ),
"")</f>
        <v>↓</v>
      </c>
    </row>
    <row r="868" spans="1:17" x14ac:dyDescent="0.25">
      <c r="A868" s="51" t="s">
        <v>130</v>
      </c>
      <c r="B868" s="2">
        <v>45465</v>
      </c>
      <c r="C868" t="s">
        <v>12</v>
      </c>
      <c r="D868" s="51" t="s">
        <v>76</v>
      </c>
      <c r="E868" s="51" t="s">
        <v>34</v>
      </c>
      <c r="F868">
        <v>99</v>
      </c>
      <c r="G868" s="12" t="s">
        <v>49</v>
      </c>
      <c r="H868" s="9">
        <f t="shared" si="60"/>
        <v>3</v>
      </c>
      <c r="I868" cm="1">
        <f t="array" ref="I868">IFERROR(INDEX(CourseYardages[[Hole 1]:[Hole 18]],
  MATCH(1, (CourseYardages[Course]=C868)*(CourseYardages[Tees]=E868), 0),
  MATCH(G868, CourseYardages[[#Headers],[Hole 1]:[Hole 18]], 0)
),"")</f>
        <v>315</v>
      </c>
      <c r="J868" cm="1">
        <f t="array" ref="J868">IFERROR(INDEX(CourseHandicap[[Hole 1]:[Hole 18]],
  MATCH(1, (CourseHandicap[Course]=C868)*(CourseHandicap[Tees]=E868), 0),
  MATCH(G868, CourseHandicap[[#Headers],[Hole 1]:[Hole 18]], 0)
),"")</f>
        <v>13</v>
      </c>
      <c r="K868" cm="1">
        <f t="array" ref="K868">IFERROR(INDEX(CourseRatings[[Hole 1]:[Hole 18]],
  MATCH(1, (CourseRatings[Course]=C868)*(CourseRatings[Tees]=E868), 0),
  MATCH(G868, CourseRatings[[#Headers],[Hole 1]:[Hole 18]], 0)
),"")</f>
        <v>4</v>
      </c>
      <c r="L868" cm="1">
        <f t="array" ref="L868">IFERROR(
  INDEX('Golf Log'!$E$2:$V$72,
    MATCH(1,
      ('Golf Log'!$A$2:$A$72=$A868)*
      ('Golf Log'!$B$2:$B$72=$B868)*
      ('Golf Log'!$C$2:$C$72=$C868),
    0),
    MATCH($G868,'Golf Log'!$E$1:$V$1,0)
  ),
"")</f>
        <v>5</v>
      </c>
      <c r="M868">
        <f t="shared" si="61"/>
        <v>1</v>
      </c>
      <c r="N868" t="str">
        <f t="shared" si="62"/>
        <v>Bogey</v>
      </c>
      <c r="O868" cm="1">
        <f t="array" ref="O868">IFERROR(
  INDEX('Putt Log'!$E$2:$V$72,
    MATCH(1,
      ('Putt Log'!$A$2:$A$72=$A868)*
      ('Putt Log'!$B$2:$B$72=$B868)*
      ('Putt Log'!$C$2:$C$72=$C868),
    0),
    MATCH($G868,'Putt Log'!$E$1:$V$1,0)
  ),
"")</f>
        <v>2</v>
      </c>
      <c r="P868" t="str" cm="1">
        <f t="array" ref="P868">IF(K868=3,"",
  IFERROR(
    INDEX('Fairway Log'!$E$2:$V$72,
      MATCH(1,
        ('Fairway Log'!$A$2:$A$72=$A868)*
        ('Fairway Log'!$B$2:$B$72=$B868)*
        ('Fairway Log'!$C$2:$C939=$C868),
      0),
      MATCH($G868,'Fairway Log'!$E$1:$V$1,0)
    ),
  "")
)</f>
        <v>←</v>
      </c>
      <c r="Q868" t="str" cm="1">
        <f t="array" ref="Q868">IFERROR(
  INDEX('GIR Log'!$E$2:$V$72,
    MATCH(1,
      ('GIR Log'!$A$2:$A$72=$A868)*
      ('GIR Log'!$B$2:$B$72=$B868)*
      ('GIR Log'!$C$2:$C$72=$C868),
    0),
    MATCH($G868,'GIR Log'!$E$1:$V$1,0)
  ),
"")</f>
        <v>↑</v>
      </c>
    </row>
    <row r="869" spans="1:17" x14ac:dyDescent="0.25">
      <c r="A869" s="51" t="s">
        <v>130</v>
      </c>
      <c r="B869" s="2">
        <v>45465</v>
      </c>
      <c r="C869" t="s">
        <v>12</v>
      </c>
      <c r="D869" s="51" t="s">
        <v>76</v>
      </c>
      <c r="E869" s="51" t="s">
        <v>34</v>
      </c>
      <c r="F869">
        <v>99</v>
      </c>
      <c r="G869" s="12" t="s">
        <v>50</v>
      </c>
      <c r="H869" s="9">
        <f t="shared" si="60"/>
        <v>4</v>
      </c>
      <c r="I869" cm="1">
        <f t="array" ref="I869">IFERROR(INDEX(CourseYardages[[Hole 1]:[Hole 18]],
  MATCH(1, (CourseYardages[Course]=C869)*(CourseYardages[Tees]=E869), 0),
  MATCH(G869, CourseYardages[[#Headers],[Hole 1]:[Hole 18]], 0)
),"")</f>
        <v>375</v>
      </c>
      <c r="J869" cm="1">
        <f t="array" ref="J869">IFERROR(INDEX(CourseHandicap[[Hole 1]:[Hole 18]],
  MATCH(1, (CourseHandicap[Course]=C869)*(CourseHandicap[Tees]=E869), 0),
  MATCH(G869, CourseHandicap[[#Headers],[Hole 1]:[Hole 18]], 0)
),"")</f>
        <v>11</v>
      </c>
      <c r="K869" cm="1">
        <f t="array" ref="K869">IFERROR(INDEX(CourseRatings[[Hole 1]:[Hole 18]],
  MATCH(1, (CourseRatings[Course]=C869)*(CourseRatings[Tees]=E869), 0),
  MATCH(G869, CourseRatings[[#Headers],[Hole 1]:[Hole 18]], 0)
),"")</f>
        <v>4</v>
      </c>
      <c r="L869" cm="1">
        <f t="array" ref="L869">IFERROR(
  INDEX('Golf Log'!$E$2:$V$72,
    MATCH(1,
      ('Golf Log'!$A$2:$A$72=$A869)*
      ('Golf Log'!$B$2:$B$72=$B869)*
      ('Golf Log'!$C$2:$C$72=$C869),
    0),
    MATCH($G869,'Golf Log'!$E$1:$V$1,0)
  ),
"")</f>
        <v>6</v>
      </c>
      <c r="M869">
        <f t="shared" si="61"/>
        <v>2</v>
      </c>
      <c r="N869" t="str">
        <f t="shared" si="62"/>
        <v>Double Bogey</v>
      </c>
      <c r="O869" cm="1">
        <f t="array" ref="O869">IFERROR(
  INDEX('Putt Log'!$E$2:$V$72,
    MATCH(1,
      ('Putt Log'!$A$2:$A$72=$A869)*
      ('Putt Log'!$B$2:$B$72=$B869)*
      ('Putt Log'!$C$2:$C$72=$C869),
    0),
    MATCH($G869,'Putt Log'!$E$1:$V$1,0)
  ),
"")</f>
        <v>2</v>
      </c>
      <c r="P869" t="str" cm="1">
        <f t="array" ref="P869">IF(K869=3,"",
  IFERROR(
    INDEX('Fairway Log'!$E$2:$V$72,
      MATCH(1,
        ('Fairway Log'!$A$2:$A$72=$A869)*
        ('Fairway Log'!$B$2:$B$72=$B869)*
        ('Fairway Log'!$C$2:$C940=$C869),
      0),
      MATCH($G869,'Fairway Log'!$E$1:$V$1,0)
    ),
  "")
)</f>
        <v>←</v>
      </c>
      <c r="Q869" t="str" cm="1">
        <f t="array" ref="Q869">IFERROR(
  INDEX('GIR Log'!$E$2:$V$72,
    MATCH(1,
      ('GIR Log'!$A$2:$A$72=$A869)*
      ('GIR Log'!$B$2:$B$72=$B869)*
      ('GIR Log'!$C$2:$C$72=$C869),
    0),
    MATCH($G869,'GIR Log'!$E$1:$V$1,0)
  ),
"")</f>
        <v>↓</v>
      </c>
    </row>
    <row r="870" spans="1:17" x14ac:dyDescent="0.25">
      <c r="A870" s="51" t="s">
        <v>130</v>
      </c>
      <c r="B870" s="2">
        <v>45465</v>
      </c>
      <c r="C870" t="s">
        <v>12</v>
      </c>
      <c r="D870" s="51" t="s">
        <v>76</v>
      </c>
      <c r="E870" s="51" t="s">
        <v>34</v>
      </c>
      <c r="F870">
        <v>99</v>
      </c>
      <c r="G870" s="12" t="s">
        <v>51</v>
      </c>
      <c r="H870" s="9">
        <f t="shared" si="60"/>
        <v>5</v>
      </c>
      <c r="I870" cm="1">
        <f t="array" ref="I870">IFERROR(INDEX(CourseYardages[[Hole 1]:[Hole 18]],
  MATCH(1, (CourseYardages[Course]=C870)*(CourseYardages[Tees]=E870), 0),
  MATCH(G870, CourseYardages[[#Headers],[Hole 1]:[Hole 18]], 0)
),"")</f>
        <v>478</v>
      </c>
      <c r="J870" cm="1">
        <f t="array" ref="J870">IFERROR(INDEX(CourseHandicap[[Hole 1]:[Hole 18]],
  MATCH(1, (CourseHandicap[Course]=C870)*(CourseHandicap[Tees]=E870), 0),
  MATCH(G870, CourseHandicap[[#Headers],[Hole 1]:[Hole 18]], 0)
),"")</f>
        <v>7</v>
      </c>
      <c r="K870" cm="1">
        <f t="array" ref="K870">IFERROR(INDEX(CourseRatings[[Hole 1]:[Hole 18]],
  MATCH(1, (CourseRatings[Course]=C870)*(CourseRatings[Tees]=E870), 0),
  MATCH(G870, CourseRatings[[#Headers],[Hole 1]:[Hole 18]], 0)
),"")</f>
        <v>5</v>
      </c>
      <c r="L870" cm="1">
        <f t="array" ref="L870">IFERROR(
  INDEX('Golf Log'!$E$2:$V$72,
    MATCH(1,
      ('Golf Log'!$A$2:$A$72=$A870)*
      ('Golf Log'!$B$2:$B$72=$B870)*
      ('Golf Log'!$C$2:$C$72=$C870),
    0),
    MATCH($G870,'Golf Log'!$E$1:$V$1,0)
  ),
"")</f>
        <v>6</v>
      </c>
      <c r="M870">
        <f t="shared" si="61"/>
        <v>1</v>
      </c>
      <c r="N870" t="str">
        <f t="shared" si="62"/>
        <v>Bogey</v>
      </c>
      <c r="O870" cm="1">
        <f t="array" ref="O870">IFERROR(
  INDEX('Putt Log'!$E$2:$V$72,
    MATCH(1,
      ('Putt Log'!$A$2:$A$72=$A870)*
      ('Putt Log'!$B$2:$B$72=$B870)*
      ('Putt Log'!$C$2:$C$72=$C870),
    0),
    MATCH($G870,'Putt Log'!$E$1:$V$1,0)
  ),
"")</f>
        <v>2</v>
      </c>
      <c r="P870" t="str" cm="1">
        <f t="array" ref="P870">IF(K870=3,"",
  IFERROR(
    INDEX('Fairway Log'!$E$2:$V$72,
      MATCH(1,
        ('Fairway Log'!$A$2:$A$72=$A870)*
        ('Fairway Log'!$B$2:$B$72=$B870)*
        ('Fairway Log'!$C$2:$C941=$C870),
      0),
      MATCH($G870,'Fairway Log'!$E$1:$V$1,0)
    ),
  "")
)</f>
        <v>←</v>
      </c>
      <c r="Q870" t="str" cm="1">
        <f t="array" ref="Q870">IFERROR(
  INDEX('GIR Log'!$E$2:$V$72,
    MATCH(1,
      ('GIR Log'!$A$2:$A$72=$A870)*
      ('GIR Log'!$B$2:$B$72=$B870)*
      ('GIR Log'!$C$2:$C$72=$C870),
    0),
    MATCH($G870,'GIR Log'!$E$1:$V$1,0)
  ),
"")</f>
        <v>→</v>
      </c>
    </row>
    <row r="871" spans="1:17" x14ac:dyDescent="0.25">
      <c r="A871" s="51" t="s">
        <v>130</v>
      </c>
      <c r="B871" s="2">
        <v>45465</v>
      </c>
      <c r="C871" t="s">
        <v>12</v>
      </c>
      <c r="D871" s="51" t="s">
        <v>76</v>
      </c>
      <c r="E871" s="51" t="s">
        <v>34</v>
      </c>
      <c r="F871">
        <v>99</v>
      </c>
      <c r="G871" s="12" t="s">
        <v>52</v>
      </c>
      <c r="H871" s="9">
        <f t="shared" si="60"/>
        <v>6</v>
      </c>
      <c r="I871" cm="1">
        <f t="array" ref="I871">IFERROR(INDEX(CourseYardages[[Hole 1]:[Hole 18]],
  MATCH(1, (CourseYardages[Course]=C871)*(CourseYardages[Tees]=E871), 0),
  MATCH(G871, CourseYardages[[#Headers],[Hole 1]:[Hole 18]], 0)
),"")</f>
        <v>177</v>
      </c>
      <c r="J871" cm="1">
        <f t="array" ref="J871">IFERROR(INDEX(CourseHandicap[[Hole 1]:[Hole 18]],
  MATCH(1, (CourseHandicap[Course]=C871)*(CourseHandicap[Tees]=E871), 0),
  MATCH(G871, CourseHandicap[[#Headers],[Hole 1]:[Hole 18]], 0)
),"")</f>
        <v>17</v>
      </c>
      <c r="K871" cm="1">
        <f t="array" ref="K871">IFERROR(INDEX(CourseRatings[[Hole 1]:[Hole 18]],
  MATCH(1, (CourseRatings[Course]=C871)*(CourseRatings[Tees]=E871), 0),
  MATCH(G871, CourseRatings[[#Headers],[Hole 1]:[Hole 18]], 0)
),"")</f>
        <v>3</v>
      </c>
      <c r="L871" cm="1">
        <f t="array" ref="L871">IFERROR(
  INDEX('Golf Log'!$E$2:$V$72,
    MATCH(1,
      ('Golf Log'!$A$2:$A$72=$A871)*
      ('Golf Log'!$B$2:$B$72=$B871)*
      ('Golf Log'!$C$2:$C$72=$C871),
    0),
    MATCH($G871,'Golf Log'!$E$1:$V$1,0)
  ),
"")</f>
        <v>4</v>
      </c>
      <c r="M871">
        <f t="shared" si="61"/>
        <v>1</v>
      </c>
      <c r="N871" t="str">
        <f t="shared" si="62"/>
        <v>Bogey</v>
      </c>
      <c r="O871" cm="1">
        <f t="array" ref="O871">IFERROR(
  INDEX('Putt Log'!$E$2:$V$72,
    MATCH(1,
      ('Putt Log'!$A$2:$A$72=$A871)*
      ('Putt Log'!$B$2:$B$72=$B871)*
      ('Putt Log'!$C$2:$C$72=$C871),
    0),
    MATCH($G871,'Putt Log'!$E$1:$V$1,0)
  ),
"")</f>
        <v>2</v>
      </c>
      <c r="P871" t="str" cm="1">
        <f t="array" ref="P871">IF(K871=3,"",
  IFERROR(
    INDEX('Fairway Log'!$E$2:$V$72,
      MATCH(1,
        ('Fairway Log'!$A$2:$A$72=$A871)*
        ('Fairway Log'!$B$2:$B$72=$B871)*
        ('Fairway Log'!$C$2:$C942=$C871),
      0),
      MATCH($G871,'Fairway Log'!$E$1:$V$1,0)
    ),
  "")
)</f>
        <v/>
      </c>
      <c r="Q871" t="str" cm="1">
        <f t="array" ref="Q871">IFERROR(
  INDEX('GIR Log'!$E$2:$V$72,
    MATCH(1,
      ('GIR Log'!$A$2:$A$72=$A871)*
      ('GIR Log'!$B$2:$B$72=$B871)*
      ('GIR Log'!$C$2:$C$72=$C871),
    0),
    MATCH($G871,'GIR Log'!$E$1:$V$1,0)
  ),
"")</f>
        <v>↓</v>
      </c>
    </row>
    <row r="872" spans="1:17" x14ac:dyDescent="0.25">
      <c r="A872" s="51" t="s">
        <v>130</v>
      </c>
      <c r="B872" s="2">
        <v>45465</v>
      </c>
      <c r="C872" t="s">
        <v>12</v>
      </c>
      <c r="D872" s="51" t="s">
        <v>76</v>
      </c>
      <c r="E872" s="51" t="s">
        <v>34</v>
      </c>
      <c r="F872">
        <v>99</v>
      </c>
      <c r="G872" s="12" t="s">
        <v>53</v>
      </c>
      <c r="H872" s="9">
        <f t="shared" si="60"/>
        <v>7</v>
      </c>
      <c r="I872" cm="1">
        <f t="array" ref="I872">IFERROR(INDEX(CourseYardages[[Hole 1]:[Hole 18]],
  MATCH(1, (CourseYardages[Course]=C872)*(CourseYardages[Tees]=E872), 0),
  MATCH(G872, CourseYardages[[#Headers],[Hole 1]:[Hole 18]], 0)
),"")</f>
        <v>413</v>
      </c>
      <c r="J872" cm="1">
        <f t="array" ref="J872">IFERROR(INDEX(CourseHandicap[[Hole 1]:[Hole 18]],
  MATCH(1, (CourseHandicap[Course]=C872)*(CourseHandicap[Tees]=E872), 0),
  MATCH(G872, CourseHandicap[[#Headers],[Hole 1]:[Hole 18]], 0)
),"")</f>
        <v>1</v>
      </c>
      <c r="K872" cm="1">
        <f t="array" ref="K872">IFERROR(INDEX(CourseRatings[[Hole 1]:[Hole 18]],
  MATCH(1, (CourseRatings[Course]=C872)*(CourseRatings[Tees]=E872), 0),
  MATCH(G872, CourseRatings[[#Headers],[Hole 1]:[Hole 18]], 0)
),"")</f>
        <v>4</v>
      </c>
      <c r="L872" cm="1">
        <f t="array" ref="L872">IFERROR(
  INDEX('Golf Log'!$E$2:$V$72,
    MATCH(1,
      ('Golf Log'!$A$2:$A$72=$A872)*
      ('Golf Log'!$B$2:$B$72=$B872)*
      ('Golf Log'!$C$2:$C$72=$C872),
    0),
    MATCH($G872,'Golf Log'!$E$1:$V$1,0)
  ),
"")</f>
        <v>5</v>
      </c>
      <c r="M872">
        <f t="shared" si="61"/>
        <v>1</v>
      </c>
      <c r="N872" t="str">
        <f t="shared" si="62"/>
        <v>Bogey</v>
      </c>
      <c r="O872" cm="1">
        <f t="array" ref="O872">IFERROR(
  INDEX('Putt Log'!$E$2:$V$72,
    MATCH(1,
      ('Putt Log'!$A$2:$A$72=$A872)*
      ('Putt Log'!$B$2:$B$72=$B872)*
      ('Putt Log'!$C$2:$C$72=$C872),
    0),
    MATCH($G872,'Putt Log'!$E$1:$V$1,0)
  ),
"")</f>
        <v>2</v>
      </c>
      <c r="P872" t="str" cm="1">
        <f t="array" ref="P872">IF(K872=3,"",
  IFERROR(
    INDEX('Fairway Log'!$E$2:$V$72,
      MATCH(1,
        ('Fairway Log'!$A$2:$A$72=$A872)*
        ('Fairway Log'!$B$2:$B$72=$B872)*
        ('Fairway Log'!$C$2:$C943=$C872),
      0),
      MATCH($G872,'Fairway Log'!$E$1:$V$1,0)
    ),
  "")
)</f>
        <v>←</v>
      </c>
      <c r="Q872" t="str" cm="1">
        <f t="array" ref="Q872">IFERROR(
  INDEX('GIR Log'!$E$2:$V$72,
    MATCH(1,
      ('GIR Log'!$A$2:$A$72=$A872)*
      ('GIR Log'!$B$2:$B$72=$B872)*
      ('GIR Log'!$C$2:$C$72=$C872),
    0),
    MATCH($G872,'GIR Log'!$E$1:$V$1,0)
  ),
"")</f>
        <v>↓</v>
      </c>
    </row>
    <row r="873" spans="1:17" x14ac:dyDescent="0.25">
      <c r="A873" s="51" t="s">
        <v>130</v>
      </c>
      <c r="B873" s="2">
        <v>45465</v>
      </c>
      <c r="C873" t="s">
        <v>12</v>
      </c>
      <c r="D873" s="51" t="s">
        <v>76</v>
      </c>
      <c r="E873" s="51" t="s">
        <v>34</v>
      </c>
      <c r="F873">
        <v>99</v>
      </c>
      <c r="G873" s="12" t="s">
        <v>54</v>
      </c>
      <c r="H873" s="9">
        <f t="shared" si="60"/>
        <v>8</v>
      </c>
      <c r="I873" cm="1">
        <f t="array" ref="I873">IFERROR(INDEX(CourseYardages[[Hole 1]:[Hole 18]],
  MATCH(1, (CourseYardages[Course]=C873)*(CourseYardages[Tees]=E873), 0),
  MATCH(G873, CourseYardages[[#Headers],[Hole 1]:[Hole 18]], 0)
),"")</f>
        <v>169</v>
      </c>
      <c r="J873" cm="1">
        <f t="array" ref="J873">IFERROR(INDEX(CourseHandicap[[Hole 1]:[Hole 18]],
  MATCH(1, (CourseHandicap[Course]=C873)*(CourseHandicap[Tees]=E873), 0),
  MATCH(G873, CourseHandicap[[#Headers],[Hole 1]:[Hole 18]], 0)
),"")</f>
        <v>15</v>
      </c>
      <c r="K873" cm="1">
        <f t="array" ref="K873">IFERROR(INDEX(CourseRatings[[Hole 1]:[Hole 18]],
  MATCH(1, (CourseRatings[Course]=C873)*(CourseRatings[Tees]=E873), 0),
  MATCH(G873, CourseRatings[[#Headers],[Hole 1]:[Hole 18]], 0)
),"")</f>
        <v>3</v>
      </c>
      <c r="L873" cm="1">
        <f t="array" ref="L873">IFERROR(
  INDEX('Golf Log'!$E$2:$V$72,
    MATCH(1,
      ('Golf Log'!$A$2:$A$72=$A873)*
      ('Golf Log'!$B$2:$B$72=$B873)*
      ('Golf Log'!$C$2:$C$72=$C873),
    0),
    MATCH($G873,'Golf Log'!$E$1:$V$1,0)
  ),
"")</f>
        <v>4</v>
      </c>
      <c r="M873">
        <f t="shared" si="61"/>
        <v>1</v>
      </c>
      <c r="N873" t="str">
        <f t="shared" si="62"/>
        <v>Bogey</v>
      </c>
      <c r="O873" cm="1">
        <f t="array" ref="O873">IFERROR(
  INDEX('Putt Log'!$E$2:$V$72,
    MATCH(1,
      ('Putt Log'!$A$2:$A$72=$A873)*
      ('Putt Log'!$B$2:$B$72=$B873)*
      ('Putt Log'!$C$2:$C$72=$C873),
    0),
    MATCH($G873,'Putt Log'!$E$1:$V$1,0)
  ),
"")</f>
        <v>2</v>
      </c>
      <c r="P873" t="str" cm="1">
        <f t="array" ref="P873">IF(K873=3,"",
  IFERROR(
    INDEX('Fairway Log'!$E$2:$V$72,
      MATCH(1,
        ('Fairway Log'!$A$2:$A$72=$A873)*
        ('Fairway Log'!$B$2:$B$72=$B873)*
        ('Fairway Log'!$C$2:$C944=$C873),
      0),
      MATCH($G873,'Fairway Log'!$E$1:$V$1,0)
    ),
  "")
)</f>
        <v/>
      </c>
      <c r="Q873" t="str" cm="1">
        <f t="array" ref="Q873">IFERROR(
  INDEX('GIR Log'!$E$2:$V$72,
    MATCH(1,
      ('GIR Log'!$A$2:$A$72=$A873)*
      ('GIR Log'!$B$2:$B$72=$B873)*
      ('GIR Log'!$C$2:$C$72=$C873),
    0),
    MATCH($G873,'GIR Log'!$E$1:$V$1,0)
  ),
"")</f>
        <v>←</v>
      </c>
    </row>
    <row r="874" spans="1:17" x14ac:dyDescent="0.25">
      <c r="A874" s="51" t="s">
        <v>130</v>
      </c>
      <c r="B874" s="2">
        <v>45465</v>
      </c>
      <c r="C874" t="s">
        <v>12</v>
      </c>
      <c r="D874" s="51" t="s">
        <v>76</v>
      </c>
      <c r="E874" s="51" t="s">
        <v>34</v>
      </c>
      <c r="F874">
        <v>99</v>
      </c>
      <c r="G874" s="12" t="s">
        <v>55</v>
      </c>
      <c r="H874" s="9">
        <f t="shared" si="60"/>
        <v>9</v>
      </c>
      <c r="I874" cm="1">
        <f t="array" ref="I874">IFERROR(INDEX(CourseYardages[[Hole 1]:[Hole 18]],
  MATCH(1, (CourseYardages[Course]=C874)*(CourseYardages[Tees]=E874), 0),
  MATCH(G874, CourseYardages[[#Headers],[Hole 1]:[Hole 18]], 0)
),"")</f>
        <v>390</v>
      </c>
      <c r="J874" cm="1">
        <f t="array" ref="J874">IFERROR(INDEX(CourseHandicap[[Hole 1]:[Hole 18]],
  MATCH(1, (CourseHandicap[Course]=C874)*(CourseHandicap[Tees]=E874), 0),
  MATCH(G874, CourseHandicap[[#Headers],[Hole 1]:[Hole 18]], 0)
),"")</f>
        <v>3</v>
      </c>
      <c r="K874" cm="1">
        <f t="array" ref="K874">IFERROR(INDEX(CourseRatings[[Hole 1]:[Hole 18]],
  MATCH(1, (CourseRatings[Course]=C874)*(CourseRatings[Tees]=E874), 0),
  MATCH(G874, CourseRatings[[#Headers],[Hole 1]:[Hole 18]], 0)
),"")</f>
        <v>4</v>
      </c>
      <c r="L874" cm="1">
        <f t="array" ref="L874">IFERROR(
  INDEX('Golf Log'!$E$2:$V$72,
    MATCH(1,
      ('Golf Log'!$A$2:$A$72=$A874)*
      ('Golf Log'!$B$2:$B$72=$B874)*
      ('Golf Log'!$C$2:$C$72=$C874),
    0),
    MATCH($G874,'Golf Log'!$E$1:$V$1,0)
  ),
"")</f>
        <v>6</v>
      </c>
      <c r="M874">
        <f t="shared" si="61"/>
        <v>2</v>
      </c>
      <c r="N874" t="str">
        <f t="shared" si="62"/>
        <v>Double Bogey</v>
      </c>
      <c r="O874" cm="1">
        <f t="array" ref="O874">IFERROR(
  INDEX('Putt Log'!$E$2:$V$72,
    MATCH(1,
      ('Putt Log'!$A$2:$A$72=$A874)*
      ('Putt Log'!$B$2:$B$72=$B874)*
      ('Putt Log'!$C$2:$C$72=$C874),
    0),
    MATCH($G874,'Putt Log'!$E$1:$V$1,0)
  ),
"")</f>
        <v>2</v>
      </c>
      <c r="P874" t="str" cm="1">
        <f t="array" ref="P874">IF(K874=3,"",
  IFERROR(
    INDEX('Fairway Log'!$E$2:$V$72,
      MATCH(1,
        ('Fairway Log'!$A$2:$A$72=$A874)*
        ('Fairway Log'!$B$2:$B$72=$B874)*
        ('Fairway Log'!$C$2:$C945=$C874),
      0),
      MATCH($G874,'Fairway Log'!$E$1:$V$1,0)
    ),
  "")
)</f>
        <v>↓</v>
      </c>
      <c r="Q874" t="str" cm="1">
        <f t="array" ref="Q874">IFERROR(
  INDEX('GIR Log'!$E$2:$V$72,
    MATCH(1,
      ('GIR Log'!$A$2:$A$72=$A874)*
      ('GIR Log'!$B$2:$B$72=$B874)*
      ('GIR Log'!$C$2:$C$72=$C874),
    0),
    MATCH($G874,'GIR Log'!$E$1:$V$1,0)
  ),
"")</f>
        <v>↓</v>
      </c>
    </row>
    <row r="875" spans="1:17" x14ac:dyDescent="0.25">
      <c r="A875" s="51" t="s">
        <v>130</v>
      </c>
      <c r="B875" s="2">
        <v>45465</v>
      </c>
      <c r="C875" t="s">
        <v>12</v>
      </c>
      <c r="D875" s="51" t="s">
        <v>76</v>
      </c>
      <c r="E875" s="51" t="s">
        <v>34</v>
      </c>
      <c r="F875">
        <v>99</v>
      </c>
      <c r="G875" s="12" t="s">
        <v>56</v>
      </c>
      <c r="H875" s="9">
        <f t="shared" si="60"/>
        <v>10</v>
      </c>
      <c r="I875" cm="1">
        <f t="array" ref="I875">IFERROR(INDEX(CourseYardages[[Hole 1]:[Hole 18]],
  MATCH(1, (CourseYardages[Course]=C875)*(CourseYardages[Tees]=E875), 0),
  MATCH(G875, CourseYardages[[#Headers],[Hole 1]:[Hole 18]], 0)
),"")</f>
        <v>470</v>
      </c>
      <c r="J875" cm="1">
        <f t="array" ref="J875">IFERROR(INDEX(CourseHandicap[[Hole 1]:[Hole 18]],
  MATCH(1, (CourseHandicap[Course]=C875)*(CourseHandicap[Tees]=E875), 0),
  MATCH(G875, CourseHandicap[[#Headers],[Hole 1]:[Hole 18]], 0)
),"")</f>
        <v>4</v>
      </c>
      <c r="K875" cm="1">
        <f t="array" ref="K875">IFERROR(INDEX(CourseRatings[[Hole 1]:[Hole 18]],
  MATCH(1, (CourseRatings[Course]=C875)*(CourseRatings[Tees]=E875), 0),
  MATCH(G875, CourseRatings[[#Headers],[Hole 1]:[Hole 18]], 0)
),"")</f>
        <v>5</v>
      </c>
      <c r="L875" cm="1">
        <f t="array" ref="L875">IFERROR(
  INDEX('Golf Log'!$E$2:$V$72,
    MATCH(1,
      ('Golf Log'!$A$2:$A$72=$A875)*
      ('Golf Log'!$B$2:$B$72=$B875)*
      ('Golf Log'!$C$2:$C$72=$C875),
    0),
    MATCH($G875,'Golf Log'!$E$1:$V$1,0)
  ),
"")</f>
        <v>8</v>
      </c>
      <c r="M875">
        <f t="shared" si="61"/>
        <v>3</v>
      </c>
      <c r="N875" t="str">
        <f t="shared" si="62"/>
        <v>Triple Bogey</v>
      </c>
      <c r="O875" cm="1">
        <f t="array" ref="O875">IFERROR(
  INDEX('Putt Log'!$E$2:$V$72,
    MATCH(1,
      ('Putt Log'!$A$2:$A$72=$A875)*
      ('Putt Log'!$B$2:$B$72=$B875)*
      ('Putt Log'!$C$2:$C$72=$C875),
    0),
    MATCH($G875,'Putt Log'!$E$1:$V$1,0)
  ),
"")</f>
        <v>2</v>
      </c>
      <c r="P875" t="str" cm="1">
        <f t="array" ref="P875">IF(K875=3,"",
  IFERROR(
    INDEX('Fairway Log'!$E$2:$V$72,
      MATCH(1,
        ('Fairway Log'!$A$2:$A$72=$A875)*
        ('Fairway Log'!$B$2:$B$72=$B875)*
        ('Fairway Log'!$C$2:$C946=$C875),
      0),
      MATCH($G875,'Fairway Log'!$E$1:$V$1,0)
    ),
  "")
)</f>
        <v>↓</v>
      </c>
      <c r="Q875" t="str" cm="1">
        <f t="array" ref="Q875">IFERROR(
  INDEX('GIR Log'!$E$2:$V$72,
    MATCH(1,
      ('GIR Log'!$A$2:$A$72=$A875)*
      ('GIR Log'!$B$2:$B$72=$B875)*
      ('GIR Log'!$C$2:$C$72=$C875),
    0),
    MATCH($G875,'GIR Log'!$E$1:$V$1,0)
  ),
"")</f>
        <v>↓</v>
      </c>
    </row>
    <row r="876" spans="1:17" x14ac:dyDescent="0.25">
      <c r="A876" s="51" t="s">
        <v>130</v>
      </c>
      <c r="B876" s="2">
        <v>45465</v>
      </c>
      <c r="C876" t="s">
        <v>12</v>
      </c>
      <c r="D876" s="51" t="s">
        <v>76</v>
      </c>
      <c r="E876" s="51" t="s">
        <v>34</v>
      </c>
      <c r="F876">
        <v>99</v>
      </c>
      <c r="G876" s="12" t="s">
        <v>57</v>
      </c>
      <c r="H876" s="9">
        <f t="shared" si="60"/>
        <v>11</v>
      </c>
      <c r="I876" cm="1">
        <f t="array" ref="I876">IFERROR(INDEX(CourseYardages[[Hole 1]:[Hole 18]],
  MATCH(1, (CourseYardages[Course]=C876)*(CourseYardages[Tees]=E876), 0),
  MATCH(G876, CourseYardages[[#Headers],[Hole 1]:[Hole 18]], 0)
),"")</f>
        <v>306</v>
      </c>
      <c r="J876" cm="1">
        <f t="array" ref="J876">IFERROR(INDEX(CourseHandicap[[Hole 1]:[Hole 18]],
  MATCH(1, (CourseHandicap[Course]=C876)*(CourseHandicap[Tees]=E876), 0),
  MATCH(G876, CourseHandicap[[#Headers],[Hole 1]:[Hole 18]], 0)
),"")</f>
        <v>16</v>
      </c>
      <c r="K876" cm="1">
        <f t="array" ref="K876">IFERROR(INDEX(CourseRatings[[Hole 1]:[Hole 18]],
  MATCH(1, (CourseRatings[Course]=C876)*(CourseRatings[Tees]=E876), 0),
  MATCH(G876, CourseRatings[[#Headers],[Hole 1]:[Hole 18]], 0)
),"")</f>
        <v>4</v>
      </c>
      <c r="L876" cm="1">
        <f t="array" ref="L876">IFERROR(
  INDEX('Golf Log'!$E$2:$V$72,
    MATCH(1,
      ('Golf Log'!$A$2:$A$72=$A876)*
      ('Golf Log'!$B$2:$B$72=$B876)*
      ('Golf Log'!$C$2:$C$72=$C876),
    0),
    MATCH($G876,'Golf Log'!$E$1:$V$1,0)
  ),
"")</f>
        <v>5</v>
      </c>
      <c r="M876">
        <f t="shared" si="61"/>
        <v>1</v>
      </c>
      <c r="N876" t="str">
        <f t="shared" si="62"/>
        <v>Bogey</v>
      </c>
      <c r="O876" cm="1">
        <f t="array" ref="O876">IFERROR(
  INDEX('Putt Log'!$E$2:$V$72,
    MATCH(1,
      ('Putt Log'!$A$2:$A$72=$A876)*
      ('Putt Log'!$B$2:$B$72=$B876)*
      ('Putt Log'!$C$2:$C$72=$C876),
    0),
    MATCH($G876,'Putt Log'!$E$1:$V$1,0)
  ),
"")</f>
        <v>2</v>
      </c>
      <c r="P876" t="str" cm="1">
        <f t="array" ref="P876">IF(K876=3,"",
  IFERROR(
    INDEX('Fairway Log'!$E$2:$V$72,
      MATCH(1,
        ('Fairway Log'!$A$2:$A$72=$A876)*
        ('Fairway Log'!$B$2:$B$72=$B876)*
        ('Fairway Log'!$C$2:$C947=$C876),
      0),
      MATCH($G876,'Fairway Log'!$E$1:$V$1,0)
    ),
  "")
)</f>
        <v>→</v>
      </c>
      <c r="Q876" t="str" cm="1">
        <f t="array" ref="Q876">IFERROR(
  INDEX('GIR Log'!$E$2:$V$72,
    MATCH(1,
      ('GIR Log'!$A$2:$A$72=$A876)*
      ('GIR Log'!$B$2:$B$72=$B876)*
      ('GIR Log'!$C$2:$C$72=$C876),
    0),
    MATCH($G876,'GIR Log'!$E$1:$V$1,0)
  ),
"")</f>
        <v>↓</v>
      </c>
    </row>
    <row r="877" spans="1:17" x14ac:dyDescent="0.25">
      <c r="A877" s="51" t="s">
        <v>130</v>
      </c>
      <c r="B877" s="2">
        <v>45465</v>
      </c>
      <c r="C877" t="s">
        <v>12</v>
      </c>
      <c r="D877" s="51" t="s">
        <v>76</v>
      </c>
      <c r="E877" s="51" t="s">
        <v>34</v>
      </c>
      <c r="F877">
        <v>99</v>
      </c>
      <c r="G877" s="12" t="s">
        <v>58</v>
      </c>
      <c r="H877" s="9">
        <f t="shared" si="60"/>
        <v>12</v>
      </c>
      <c r="I877" cm="1">
        <f t="array" ref="I877">IFERROR(INDEX(CourseYardages[[Hole 1]:[Hole 18]],
  MATCH(1, (CourseYardages[Course]=C877)*(CourseYardages[Tees]=E877), 0),
  MATCH(G877, CourseYardages[[#Headers],[Hole 1]:[Hole 18]], 0)
),"")</f>
        <v>148</v>
      </c>
      <c r="J877" cm="1">
        <f t="array" ref="J877">IFERROR(INDEX(CourseHandicap[[Hole 1]:[Hole 18]],
  MATCH(1, (CourseHandicap[Course]=C877)*(CourseHandicap[Tees]=E877), 0),
  MATCH(G877, CourseHandicap[[#Headers],[Hole 1]:[Hole 18]], 0)
),"")</f>
        <v>18</v>
      </c>
      <c r="K877" cm="1">
        <f t="array" ref="K877">IFERROR(INDEX(CourseRatings[[Hole 1]:[Hole 18]],
  MATCH(1, (CourseRatings[Course]=C877)*(CourseRatings[Tees]=E877), 0),
  MATCH(G877, CourseRatings[[#Headers],[Hole 1]:[Hole 18]], 0)
),"")</f>
        <v>3</v>
      </c>
      <c r="L877" cm="1">
        <f t="array" ref="L877">IFERROR(
  INDEX('Golf Log'!$E$2:$V$72,
    MATCH(1,
      ('Golf Log'!$A$2:$A$72=$A877)*
      ('Golf Log'!$B$2:$B$72=$B877)*
      ('Golf Log'!$C$2:$C$72=$C877),
    0),
    MATCH($G877,'Golf Log'!$E$1:$V$1,0)
  ),
"")</f>
        <v>5</v>
      </c>
      <c r="M877">
        <f t="shared" si="61"/>
        <v>2</v>
      </c>
      <c r="N877" t="str">
        <f t="shared" si="62"/>
        <v>Double Bogey</v>
      </c>
      <c r="O877" cm="1">
        <f t="array" ref="O877">IFERROR(
  INDEX('Putt Log'!$E$2:$V$72,
    MATCH(1,
      ('Putt Log'!$A$2:$A$72=$A877)*
      ('Putt Log'!$B$2:$B$72=$B877)*
      ('Putt Log'!$C$2:$C$72=$C877),
    0),
    MATCH($G877,'Putt Log'!$E$1:$V$1,0)
  ),
"")</f>
        <v>2</v>
      </c>
      <c r="P877" t="str" cm="1">
        <f t="array" ref="P877">IF(K877=3,"",
  IFERROR(
    INDEX('Fairway Log'!$E$2:$V$72,
      MATCH(1,
        ('Fairway Log'!$A$2:$A$72=$A877)*
        ('Fairway Log'!$B$2:$B$72=$B877)*
        ('Fairway Log'!$C$2:$C948=$C877),
      0),
      MATCH($G877,'Fairway Log'!$E$1:$V$1,0)
    ),
  "")
)</f>
        <v/>
      </c>
      <c r="Q877" t="str" cm="1">
        <f t="array" ref="Q877">IFERROR(
  INDEX('GIR Log'!$E$2:$V$72,
    MATCH(1,
      ('GIR Log'!$A$2:$A$72=$A877)*
      ('GIR Log'!$B$2:$B$72=$B877)*
      ('GIR Log'!$C$2:$C$72=$C877),
    0),
    MATCH($G877,'GIR Log'!$E$1:$V$1,0)
  ),
"")</f>
        <v>↓</v>
      </c>
    </row>
    <row r="878" spans="1:17" x14ac:dyDescent="0.25">
      <c r="A878" s="51" t="s">
        <v>130</v>
      </c>
      <c r="B878" s="2">
        <v>45465</v>
      </c>
      <c r="C878" t="s">
        <v>12</v>
      </c>
      <c r="D878" s="51" t="s">
        <v>76</v>
      </c>
      <c r="E878" s="51" t="s">
        <v>34</v>
      </c>
      <c r="F878">
        <v>99</v>
      </c>
      <c r="G878" s="12" t="s">
        <v>59</v>
      </c>
      <c r="H878" s="9">
        <f t="shared" si="60"/>
        <v>13</v>
      </c>
      <c r="I878" cm="1">
        <f t="array" ref="I878">IFERROR(INDEX(CourseYardages[[Hole 1]:[Hole 18]],
  MATCH(1, (CourseYardages[Course]=C878)*(CourseYardages[Tees]=E878), 0),
  MATCH(G878, CourseYardages[[#Headers],[Hole 1]:[Hole 18]], 0)
),"")</f>
        <v>377</v>
      </c>
      <c r="J878" cm="1">
        <f t="array" ref="J878">IFERROR(INDEX(CourseHandicap[[Hole 1]:[Hole 18]],
  MATCH(1, (CourseHandicap[Course]=C878)*(CourseHandicap[Tees]=E878), 0),
  MATCH(G878, CourseHandicap[[#Headers],[Hole 1]:[Hole 18]], 0)
),"")</f>
        <v>14</v>
      </c>
      <c r="K878" cm="1">
        <f t="array" ref="K878">IFERROR(INDEX(CourseRatings[[Hole 1]:[Hole 18]],
  MATCH(1, (CourseRatings[Course]=C878)*(CourseRatings[Tees]=E878), 0),
  MATCH(G878, CourseRatings[[#Headers],[Hole 1]:[Hole 18]], 0)
),"")</f>
        <v>4</v>
      </c>
      <c r="L878" cm="1">
        <f t="array" ref="L878">IFERROR(
  INDEX('Golf Log'!$E$2:$V$72,
    MATCH(1,
      ('Golf Log'!$A$2:$A$72=$A878)*
      ('Golf Log'!$B$2:$B$72=$B878)*
      ('Golf Log'!$C$2:$C$72=$C878),
    0),
    MATCH($G878,'Golf Log'!$E$1:$V$1,0)
  ),
"")</f>
        <v>5</v>
      </c>
      <c r="M878">
        <f t="shared" si="61"/>
        <v>1</v>
      </c>
      <c r="N878" t="str">
        <f t="shared" si="62"/>
        <v>Bogey</v>
      </c>
      <c r="O878" cm="1">
        <f t="array" ref="O878">IFERROR(
  INDEX('Putt Log'!$E$2:$V$72,
    MATCH(1,
      ('Putt Log'!$A$2:$A$72=$A878)*
      ('Putt Log'!$B$2:$B$72=$B878)*
      ('Putt Log'!$C$2:$C$72=$C878),
    0),
    MATCH($G878,'Putt Log'!$E$1:$V$1,0)
  ),
"")</f>
        <v>2</v>
      </c>
      <c r="P878" t="str" cm="1">
        <f t="array" ref="P878">IF(K878=3,"",
  IFERROR(
    INDEX('Fairway Log'!$E$2:$V$72,
      MATCH(1,
        ('Fairway Log'!$A$2:$A$72=$A878)*
        ('Fairway Log'!$B$2:$B$72=$B878)*
        ('Fairway Log'!$C$2:$C949=$C878),
      0),
      MATCH($G878,'Fairway Log'!$E$1:$V$1,0)
    ),
  "")
)</f>
        <v>←</v>
      </c>
      <c r="Q878" t="str" cm="1">
        <f t="array" ref="Q878">IFERROR(
  INDEX('GIR Log'!$E$2:$V$72,
    MATCH(1,
      ('GIR Log'!$A$2:$A$72=$A878)*
      ('GIR Log'!$B$2:$B$72=$B878)*
      ('GIR Log'!$C$2:$C$72=$C878),
    0),
    MATCH($G878,'GIR Log'!$E$1:$V$1,0)
  ),
"")</f>
        <v>↓</v>
      </c>
    </row>
    <row r="879" spans="1:17" x14ac:dyDescent="0.25">
      <c r="A879" s="51" t="s">
        <v>130</v>
      </c>
      <c r="B879" s="2">
        <v>45465</v>
      </c>
      <c r="C879" t="s">
        <v>12</v>
      </c>
      <c r="D879" s="51" t="s">
        <v>76</v>
      </c>
      <c r="E879" s="51" t="s">
        <v>34</v>
      </c>
      <c r="F879">
        <v>99</v>
      </c>
      <c r="G879" s="12" t="s">
        <v>60</v>
      </c>
      <c r="H879" s="9">
        <f t="shared" si="60"/>
        <v>14</v>
      </c>
      <c r="I879" cm="1">
        <f t="array" ref="I879">IFERROR(INDEX(CourseYardages[[Hole 1]:[Hole 18]],
  MATCH(1, (CourseYardages[Course]=C879)*(CourseYardages[Tees]=E879), 0),
  MATCH(G879, CourseYardages[[#Headers],[Hole 1]:[Hole 18]], 0)
),"")</f>
        <v>218</v>
      </c>
      <c r="J879" cm="1">
        <f t="array" ref="J879">IFERROR(INDEX(CourseHandicap[[Hole 1]:[Hole 18]],
  MATCH(1, (CourseHandicap[Course]=C879)*(CourseHandicap[Tees]=E879), 0),
  MATCH(G879, CourseHandicap[[#Headers],[Hole 1]:[Hole 18]], 0)
),"")</f>
        <v>12</v>
      </c>
      <c r="K879" cm="1">
        <f t="array" ref="K879">IFERROR(INDEX(CourseRatings[[Hole 1]:[Hole 18]],
  MATCH(1, (CourseRatings[Course]=C879)*(CourseRatings[Tees]=E879), 0),
  MATCH(G879, CourseRatings[[#Headers],[Hole 1]:[Hole 18]], 0)
),"")</f>
        <v>3</v>
      </c>
      <c r="L879" cm="1">
        <f t="array" ref="L879">IFERROR(
  INDEX('Golf Log'!$E$2:$V$72,
    MATCH(1,
      ('Golf Log'!$A$2:$A$72=$A879)*
      ('Golf Log'!$B$2:$B$72=$B879)*
      ('Golf Log'!$C$2:$C$72=$C879),
    0),
    MATCH($G879,'Golf Log'!$E$1:$V$1,0)
  ),
"")</f>
        <v>5</v>
      </c>
      <c r="M879">
        <f t="shared" si="61"/>
        <v>2</v>
      </c>
      <c r="N879" t="str">
        <f t="shared" si="62"/>
        <v>Double Bogey</v>
      </c>
      <c r="O879" cm="1">
        <f t="array" ref="O879">IFERROR(
  INDEX('Putt Log'!$E$2:$V$72,
    MATCH(1,
      ('Putt Log'!$A$2:$A$72=$A879)*
      ('Putt Log'!$B$2:$B$72=$B879)*
      ('Putt Log'!$C$2:$C$72=$C879),
    0),
    MATCH($G879,'Putt Log'!$E$1:$V$1,0)
  ),
"")</f>
        <v>2</v>
      </c>
      <c r="P879" t="str" cm="1">
        <f t="array" ref="P879">IF(K879=3,"",
  IFERROR(
    INDEX('Fairway Log'!$E$2:$V$72,
      MATCH(1,
        ('Fairway Log'!$A$2:$A$72=$A879)*
        ('Fairway Log'!$B$2:$B$72=$B879)*
        ('Fairway Log'!$C$2:$C950=$C879),
      0),
      MATCH($G879,'Fairway Log'!$E$1:$V$1,0)
    ),
  "")
)</f>
        <v/>
      </c>
      <c r="Q879" t="str" cm="1">
        <f t="array" ref="Q879">IFERROR(
  INDEX('GIR Log'!$E$2:$V$72,
    MATCH(1,
      ('GIR Log'!$A$2:$A$72=$A879)*
      ('GIR Log'!$B$2:$B$72=$B879)*
      ('GIR Log'!$C$2:$C$72=$C879),
    0),
    MATCH($G879,'GIR Log'!$E$1:$V$1,0)
  ),
"")</f>
        <v>↓</v>
      </c>
    </row>
    <row r="880" spans="1:17" x14ac:dyDescent="0.25">
      <c r="A880" s="51" t="s">
        <v>130</v>
      </c>
      <c r="B880" s="2">
        <v>45465</v>
      </c>
      <c r="C880" t="s">
        <v>12</v>
      </c>
      <c r="D880" s="51" t="s">
        <v>76</v>
      </c>
      <c r="E880" s="51" t="s">
        <v>34</v>
      </c>
      <c r="F880">
        <v>99</v>
      </c>
      <c r="G880" s="12" t="s">
        <v>61</v>
      </c>
      <c r="H880" s="9">
        <f t="shared" si="60"/>
        <v>15</v>
      </c>
      <c r="I880" cm="1">
        <f t="array" ref="I880">IFERROR(INDEX(CourseYardages[[Hole 1]:[Hole 18]],
  MATCH(1, (CourseYardages[Course]=C880)*(CourseYardages[Tees]=E880), 0),
  MATCH(G880, CourseYardages[[#Headers],[Hole 1]:[Hole 18]], 0)
),"")</f>
        <v>543</v>
      </c>
      <c r="J880" cm="1">
        <f t="array" ref="J880">IFERROR(INDEX(CourseHandicap[[Hole 1]:[Hole 18]],
  MATCH(1, (CourseHandicap[Course]=C880)*(CourseHandicap[Tees]=E880), 0),
  MATCH(G880, CourseHandicap[[#Headers],[Hole 1]:[Hole 18]], 0)
),"")</f>
        <v>2</v>
      </c>
      <c r="K880" cm="1">
        <f t="array" ref="K880">IFERROR(INDEX(CourseRatings[[Hole 1]:[Hole 18]],
  MATCH(1, (CourseRatings[Course]=C880)*(CourseRatings[Tees]=E880), 0),
  MATCH(G880, CourseRatings[[#Headers],[Hole 1]:[Hole 18]], 0)
),"")</f>
        <v>5</v>
      </c>
      <c r="L880" cm="1">
        <f t="array" ref="L880">IFERROR(
  INDEX('Golf Log'!$E$2:$V$72,
    MATCH(1,
      ('Golf Log'!$A$2:$A$72=$A880)*
      ('Golf Log'!$B$2:$B$72=$B880)*
      ('Golf Log'!$C$2:$C$72=$C880),
    0),
    MATCH($G880,'Golf Log'!$E$1:$V$1,0)
  ),
"")</f>
        <v>6</v>
      </c>
      <c r="M880">
        <f t="shared" si="61"/>
        <v>1</v>
      </c>
      <c r="N880" t="str">
        <f t="shared" si="62"/>
        <v>Bogey</v>
      </c>
      <c r="O880" cm="1">
        <f t="array" ref="O880">IFERROR(
  INDEX('Putt Log'!$E$2:$V$72,
    MATCH(1,
      ('Putt Log'!$A$2:$A$72=$A880)*
      ('Putt Log'!$B$2:$B$72=$B880)*
      ('Putt Log'!$C$2:$C$72=$C880),
    0),
    MATCH($G880,'Putt Log'!$E$1:$V$1,0)
  ),
"")</f>
        <v>1</v>
      </c>
      <c r="P880" t="str" cm="1">
        <f t="array" ref="P880">IF(K880=3,"",
  IFERROR(
    INDEX('Fairway Log'!$E$2:$V$72,
      MATCH(1,
        ('Fairway Log'!$A$2:$A$72=$A880)*
        ('Fairway Log'!$B$2:$B$72=$B880)*
        ('Fairway Log'!$C$2:$C951=$C880),
      0),
      MATCH($G880,'Fairway Log'!$E$1:$V$1,0)
    ),
  "")
)</f>
        <v>←</v>
      </c>
      <c r="Q880" t="str" cm="1">
        <f t="array" ref="Q880">IFERROR(
  INDEX('GIR Log'!$E$2:$V$72,
    MATCH(1,
      ('GIR Log'!$A$2:$A$72=$A880)*
      ('GIR Log'!$B$2:$B$72=$B880)*
      ('GIR Log'!$C$2:$C$72=$C880),
    0),
    MATCH($G880,'GIR Log'!$E$1:$V$1,0)
  ),
"")</f>
        <v>↓</v>
      </c>
    </row>
    <row r="881" spans="1:17" x14ac:dyDescent="0.25">
      <c r="A881" s="51" t="s">
        <v>130</v>
      </c>
      <c r="B881" s="2">
        <v>45465</v>
      </c>
      <c r="C881" t="s">
        <v>12</v>
      </c>
      <c r="D881" s="51" t="s">
        <v>76</v>
      </c>
      <c r="E881" s="51" t="s">
        <v>34</v>
      </c>
      <c r="F881">
        <v>99</v>
      </c>
      <c r="G881" s="12" t="s">
        <v>62</v>
      </c>
      <c r="H881" s="9">
        <f t="shared" si="60"/>
        <v>16</v>
      </c>
      <c r="I881" cm="1">
        <f t="array" ref="I881">IFERROR(INDEX(CourseYardages[[Hole 1]:[Hole 18]],
  MATCH(1, (CourseYardages[Course]=C881)*(CourseYardages[Tees]=E881), 0),
  MATCH(G881, CourseYardages[[#Headers],[Hole 1]:[Hole 18]], 0)
),"")</f>
        <v>316</v>
      </c>
      <c r="J881" cm="1">
        <f t="array" ref="J881">IFERROR(INDEX(CourseHandicap[[Hole 1]:[Hole 18]],
  MATCH(1, (CourseHandicap[Course]=C881)*(CourseHandicap[Tees]=E881), 0),
  MATCH(G881, CourseHandicap[[#Headers],[Hole 1]:[Hole 18]], 0)
),"")</f>
        <v>10</v>
      </c>
      <c r="K881" cm="1">
        <f t="array" ref="K881">IFERROR(INDEX(CourseRatings[[Hole 1]:[Hole 18]],
  MATCH(1, (CourseRatings[Course]=C881)*(CourseRatings[Tees]=E881), 0),
  MATCH(G881, CourseRatings[[#Headers],[Hole 1]:[Hole 18]], 0)
),"")</f>
        <v>4</v>
      </c>
      <c r="L881" cm="1">
        <f t="array" ref="L881">IFERROR(
  INDEX('Golf Log'!$E$2:$V$72,
    MATCH(1,
      ('Golf Log'!$A$2:$A$72=$A881)*
      ('Golf Log'!$B$2:$B$72=$B881)*
      ('Golf Log'!$C$2:$C$72=$C881),
    0),
    MATCH($G881,'Golf Log'!$E$1:$V$1,0)
  ),
"")</f>
        <v>5</v>
      </c>
      <c r="M881">
        <f t="shared" si="61"/>
        <v>1</v>
      </c>
      <c r="N881" t="str">
        <f t="shared" si="62"/>
        <v>Bogey</v>
      </c>
      <c r="O881" cm="1">
        <f t="array" ref="O881">IFERROR(
  INDEX('Putt Log'!$E$2:$V$72,
    MATCH(1,
      ('Putt Log'!$A$2:$A$72=$A881)*
      ('Putt Log'!$B$2:$B$72=$B881)*
      ('Putt Log'!$C$2:$C$72=$C881),
    0),
    MATCH($G881,'Putt Log'!$E$1:$V$1,0)
  ),
"")</f>
        <v>3</v>
      </c>
      <c r="P881" t="str" cm="1">
        <f t="array" ref="P881">IF(K881=3,"",
  IFERROR(
    INDEX('Fairway Log'!$E$2:$V$72,
      MATCH(1,
        ('Fairway Log'!$A$2:$A$72=$A881)*
        ('Fairway Log'!$B$2:$B$72=$B881)*
        ('Fairway Log'!$C$2:$C952=$C881),
      0),
      MATCH($G881,'Fairway Log'!$E$1:$V$1,0)
    ),
  "")
)</f>
        <v>↓</v>
      </c>
      <c r="Q881" cm="1">
        <f t="array" ref="Q881">IFERROR(
  INDEX('GIR Log'!$E$2:$V$72,
    MATCH(1,
      ('GIR Log'!$A$2:$A$72=$A881)*
      ('GIR Log'!$B$2:$B$72=$B881)*
      ('GIR Log'!$C$2:$C$72=$C881),
    0),
    MATCH($G881,'GIR Log'!$E$1:$V$1,0)
  ),
"")</f>
        <v>1</v>
      </c>
    </row>
    <row r="882" spans="1:17" x14ac:dyDescent="0.25">
      <c r="A882" s="51" t="s">
        <v>130</v>
      </c>
      <c r="B882" s="2">
        <v>45465</v>
      </c>
      <c r="C882" t="s">
        <v>12</v>
      </c>
      <c r="D882" s="51" t="s">
        <v>76</v>
      </c>
      <c r="E882" s="51" t="s">
        <v>34</v>
      </c>
      <c r="F882">
        <v>99</v>
      </c>
      <c r="G882" s="12" t="s">
        <v>63</v>
      </c>
      <c r="H882" s="9">
        <f t="shared" si="60"/>
        <v>17</v>
      </c>
      <c r="I882" cm="1">
        <f t="array" ref="I882">IFERROR(INDEX(CourseYardages[[Hole 1]:[Hole 18]],
  MATCH(1, (CourseYardages[Course]=C882)*(CourseYardages[Tees]=E882), 0),
  MATCH(G882, CourseYardages[[#Headers],[Hole 1]:[Hole 18]], 0)
),"")</f>
        <v>419</v>
      </c>
      <c r="J882" cm="1">
        <f t="array" ref="J882">IFERROR(INDEX(CourseHandicap[[Hole 1]:[Hole 18]],
  MATCH(1, (CourseHandicap[Course]=C882)*(CourseHandicap[Tees]=E882), 0),
  MATCH(G882, CourseHandicap[[#Headers],[Hole 1]:[Hole 18]], 0)
),"")</f>
        <v>6</v>
      </c>
      <c r="K882" cm="1">
        <f t="array" ref="K882">IFERROR(INDEX(CourseRatings[[Hole 1]:[Hole 18]],
  MATCH(1, (CourseRatings[Course]=C882)*(CourseRatings[Tees]=E882), 0),
  MATCH(G882, CourseRatings[[#Headers],[Hole 1]:[Hole 18]], 0)
),"")</f>
        <v>4</v>
      </c>
      <c r="L882" cm="1">
        <f t="array" ref="L882">IFERROR(
  INDEX('Golf Log'!$E$2:$V$72,
    MATCH(1,
      ('Golf Log'!$A$2:$A$72=$A882)*
      ('Golf Log'!$B$2:$B$72=$B882)*
      ('Golf Log'!$C$2:$C$72=$C882),
    0),
    MATCH($G882,'Golf Log'!$E$1:$V$1,0)
  ),
"")</f>
        <v>6</v>
      </c>
      <c r="M882">
        <f t="shared" si="61"/>
        <v>2</v>
      </c>
      <c r="N882" t="str">
        <f t="shared" si="62"/>
        <v>Double Bogey</v>
      </c>
      <c r="O882" cm="1">
        <f t="array" ref="O882">IFERROR(
  INDEX('Putt Log'!$E$2:$V$72,
    MATCH(1,
      ('Putt Log'!$A$2:$A$72=$A882)*
      ('Putt Log'!$B$2:$B$72=$B882)*
      ('Putt Log'!$C$2:$C$72=$C882),
    0),
    MATCH($G882,'Putt Log'!$E$1:$V$1,0)
  ),
"")</f>
        <v>2</v>
      </c>
      <c r="P882" t="str" cm="1">
        <f t="array" ref="P882">IF(K882=3,"",
  IFERROR(
    INDEX('Fairway Log'!$E$2:$V$72,
      MATCH(1,
        ('Fairway Log'!$A$2:$A$72=$A882)*
        ('Fairway Log'!$B$2:$B$72=$B882)*
        ('Fairway Log'!$C$2:$C953=$C882),
      0),
      MATCH($G882,'Fairway Log'!$E$1:$V$1,0)
    ),
  "")
)</f>
        <v>←</v>
      </c>
      <c r="Q882" t="str" cm="1">
        <f t="array" ref="Q882">IFERROR(
  INDEX('GIR Log'!$E$2:$V$72,
    MATCH(1,
      ('GIR Log'!$A$2:$A$72=$A882)*
      ('GIR Log'!$B$2:$B$72=$B882)*
      ('GIR Log'!$C$2:$C$72=$C882),
    0),
    MATCH($G882,'GIR Log'!$E$1:$V$1,0)
  ),
"")</f>
        <v>↓</v>
      </c>
    </row>
    <row r="883" spans="1:17" x14ac:dyDescent="0.25">
      <c r="A883" s="51" t="s">
        <v>130</v>
      </c>
      <c r="B883" s="2">
        <v>45465</v>
      </c>
      <c r="C883" t="s">
        <v>12</v>
      </c>
      <c r="D883" s="51" t="s">
        <v>76</v>
      </c>
      <c r="E883" s="51" t="s">
        <v>34</v>
      </c>
      <c r="F883">
        <v>99</v>
      </c>
      <c r="G883" s="12" t="s">
        <v>64</v>
      </c>
      <c r="H883" s="9">
        <f t="shared" si="60"/>
        <v>18</v>
      </c>
      <c r="I883" cm="1">
        <f t="array" ref="I883">IFERROR(INDEX(CourseYardages[[Hole 1]:[Hole 18]],
  MATCH(1, (CourseYardages[Course]=C883)*(CourseYardages[Tees]=E883), 0),
  MATCH(G883, CourseYardages[[#Headers],[Hole 1]:[Hole 18]], 0)
),"")</f>
        <v>324</v>
      </c>
      <c r="J883" cm="1">
        <f t="array" ref="J883">IFERROR(INDEX(CourseHandicap[[Hole 1]:[Hole 18]],
  MATCH(1, (CourseHandicap[Course]=C883)*(CourseHandicap[Tees]=E883), 0),
  MATCH(G883, CourseHandicap[[#Headers],[Hole 1]:[Hole 18]], 0)
),"")</f>
        <v>8</v>
      </c>
      <c r="K883" cm="1">
        <f t="array" ref="K883">IFERROR(INDEX(CourseRatings[[Hole 1]:[Hole 18]],
  MATCH(1, (CourseRatings[Course]=C883)*(CourseRatings[Tees]=E883), 0),
  MATCH(G883, CourseRatings[[#Headers],[Hole 1]:[Hole 18]], 0)
),"")</f>
        <v>4</v>
      </c>
      <c r="L883" cm="1">
        <f t="array" ref="L883">IFERROR(
  INDEX('Golf Log'!$E$2:$V$72,
    MATCH(1,
      ('Golf Log'!$A$2:$A$72=$A883)*
      ('Golf Log'!$B$2:$B$72=$B883)*
      ('Golf Log'!$C$2:$C$72=$C883),
    0),
    MATCH($G883,'Golf Log'!$E$1:$V$1,0)
  ),
"")</f>
        <v>6</v>
      </c>
      <c r="M883">
        <f t="shared" si="61"/>
        <v>2</v>
      </c>
      <c r="N883" t="str">
        <f t="shared" si="62"/>
        <v>Double Bogey</v>
      </c>
      <c r="O883" cm="1">
        <f t="array" ref="O883">IFERROR(
  INDEX('Putt Log'!$E$2:$V$72,
    MATCH(1,
      ('Putt Log'!$A$2:$A$72=$A883)*
      ('Putt Log'!$B$2:$B$72=$B883)*
      ('Putt Log'!$C$2:$C$72=$C883),
    0),
    MATCH($G883,'Putt Log'!$E$1:$V$1,0)
  ),
"")</f>
        <v>2</v>
      </c>
      <c r="P883" t="str" cm="1">
        <f t="array" ref="P883">IF(K883=3,"",
  IFERROR(
    INDEX('Fairway Log'!$E$2:$V$72,
      MATCH(1,
        ('Fairway Log'!$A$2:$A$72=$A883)*
        ('Fairway Log'!$B$2:$B$72=$B883)*
        ('Fairway Log'!$C$2:$C954=$C883),
      0),
      MATCH($G883,'Fairway Log'!$E$1:$V$1,0)
    ),
  "")
)</f>
        <v>→</v>
      </c>
      <c r="Q883" t="str" cm="1">
        <f t="array" ref="Q883">IFERROR(
  INDEX('GIR Log'!$E$2:$V$72,
    MATCH(1,
      ('GIR Log'!$A$2:$A$72=$A883)*
      ('GIR Log'!$B$2:$B$72=$B883)*
      ('GIR Log'!$C$2:$C$72=$C883),
    0),
    MATCH($G883,'GIR Log'!$E$1:$V$1,0)
  ),
"")</f>
        <v>↓</v>
      </c>
    </row>
    <row r="884" spans="1:17" x14ac:dyDescent="0.25">
      <c r="A884" s="51" t="s">
        <v>130</v>
      </c>
      <c r="B884" s="2">
        <v>45514</v>
      </c>
      <c r="C884" t="s">
        <v>6</v>
      </c>
      <c r="D884" s="51" t="s">
        <v>75</v>
      </c>
      <c r="E884" s="51" t="s">
        <v>34</v>
      </c>
      <c r="F884">
        <v>90</v>
      </c>
      <c r="G884" t="s">
        <v>47</v>
      </c>
      <c r="H884" s="9">
        <f t="shared" si="60"/>
        <v>1</v>
      </c>
      <c r="I884" cm="1">
        <f t="array" ref="I884">IFERROR(INDEX(CourseYardages[[Hole 1]:[Hole 18]],
  MATCH(1, (CourseYardages[Course]=C884)*(CourseYardages[Tees]=E884), 0),
  MATCH(G884, CourseYardages[[#Headers],[Hole 1]:[Hole 18]], 0)
),"")</f>
        <v>489</v>
      </c>
      <c r="J884" cm="1">
        <f t="array" ref="J884">IFERROR(INDEX(CourseHandicap[[Hole 1]:[Hole 18]],
  MATCH(1, (CourseHandicap[Course]=C884)*(CourseHandicap[Tees]=E884), 0),
  MATCH(G884, CourseHandicap[[#Headers],[Hole 1]:[Hole 18]], 0)
),"")</f>
        <v>6</v>
      </c>
      <c r="K884" cm="1">
        <f t="array" ref="K884">IFERROR(INDEX(CourseRatings[[Hole 1]:[Hole 18]],
  MATCH(1, (CourseRatings[Course]=C884)*(CourseRatings[Tees]=E884), 0),
  MATCH(G884, CourseRatings[[#Headers],[Hole 1]:[Hole 18]], 0)
),"")</f>
        <v>5</v>
      </c>
      <c r="L884" cm="1">
        <f t="array" ref="L884">IFERROR(
  INDEX('Golf Log'!$E$2:$V$72,
    MATCH(1,
      ('Golf Log'!$A$2:$A$72=$A884)*
      ('Golf Log'!$B$2:$B$72=$B884)*
      ('Golf Log'!$C$2:$C$72=$C884),
    0),
    MATCH($G884,'Golf Log'!$E$1:$V$1,0)
  ),
"")</f>
        <v>6</v>
      </c>
      <c r="M884">
        <f t="shared" si="61"/>
        <v>1</v>
      </c>
      <c r="N884" t="str">
        <f t="shared" si="62"/>
        <v>Bogey</v>
      </c>
      <c r="O884" cm="1">
        <f t="array" ref="O884">IFERROR(
  INDEX('Putt Log'!$E$2:$V$72,
    MATCH(1,
      ('Putt Log'!$A$2:$A$72=$A884)*
      ('Putt Log'!$B$2:$B$72=$B884)*
      ('Putt Log'!$C$2:$C$72=$C884),
    0),
    MATCH($G884,'Putt Log'!$E$1:$V$1,0)
  ),
"")</f>
        <v>1</v>
      </c>
      <c r="P884" t="str" cm="1">
        <f t="array" ref="P884">IF(K884=3,"",
  IFERROR(
    INDEX('Fairway Log'!$E$2:$V$72,
      MATCH(1,
        ('Fairway Log'!$A$2:$A$72=$A884)*
        ('Fairway Log'!$B$2:$B$72=$B884)*
        ('Fairway Log'!$C$2:$C955=$C884),
      0),
      MATCH($G884,'Fairway Log'!$E$1:$V$1,0)
    ),
  "")
)</f>
        <v>←</v>
      </c>
      <c r="Q884" t="str" cm="1">
        <f t="array" ref="Q884">IFERROR(
  INDEX('GIR Log'!$E$2:$V$72,
    MATCH(1,
      ('GIR Log'!$A$2:$A$72=$A884)*
      ('GIR Log'!$B$2:$B$72=$B884)*
      ('GIR Log'!$C$2:$C$72=$C884),
    0),
    MATCH($G884,'GIR Log'!$E$1:$V$1,0)
  ),
"")</f>
        <v>NC</v>
      </c>
    </row>
    <row r="885" spans="1:17" x14ac:dyDescent="0.25">
      <c r="A885" s="51" t="s">
        <v>130</v>
      </c>
      <c r="B885" s="2">
        <v>45514</v>
      </c>
      <c r="C885" t="s">
        <v>6</v>
      </c>
      <c r="D885" s="51" t="s">
        <v>75</v>
      </c>
      <c r="E885" s="51" t="s">
        <v>34</v>
      </c>
      <c r="F885">
        <v>90</v>
      </c>
      <c r="G885" t="s">
        <v>48</v>
      </c>
      <c r="H885" s="9">
        <f t="shared" si="60"/>
        <v>2</v>
      </c>
      <c r="I885" cm="1">
        <f t="array" ref="I885">IFERROR(INDEX(CourseYardages[[Hole 1]:[Hole 18]],
  MATCH(1, (CourseYardages[Course]=C885)*(CourseYardages[Tees]=E885), 0),
  MATCH(G885, CourseYardages[[#Headers],[Hole 1]:[Hole 18]], 0)
),"")</f>
        <v>372</v>
      </c>
      <c r="J885" cm="1">
        <f t="array" ref="J885">IFERROR(INDEX(CourseHandicap[[Hole 1]:[Hole 18]],
  MATCH(1, (CourseHandicap[Course]=C885)*(CourseHandicap[Tees]=E885), 0),
  MATCH(G885, CourseHandicap[[#Headers],[Hole 1]:[Hole 18]], 0)
),"")</f>
        <v>2</v>
      </c>
      <c r="K885" cm="1">
        <f t="array" ref="K885">IFERROR(INDEX(CourseRatings[[Hole 1]:[Hole 18]],
  MATCH(1, (CourseRatings[Course]=C885)*(CourseRatings[Tees]=E885), 0),
  MATCH(G885, CourseRatings[[#Headers],[Hole 1]:[Hole 18]], 0)
),"")</f>
        <v>4</v>
      </c>
      <c r="L885" cm="1">
        <f t="array" ref="L885">IFERROR(
  INDEX('Golf Log'!$E$2:$V$72,
    MATCH(1,
      ('Golf Log'!$A$2:$A$72=$A885)*
      ('Golf Log'!$B$2:$B$72=$B885)*
      ('Golf Log'!$C$2:$C$72=$C885),
    0),
    MATCH($G885,'Golf Log'!$E$1:$V$1,0)
  ),
"")</f>
        <v>5</v>
      </c>
      <c r="M885">
        <f t="shared" si="61"/>
        <v>1</v>
      </c>
      <c r="N885" t="str">
        <f t="shared" si="62"/>
        <v>Bogey</v>
      </c>
      <c r="O885" cm="1">
        <f t="array" ref="O885">IFERROR(
  INDEX('Putt Log'!$E$2:$V$72,
    MATCH(1,
      ('Putt Log'!$A$2:$A$72=$A885)*
      ('Putt Log'!$B$2:$B$72=$B885)*
      ('Putt Log'!$C$2:$C$72=$C885),
    0),
    MATCH($G885,'Putt Log'!$E$1:$V$1,0)
  ),
"")</f>
        <v>1</v>
      </c>
      <c r="P885" t="str" cm="1">
        <f t="array" ref="P885">IF(K885=3,"",
  IFERROR(
    INDEX('Fairway Log'!$E$2:$V$72,
      MATCH(1,
        ('Fairway Log'!$A$2:$A$72=$A885)*
        ('Fairway Log'!$B$2:$B$72=$B885)*
        ('Fairway Log'!$C$2:$C956=$C885),
      0),
      MATCH($G885,'Fairway Log'!$E$1:$V$1,0)
    ),
  "")
)</f>
        <v>←</v>
      </c>
      <c r="Q885" t="str" cm="1">
        <f t="array" ref="Q885">IFERROR(
  INDEX('GIR Log'!$E$2:$V$72,
    MATCH(1,
      ('GIR Log'!$A$2:$A$72=$A885)*
      ('GIR Log'!$B$2:$B$72=$B885)*
      ('GIR Log'!$C$2:$C$72=$C885),
    0),
    MATCH($G885,'GIR Log'!$E$1:$V$1,0)
  ),
"")</f>
        <v>↓</v>
      </c>
    </row>
    <row r="886" spans="1:17" x14ac:dyDescent="0.25">
      <c r="A886" s="51" t="s">
        <v>130</v>
      </c>
      <c r="B886" s="2">
        <v>45514</v>
      </c>
      <c r="C886" t="s">
        <v>6</v>
      </c>
      <c r="D886" s="51" t="s">
        <v>75</v>
      </c>
      <c r="E886" s="51" t="s">
        <v>34</v>
      </c>
      <c r="F886">
        <v>90</v>
      </c>
      <c r="G886" t="s">
        <v>49</v>
      </c>
      <c r="H886" s="9">
        <f t="shared" si="60"/>
        <v>3</v>
      </c>
      <c r="I886" cm="1">
        <f t="array" ref="I886">IFERROR(INDEX(CourseYardages[[Hole 1]:[Hole 18]],
  MATCH(1, (CourseYardages[Course]=C886)*(CourseYardages[Tees]=E886), 0),
  MATCH(G886, CourseYardages[[#Headers],[Hole 1]:[Hole 18]], 0)
),"")</f>
        <v>180</v>
      </c>
      <c r="J886" cm="1">
        <f t="array" ref="J886">IFERROR(INDEX(CourseHandicap[[Hole 1]:[Hole 18]],
  MATCH(1, (CourseHandicap[Course]=C886)*(CourseHandicap[Tees]=E886), 0),
  MATCH(G886, CourseHandicap[[#Headers],[Hole 1]:[Hole 18]], 0)
),"")</f>
        <v>14</v>
      </c>
      <c r="K886" cm="1">
        <f t="array" ref="K886">IFERROR(INDEX(CourseRatings[[Hole 1]:[Hole 18]],
  MATCH(1, (CourseRatings[Course]=C886)*(CourseRatings[Tees]=E886), 0),
  MATCH(G886, CourseRatings[[#Headers],[Hole 1]:[Hole 18]], 0)
),"")</f>
        <v>3</v>
      </c>
      <c r="L886" cm="1">
        <f t="array" ref="L886">IFERROR(
  INDEX('Golf Log'!$E$2:$V$72,
    MATCH(1,
      ('Golf Log'!$A$2:$A$72=$A886)*
      ('Golf Log'!$B$2:$B$72=$B886)*
      ('Golf Log'!$C$2:$C$72=$C886),
    0),
    MATCH($G886,'Golf Log'!$E$1:$V$1,0)
  ),
"")</f>
        <v>5</v>
      </c>
      <c r="M886">
        <f t="shared" si="61"/>
        <v>2</v>
      </c>
      <c r="N886" t="str">
        <f t="shared" si="62"/>
        <v>Double Bogey</v>
      </c>
      <c r="O886" cm="1">
        <f t="array" ref="O886">IFERROR(
  INDEX('Putt Log'!$E$2:$V$72,
    MATCH(1,
      ('Putt Log'!$A$2:$A$72=$A886)*
      ('Putt Log'!$B$2:$B$72=$B886)*
      ('Putt Log'!$C$2:$C$72=$C886),
    0),
    MATCH($G886,'Putt Log'!$E$1:$V$1,0)
  ),
"")</f>
        <v>1</v>
      </c>
      <c r="P886" t="str" cm="1">
        <f t="array" ref="P886">IF(K886=3,"",
  IFERROR(
    INDEX('Fairway Log'!$E$2:$V$72,
      MATCH(1,
        ('Fairway Log'!$A$2:$A$72=$A886)*
        ('Fairway Log'!$B$2:$B$72=$B886)*
        ('Fairway Log'!$C$2:$C957=$C886),
      0),
      MATCH($G886,'Fairway Log'!$E$1:$V$1,0)
    ),
  "")
)</f>
        <v/>
      </c>
      <c r="Q886" t="str" cm="1">
        <f t="array" ref="Q886">IFERROR(
  INDEX('GIR Log'!$E$2:$V$72,
    MATCH(1,
      ('GIR Log'!$A$2:$A$72=$A886)*
      ('GIR Log'!$B$2:$B$72=$B886)*
      ('GIR Log'!$C$2:$C$72=$C886),
    0),
    MATCH($G886,'GIR Log'!$E$1:$V$1,0)
  ),
"")</f>
        <v>←</v>
      </c>
    </row>
    <row r="887" spans="1:17" x14ac:dyDescent="0.25">
      <c r="A887" s="51" t="s">
        <v>130</v>
      </c>
      <c r="B887" s="2">
        <v>45514</v>
      </c>
      <c r="C887" t="s">
        <v>6</v>
      </c>
      <c r="D887" s="51" t="s">
        <v>75</v>
      </c>
      <c r="E887" s="51" t="s">
        <v>34</v>
      </c>
      <c r="F887">
        <v>90</v>
      </c>
      <c r="G887" t="s">
        <v>50</v>
      </c>
      <c r="H887" s="9">
        <f t="shared" si="60"/>
        <v>4</v>
      </c>
      <c r="I887" cm="1">
        <f t="array" ref="I887">IFERROR(INDEX(CourseYardages[[Hole 1]:[Hole 18]],
  MATCH(1, (CourseYardages[Course]=C887)*(CourseYardages[Tees]=E887), 0),
  MATCH(G887, CourseYardages[[#Headers],[Hole 1]:[Hole 18]], 0)
),"")</f>
        <v>497</v>
      </c>
      <c r="J887" cm="1">
        <f t="array" ref="J887">IFERROR(INDEX(CourseHandicap[[Hole 1]:[Hole 18]],
  MATCH(1, (CourseHandicap[Course]=C887)*(CourseHandicap[Tees]=E887), 0),
  MATCH(G887, CourseHandicap[[#Headers],[Hole 1]:[Hole 18]], 0)
),"")</f>
        <v>8</v>
      </c>
      <c r="K887" cm="1">
        <f t="array" ref="K887">IFERROR(INDEX(CourseRatings[[Hole 1]:[Hole 18]],
  MATCH(1, (CourseRatings[Course]=C887)*(CourseRatings[Tees]=E887), 0),
  MATCH(G887, CourseRatings[[#Headers],[Hole 1]:[Hole 18]], 0)
),"")</f>
        <v>5</v>
      </c>
      <c r="L887" cm="1">
        <f t="array" ref="L887">IFERROR(
  INDEX('Golf Log'!$E$2:$V$72,
    MATCH(1,
      ('Golf Log'!$A$2:$A$72=$A887)*
      ('Golf Log'!$B$2:$B$72=$B887)*
      ('Golf Log'!$C$2:$C$72=$C887),
    0),
    MATCH($G887,'Golf Log'!$E$1:$V$1,0)
  ),
"")</f>
        <v>6</v>
      </c>
      <c r="M887">
        <f t="shared" si="61"/>
        <v>1</v>
      </c>
      <c r="N887" t="str">
        <f t="shared" si="62"/>
        <v>Bogey</v>
      </c>
      <c r="O887" cm="1">
        <f t="array" ref="O887">IFERROR(
  INDEX('Putt Log'!$E$2:$V$72,
    MATCH(1,
      ('Putt Log'!$A$2:$A$72=$A887)*
      ('Putt Log'!$B$2:$B$72=$B887)*
      ('Putt Log'!$C$2:$C$72=$C887),
    0),
    MATCH($G887,'Putt Log'!$E$1:$V$1,0)
  ),
"")</f>
        <v>1</v>
      </c>
      <c r="P887" cm="1">
        <f t="array" ref="P887">IF(K887=3,"",
  IFERROR(
    INDEX('Fairway Log'!$E$2:$V$72,
      MATCH(1,
        ('Fairway Log'!$A$2:$A$72=$A887)*
        ('Fairway Log'!$B$2:$B$72=$B887)*
        ('Fairway Log'!$C$2:$C958=$C887),
      0),
      MATCH($G887,'Fairway Log'!$E$1:$V$1,0)
    ),
  "")
)</f>
        <v>1</v>
      </c>
      <c r="Q887" t="str" cm="1">
        <f t="array" ref="Q887">IFERROR(
  INDEX('GIR Log'!$E$2:$V$72,
    MATCH(1,
      ('GIR Log'!$A$2:$A$72=$A887)*
      ('GIR Log'!$B$2:$B$72=$B887)*
      ('GIR Log'!$C$2:$C$72=$C887),
    0),
    MATCH($G887,'GIR Log'!$E$1:$V$1,0)
  ),
"")</f>
        <v>↓</v>
      </c>
    </row>
    <row r="888" spans="1:17" x14ac:dyDescent="0.25">
      <c r="A888" s="51" t="s">
        <v>130</v>
      </c>
      <c r="B888" s="2">
        <v>45514</v>
      </c>
      <c r="C888" t="s">
        <v>6</v>
      </c>
      <c r="D888" s="51" t="s">
        <v>75</v>
      </c>
      <c r="E888" s="51" t="s">
        <v>34</v>
      </c>
      <c r="F888">
        <v>90</v>
      </c>
      <c r="G888" t="s">
        <v>51</v>
      </c>
      <c r="H888" s="9">
        <f t="shared" si="60"/>
        <v>5</v>
      </c>
      <c r="I888" cm="1">
        <f t="array" ref="I888">IFERROR(INDEX(CourseYardages[[Hole 1]:[Hole 18]],
  MATCH(1, (CourseYardages[Course]=C888)*(CourseYardages[Tees]=E888), 0),
  MATCH(G888, CourseYardages[[#Headers],[Hole 1]:[Hole 18]], 0)
),"")</f>
        <v>149</v>
      </c>
      <c r="J888" cm="1">
        <f t="array" ref="J888">IFERROR(INDEX(CourseHandicap[[Hole 1]:[Hole 18]],
  MATCH(1, (CourseHandicap[Course]=C888)*(CourseHandicap[Tees]=E888), 0),
  MATCH(G888, CourseHandicap[[#Headers],[Hole 1]:[Hole 18]], 0)
),"")</f>
        <v>16</v>
      </c>
      <c r="K888" cm="1">
        <f t="array" ref="K888">IFERROR(INDEX(CourseRatings[[Hole 1]:[Hole 18]],
  MATCH(1, (CourseRatings[Course]=C888)*(CourseRatings[Tees]=E888), 0),
  MATCH(G888, CourseRatings[[#Headers],[Hole 1]:[Hole 18]], 0)
),"")</f>
        <v>3</v>
      </c>
      <c r="L888" cm="1">
        <f t="array" ref="L888">IFERROR(
  INDEX('Golf Log'!$E$2:$V$72,
    MATCH(1,
      ('Golf Log'!$A$2:$A$72=$A888)*
      ('Golf Log'!$B$2:$B$72=$B888)*
      ('Golf Log'!$C$2:$C$72=$C888),
    0),
    MATCH($G888,'Golf Log'!$E$1:$V$1,0)
  ),
"")</f>
        <v>4</v>
      </c>
      <c r="M888">
        <f t="shared" si="61"/>
        <v>1</v>
      </c>
      <c r="N888" t="str">
        <f t="shared" si="62"/>
        <v>Bogey</v>
      </c>
      <c r="O888" cm="1">
        <f t="array" ref="O888">IFERROR(
  INDEX('Putt Log'!$E$2:$V$72,
    MATCH(1,
      ('Putt Log'!$A$2:$A$72=$A888)*
      ('Putt Log'!$B$2:$B$72=$B888)*
      ('Putt Log'!$C$2:$C$72=$C888),
    0),
    MATCH($G888,'Putt Log'!$E$1:$V$1,0)
  ),
"")</f>
        <v>2</v>
      </c>
      <c r="P888" t="str" cm="1">
        <f t="array" ref="P888">IF(K888=3,"",
  IFERROR(
    INDEX('Fairway Log'!$E$2:$V$72,
      MATCH(1,
        ('Fairway Log'!$A$2:$A$72=$A888)*
        ('Fairway Log'!$B$2:$B$72=$B888)*
        ('Fairway Log'!$C$2:$C959=$C888),
      0),
      MATCH($G888,'Fairway Log'!$E$1:$V$1,0)
    ),
  "")
)</f>
        <v/>
      </c>
      <c r="Q888" t="str" cm="1">
        <f t="array" ref="Q888">IFERROR(
  INDEX('GIR Log'!$E$2:$V$72,
    MATCH(1,
      ('GIR Log'!$A$2:$A$72=$A888)*
      ('GIR Log'!$B$2:$B$72=$B888)*
      ('GIR Log'!$C$2:$C$72=$C888),
    0),
    MATCH($G888,'GIR Log'!$E$1:$V$1,0)
  ),
"")</f>
        <v>→</v>
      </c>
    </row>
    <row r="889" spans="1:17" x14ac:dyDescent="0.25">
      <c r="A889" s="51" t="s">
        <v>130</v>
      </c>
      <c r="B889" s="2">
        <v>45514</v>
      </c>
      <c r="C889" t="s">
        <v>6</v>
      </c>
      <c r="D889" s="51" t="s">
        <v>75</v>
      </c>
      <c r="E889" s="51" t="s">
        <v>34</v>
      </c>
      <c r="F889">
        <v>90</v>
      </c>
      <c r="G889" t="s">
        <v>52</v>
      </c>
      <c r="H889" s="9">
        <f t="shared" si="60"/>
        <v>6</v>
      </c>
      <c r="I889" cm="1">
        <f t="array" ref="I889">IFERROR(INDEX(CourseYardages[[Hole 1]:[Hole 18]],
  MATCH(1, (CourseYardages[Course]=C889)*(CourseYardages[Tees]=E889), 0),
  MATCH(G889, CourseYardages[[#Headers],[Hole 1]:[Hole 18]], 0)
),"")</f>
        <v>386</v>
      </c>
      <c r="J889" cm="1">
        <f t="array" ref="J889">IFERROR(INDEX(CourseHandicap[[Hole 1]:[Hole 18]],
  MATCH(1, (CourseHandicap[Course]=C889)*(CourseHandicap[Tees]=E889), 0),
  MATCH(G889, CourseHandicap[[#Headers],[Hole 1]:[Hole 18]], 0)
),"")</f>
        <v>4</v>
      </c>
      <c r="K889" cm="1">
        <f t="array" ref="K889">IFERROR(INDEX(CourseRatings[[Hole 1]:[Hole 18]],
  MATCH(1, (CourseRatings[Course]=C889)*(CourseRatings[Tees]=E889), 0),
  MATCH(G889, CourseRatings[[#Headers],[Hole 1]:[Hole 18]], 0)
),"")</f>
        <v>4</v>
      </c>
      <c r="L889" cm="1">
        <f t="array" ref="L889">IFERROR(
  INDEX('Golf Log'!$E$2:$V$72,
    MATCH(1,
      ('Golf Log'!$A$2:$A$72=$A889)*
      ('Golf Log'!$B$2:$B$72=$B889)*
      ('Golf Log'!$C$2:$C$72=$C889),
    0),
    MATCH($G889,'Golf Log'!$E$1:$V$1,0)
  ),
"")</f>
        <v>5</v>
      </c>
      <c r="M889">
        <f t="shared" si="61"/>
        <v>1</v>
      </c>
      <c r="N889" t="str">
        <f t="shared" si="62"/>
        <v>Bogey</v>
      </c>
      <c r="O889" cm="1">
        <f t="array" ref="O889">IFERROR(
  INDEX('Putt Log'!$E$2:$V$72,
    MATCH(1,
      ('Putt Log'!$A$2:$A$72=$A889)*
      ('Putt Log'!$B$2:$B$72=$B889)*
      ('Putt Log'!$C$2:$C$72=$C889),
    0),
    MATCH($G889,'Putt Log'!$E$1:$V$1,0)
  ),
"")</f>
        <v>2</v>
      </c>
      <c r="P889" cm="1">
        <f t="array" ref="P889">IF(K889=3,"",
  IFERROR(
    INDEX('Fairway Log'!$E$2:$V$72,
      MATCH(1,
        ('Fairway Log'!$A$2:$A$72=$A889)*
        ('Fairway Log'!$B$2:$B$72=$B889)*
        ('Fairway Log'!$C$2:$C960=$C889),
      0),
      MATCH($G889,'Fairway Log'!$E$1:$V$1,0)
    ),
  "")
)</f>
        <v>1</v>
      </c>
      <c r="Q889" t="str" cm="1">
        <f t="array" ref="Q889">IFERROR(
  INDEX('GIR Log'!$E$2:$V$72,
    MATCH(1,
      ('GIR Log'!$A$2:$A$72=$A889)*
      ('GIR Log'!$B$2:$B$72=$B889)*
      ('GIR Log'!$C$2:$C$72=$C889),
    0),
    MATCH($G889,'GIR Log'!$E$1:$V$1,0)
  ),
"")</f>
        <v>↑</v>
      </c>
    </row>
    <row r="890" spans="1:17" x14ac:dyDescent="0.25">
      <c r="A890" s="51" t="s">
        <v>130</v>
      </c>
      <c r="B890" s="2">
        <v>45514</v>
      </c>
      <c r="C890" t="s">
        <v>6</v>
      </c>
      <c r="D890" s="51" t="s">
        <v>75</v>
      </c>
      <c r="E890" s="51" t="s">
        <v>34</v>
      </c>
      <c r="F890">
        <v>90</v>
      </c>
      <c r="G890" t="s">
        <v>53</v>
      </c>
      <c r="H890" s="9">
        <f t="shared" si="60"/>
        <v>7</v>
      </c>
      <c r="I890" cm="1">
        <f t="array" ref="I890">IFERROR(INDEX(CourseYardages[[Hole 1]:[Hole 18]],
  MATCH(1, (CourseYardages[Course]=C890)*(CourseYardages[Tees]=E890), 0),
  MATCH(G890, CourseYardages[[#Headers],[Hole 1]:[Hole 18]], 0)
),"")</f>
        <v>369</v>
      </c>
      <c r="J890" cm="1">
        <f t="array" ref="J890">IFERROR(INDEX(CourseHandicap[[Hole 1]:[Hole 18]],
  MATCH(1, (CourseHandicap[Course]=C890)*(CourseHandicap[Tees]=E890), 0),
  MATCH(G890, CourseHandicap[[#Headers],[Hole 1]:[Hole 18]], 0)
),"")</f>
        <v>10</v>
      </c>
      <c r="K890" cm="1">
        <f t="array" ref="K890">IFERROR(INDEX(CourseRatings[[Hole 1]:[Hole 18]],
  MATCH(1, (CourseRatings[Course]=C890)*(CourseRatings[Tees]=E890), 0),
  MATCH(G890, CourseRatings[[#Headers],[Hole 1]:[Hole 18]], 0)
),"")</f>
        <v>4</v>
      </c>
      <c r="L890" cm="1">
        <f t="array" ref="L890">IFERROR(
  INDEX('Golf Log'!$E$2:$V$72,
    MATCH(1,
      ('Golf Log'!$A$2:$A$72=$A890)*
      ('Golf Log'!$B$2:$B$72=$B890)*
      ('Golf Log'!$C$2:$C$72=$C890),
    0),
    MATCH($G890,'Golf Log'!$E$1:$V$1,0)
  ),
"")</f>
        <v>4</v>
      </c>
      <c r="M890">
        <f t="shared" si="61"/>
        <v>0</v>
      </c>
      <c r="N890" t="str">
        <f t="shared" si="62"/>
        <v>Par</v>
      </c>
      <c r="O890" cm="1">
        <f t="array" ref="O890">IFERROR(
  INDEX('Putt Log'!$E$2:$V$72,
    MATCH(1,
      ('Putt Log'!$A$2:$A$72=$A890)*
      ('Putt Log'!$B$2:$B$72=$B890)*
      ('Putt Log'!$C$2:$C$72=$C890),
    0),
    MATCH($G890,'Putt Log'!$E$1:$V$1,0)
  ),
"")</f>
        <v>2</v>
      </c>
      <c r="P890" t="str" cm="1">
        <f t="array" ref="P890">IF(K890=3,"",
  IFERROR(
    INDEX('Fairway Log'!$E$2:$V$72,
      MATCH(1,
        ('Fairway Log'!$A$2:$A$72=$A890)*
        ('Fairway Log'!$B$2:$B$72=$B890)*
        ('Fairway Log'!$C$2:$C961=$C890),
      0),
      MATCH($G890,'Fairway Log'!$E$1:$V$1,0)
    ),
  "")
)</f>
        <v>←</v>
      </c>
      <c r="Q890" cm="1">
        <f t="array" ref="Q890">IFERROR(
  INDEX('GIR Log'!$E$2:$V$72,
    MATCH(1,
      ('GIR Log'!$A$2:$A$72=$A890)*
      ('GIR Log'!$B$2:$B$72=$B890)*
      ('GIR Log'!$C$2:$C$72=$C890),
    0),
    MATCH($G890,'GIR Log'!$E$1:$V$1,0)
  ),
"")</f>
        <v>1</v>
      </c>
    </row>
    <row r="891" spans="1:17" x14ac:dyDescent="0.25">
      <c r="A891" s="51" t="s">
        <v>130</v>
      </c>
      <c r="B891" s="2">
        <v>45514</v>
      </c>
      <c r="C891" t="s">
        <v>6</v>
      </c>
      <c r="D891" s="51" t="s">
        <v>75</v>
      </c>
      <c r="E891" s="51" t="s">
        <v>34</v>
      </c>
      <c r="F891">
        <v>90</v>
      </c>
      <c r="G891" t="s">
        <v>54</v>
      </c>
      <c r="H891" s="9">
        <f t="shared" si="60"/>
        <v>8</v>
      </c>
      <c r="I891" cm="1">
        <f t="array" ref="I891">IFERROR(INDEX(CourseYardages[[Hole 1]:[Hole 18]],
  MATCH(1, (CourseYardages[Course]=C891)*(CourseYardages[Tees]=E891), 0),
  MATCH(G891, CourseYardages[[#Headers],[Hole 1]:[Hole 18]], 0)
),"")</f>
        <v>304</v>
      </c>
      <c r="J891" cm="1">
        <f t="array" ref="J891">IFERROR(INDEX(CourseHandicap[[Hole 1]:[Hole 18]],
  MATCH(1, (CourseHandicap[Course]=C891)*(CourseHandicap[Tees]=E891), 0),
  MATCH(G891, CourseHandicap[[#Headers],[Hole 1]:[Hole 18]], 0)
),"")</f>
        <v>18</v>
      </c>
      <c r="K891" cm="1">
        <f t="array" ref="K891">IFERROR(INDEX(CourseRatings[[Hole 1]:[Hole 18]],
  MATCH(1, (CourseRatings[Course]=C891)*(CourseRatings[Tees]=E891), 0),
  MATCH(G891, CourseRatings[[#Headers],[Hole 1]:[Hole 18]], 0)
),"")</f>
        <v>4</v>
      </c>
      <c r="L891" cm="1">
        <f t="array" ref="L891">IFERROR(
  INDEX('Golf Log'!$E$2:$V$72,
    MATCH(1,
      ('Golf Log'!$A$2:$A$72=$A891)*
      ('Golf Log'!$B$2:$B$72=$B891)*
      ('Golf Log'!$C$2:$C$72=$C891),
    0),
    MATCH($G891,'Golf Log'!$E$1:$V$1,0)
  ),
"")</f>
        <v>4</v>
      </c>
      <c r="M891">
        <f t="shared" si="61"/>
        <v>0</v>
      </c>
      <c r="N891" t="str">
        <f t="shared" si="62"/>
        <v>Par</v>
      </c>
      <c r="O891" cm="1">
        <f t="array" ref="O891">IFERROR(
  INDEX('Putt Log'!$E$2:$V$72,
    MATCH(1,
      ('Putt Log'!$A$2:$A$72=$A891)*
      ('Putt Log'!$B$2:$B$72=$B891)*
      ('Putt Log'!$C$2:$C$72=$C891),
    0),
    MATCH($G891,'Putt Log'!$E$1:$V$1,0)
  ),
"")</f>
        <v>1</v>
      </c>
      <c r="P891" t="str" cm="1">
        <f t="array" ref="P891">IF(K891=3,"",
  IFERROR(
    INDEX('Fairway Log'!$E$2:$V$72,
      MATCH(1,
        ('Fairway Log'!$A$2:$A$72=$A891)*
        ('Fairway Log'!$B$2:$B$72=$B891)*
        ('Fairway Log'!$C$2:$C962=$C891),
      0),
      MATCH($G891,'Fairway Log'!$E$1:$V$1,0)
    ),
  "")
)</f>
        <v>←</v>
      </c>
      <c r="Q891" t="str" cm="1">
        <f t="array" ref="Q891">IFERROR(
  INDEX('GIR Log'!$E$2:$V$72,
    MATCH(1,
      ('GIR Log'!$A$2:$A$72=$A891)*
      ('GIR Log'!$B$2:$B$72=$B891)*
      ('GIR Log'!$C$2:$C$72=$C891),
    0),
    MATCH($G891,'GIR Log'!$E$1:$V$1,0)
  ),
"")</f>
        <v>↑</v>
      </c>
    </row>
    <row r="892" spans="1:17" x14ac:dyDescent="0.25">
      <c r="A892" s="51" t="s">
        <v>130</v>
      </c>
      <c r="B892" s="2">
        <v>45514</v>
      </c>
      <c r="C892" t="s">
        <v>6</v>
      </c>
      <c r="D892" s="51" t="s">
        <v>75</v>
      </c>
      <c r="E892" s="51" t="s">
        <v>34</v>
      </c>
      <c r="F892">
        <v>90</v>
      </c>
      <c r="G892" t="s">
        <v>55</v>
      </c>
      <c r="H892" s="9">
        <f t="shared" si="60"/>
        <v>9</v>
      </c>
      <c r="I892" cm="1">
        <f t="array" ref="I892">IFERROR(INDEX(CourseYardages[[Hole 1]:[Hole 18]],
  MATCH(1, (CourseYardages[Course]=C892)*(CourseYardages[Tees]=E892), 0),
  MATCH(G892, CourseYardages[[#Headers],[Hole 1]:[Hole 18]], 0)
),"")</f>
        <v>338</v>
      </c>
      <c r="J892" cm="1">
        <f t="array" ref="J892">IFERROR(INDEX(CourseHandicap[[Hole 1]:[Hole 18]],
  MATCH(1, (CourseHandicap[Course]=C892)*(CourseHandicap[Tees]=E892), 0),
  MATCH(G892, CourseHandicap[[#Headers],[Hole 1]:[Hole 18]], 0)
),"")</f>
        <v>12</v>
      </c>
      <c r="K892" cm="1">
        <f t="array" ref="K892">IFERROR(INDEX(CourseRatings[[Hole 1]:[Hole 18]],
  MATCH(1, (CourseRatings[Course]=C892)*(CourseRatings[Tees]=E892), 0),
  MATCH(G892, CourseRatings[[#Headers],[Hole 1]:[Hole 18]], 0)
),"")</f>
        <v>4</v>
      </c>
      <c r="L892" cm="1">
        <f t="array" ref="L892">IFERROR(
  INDEX('Golf Log'!$E$2:$V$72,
    MATCH(1,
      ('Golf Log'!$A$2:$A$72=$A892)*
      ('Golf Log'!$B$2:$B$72=$B892)*
      ('Golf Log'!$C$2:$C$72=$C892),
    0),
    MATCH($G892,'Golf Log'!$E$1:$V$1,0)
  ),
"")</f>
        <v>5</v>
      </c>
      <c r="M892">
        <f t="shared" si="61"/>
        <v>1</v>
      </c>
      <c r="N892" t="str">
        <f t="shared" si="62"/>
        <v>Bogey</v>
      </c>
      <c r="O892" cm="1">
        <f t="array" ref="O892">IFERROR(
  INDEX('Putt Log'!$E$2:$V$72,
    MATCH(1,
      ('Putt Log'!$A$2:$A$72=$A892)*
      ('Putt Log'!$B$2:$B$72=$B892)*
      ('Putt Log'!$C$2:$C$72=$C892),
    0),
    MATCH($G892,'Putt Log'!$E$1:$V$1,0)
  ),
"")</f>
        <v>2</v>
      </c>
      <c r="P892" t="str" cm="1">
        <f t="array" ref="P892">IF(K892=3,"",
  IFERROR(
    INDEX('Fairway Log'!$E$2:$V$72,
      MATCH(1,
        ('Fairway Log'!$A$2:$A$72=$A892)*
        ('Fairway Log'!$B$2:$B$72=$B892)*
        ('Fairway Log'!$C$2:$C963=$C892),
      0),
      MATCH($G892,'Fairway Log'!$E$1:$V$1,0)
    ),
  "")
)</f>
        <v>←</v>
      </c>
      <c r="Q892" t="str" cm="1">
        <f t="array" ref="Q892">IFERROR(
  INDEX('GIR Log'!$E$2:$V$72,
    MATCH(1,
      ('GIR Log'!$A$2:$A$72=$A892)*
      ('GIR Log'!$B$2:$B$72=$B892)*
      ('GIR Log'!$C$2:$C$72=$C892),
    0),
    MATCH($G892,'GIR Log'!$E$1:$V$1,0)
  ),
"")</f>
        <v>↓</v>
      </c>
    </row>
    <row r="893" spans="1:17" x14ac:dyDescent="0.25">
      <c r="A893" s="51" t="s">
        <v>130</v>
      </c>
      <c r="B893" s="2">
        <v>45514</v>
      </c>
      <c r="C893" t="s">
        <v>6</v>
      </c>
      <c r="D893" s="51" t="s">
        <v>75</v>
      </c>
      <c r="E893" s="51" t="s">
        <v>34</v>
      </c>
      <c r="F893">
        <v>90</v>
      </c>
      <c r="G893" t="s">
        <v>56</v>
      </c>
      <c r="H893" s="9">
        <f t="shared" si="60"/>
        <v>10</v>
      </c>
      <c r="I893" cm="1">
        <f t="array" ref="I893">IFERROR(INDEX(CourseYardages[[Hole 1]:[Hole 18]],
  MATCH(1, (CourseYardages[Course]=C893)*(CourseYardages[Tees]=E893), 0),
  MATCH(G893, CourseYardages[[#Headers],[Hole 1]:[Hole 18]], 0)
),"")</f>
        <v>357</v>
      </c>
      <c r="J893" cm="1">
        <f t="array" ref="J893">IFERROR(INDEX(CourseHandicap[[Hole 1]:[Hole 18]],
  MATCH(1, (CourseHandicap[Course]=C893)*(CourseHandicap[Tees]=E893), 0),
  MATCH(G893, CourseHandicap[[#Headers],[Hole 1]:[Hole 18]], 0)
),"")</f>
        <v>13</v>
      </c>
      <c r="K893" cm="1">
        <f t="array" ref="K893">IFERROR(INDEX(CourseRatings[[Hole 1]:[Hole 18]],
  MATCH(1, (CourseRatings[Course]=C893)*(CourseRatings[Tees]=E893), 0),
  MATCH(G893, CourseRatings[[#Headers],[Hole 1]:[Hole 18]], 0)
),"")</f>
        <v>4</v>
      </c>
      <c r="L893" cm="1">
        <f t="array" ref="L893">IFERROR(
  INDEX('Golf Log'!$E$2:$V$72,
    MATCH(1,
      ('Golf Log'!$A$2:$A$72=$A893)*
      ('Golf Log'!$B$2:$B$72=$B893)*
      ('Golf Log'!$C$2:$C$72=$C893),
    0),
    MATCH($G893,'Golf Log'!$E$1:$V$1,0)
  ),
"")</f>
        <v>6</v>
      </c>
      <c r="M893">
        <f t="shared" si="61"/>
        <v>2</v>
      </c>
      <c r="N893" t="str">
        <f t="shared" si="62"/>
        <v>Double Bogey</v>
      </c>
      <c r="O893" cm="1">
        <f t="array" ref="O893">IFERROR(
  INDEX('Putt Log'!$E$2:$V$72,
    MATCH(1,
      ('Putt Log'!$A$2:$A$72=$A893)*
      ('Putt Log'!$B$2:$B$72=$B893)*
      ('Putt Log'!$C$2:$C$72=$C893),
    0),
    MATCH($G893,'Putt Log'!$E$1:$V$1,0)
  ),
"")</f>
        <v>2</v>
      </c>
      <c r="P893" t="str" cm="1">
        <f t="array" ref="P893">IF(K893=3,"",
  IFERROR(
    INDEX('Fairway Log'!$E$2:$V$72,
      MATCH(1,
        ('Fairway Log'!$A$2:$A$72=$A893)*
        ('Fairway Log'!$B$2:$B$72=$B893)*
        ('Fairway Log'!$C$2:$C964=$C893),
      0),
      MATCH($G893,'Fairway Log'!$E$1:$V$1,0)
    ),
  "")
)</f>
        <v>→</v>
      </c>
      <c r="Q893" t="str" cm="1">
        <f t="array" ref="Q893">IFERROR(
  INDEX('GIR Log'!$E$2:$V$72,
    MATCH(1,
      ('GIR Log'!$A$2:$A$72=$A893)*
      ('GIR Log'!$B$2:$B$72=$B893)*
      ('GIR Log'!$C$2:$C$72=$C893),
    0),
    MATCH($G893,'GIR Log'!$E$1:$V$1,0)
  ),
"")</f>
        <v>↓</v>
      </c>
    </row>
    <row r="894" spans="1:17" x14ac:dyDescent="0.25">
      <c r="A894" s="51" t="s">
        <v>130</v>
      </c>
      <c r="B894" s="2">
        <v>45514</v>
      </c>
      <c r="C894" t="s">
        <v>6</v>
      </c>
      <c r="D894" s="51" t="s">
        <v>75</v>
      </c>
      <c r="E894" s="51" t="s">
        <v>34</v>
      </c>
      <c r="F894">
        <v>90</v>
      </c>
      <c r="G894" t="s">
        <v>57</v>
      </c>
      <c r="H894" s="9">
        <f t="shared" si="60"/>
        <v>11</v>
      </c>
      <c r="I894" cm="1">
        <f t="array" ref="I894">IFERROR(INDEX(CourseYardages[[Hole 1]:[Hole 18]],
  MATCH(1, (CourseYardages[Course]=C894)*(CourseYardages[Tees]=E894), 0),
  MATCH(G894, CourseYardages[[#Headers],[Hole 1]:[Hole 18]], 0)
),"")</f>
        <v>310</v>
      </c>
      <c r="J894" cm="1">
        <f t="array" ref="J894">IFERROR(INDEX(CourseHandicap[[Hole 1]:[Hole 18]],
  MATCH(1, (CourseHandicap[Course]=C894)*(CourseHandicap[Tees]=E894), 0),
  MATCH(G894, CourseHandicap[[#Headers],[Hole 1]:[Hole 18]], 0)
),"")</f>
        <v>11</v>
      </c>
      <c r="K894" cm="1">
        <f t="array" ref="K894">IFERROR(INDEX(CourseRatings[[Hole 1]:[Hole 18]],
  MATCH(1, (CourseRatings[Course]=C894)*(CourseRatings[Tees]=E894), 0),
  MATCH(G894, CourseRatings[[#Headers],[Hole 1]:[Hole 18]], 0)
),"")</f>
        <v>4</v>
      </c>
      <c r="L894" cm="1">
        <f t="array" ref="L894">IFERROR(
  INDEX('Golf Log'!$E$2:$V$72,
    MATCH(1,
      ('Golf Log'!$A$2:$A$72=$A894)*
      ('Golf Log'!$B$2:$B$72=$B894)*
      ('Golf Log'!$C$2:$C$72=$C894),
    0),
    MATCH($G894,'Golf Log'!$E$1:$V$1,0)
  ),
"")</f>
        <v>6</v>
      </c>
      <c r="M894">
        <f t="shared" si="61"/>
        <v>2</v>
      </c>
      <c r="N894" t="str">
        <f t="shared" si="62"/>
        <v>Double Bogey</v>
      </c>
      <c r="O894" cm="1">
        <f t="array" ref="O894">IFERROR(
  INDEX('Putt Log'!$E$2:$V$72,
    MATCH(1,
      ('Putt Log'!$A$2:$A$72=$A894)*
      ('Putt Log'!$B$2:$B$72=$B894)*
      ('Putt Log'!$C$2:$C$72=$C894),
    0),
    MATCH($G894,'Putt Log'!$E$1:$V$1,0)
  ),
"")</f>
        <v>2</v>
      </c>
      <c r="P894" t="str" cm="1">
        <f t="array" ref="P894">IF(K894=3,"",
  IFERROR(
    INDEX('Fairway Log'!$E$2:$V$72,
      MATCH(1,
        ('Fairway Log'!$A$2:$A$72=$A894)*
        ('Fairway Log'!$B$2:$B$72=$B894)*
        ('Fairway Log'!$C$2:$C965=$C894),
      0),
      MATCH($G894,'Fairway Log'!$E$1:$V$1,0)
    ),
  "")
)</f>
        <v>←</v>
      </c>
      <c r="Q894" t="str" cm="1">
        <f t="array" ref="Q894">IFERROR(
  INDEX('GIR Log'!$E$2:$V$72,
    MATCH(1,
      ('GIR Log'!$A$2:$A$72=$A894)*
      ('GIR Log'!$B$2:$B$72=$B894)*
      ('GIR Log'!$C$2:$C$72=$C894),
    0),
    MATCH($G894,'GIR Log'!$E$1:$V$1,0)
  ),
"")</f>
        <v>→</v>
      </c>
    </row>
    <row r="895" spans="1:17" x14ac:dyDescent="0.25">
      <c r="A895" s="51" t="s">
        <v>130</v>
      </c>
      <c r="B895" s="2">
        <v>45514</v>
      </c>
      <c r="C895" t="s">
        <v>6</v>
      </c>
      <c r="D895" s="51" t="s">
        <v>75</v>
      </c>
      <c r="E895" s="51" t="s">
        <v>34</v>
      </c>
      <c r="F895">
        <v>90</v>
      </c>
      <c r="G895" t="s">
        <v>58</v>
      </c>
      <c r="H895" s="9">
        <f t="shared" si="60"/>
        <v>12</v>
      </c>
      <c r="I895" cm="1">
        <f t="array" ref="I895">IFERROR(INDEX(CourseYardages[[Hole 1]:[Hole 18]],
  MATCH(1, (CourseYardages[Course]=C895)*(CourseYardages[Tees]=E895), 0),
  MATCH(G895, CourseYardages[[#Headers],[Hole 1]:[Hole 18]], 0)
),"")</f>
        <v>386</v>
      </c>
      <c r="J895" cm="1">
        <f t="array" ref="J895">IFERROR(INDEX(CourseHandicap[[Hole 1]:[Hole 18]],
  MATCH(1, (CourseHandicap[Course]=C895)*(CourseHandicap[Tees]=E895), 0),
  MATCH(G895, CourseHandicap[[#Headers],[Hole 1]:[Hole 18]], 0)
),"")</f>
        <v>5</v>
      </c>
      <c r="K895" cm="1">
        <f t="array" ref="K895">IFERROR(INDEX(CourseRatings[[Hole 1]:[Hole 18]],
  MATCH(1, (CourseRatings[Course]=C895)*(CourseRatings[Tees]=E895), 0),
  MATCH(G895, CourseRatings[[#Headers],[Hole 1]:[Hole 18]], 0)
),"")</f>
        <v>4</v>
      </c>
      <c r="L895" cm="1">
        <f t="array" ref="L895">IFERROR(
  INDEX('Golf Log'!$E$2:$V$72,
    MATCH(1,
      ('Golf Log'!$A$2:$A$72=$A895)*
      ('Golf Log'!$B$2:$B$72=$B895)*
      ('Golf Log'!$C$2:$C$72=$C895),
    0),
    MATCH($G895,'Golf Log'!$E$1:$V$1,0)
  ),
"")</f>
        <v>6</v>
      </c>
      <c r="M895">
        <f t="shared" si="61"/>
        <v>2</v>
      </c>
      <c r="N895" t="str">
        <f t="shared" si="62"/>
        <v>Double Bogey</v>
      </c>
      <c r="O895" cm="1">
        <f t="array" ref="O895">IFERROR(
  INDEX('Putt Log'!$E$2:$V$72,
    MATCH(1,
      ('Putt Log'!$A$2:$A$72=$A895)*
      ('Putt Log'!$B$2:$B$72=$B895)*
      ('Putt Log'!$C$2:$C$72=$C895),
    0),
    MATCH($G895,'Putt Log'!$E$1:$V$1,0)
  ),
"")</f>
        <v>2</v>
      </c>
      <c r="P895" cm="1">
        <f t="array" ref="P895">IF(K895=3,"",
  IFERROR(
    INDEX('Fairway Log'!$E$2:$V$72,
      MATCH(1,
        ('Fairway Log'!$A$2:$A$72=$A895)*
        ('Fairway Log'!$B$2:$B$72=$B895)*
        ('Fairway Log'!$C$2:$C966=$C895),
      0),
      MATCH($G895,'Fairway Log'!$E$1:$V$1,0)
    ),
  "")
)</f>
        <v>1</v>
      </c>
      <c r="Q895" t="str" cm="1">
        <f t="array" ref="Q895">IFERROR(
  INDEX('GIR Log'!$E$2:$V$72,
    MATCH(1,
      ('GIR Log'!$A$2:$A$72=$A895)*
      ('GIR Log'!$B$2:$B$72=$B895)*
      ('GIR Log'!$C$2:$C$72=$C895),
    0),
    MATCH($G895,'GIR Log'!$E$1:$V$1,0)
  ),
"")</f>
        <v>→</v>
      </c>
    </row>
    <row r="896" spans="1:17" x14ac:dyDescent="0.25">
      <c r="A896" s="51" t="s">
        <v>130</v>
      </c>
      <c r="B896" s="2">
        <v>45514</v>
      </c>
      <c r="C896" t="s">
        <v>6</v>
      </c>
      <c r="D896" s="51" t="s">
        <v>75</v>
      </c>
      <c r="E896" s="51" t="s">
        <v>34</v>
      </c>
      <c r="F896">
        <v>90</v>
      </c>
      <c r="G896" t="s">
        <v>59</v>
      </c>
      <c r="H896" s="9">
        <f t="shared" si="60"/>
        <v>13</v>
      </c>
      <c r="I896" cm="1">
        <f t="array" ref="I896">IFERROR(INDEX(CourseYardages[[Hole 1]:[Hole 18]],
  MATCH(1, (CourseYardages[Course]=C896)*(CourseYardages[Tees]=E896), 0),
  MATCH(G896, CourseYardages[[#Headers],[Hole 1]:[Hole 18]], 0)
),"")</f>
        <v>326</v>
      </c>
      <c r="J896" cm="1">
        <f t="array" ref="J896">IFERROR(INDEX(CourseHandicap[[Hole 1]:[Hole 18]],
  MATCH(1, (CourseHandicap[Course]=C896)*(CourseHandicap[Tees]=E896), 0),
  MATCH(G896, CourseHandicap[[#Headers],[Hole 1]:[Hole 18]], 0)
),"")</f>
        <v>9</v>
      </c>
      <c r="K896" cm="1">
        <f t="array" ref="K896">IFERROR(INDEX(CourseRatings[[Hole 1]:[Hole 18]],
  MATCH(1, (CourseRatings[Course]=C896)*(CourseRatings[Tees]=E896), 0),
  MATCH(G896, CourseRatings[[#Headers],[Hole 1]:[Hole 18]], 0)
),"")</f>
        <v>4</v>
      </c>
      <c r="L896" cm="1">
        <f t="array" ref="L896">IFERROR(
  INDEX('Golf Log'!$E$2:$V$72,
    MATCH(1,
      ('Golf Log'!$A$2:$A$72=$A896)*
      ('Golf Log'!$B$2:$B$72=$B896)*
      ('Golf Log'!$C$2:$C$72=$C896),
    0),
    MATCH($G896,'Golf Log'!$E$1:$V$1,0)
  ),
"")</f>
        <v>5</v>
      </c>
      <c r="M896">
        <f t="shared" si="61"/>
        <v>1</v>
      </c>
      <c r="N896" t="str">
        <f t="shared" si="62"/>
        <v>Bogey</v>
      </c>
      <c r="O896" cm="1">
        <f t="array" ref="O896">IFERROR(
  INDEX('Putt Log'!$E$2:$V$72,
    MATCH(1,
      ('Putt Log'!$A$2:$A$72=$A896)*
      ('Putt Log'!$B$2:$B$72=$B896)*
      ('Putt Log'!$C$2:$C$72=$C896),
    0),
    MATCH($G896,'Putt Log'!$E$1:$V$1,0)
  ),
"")</f>
        <v>2</v>
      </c>
      <c r="P896" t="str" cm="1">
        <f t="array" ref="P896">IF(K896=3,"",
  IFERROR(
    INDEX('Fairway Log'!$E$2:$V$72,
      MATCH(1,
        ('Fairway Log'!$A$2:$A$72=$A896)*
        ('Fairway Log'!$B$2:$B$72=$B896)*
        ('Fairway Log'!$C$2:$C967=$C896),
      0),
      MATCH($G896,'Fairway Log'!$E$1:$V$1,0)
    ),
  "")
)</f>
        <v>←</v>
      </c>
      <c r="Q896" t="str" cm="1">
        <f t="array" ref="Q896">IFERROR(
  INDEX('GIR Log'!$E$2:$V$72,
    MATCH(1,
      ('GIR Log'!$A$2:$A$72=$A896)*
      ('GIR Log'!$B$2:$B$72=$B896)*
      ('GIR Log'!$C$2:$C$72=$C896),
    0),
    MATCH($G896,'GIR Log'!$E$1:$V$1,0)
  ),
"")</f>
        <v>←</v>
      </c>
    </row>
    <row r="897" spans="1:17" x14ac:dyDescent="0.25">
      <c r="A897" s="51" t="s">
        <v>130</v>
      </c>
      <c r="B897" s="2">
        <v>45514</v>
      </c>
      <c r="C897" t="s">
        <v>6</v>
      </c>
      <c r="D897" s="51" t="s">
        <v>75</v>
      </c>
      <c r="E897" s="51" t="s">
        <v>34</v>
      </c>
      <c r="F897">
        <v>90</v>
      </c>
      <c r="G897" t="s">
        <v>60</v>
      </c>
      <c r="H897" s="9">
        <f t="shared" si="60"/>
        <v>14</v>
      </c>
      <c r="I897" cm="1">
        <f t="array" ref="I897">IFERROR(INDEX(CourseYardages[[Hole 1]:[Hole 18]],
  MATCH(1, (CourseYardages[Course]=C897)*(CourseYardages[Tees]=E897), 0),
  MATCH(G897, CourseYardages[[#Headers],[Hole 1]:[Hole 18]], 0)
),"")</f>
        <v>170</v>
      </c>
      <c r="J897" cm="1">
        <f t="array" ref="J897">IFERROR(INDEX(CourseHandicap[[Hole 1]:[Hole 18]],
  MATCH(1, (CourseHandicap[Course]=C897)*(CourseHandicap[Tees]=E897), 0),
  MATCH(G897, CourseHandicap[[#Headers],[Hole 1]:[Hole 18]], 0)
),"")</f>
        <v>15</v>
      </c>
      <c r="K897" cm="1">
        <f t="array" ref="K897">IFERROR(INDEX(CourseRatings[[Hole 1]:[Hole 18]],
  MATCH(1, (CourseRatings[Course]=C897)*(CourseRatings[Tees]=E897), 0),
  MATCH(G897, CourseRatings[[#Headers],[Hole 1]:[Hole 18]], 0)
),"")</f>
        <v>3</v>
      </c>
      <c r="L897" cm="1">
        <f t="array" ref="L897">IFERROR(
  INDEX('Golf Log'!$E$2:$V$72,
    MATCH(1,
      ('Golf Log'!$A$2:$A$72=$A897)*
      ('Golf Log'!$B$2:$B$72=$B897)*
      ('Golf Log'!$C$2:$C$72=$C897),
    0),
    MATCH($G897,'Golf Log'!$E$1:$V$1,0)
  ),
"")</f>
        <v>3</v>
      </c>
      <c r="M897">
        <f t="shared" si="61"/>
        <v>0</v>
      </c>
      <c r="N897" t="str">
        <f t="shared" si="62"/>
        <v>Par</v>
      </c>
      <c r="O897" cm="1">
        <f t="array" ref="O897">IFERROR(
  INDEX('Putt Log'!$E$2:$V$72,
    MATCH(1,
      ('Putt Log'!$A$2:$A$72=$A897)*
      ('Putt Log'!$B$2:$B$72=$B897)*
      ('Putt Log'!$C$2:$C$72=$C897),
    0),
    MATCH($G897,'Putt Log'!$E$1:$V$1,0)
  ),
"")</f>
        <v>1</v>
      </c>
      <c r="P897" t="str" cm="1">
        <f t="array" ref="P897">IF(K897=3,"",
  IFERROR(
    INDEX('Fairway Log'!$E$2:$V$72,
      MATCH(1,
        ('Fairway Log'!$A$2:$A$72=$A897)*
        ('Fairway Log'!$B$2:$B$72=$B897)*
        ('Fairway Log'!$C$2:$C968=$C897),
      0),
      MATCH($G897,'Fairway Log'!$E$1:$V$1,0)
    ),
  "")
)</f>
        <v/>
      </c>
      <c r="Q897" t="str" cm="1">
        <f t="array" ref="Q897">IFERROR(
  INDEX('GIR Log'!$E$2:$V$72,
    MATCH(1,
      ('GIR Log'!$A$2:$A$72=$A897)*
      ('GIR Log'!$B$2:$B$72=$B897)*
      ('GIR Log'!$C$2:$C$72=$C897),
    0),
    MATCH($G897,'GIR Log'!$E$1:$V$1,0)
  ),
"")</f>
        <v>↓</v>
      </c>
    </row>
    <row r="898" spans="1:17" x14ac:dyDescent="0.25">
      <c r="A898" s="51" t="s">
        <v>130</v>
      </c>
      <c r="B898" s="2">
        <v>45514</v>
      </c>
      <c r="C898" t="s">
        <v>6</v>
      </c>
      <c r="D898" s="51" t="s">
        <v>75</v>
      </c>
      <c r="E898" s="51" t="s">
        <v>34</v>
      </c>
      <c r="F898">
        <v>90</v>
      </c>
      <c r="G898" t="s">
        <v>61</v>
      </c>
      <c r="H898" s="9">
        <f t="shared" si="60"/>
        <v>15</v>
      </c>
      <c r="I898" cm="1">
        <f t="array" ref="I898">IFERROR(INDEX(CourseYardages[[Hole 1]:[Hole 18]],
  MATCH(1, (CourseYardages[Course]=C898)*(CourseYardages[Tees]=E898), 0),
  MATCH(G898, CourseYardages[[#Headers],[Hole 1]:[Hole 18]], 0)
),"")</f>
        <v>417</v>
      </c>
      <c r="J898" cm="1">
        <f t="array" ref="J898">IFERROR(INDEX(CourseHandicap[[Hole 1]:[Hole 18]],
  MATCH(1, (CourseHandicap[Course]=C898)*(CourseHandicap[Tees]=E898), 0),
  MATCH(G898, CourseHandicap[[#Headers],[Hole 1]:[Hole 18]], 0)
),"")</f>
        <v>1</v>
      </c>
      <c r="K898" cm="1">
        <f t="array" ref="K898">IFERROR(INDEX(CourseRatings[[Hole 1]:[Hole 18]],
  MATCH(1, (CourseRatings[Course]=C898)*(CourseRatings[Tees]=E898), 0),
  MATCH(G898, CourseRatings[[#Headers],[Hole 1]:[Hole 18]], 0)
),"")</f>
        <v>4</v>
      </c>
      <c r="L898" cm="1">
        <f t="array" ref="L898">IFERROR(
  INDEX('Golf Log'!$E$2:$V$72,
    MATCH(1,
      ('Golf Log'!$A$2:$A$72=$A898)*
      ('Golf Log'!$B$2:$B$72=$B898)*
      ('Golf Log'!$C$2:$C$72=$C898),
    0),
    MATCH($G898,'Golf Log'!$E$1:$V$1,0)
  ),
"")</f>
        <v>5</v>
      </c>
      <c r="M898">
        <f t="shared" si="61"/>
        <v>1</v>
      </c>
      <c r="N898" t="str">
        <f t="shared" si="62"/>
        <v>Bogey</v>
      </c>
      <c r="O898" cm="1">
        <f t="array" ref="O898">IFERROR(
  INDEX('Putt Log'!$E$2:$V$72,
    MATCH(1,
      ('Putt Log'!$A$2:$A$72=$A898)*
      ('Putt Log'!$B$2:$B$72=$B898)*
      ('Putt Log'!$C$2:$C$72=$C898),
    0),
    MATCH($G898,'Putt Log'!$E$1:$V$1,0)
  ),
"")</f>
        <v>2</v>
      </c>
      <c r="P898" t="str" cm="1">
        <f t="array" ref="P898">IF(K898=3,"",
  IFERROR(
    INDEX('Fairway Log'!$E$2:$V$72,
      MATCH(1,
        ('Fairway Log'!$A$2:$A$72=$A898)*
        ('Fairway Log'!$B$2:$B$72=$B898)*
        ('Fairway Log'!$C$2:$C969=$C898),
      0),
      MATCH($G898,'Fairway Log'!$E$1:$V$1,0)
    ),
  "")
)</f>
        <v>→</v>
      </c>
      <c r="Q898" t="str" cm="1">
        <f t="array" ref="Q898">IFERROR(
  INDEX('GIR Log'!$E$2:$V$72,
    MATCH(1,
      ('GIR Log'!$A$2:$A$72=$A898)*
      ('GIR Log'!$B$2:$B$72=$B898)*
      ('GIR Log'!$C$2:$C$72=$C898),
    0),
    MATCH($G898,'GIR Log'!$E$1:$V$1,0)
  ),
"")</f>
        <v>↓</v>
      </c>
    </row>
    <row r="899" spans="1:17" x14ac:dyDescent="0.25">
      <c r="A899" s="51" t="s">
        <v>130</v>
      </c>
      <c r="B899" s="2">
        <v>45514</v>
      </c>
      <c r="C899" t="s">
        <v>6</v>
      </c>
      <c r="D899" s="51" t="s">
        <v>75</v>
      </c>
      <c r="E899" s="51" t="s">
        <v>34</v>
      </c>
      <c r="F899">
        <v>90</v>
      </c>
      <c r="G899" t="s">
        <v>62</v>
      </c>
      <c r="H899" s="9">
        <f t="shared" si="60"/>
        <v>16</v>
      </c>
      <c r="I899" cm="1">
        <f t="array" ref="I899">IFERROR(INDEX(CourseYardages[[Hole 1]:[Hole 18]],
  MATCH(1, (CourseYardages[Course]=C899)*(CourseYardages[Tees]=E899), 0),
  MATCH(G899, CourseYardages[[#Headers],[Hole 1]:[Hole 18]], 0)
),"")</f>
        <v>277</v>
      </c>
      <c r="J899" cm="1">
        <f t="array" ref="J899">IFERROR(INDEX(CourseHandicap[[Hole 1]:[Hole 18]],
  MATCH(1, (CourseHandicap[Course]=C899)*(CourseHandicap[Tees]=E899), 0),
  MATCH(G899, CourseHandicap[[#Headers],[Hole 1]:[Hole 18]], 0)
),"")</f>
        <v>17</v>
      </c>
      <c r="K899" cm="1">
        <f t="array" ref="K899">IFERROR(INDEX(CourseRatings[[Hole 1]:[Hole 18]],
  MATCH(1, (CourseRatings[Course]=C899)*(CourseRatings[Tees]=E899), 0),
  MATCH(G899, CourseRatings[[#Headers],[Hole 1]:[Hole 18]], 0)
),"")</f>
        <v>4</v>
      </c>
      <c r="L899" cm="1">
        <f t="array" ref="L899">IFERROR(
  INDEX('Golf Log'!$E$2:$V$72,
    MATCH(1,
      ('Golf Log'!$A$2:$A$72=$A899)*
      ('Golf Log'!$B$2:$B$72=$B899)*
      ('Golf Log'!$C$2:$C$72=$C899),
    0),
    MATCH($G899,'Golf Log'!$E$1:$V$1,0)
  ),
"")</f>
        <v>5</v>
      </c>
      <c r="M899">
        <f t="shared" si="61"/>
        <v>1</v>
      </c>
      <c r="N899" t="str">
        <f t="shared" si="62"/>
        <v>Bogey</v>
      </c>
      <c r="O899" cm="1">
        <f t="array" ref="O899">IFERROR(
  INDEX('Putt Log'!$E$2:$V$72,
    MATCH(1,
      ('Putt Log'!$A$2:$A$72=$A899)*
      ('Putt Log'!$B$2:$B$72=$B899)*
      ('Putt Log'!$C$2:$C$72=$C899),
    0),
    MATCH($G899,'Putt Log'!$E$1:$V$1,0)
  ),
"")</f>
        <v>1</v>
      </c>
      <c r="P899" t="str" cm="1">
        <f t="array" ref="P899">IF(K899=3,"",
  IFERROR(
    INDEX('Fairway Log'!$E$2:$V$72,
      MATCH(1,
        ('Fairway Log'!$A$2:$A$72=$A899)*
        ('Fairway Log'!$B$2:$B$72=$B899)*
        ('Fairway Log'!$C$2:$C970=$C899),
      0),
      MATCH($G899,'Fairway Log'!$E$1:$V$1,0)
    ),
  "")
)</f>
        <v>←</v>
      </c>
      <c r="Q899" t="str" cm="1">
        <f t="array" ref="Q899">IFERROR(
  INDEX('GIR Log'!$E$2:$V$72,
    MATCH(1,
      ('GIR Log'!$A$2:$A$72=$A899)*
      ('GIR Log'!$B$2:$B$72=$B899)*
      ('GIR Log'!$C$2:$C$72=$C899),
    0),
    MATCH($G899,'GIR Log'!$E$1:$V$1,0)
  ),
"")</f>
        <v>↓</v>
      </c>
    </row>
    <row r="900" spans="1:17" x14ac:dyDescent="0.25">
      <c r="A900" s="51" t="s">
        <v>130</v>
      </c>
      <c r="B900" s="2">
        <v>45514</v>
      </c>
      <c r="C900" t="s">
        <v>6</v>
      </c>
      <c r="D900" s="51" t="s">
        <v>75</v>
      </c>
      <c r="E900" s="51" t="s">
        <v>34</v>
      </c>
      <c r="F900">
        <v>90</v>
      </c>
      <c r="G900" t="s">
        <v>63</v>
      </c>
      <c r="H900" s="9">
        <f t="shared" si="60"/>
        <v>17</v>
      </c>
      <c r="I900" cm="1">
        <f t="array" ref="I900">IFERROR(INDEX(CourseYardages[[Hole 1]:[Hole 18]],
  MATCH(1, (CourseYardages[Course]=C900)*(CourseYardages[Tees]=E900), 0),
  MATCH(G900, CourseYardages[[#Headers],[Hole 1]:[Hole 18]], 0)
),"")</f>
        <v>479</v>
      </c>
      <c r="J900" cm="1">
        <f t="array" ref="J900">IFERROR(INDEX(CourseHandicap[[Hole 1]:[Hole 18]],
  MATCH(1, (CourseHandicap[Course]=C900)*(CourseHandicap[Tees]=E900), 0),
  MATCH(G900, CourseHandicap[[#Headers],[Hole 1]:[Hole 18]], 0)
),"")</f>
        <v>3</v>
      </c>
      <c r="K900" cm="1">
        <f t="array" ref="K900">IFERROR(INDEX(CourseRatings[[Hole 1]:[Hole 18]],
  MATCH(1, (CourseRatings[Course]=C900)*(CourseRatings[Tees]=E900), 0),
  MATCH(G900, CourseRatings[[#Headers],[Hole 1]:[Hole 18]], 0)
),"")</f>
        <v>5</v>
      </c>
      <c r="L900" cm="1">
        <f t="array" ref="L900">IFERROR(
  INDEX('Golf Log'!$E$2:$V$72,
    MATCH(1,
      ('Golf Log'!$A$2:$A$72=$A900)*
      ('Golf Log'!$B$2:$B$72=$B900)*
      ('Golf Log'!$C$2:$C$72=$C900),
    0),
    MATCH($G900,'Golf Log'!$E$1:$V$1,0)
  ),
"")</f>
        <v>5</v>
      </c>
      <c r="M900">
        <f t="shared" si="61"/>
        <v>0</v>
      </c>
      <c r="N900" t="str">
        <f t="shared" si="62"/>
        <v>Par</v>
      </c>
      <c r="O900" cm="1">
        <f t="array" ref="O900">IFERROR(
  INDEX('Putt Log'!$E$2:$V$72,
    MATCH(1,
      ('Putt Log'!$A$2:$A$72=$A900)*
      ('Putt Log'!$B$2:$B$72=$B900)*
      ('Putt Log'!$C$2:$C$72=$C900),
    0),
    MATCH($G900,'Putt Log'!$E$1:$V$1,0)
  ),
"")</f>
        <v>1</v>
      </c>
      <c r="P900" cm="1">
        <f t="array" ref="P900">IF(K900=3,"",
  IFERROR(
    INDEX('Fairway Log'!$E$2:$V$72,
      MATCH(1,
        ('Fairway Log'!$A$2:$A$72=$A900)*
        ('Fairway Log'!$B$2:$B$72=$B900)*
        ('Fairway Log'!$C$2:$C971=$C900),
      0),
      MATCH($G900,'Fairway Log'!$E$1:$V$1,0)
    ),
  "")
)</f>
        <v>1</v>
      </c>
      <c r="Q900" t="str" cm="1">
        <f t="array" ref="Q900">IFERROR(
  INDEX('GIR Log'!$E$2:$V$72,
    MATCH(1,
      ('GIR Log'!$A$2:$A$72=$A900)*
      ('GIR Log'!$B$2:$B$72=$B900)*
      ('GIR Log'!$C$2:$C$72=$C900),
    0),
    MATCH($G900,'GIR Log'!$E$1:$V$1,0)
  ),
"")</f>
        <v>↑</v>
      </c>
    </row>
    <row r="901" spans="1:17" x14ac:dyDescent="0.25">
      <c r="A901" s="51" t="s">
        <v>130</v>
      </c>
      <c r="B901" s="2">
        <v>45514</v>
      </c>
      <c r="C901" t="s">
        <v>6</v>
      </c>
      <c r="D901" s="51" t="s">
        <v>75</v>
      </c>
      <c r="E901" s="51" t="s">
        <v>34</v>
      </c>
      <c r="F901">
        <v>90</v>
      </c>
      <c r="G901" t="s">
        <v>64</v>
      </c>
      <c r="H901" s="9">
        <f t="shared" si="60"/>
        <v>18</v>
      </c>
      <c r="I901" cm="1">
        <f t="array" ref="I901">IFERROR(INDEX(CourseYardages[[Hole 1]:[Hole 18]],
  MATCH(1, (CourseYardages[Course]=C901)*(CourseYardages[Tees]=E901), 0),
  MATCH(G901, CourseYardages[[#Headers],[Hole 1]:[Hole 18]], 0)
),"")</f>
        <v>367</v>
      </c>
      <c r="J901" cm="1">
        <f t="array" ref="J901">IFERROR(INDEX(CourseHandicap[[Hole 1]:[Hole 18]],
  MATCH(1, (CourseHandicap[Course]=C901)*(CourseHandicap[Tees]=E901), 0),
  MATCH(G901, CourseHandicap[[#Headers],[Hole 1]:[Hole 18]], 0)
),"")</f>
        <v>7</v>
      </c>
      <c r="K901" cm="1">
        <f t="array" ref="K901">IFERROR(INDEX(CourseRatings[[Hole 1]:[Hole 18]],
  MATCH(1, (CourseRatings[Course]=C901)*(CourseRatings[Tees]=E901), 0),
  MATCH(G901, CourseRatings[[#Headers],[Hole 1]:[Hole 18]], 0)
),"")</f>
        <v>4</v>
      </c>
      <c r="L901" cm="1">
        <f t="array" ref="L901">IFERROR(
  INDEX('Golf Log'!$E$2:$V$72,
    MATCH(1,
      ('Golf Log'!$A$2:$A$72=$A901)*
      ('Golf Log'!$B$2:$B$72=$B901)*
      ('Golf Log'!$C$2:$C$72=$C901),
    0),
    MATCH($G901,'Golf Log'!$E$1:$V$1,0)
  ),
"")</f>
        <v>5</v>
      </c>
      <c r="M901">
        <f t="shared" si="61"/>
        <v>1</v>
      </c>
      <c r="N901" t="str">
        <f t="shared" si="62"/>
        <v>Bogey</v>
      </c>
      <c r="O901" cm="1">
        <f t="array" ref="O901">IFERROR(
  INDEX('Putt Log'!$E$2:$V$72,
    MATCH(1,
      ('Putt Log'!$A$2:$A$72=$A901)*
      ('Putt Log'!$B$2:$B$72=$B901)*
      ('Putt Log'!$C$2:$C$72=$C901),
    0),
    MATCH($G901,'Putt Log'!$E$1:$V$1,0)
  ),
"")</f>
        <v>2</v>
      </c>
      <c r="P901" t="str" cm="1">
        <f t="array" ref="P901">IF(K901=3,"",
  IFERROR(
    INDEX('Fairway Log'!$E$2:$V$72,
      MATCH(1,
        ('Fairway Log'!$A$2:$A$72=$A901)*
        ('Fairway Log'!$B$2:$B$72=$B901)*
        ('Fairway Log'!$C$2:$C972=$C901),
      0),
      MATCH($G901,'Fairway Log'!$E$1:$V$1,0)
    ),
  "")
)</f>
        <v>←</v>
      </c>
      <c r="Q901" t="str" cm="1">
        <f t="array" ref="Q901">IFERROR(
  INDEX('GIR Log'!$E$2:$V$72,
    MATCH(1,
      ('GIR Log'!$A$2:$A$72=$A901)*
      ('GIR Log'!$B$2:$B$72=$B901)*
      ('GIR Log'!$C$2:$C$72=$C901),
    0),
    MATCH($G901,'GIR Log'!$E$1:$V$1,0)
  ),
"")</f>
        <v>→</v>
      </c>
    </row>
    <row r="902" spans="1:17" x14ac:dyDescent="0.25">
      <c r="A902" s="51" t="s">
        <v>130</v>
      </c>
      <c r="B902" s="2">
        <v>45892</v>
      </c>
      <c r="C902" t="s">
        <v>41</v>
      </c>
      <c r="D902" s="51" t="s">
        <v>79</v>
      </c>
      <c r="E902" s="51" t="s">
        <v>34</v>
      </c>
      <c r="F902">
        <v>90</v>
      </c>
      <c r="G902" s="12" t="s">
        <v>47</v>
      </c>
      <c r="H902" s="9">
        <f t="shared" si="60"/>
        <v>1</v>
      </c>
      <c r="I902" cm="1">
        <f t="array" ref="I902">IFERROR(INDEX(CourseYardages[[Hole 1]:[Hole 18]],
  MATCH(1, (CourseYardages[Course]=C902)*(CourseYardages[Tees]=E902), 0),
  MATCH(G902, CourseYardages[[#Headers],[Hole 1]:[Hole 18]], 0)
),"")</f>
        <v>423</v>
      </c>
      <c r="J902" cm="1">
        <f t="array" ref="J902">IFERROR(INDEX(CourseHandicap[[Hole 1]:[Hole 18]],
  MATCH(1, (CourseHandicap[Course]=C902)*(CourseHandicap[Tees]=E902), 0),
  MATCH(G902, CourseHandicap[[#Headers],[Hole 1]:[Hole 18]], 0)
),"")</f>
        <v>1</v>
      </c>
      <c r="K902" cm="1">
        <f t="array" ref="K902">IFERROR(INDEX(CourseRatings[[Hole 1]:[Hole 18]],
  MATCH(1, (CourseRatings[Course]=C902)*(CourseRatings[Tees]=E902), 0),
  MATCH(G902, CourseRatings[[#Headers],[Hole 1]:[Hole 18]], 0)
),"")</f>
        <v>4</v>
      </c>
      <c r="L902" cm="1">
        <f t="array" ref="L902">IFERROR(
  INDEX('Golf Log'!$E$2:$V$72,
    MATCH(1,
      ('Golf Log'!$A$2:$A$72=$A902)*
      ('Golf Log'!$B$2:$B$72=$B902)*
      ('Golf Log'!$C$2:$C$72=$C902),
    0),
    MATCH($G902,'Golf Log'!$E$1:$V$1,0)
  ),
"")</f>
        <v>7</v>
      </c>
      <c r="M902">
        <f t="shared" si="61"/>
        <v>3</v>
      </c>
      <c r="N902" t="str">
        <f t="shared" si="62"/>
        <v>Triple Bogey</v>
      </c>
      <c r="O902" cm="1">
        <f t="array" ref="O902">IFERROR(
  INDEX('Putt Log'!$E$2:$V$72,
    MATCH(1,
      ('Putt Log'!$A$2:$A$72=$A902)*
      ('Putt Log'!$B$2:$B$72=$B902)*
      ('Putt Log'!$C$2:$C$72=$C902),
    0),
    MATCH($G902,'Putt Log'!$E$1:$V$1,0)
  ),
"")</f>
        <v>2</v>
      </c>
      <c r="P902" t="str" cm="1">
        <f t="array" ref="P902">IF(K902=3,"",
  IFERROR(
    INDEX('Fairway Log'!$E$2:$V$72,
      MATCH(1,
        ('Fairway Log'!$A$2:$A$72=$A902)*
        ('Fairway Log'!$B$2:$B$72=$B902)*
        ('Fairway Log'!$C$2:$C973=$C902),
      0),
      MATCH($G902,'Fairway Log'!$E$1:$V$1,0)
    ),
  "")
)</f>
        <v>←</v>
      </c>
      <c r="Q902" cm="1">
        <f t="array" ref="Q902">IFERROR(
  INDEX('GIR Log'!$E$2:$V$72,
    MATCH(1,
      ('GIR Log'!$A$2:$A$72=$A902)*
      ('GIR Log'!$B$2:$B$72=$B902)*
      ('GIR Log'!$C$2:$C$72=$C902),
    0),
    MATCH($G902,'GIR Log'!$E$1:$V$1,0)
  ),
"")</f>
        <v>0</v>
      </c>
    </row>
    <row r="903" spans="1:17" x14ac:dyDescent="0.25">
      <c r="A903" s="51" t="s">
        <v>130</v>
      </c>
      <c r="B903" s="2">
        <v>45892</v>
      </c>
      <c r="C903" t="s">
        <v>41</v>
      </c>
      <c r="D903" s="51" t="s">
        <v>79</v>
      </c>
      <c r="E903" s="51" t="s">
        <v>34</v>
      </c>
      <c r="F903">
        <v>90</v>
      </c>
      <c r="G903" s="12" t="s">
        <v>48</v>
      </c>
      <c r="H903" s="9">
        <f t="shared" si="60"/>
        <v>2</v>
      </c>
      <c r="I903" cm="1">
        <f t="array" ref="I903">IFERROR(INDEX(CourseYardages[[Hole 1]:[Hole 18]],
  MATCH(1, (CourseYardages[Course]=C903)*(CourseYardages[Tees]=E903), 0),
  MATCH(G903, CourseYardages[[#Headers],[Hole 1]:[Hole 18]], 0)
),"")</f>
        <v>338</v>
      </c>
      <c r="J903" cm="1">
        <f t="array" ref="J903">IFERROR(INDEX(CourseHandicap[[Hole 1]:[Hole 18]],
  MATCH(1, (CourseHandicap[Course]=C903)*(CourseHandicap[Tees]=E903), 0),
  MATCH(G903, CourseHandicap[[#Headers],[Hole 1]:[Hole 18]], 0)
),"")</f>
        <v>13</v>
      </c>
      <c r="K903" cm="1">
        <f t="array" ref="K903">IFERROR(INDEX(CourseRatings[[Hole 1]:[Hole 18]],
  MATCH(1, (CourseRatings[Course]=C903)*(CourseRatings[Tees]=E903), 0),
  MATCH(G903, CourseRatings[[#Headers],[Hole 1]:[Hole 18]], 0)
),"")</f>
        <v>4</v>
      </c>
      <c r="L903" cm="1">
        <f t="array" ref="L903">IFERROR(
  INDEX('Golf Log'!$E$2:$V$72,
    MATCH(1,
      ('Golf Log'!$A$2:$A$72=$A903)*
      ('Golf Log'!$B$2:$B$72=$B903)*
      ('Golf Log'!$C$2:$C$72=$C903),
    0),
    MATCH($G903,'Golf Log'!$E$1:$V$1,0)
  ),
"")</f>
        <v>4</v>
      </c>
      <c r="M903">
        <f t="shared" si="61"/>
        <v>0</v>
      </c>
      <c r="N903" t="str">
        <f t="shared" si="62"/>
        <v>Par</v>
      </c>
      <c r="O903" cm="1">
        <f t="array" ref="O903">IFERROR(
  INDEX('Putt Log'!$E$2:$V$72,
    MATCH(1,
      ('Putt Log'!$A$2:$A$72=$A903)*
      ('Putt Log'!$B$2:$B$72=$B903)*
      ('Putt Log'!$C$2:$C$72=$C903),
    0),
    MATCH($G903,'Putt Log'!$E$1:$V$1,0)
  ),
"")</f>
        <v>2</v>
      </c>
      <c r="P903" cm="1">
        <f t="array" ref="P903">IF(K903=3,"",
  IFERROR(
    INDEX('Fairway Log'!$E$2:$V$72,
      MATCH(1,
        ('Fairway Log'!$A$2:$A$72=$A903)*
        ('Fairway Log'!$B$2:$B$72=$B903)*
        ('Fairway Log'!$C$2:$C974=$C903),
      0),
      MATCH($G903,'Fairway Log'!$E$1:$V$1,0)
    ),
  "")
)</f>
        <v>1</v>
      </c>
      <c r="Q903" cm="1">
        <f t="array" ref="Q903">IFERROR(
  INDEX('GIR Log'!$E$2:$V$72,
    MATCH(1,
      ('GIR Log'!$A$2:$A$72=$A903)*
      ('GIR Log'!$B$2:$B$72=$B903)*
      ('GIR Log'!$C$2:$C$72=$C903),
    0),
    MATCH($G903,'GIR Log'!$E$1:$V$1,0)
  ),
"")</f>
        <v>1</v>
      </c>
    </row>
    <row r="904" spans="1:17" x14ac:dyDescent="0.25">
      <c r="A904" s="51" t="s">
        <v>130</v>
      </c>
      <c r="B904" s="2">
        <v>45892</v>
      </c>
      <c r="C904" t="s">
        <v>41</v>
      </c>
      <c r="D904" s="51" t="s">
        <v>79</v>
      </c>
      <c r="E904" s="51" t="s">
        <v>34</v>
      </c>
      <c r="F904">
        <v>90</v>
      </c>
      <c r="G904" s="12" t="s">
        <v>49</v>
      </c>
      <c r="H904" s="9">
        <f t="shared" si="60"/>
        <v>3</v>
      </c>
      <c r="I904" cm="1">
        <f t="array" ref="I904">IFERROR(INDEX(CourseYardages[[Hole 1]:[Hole 18]],
  MATCH(1, (CourseYardages[Course]=C904)*(CourseYardages[Tees]=E904), 0),
  MATCH(G904, CourseYardages[[#Headers],[Hole 1]:[Hole 18]], 0)
),"")</f>
        <v>187</v>
      </c>
      <c r="J904" cm="1">
        <f t="array" ref="J904">IFERROR(INDEX(CourseHandicap[[Hole 1]:[Hole 18]],
  MATCH(1, (CourseHandicap[Course]=C904)*(CourseHandicap[Tees]=E904), 0),
  MATCH(G904, CourseHandicap[[#Headers],[Hole 1]:[Hole 18]], 0)
),"")</f>
        <v>15</v>
      </c>
      <c r="K904" cm="1">
        <f t="array" ref="K904">IFERROR(INDEX(CourseRatings[[Hole 1]:[Hole 18]],
  MATCH(1, (CourseRatings[Course]=C904)*(CourseRatings[Tees]=E904), 0),
  MATCH(G904, CourseRatings[[#Headers],[Hole 1]:[Hole 18]], 0)
),"")</f>
        <v>3</v>
      </c>
      <c r="L904" cm="1">
        <f t="array" ref="L904">IFERROR(
  INDEX('Golf Log'!$E$2:$V$72,
    MATCH(1,
      ('Golf Log'!$A$2:$A$72=$A904)*
      ('Golf Log'!$B$2:$B$72=$B904)*
      ('Golf Log'!$C$2:$C$72=$C904),
    0),
    MATCH($G904,'Golf Log'!$E$1:$V$1,0)
  ),
"")</f>
        <v>5</v>
      </c>
      <c r="M904">
        <f t="shared" si="61"/>
        <v>2</v>
      </c>
      <c r="N904" t="str">
        <f t="shared" si="62"/>
        <v>Double Bogey</v>
      </c>
      <c r="O904" cm="1">
        <f t="array" ref="O904">IFERROR(
  INDEX('Putt Log'!$E$2:$V$72,
    MATCH(1,
      ('Putt Log'!$A$2:$A$72=$A904)*
      ('Putt Log'!$B$2:$B$72=$B904)*
      ('Putt Log'!$C$2:$C$72=$C904),
    0),
    MATCH($G904,'Putt Log'!$E$1:$V$1,0)
  ),
"")</f>
        <v>2</v>
      </c>
      <c r="P904" t="str" cm="1">
        <f t="array" ref="P904">IF(K904=3,"",
  IFERROR(
    INDEX('Fairway Log'!$E$2:$V$72,
      MATCH(1,
        ('Fairway Log'!$A$2:$A$72=$A904)*
        ('Fairway Log'!$B$2:$B$72=$B904)*
        ('Fairway Log'!$C$2:$C975=$C904),
      0),
      MATCH($G904,'Fairway Log'!$E$1:$V$1,0)
    ),
  "")
)</f>
        <v/>
      </c>
      <c r="Q904" cm="1">
        <f t="array" ref="Q904">IFERROR(
  INDEX('GIR Log'!$E$2:$V$72,
    MATCH(1,
      ('GIR Log'!$A$2:$A$72=$A904)*
      ('GIR Log'!$B$2:$B$72=$B904)*
      ('GIR Log'!$C$2:$C$72=$C904),
    0),
    MATCH($G904,'GIR Log'!$E$1:$V$1,0)
  ),
"")</f>
        <v>0</v>
      </c>
    </row>
    <row r="905" spans="1:17" x14ac:dyDescent="0.25">
      <c r="A905" s="51" t="s">
        <v>130</v>
      </c>
      <c r="B905" s="2">
        <v>45892</v>
      </c>
      <c r="C905" t="s">
        <v>41</v>
      </c>
      <c r="D905" s="51" t="s">
        <v>79</v>
      </c>
      <c r="E905" s="51" t="s">
        <v>34</v>
      </c>
      <c r="F905">
        <v>90</v>
      </c>
      <c r="G905" s="12" t="s">
        <v>50</v>
      </c>
      <c r="H905" s="9">
        <f t="shared" si="60"/>
        <v>4</v>
      </c>
      <c r="I905" cm="1">
        <f t="array" ref="I905">IFERROR(INDEX(CourseYardages[[Hole 1]:[Hole 18]],
  MATCH(1, (CourseYardages[Course]=C905)*(CourseYardages[Tees]=E905), 0),
  MATCH(G905, CourseYardages[[#Headers],[Hole 1]:[Hole 18]], 0)
),"")</f>
        <v>520</v>
      </c>
      <c r="J905" cm="1">
        <f t="array" ref="J905">IFERROR(INDEX(CourseHandicap[[Hole 1]:[Hole 18]],
  MATCH(1, (CourseHandicap[Course]=C905)*(CourseHandicap[Tees]=E905), 0),
  MATCH(G905, CourseHandicap[[#Headers],[Hole 1]:[Hole 18]], 0)
),"")</f>
        <v>7</v>
      </c>
      <c r="K905" cm="1">
        <f t="array" ref="K905">IFERROR(INDEX(CourseRatings[[Hole 1]:[Hole 18]],
  MATCH(1, (CourseRatings[Course]=C905)*(CourseRatings[Tees]=E905), 0),
  MATCH(G905, CourseRatings[[#Headers],[Hole 1]:[Hole 18]], 0)
),"")</f>
        <v>5</v>
      </c>
      <c r="L905" cm="1">
        <f t="array" ref="L905">IFERROR(
  INDEX('Golf Log'!$E$2:$V$72,
    MATCH(1,
      ('Golf Log'!$A$2:$A$72=$A905)*
      ('Golf Log'!$B$2:$B$72=$B905)*
      ('Golf Log'!$C$2:$C$72=$C905),
    0),
    MATCH($G905,'Golf Log'!$E$1:$V$1,0)
  ),
"")</f>
        <v>6</v>
      </c>
      <c r="M905">
        <f t="shared" si="61"/>
        <v>1</v>
      </c>
      <c r="N905" t="str">
        <f t="shared" si="62"/>
        <v>Bogey</v>
      </c>
      <c r="O905" cm="1">
        <f t="array" ref="O905">IFERROR(
  INDEX('Putt Log'!$E$2:$V$72,
    MATCH(1,
      ('Putt Log'!$A$2:$A$72=$A905)*
      ('Putt Log'!$B$2:$B$72=$B905)*
      ('Putt Log'!$C$2:$C$72=$C905),
    0),
    MATCH($G905,'Putt Log'!$E$1:$V$1,0)
  ),
"")</f>
        <v>2</v>
      </c>
      <c r="P905" cm="1">
        <f t="array" ref="P905">IF(K905=3,"",
  IFERROR(
    INDEX('Fairway Log'!$E$2:$V$72,
      MATCH(1,
        ('Fairway Log'!$A$2:$A$72=$A905)*
        ('Fairway Log'!$B$2:$B$72=$B905)*
        ('Fairway Log'!$C$2:$C976=$C905),
      0),
      MATCH($G905,'Fairway Log'!$E$1:$V$1,0)
    ),
  "")
)</f>
        <v>1</v>
      </c>
      <c r="Q905" cm="1">
        <f t="array" ref="Q905">IFERROR(
  INDEX('GIR Log'!$E$2:$V$72,
    MATCH(1,
      ('GIR Log'!$A$2:$A$72=$A905)*
      ('GIR Log'!$B$2:$B$72=$B905)*
      ('GIR Log'!$C$2:$C$72=$C905),
    0),
    MATCH($G905,'GIR Log'!$E$1:$V$1,0)
  ),
"")</f>
        <v>0</v>
      </c>
    </row>
    <row r="906" spans="1:17" x14ac:dyDescent="0.25">
      <c r="A906" s="51" t="s">
        <v>130</v>
      </c>
      <c r="B906" s="2">
        <v>45892</v>
      </c>
      <c r="C906" t="s">
        <v>41</v>
      </c>
      <c r="D906" s="51" t="s">
        <v>79</v>
      </c>
      <c r="E906" s="51" t="s">
        <v>34</v>
      </c>
      <c r="F906">
        <v>90</v>
      </c>
      <c r="G906" s="12" t="s">
        <v>51</v>
      </c>
      <c r="H906" s="9">
        <f t="shared" si="60"/>
        <v>5</v>
      </c>
      <c r="I906" cm="1">
        <f t="array" ref="I906">IFERROR(INDEX(CourseYardages[[Hole 1]:[Hole 18]],
  MATCH(1, (CourseYardages[Course]=C906)*(CourseYardages[Tees]=E906), 0),
  MATCH(G906, CourseYardages[[#Headers],[Hole 1]:[Hole 18]], 0)
),"")</f>
        <v>349</v>
      </c>
      <c r="J906" cm="1">
        <f t="array" ref="J906">IFERROR(INDEX(CourseHandicap[[Hole 1]:[Hole 18]],
  MATCH(1, (CourseHandicap[Course]=C906)*(CourseHandicap[Tees]=E906), 0),
  MATCH(G906, CourseHandicap[[#Headers],[Hole 1]:[Hole 18]], 0)
),"")</f>
        <v>11</v>
      </c>
      <c r="K906" cm="1">
        <f t="array" ref="K906">IFERROR(INDEX(CourseRatings[[Hole 1]:[Hole 18]],
  MATCH(1, (CourseRatings[Course]=C906)*(CourseRatings[Tees]=E906), 0),
  MATCH(G906, CourseRatings[[#Headers],[Hole 1]:[Hole 18]], 0)
),"")</f>
        <v>4</v>
      </c>
      <c r="L906" cm="1">
        <f t="array" ref="L906">IFERROR(
  INDEX('Golf Log'!$E$2:$V$72,
    MATCH(1,
      ('Golf Log'!$A$2:$A$72=$A906)*
      ('Golf Log'!$B$2:$B$72=$B906)*
      ('Golf Log'!$C$2:$C$72=$C906),
    0),
    MATCH($G906,'Golf Log'!$E$1:$V$1,0)
  ),
"")</f>
        <v>4</v>
      </c>
      <c r="M906">
        <f t="shared" si="61"/>
        <v>0</v>
      </c>
      <c r="N906" t="str">
        <f t="shared" si="62"/>
        <v>Par</v>
      </c>
      <c r="O906" cm="1">
        <f t="array" ref="O906">IFERROR(
  INDEX('Putt Log'!$E$2:$V$72,
    MATCH(1,
      ('Putt Log'!$A$2:$A$72=$A906)*
      ('Putt Log'!$B$2:$B$72=$B906)*
      ('Putt Log'!$C$2:$C$72=$C906),
    0),
    MATCH($G906,'Putt Log'!$E$1:$V$1,0)
  ),
"")</f>
        <v>1</v>
      </c>
      <c r="P906" cm="1">
        <f t="array" ref="P906">IF(K906=3,"",
  IFERROR(
    INDEX('Fairway Log'!$E$2:$V$72,
      MATCH(1,
        ('Fairway Log'!$A$2:$A$72=$A906)*
        ('Fairway Log'!$B$2:$B$72=$B906)*
        ('Fairway Log'!$C$2:$C977=$C906),
      0),
      MATCH($G906,'Fairway Log'!$E$1:$V$1,0)
    ),
  "")
)</f>
        <v>1</v>
      </c>
      <c r="Q906" cm="1">
        <f t="array" ref="Q906">IFERROR(
  INDEX('GIR Log'!$E$2:$V$72,
    MATCH(1,
      ('GIR Log'!$A$2:$A$72=$A906)*
      ('GIR Log'!$B$2:$B$72=$B906)*
      ('GIR Log'!$C$2:$C$72=$C906),
    0),
    MATCH($G906,'GIR Log'!$E$1:$V$1,0)
  ),
"")</f>
        <v>0</v>
      </c>
    </row>
    <row r="907" spans="1:17" x14ac:dyDescent="0.25">
      <c r="A907" s="51" t="s">
        <v>130</v>
      </c>
      <c r="B907" s="2">
        <v>45892</v>
      </c>
      <c r="C907" t="s">
        <v>41</v>
      </c>
      <c r="D907" s="51" t="s">
        <v>79</v>
      </c>
      <c r="E907" s="51" t="s">
        <v>34</v>
      </c>
      <c r="F907">
        <v>90</v>
      </c>
      <c r="G907" s="12" t="s">
        <v>52</v>
      </c>
      <c r="H907" s="9">
        <f t="shared" si="60"/>
        <v>6</v>
      </c>
      <c r="I907" cm="1">
        <f t="array" ref="I907">IFERROR(INDEX(CourseYardages[[Hole 1]:[Hole 18]],
  MATCH(1, (CourseYardages[Course]=C907)*(CourseYardages[Tees]=E907), 0),
  MATCH(G907, CourseYardages[[#Headers],[Hole 1]:[Hole 18]], 0)
),"")</f>
        <v>153</v>
      </c>
      <c r="J907" cm="1">
        <f t="array" ref="J907">IFERROR(INDEX(CourseHandicap[[Hole 1]:[Hole 18]],
  MATCH(1, (CourseHandicap[Course]=C907)*(CourseHandicap[Tees]=E907), 0),
  MATCH(G907, CourseHandicap[[#Headers],[Hole 1]:[Hole 18]], 0)
),"")</f>
        <v>17</v>
      </c>
      <c r="K907" cm="1">
        <f t="array" ref="K907">IFERROR(INDEX(CourseRatings[[Hole 1]:[Hole 18]],
  MATCH(1, (CourseRatings[Course]=C907)*(CourseRatings[Tees]=E907), 0),
  MATCH(G907, CourseRatings[[#Headers],[Hole 1]:[Hole 18]], 0)
),"")</f>
        <v>3</v>
      </c>
      <c r="L907" cm="1">
        <f t="array" ref="L907">IFERROR(
  INDEX('Golf Log'!$E$2:$V$72,
    MATCH(1,
      ('Golf Log'!$A$2:$A$72=$A907)*
      ('Golf Log'!$B$2:$B$72=$B907)*
      ('Golf Log'!$C$2:$C$72=$C907),
    0),
    MATCH($G907,'Golf Log'!$E$1:$V$1,0)
  ),
"")</f>
        <v>3</v>
      </c>
      <c r="M907">
        <f t="shared" si="61"/>
        <v>0</v>
      </c>
      <c r="N907" t="str">
        <f t="shared" si="62"/>
        <v>Par</v>
      </c>
      <c r="O907" cm="1">
        <f t="array" ref="O907">IFERROR(
  INDEX('Putt Log'!$E$2:$V$72,
    MATCH(1,
      ('Putt Log'!$A$2:$A$72=$A907)*
      ('Putt Log'!$B$2:$B$72=$B907)*
      ('Putt Log'!$C$2:$C$72=$C907),
    0),
    MATCH($G907,'Putt Log'!$E$1:$V$1,0)
  ),
"")</f>
        <v>2</v>
      </c>
      <c r="P907" t="str" cm="1">
        <f t="array" ref="P907">IF(K907=3,"",
  IFERROR(
    INDEX('Fairway Log'!$E$2:$V$72,
      MATCH(1,
        ('Fairway Log'!$A$2:$A$72=$A907)*
        ('Fairway Log'!$B$2:$B$72=$B907)*
        ('Fairway Log'!$C$2:$C978=$C907),
      0),
      MATCH($G907,'Fairway Log'!$E$1:$V$1,0)
    ),
  "")
)</f>
        <v/>
      </c>
      <c r="Q907" cm="1">
        <f t="array" ref="Q907">IFERROR(
  INDEX('GIR Log'!$E$2:$V$72,
    MATCH(1,
      ('GIR Log'!$A$2:$A$72=$A907)*
      ('GIR Log'!$B$2:$B$72=$B907)*
      ('GIR Log'!$C$2:$C$72=$C907),
    0),
    MATCH($G907,'GIR Log'!$E$1:$V$1,0)
  ),
"")</f>
        <v>1</v>
      </c>
    </row>
    <row r="908" spans="1:17" x14ac:dyDescent="0.25">
      <c r="A908" s="51" t="s">
        <v>130</v>
      </c>
      <c r="B908" s="2">
        <v>45892</v>
      </c>
      <c r="C908" t="s">
        <v>41</v>
      </c>
      <c r="D908" s="51" t="s">
        <v>79</v>
      </c>
      <c r="E908" s="51" t="s">
        <v>34</v>
      </c>
      <c r="F908">
        <v>90</v>
      </c>
      <c r="G908" s="12" t="s">
        <v>53</v>
      </c>
      <c r="H908" s="9">
        <f t="shared" si="60"/>
        <v>7</v>
      </c>
      <c r="I908" cm="1">
        <f t="array" ref="I908">IFERROR(INDEX(CourseYardages[[Hole 1]:[Hole 18]],
  MATCH(1, (CourseYardages[Course]=C908)*(CourseYardages[Tees]=E908), 0),
  MATCH(G908, CourseYardages[[#Headers],[Hole 1]:[Hole 18]], 0)
),"")</f>
        <v>394</v>
      </c>
      <c r="J908" cm="1">
        <f t="array" ref="J908">IFERROR(INDEX(CourseHandicap[[Hole 1]:[Hole 18]],
  MATCH(1, (CourseHandicap[Course]=C908)*(CourseHandicap[Tees]=E908), 0),
  MATCH(G908, CourseHandicap[[#Headers],[Hole 1]:[Hole 18]], 0)
),"")</f>
        <v>9</v>
      </c>
      <c r="K908" cm="1">
        <f t="array" ref="K908">IFERROR(INDEX(CourseRatings[[Hole 1]:[Hole 18]],
  MATCH(1, (CourseRatings[Course]=C908)*(CourseRatings[Tees]=E908), 0),
  MATCH(G908, CourseRatings[[#Headers],[Hole 1]:[Hole 18]], 0)
),"")</f>
        <v>4</v>
      </c>
      <c r="L908" cm="1">
        <f t="array" ref="L908">IFERROR(
  INDEX('Golf Log'!$E$2:$V$72,
    MATCH(1,
      ('Golf Log'!$A$2:$A$72=$A908)*
      ('Golf Log'!$B$2:$B$72=$B908)*
      ('Golf Log'!$C$2:$C$72=$C908),
    0),
    MATCH($G908,'Golf Log'!$E$1:$V$1,0)
  ),
"")</f>
        <v>5</v>
      </c>
      <c r="M908">
        <f t="shared" si="61"/>
        <v>1</v>
      </c>
      <c r="N908" t="str">
        <f t="shared" si="62"/>
        <v>Bogey</v>
      </c>
      <c r="O908" cm="1">
        <f t="array" ref="O908">IFERROR(
  INDEX('Putt Log'!$E$2:$V$72,
    MATCH(1,
      ('Putt Log'!$A$2:$A$72=$A908)*
      ('Putt Log'!$B$2:$B$72=$B908)*
      ('Putt Log'!$C$2:$C$72=$C908),
    0),
    MATCH($G908,'Putt Log'!$E$1:$V$1,0)
  ),
"")</f>
        <v>2</v>
      </c>
      <c r="P908" t="str" cm="1">
        <f t="array" ref="P908">IF(K908=3,"",
  IFERROR(
    INDEX('Fairway Log'!$E$2:$V$72,
      MATCH(1,
        ('Fairway Log'!$A$2:$A$72=$A908)*
        ('Fairway Log'!$B$2:$B$72=$B908)*
        ('Fairway Log'!$C$2:$C979=$C908),
      0),
      MATCH($G908,'Fairway Log'!$E$1:$V$1,0)
    ),
  "")
)</f>
        <v>→</v>
      </c>
      <c r="Q908" cm="1">
        <f t="array" ref="Q908">IFERROR(
  INDEX('GIR Log'!$E$2:$V$72,
    MATCH(1,
      ('GIR Log'!$A$2:$A$72=$A908)*
      ('GIR Log'!$B$2:$B$72=$B908)*
      ('GIR Log'!$C$2:$C$72=$C908),
    0),
    MATCH($G908,'GIR Log'!$E$1:$V$1,0)
  ),
"")</f>
        <v>0</v>
      </c>
    </row>
    <row r="909" spans="1:17" x14ac:dyDescent="0.25">
      <c r="A909" s="51" t="s">
        <v>130</v>
      </c>
      <c r="B909" s="2">
        <v>45892</v>
      </c>
      <c r="C909" t="s">
        <v>41</v>
      </c>
      <c r="D909" s="51" t="s">
        <v>79</v>
      </c>
      <c r="E909" s="51" t="s">
        <v>34</v>
      </c>
      <c r="F909">
        <v>90</v>
      </c>
      <c r="G909" s="12" t="s">
        <v>54</v>
      </c>
      <c r="H909" s="9">
        <f t="shared" si="60"/>
        <v>8</v>
      </c>
      <c r="I909" cm="1">
        <f t="array" ref="I909">IFERROR(INDEX(CourseYardages[[Hole 1]:[Hole 18]],
  MATCH(1, (CourseYardages[Course]=C909)*(CourseYardages[Tees]=E909), 0),
  MATCH(G909, CourseYardages[[#Headers],[Hole 1]:[Hole 18]], 0)
),"")</f>
        <v>399</v>
      </c>
      <c r="J909" cm="1">
        <f t="array" ref="J909">IFERROR(INDEX(CourseHandicap[[Hole 1]:[Hole 18]],
  MATCH(1, (CourseHandicap[Course]=C909)*(CourseHandicap[Tees]=E909), 0),
  MATCH(G909, CourseHandicap[[#Headers],[Hole 1]:[Hole 18]], 0)
),"")</f>
        <v>3</v>
      </c>
      <c r="K909" cm="1">
        <f t="array" ref="K909">IFERROR(INDEX(CourseRatings[[Hole 1]:[Hole 18]],
  MATCH(1, (CourseRatings[Course]=C909)*(CourseRatings[Tees]=E909), 0),
  MATCH(G909, CourseRatings[[#Headers],[Hole 1]:[Hole 18]], 0)
),"")</f>
        <v>4</v>
      </c>
      <c r="L909" cm="1">
        <f t="array" ref="L909">IFERROR(
  INDEX('Golf Log'!$E$2:$V$72,
    MATCH(1,
      ('Golf Log'!$A$2:$A$72=$A909)*
      ('Golf Log'!$B$2:$B$72=$B909)*
      ('Golf Log'!$C$2:$C$72=$C909),
    0),
    MATCH($G909,'Golf Log'!$E$1:$V$1,0)
  ),
"")</f>
        <v>5</v>
      </c>
      <c r="M909">
        <f t="shared" si="61"/>
        <v>1</v>
      </c>
      <c r="N909" t="str">
        <f t="shared" si="62"/>
        <v>Bogey</v>
      </c>
      <c r="O909" cm="1">
        <f t="array" ref="O909">IFERROR(
  INDEX('Putt Log'!$E$2:$V$72,
    MATCH(1,
      ('Putt Log'!$A$2:$A$72=$A909)*
      ('Putt Log'!$B$2:$B$72=$B909)*
      ('Putt Log'!$C$2:$C$72=$C909),
    0),
    MATCH($G909,'Putt Log'!$E$1:$V$1,0)
  ),
"")</f>
        <v>3</v>
      </c>
      <c r="P909" cm="1">
        <f t="array" ref="P909">IF(K909=3,"",
  IFERROR(
    INDEX('Fairway Log'!$E$2:$V$72,
      MATCH(1,
        ('Fairway Log'!$A$2:$A$72=$A909)*
        ('Fairway Log'!$B$2:$B$72=$B909)*
        ('Fairway Log'!$C$2:$C980=$C909),
      0),
      MATCH($G909,'Fairway Log'!$E$1:$V$1,0)
    ),
  "")
)</f>
        <v>1</v>
      </c>
      <c r="Q909" cm="1">
        <f t="array" ref="Q909">IFERROR(
  INDEX('GIR Log'!$E$2:$V$72,
    MATCH(1,
      ('GIR Log'!$A$2:$A$72=$A909)*
      ('GIR Log'!$B$2:$B$72=$B909)*
      ('GIR Log'!$C$2:$C$72=$C909),
    0),
    MATCH($G909,'GIR Log'!$E$1:$V$1,0)
  ),
"")</f>
        <v>1</v>
      </c>
    </row>
    <row r="910" spans="1:17" x14ac:dyDescent="0.25">
      <c r="A910" s="51" t="s">
        <v>130</v>
      </c>
      <c r="B910" s="2">
        <v>45892</v>
      </c>
      <c r="C910" t="s">
        <v>41</v>
      </c>
      <c r="D910" s="51" t="s">
        <v>79</v>
      </c>
      <c r="E910" s="51" t="s">
        <v>34</v>
      </c>
      <c r="F910">
        <v>90</v>
      </c>
      <c r="G910" s="12" t="s">
        <v>55</v>
      </c>
      <c r="H910" s="9">
        <f t="shared" si="60"/>
        <v>9</v>
      </c>
      <c r="I910" cm="1">
        <f t="array" ref="I910">IFERROR(INDEX(CourseYardages[[Hole 1]:[Hole 18]],
  MATCH(1, (CourseYardages[Course]=C910)*(CourseYardages[Tees]=E910), 0),
  MATCH(G910, CourseYardages[[#Headers],[Hole 1]:[Hole 18]], 0)
),"")</f>
        <v>512</v>
      </c>
      <c r="J910" cm="1">
        <f t="array" ref="J910">IFERROR(INDEX(CourseHandicap[[Hole 1]:[Hole 18]],
  MATCH(1, (CourseHandicap[Course]=C910)*(CourseHandicap[Tees]=E910), 0),
  MATCH(G910, CourseHandicap[[#Headers],[Hole 1]:[Hole 18]], 0)
),"")</f>
        <v>5</v>
      </c>
      <c r="K910" cm="1">
        <f t="array" ref="K910">IFERROR(INDEX(CourseRatings[[Hole 1]:[Hole 18]],
  MATCH(1, (CourseRatings[Course]=C910)*(CourseRatings[Tees]=E910), 0),
  MATCH(G910, CourseRatings[[#Headers],[Hole 1]:[Hole 18]], 0)
),"")</f>
        <v>5</v>
      </c>
      <c r="L910" cm="1">
        <f t="array" ref="L910">IFERROR(
  INDEX('Golf Log'!$E$2:$V$72,
    MATCH(1,
      ('Golf Log'!$A$2:$A$72=$A910)*
      ('Golf Log'!$B$2:$B$72=$B910)*
      ('Golf Log'!$C$2:$C$72=$C910),
    0),
    MATCH($G910,'Golf Log'!$E$1:$V$1,0)
  ),
"")</f>
        <v>5</v>
      </c>
      <c r="M910">
        <f t="shared" si="61"/>
        <v>0</v>
      </c>
      <c r="N910" t="str">
        <f t="shared" si="62"/>
        <v>Par</v>
      </c>
      <c r="O910" cm="1">
        <f t="array" ref="O910">IFERROR(
  INDEX('Putt Log'!$E$2:$V$72,
    MATCH(1,
      ('Putt Log'!$A$2:$A$72=$A910)*
      ('Putt Log'!$B$2:$B$72=$B910)*
      ('Putt Log'!$C$2:$C$72=$C910),
    0),
    MATCH($G910,'Putt Log'!$E$1:$V$1,0)
  ),
"")</f>
        <v>2</v>
      </c>
      <c r="P910" cm="1">
        <f t="array" ref="P910">IF(K910=3,"",
  IFERROR(
    INDEX('Fairway Log'!$E$2:$V$72,
      MATCH(1,
        ('Fairway Log'!$A$2:$A$72=$A910)*
        ('Fairway Log'!$B$2:$B$72=$B910)*
        ('Fairway Log'!$C$2:$C981=$C910),
      0),
      MATCH($G910,'Fairway Log'!$E$1:$V$1,0)
    ),
  "")
)</f>
        <v>1</v>
      </c>
      <c r="Q910" cm="1">
        <f t="array" ref="Q910">IFERROR(
  INDEX('GIR Log'!$E$2:$V$72,
    MATCH(1,
      ('GIR Log'!$A$2:$A$72=$A910)*
      ('GIR Log'!$B$2:$B$72=$B910)*
      ('GIR Log'!$C$2:$C$72=$C910),
    0),
    MATCH($G910,'GIR Log'!$E$1:$V$1,0)
  ),
"")</f>
        <v>1</v>
      </c>
    </row>
    <row r="911" spans="1:17" x14ac:dyDescent="0.25">
      <c r="A911" s="51" t="s">
        <v>130</v>
      </c>
      <c r="B911" s="2">
        <v>45892</v>
      </c>
      <c r="C911" t="s">
        <v>41</v>
      </c>
      <c r="D911" s="51" t="s">
        <v>79</v>
      </c>
      <c r="E911" s="51" t="s">
        <v>34</v>
      </c>
      <c r="F911">
        <v>90</v>
      </c>
      <c r="G911" s="12" t="s">
        <v>56</v>
      </c>
      <c r="H911" s="9">
        <f t="shared" si="60"/>
        <v>10</v>
      </c>
      <c r="I911" cm="1">
        <f t="array" ref="I911">IFERROR(INDEX(CourseYardages[[Hole 1]:[Hole 18]],
  MATCH(1, (CourseYardages[Course]=C911)*(CourseYardages[Tees]=E911), 0),
  MATCH(G911, CourseYardages[[#Headers],[Hole 1]:[Hole 18]], 0)
),"")</f>
        <v>326</v>
      </c>
      <c r="J911" cm="1">
        <f t="array" ref="J911">IFERROR(INDEX(CourseHandicap[[Hole 1]:[Hole 18]],
  MATCH(1, (CourseHandicap[Course]=C911)*(CourseHandicap[Tees]=E911), 0),
  MATCH(G911, CourseHandicap[[#Headers],[Hole 1]:[Hole 18]], 0)
),"")</f>
        <v>12</v>
      </c>
      <c r="K911" cm="1">
        <f t="array" ref="K911">IFERROR(INDEX(CourseRatings[[Hole 1]:[Hole 18]],
  MATCH(1, (CourseRatings[Course]=C911)*(CourseRatings[Tees]=E911), 0),
  MATCH(G911, CourseRatings[[#Headers],[Hole 1]:[Hole 18]], 0)
),"")</f>
        <v>4</v>
      </c>
      <c r="L911" cm="1">
        <f t="array" ref="L911">IFERROR(
  INDEX('Golf Log'!$E$2:$V$72,
    MATCH(1,
      ('Golf Log'!$A$2:$A$72=$A911)*
      ('Golf Log'!$B$2:$B$72=$B911)*
      ('Golf Log'!$C$2:$C$72=$C911),
    0),
    MATCH($G911,'Golf Log'!$E$1:$V$1,0)
  ),
"")</f>
        <v>6</v>
      </c>
      <c r="M911">
        <f t="shared" si="61"/>
        <v>2</v>
      </c>
      <c r="N911" t="str">
        <f t="shared" si="62"/>
        <v>Double Bogey</v>
      </c>
      <c r="O911" cm="1">
        <f t="array" ref="O911">IFERROR(
  INDEX('Putt Log'!$E$2:$V$72,
    MATCH(1,
      ('Putt Log'!$A$2:$A$72=$A911)*
      ('Putt Log'!$B$2:$B$72=$B911)*
      ('Putt Log'!$C$2:$C$72=$C911),
    0),
    MATCH($G911,'Putt Log'!$E$1:$V$1,0)
  ),
"")</f>
        <v>3</v>
      </c>
      <c r="P911" t="str" cm="1">
        <f t="array" ref="P911">IF(K911=3,"",
  IFERROR(
    INDEX('Fairway Log'!$E$2:$V$72,
      MATCH(1,
        ('Fairway Log'!$A$2:$A$72=$A911)*
        ('Fairway Log'!$B$2:$B$72=$B911)*
        ('Fairway Log'!$C$2:$C982=$C911),
      0),
      MATCH($G911,'Fairway Log'!$E$1:$V$1,0)
    ),
  "")
)</f>
        <v>←</v>
      </c>
      <c r="Q911" cm="1">
        <f t="array" ref="Q911">IFERROR(
  INDEX('GIR Log'!$E$2:$V$72,
    MATCH(1,
      ('GIR Log'!$A$2:$A$72=$A911)*
      ('GIR Log'!$B$2:$B$72=$B911)*
      ('GIR Log'!$C$2:$C$72=$C911),
    0),
    MATCH($G911,'GIR Log'!$E$1:$V$1,0)
  ),
"")</f>
        <v>0</v>
      </c>
    </row>
    <row r="912" spans="1:17" x14ac:dyDescent="0.25">
      <c r="A912" s="51" t="s">
        <v>130</v>
      </c>
      <c r="B912" s="2">
        <v>45892</v>
      </c>
      <c r="C912" t="s">
        <v>41</v>
      </c>
      <c r="D912" s="51" t="s">
        <v>79</v>
      </c>
      <c r="E912" s="51" t="s">
        <v>34</v>
      </c>
      <c r="F912">
        <v>90</v>
      </c>
      <c r="G912" s="12" t="s">
        <v>57</v>
      </c>
      <c r="H912" s="9">
        <f t="shared" ref="H912:H975" si="63">VALUE(RIGHT(G912, LEN(G912) - 5))</f>
        <v>11</v>
      </c>
      <c r="I912" cm="1">
        <f t="array" ref="I912">IFERROR(INDEX(CourseYardages[[Hole 1]:[Hole 18]],
  MATCH(1, (CourseYardages[Course]=C912)*(CourseYardages[Tees]=E912), 0),
  MATCH(G912, CourseYardages[[#Headers],[Hole 1]:[Hole 18]], 0)
),"")</f>
        <v>497</v>
      </c>
      <c r="J912" cm="1">
        <f t="array" ref="J912">IFERROR(INDEX(CourseHandicap[[Hole 1]:[Hole 18]],
  MATCH(1, (CourseHandicap[Course]=C912)*(CourseHandicap[Tees]=E912), 0),
  MATCH(G912, CourseHandicap[[#Headers],[Hole 1]:[Hole 18]], 0)
),"")</f>
        <v>6</v>
      </c>
      <c r="K912" cm="1">
        <f t="array" ref="K912">IFERROR(INDEX(CourseRatings[[Hole 1]:[Hole 18]],
  MATCH(1, (CourseRatings[Course]=C912)*(CourseRatings[Tees]=E912), 0),
  MATCH(G912, CourseRatings[[#Headers],[Hole 1]:[Hole 18]], 0)
),"")</f>
        <v>5</v>
      </c>
      <c r="L912" cm="1">
        <f t="array" ref="L912">IFERROR(
  INDEX('Golf Log'!$E$2:$V$72,
    MATCH(1,
      ('Golf Log'!$A$2:$A$72=$A912)*
      ('Golf Log'!$B$2:$B$72=$B912)*
      ('Golf Log'!$C$2:$C$72=$C912),
    0),
    MATCH($G912,'Golf Log'!$E$1:$V$1,0)
  ),
"")</f>
        <v>6</v>
      </c>
      <c r="M912">
        <f t="shared" ref="M912:M975" si="64">IFERROR(L912-K912,"")</f>
        <v>1</v>
      </c>
      <c r="N912" t="str">
        <f t="shared" ref="N912:N975" si="65">IF(M912="","",(IF(M912=-2,"Eagle",IF(M912=-1,"Birdie",IF(M912=0,"Par",IF(M912=1,"Bogey",IF(M912=2,"Double Bogey",IF(M912=3,"Triple Bogey",IF(M912&gt;3,"Quad Bogey+")))))))))</f>
        <v>Bogey</v>
      </c>
      <c r="O912" cm="1">
        <f t="array" ref="O912">IFERROR(
  INDEX('Putt Log'!$E$2:$V$72,
    MATCH(1,
      ('Putt Log'!$A$2:$A$72=$A912)*
      ('Putt Log'!$B$2:$B$72=$B912)*
      ('Putt Log'!$C$2:$C$72=$C912),
    0),
    MATCH($G912,'Putt Log'!$E$1:$V$1,0)
  ),
"")</f>
        <v>2</v>
      </c>
      <c r="P912" cm="1">
        <f t="array" ref="P912">IF(K912=3,"",
  IFERROR(
    INDEX('Fairway Log'!$E$2:$V$72,
      MATCH(1,
        ('Fairway Log'!$A$2:$A$72=$A912)*
        ('Fairway Log'!$B$2:$B$72=$B912)*
        ('Fairway Log'!$C$2:$C983=$C912),
      0),
      MATCH($G912,'Fairway Log'!$E$1:$V$1,0)
    ),
  "")
)</f>
        <v>1</v>
      </c>
      <c r="Q912" cm="1">
        <f t="array" ref="Q912">IFERROR(
  INDEX('GIR Log'!$E$2:$V$72,
    MATCH(1,
      ('GIR Log'!$A$2:$A$72=$A912)*
      ('GIR Log'!$B$2:$B$72=$B912)*
      ('GIR Log'!$C$2:$C$72=$C912),
    0),
    MATCH($G912,'GIR Log'!$E$1:$V$1,0)
  ),
"")</f>
        <v>0</v>
      </c>
    </row>
    <row r="913" spans="1:17" x14ac:dyDescent="0.25">
      <c r="A913" s="51" t="s">
        <v>130</v>
      </c>
      <c r="B913" s="2">
        <v>45892</v>
      </c>
      <c r="C913" t="s">
        <v>41</v>
      </c>
      <c r="D913" s="51" t="s">
        <v>79</v>
      </c>
      <c r="E913" s="51" t="s">
        <v>34</v>
      </c>
      <c r="F913">
        <v>90</v>
      </c>
      <c r="G913" s="12" t="s">
        <v>58</v>
      </c>
      <c r="H913" s="9">
        <f t="shared" si="63"/>
        <v>12</v>
      </c>
      <c r="I913" cm="1">
        <f t="array" ref="I913">IFERROR(INDEX(CourseYardages[[Hole 1]:[Hole 18]],
  MATCH(1, (CourseYardages[Course]=C913)*(CourseYardages[Tees]=E913), 0),
  MATCH(G913, CourseYardages[[#Headers],[Hole 1]:[Hole 18]], 0)
),"")</f>
        <v>343</v>
      </c>
      <c r="J913" cm="1">
        <f t="array" ref="J913">IFERROR(INDEX(CourseHandicap[[Hole 1]:[Hole 18]],
  MATCH(1, (CourseHandicap[Course]=C913)*(CourseHandicap[Tees]=E913), 0),
  MATCH(G913, CourseHandicap[[#Headers],[Hole 1]:[Hole 18]], 0)
),"")</f>
        <v>14</v>
      </c>
      <c r="K913" cm="1">
        <f t="array" ref="K913">IFERROR(INDEX(CourseRatings[[Hole 1]:[Hole 18]],
  MATCH(1, (CourseRatings[Course]=C913)*(CourseRatings[Tees]=E913), 0),
  MATCH(G913, CourseRatings[[#Headers],[Hole 1]:[Hole 18]], 0)
),"")</f>
        <v>4</v>
      </c>
      <c r="L913" cm="1">
        <f t="array" ref="L913">IFERROR(
  INDEX('Golf Log'!$E$2:$V$72,
    MATCH(1,
      ('Golf Log'!$A$2:$A$72=$A913)*
      ('Golf Log'!$B$2:$B$72=$B913)*
      ('Golf Log'!$C$2:$C$72=$C913),
    0),
    MATCH($G913,'Golf Log'!$E$1:$V$1,0)
  ),
"")</f>
        <v>5</v>
      </c>
      <c r="M913">
        <f t="shared" si="64"/>
        <v>1</v>
      </c>
      <c r="N913" t="str">
        <f t="shared" si="65"/>
        <v>Bogey</v>
      </c>
      <c r="O913" cm="1">
        <f t="array" ref="O913">IFERROR(
  INDEX('Putt Log'!$E$2:$V$72,
    MATCH(1,
      ('Putt Log'!$A$2:$A$72=$A913)*
      ('Putt Log'!$B$2:$B$72=$B913)*
      ('Putt Log'!$C$2:$C$72=$C913),
    0),
    MATCH($G913,'Putt Log'!$E$1:$V$1,0)
  ),
"")</f>
        <v>2</v>
      </c>
      <c r="P913" t="str" cm="1">
        <f t="array" ref="P913">IF(K913=3,"",
  IFERROR(
    INDEX('Fairway Log'!$E$2:$V$72,
      MATCH(1,
        ('Fairway Log'!$A$2:$A$72=$A913)*
        ('Fairway Log'!$B$2:$B$72=$B913)*
        ('Fairway Log'!$C$2:$C984=$C913),
      0),
      MATCH($G913,'Fairway Log'!$E$1:$V$1,0)
    ),
  "")
)</f>
        <v>→</v>
      </c>
      <c r="Q913" cm="1">
        <f t="array" ref="Q913">IFERROR(
  INDEX('GIR Log'!$E$2:$V$72,
    MATCH(1,
      ('GIR Log'!$A$2:$A$72=$A913)*
      ('GIR Log'!$B$2:$B$72=$B913)*
      ('GIR Log'!$C$2:$C$72=$C913),
    0),
    MATCH($G913,'GIR Log'!$E$1:$V$1,0)
  ),
"")</f>
        <v>0</v>
      </c>
    </row>
    <row r="914" spans="1:17" x14ac:dyDescent="0.25">
      <c r="A914" s="51" t="s">
        <v>130</v>
      </c>
      <c r="B914" s="2">
        <v>45892</v>
      </c>
      <c r="C914" t="s">
        <v>41</v>
      </c>
      <c r="D914" s="51" t="s">
        <v>79</v>
      </c>
      <c r="E914" s="51" t="s">
        <v>34</v>
      </c>
      <c r="F914">
        <v>90</v>
      </c>
      <c r="G914" s="12" t="s">
        <v>59</v>
      </c>
      <c r="H914" s="9">
        <f t="shared" si="63"/>
        <v>13</v>
      </c>
      <c r="I914" cm="1">
        <f t="array" ref="I914">IFERROR(INDEX(CourseYardages[[Hole 1]:[Hole 18]],
  MATCH(1, (CourseYardages[Course]=C914)*(CourseYardages[Tees]=E914), 0),
  MATCH(G914, CourseYardages[[#Headers],[Hole 1]:[Hole 18]], 0)
),"")</f>
        <v>180</v>
      </c>
      <c r="J914" cm="1">
        <f t="array" ref="J914">IFERROR(INDEX(CourseHandicap[[Hole 1]:[Hole 18]],
  MATCH(1, (CourseHandicap[Course]=C914)*(CourseHandicap[Tees]=E914), 0),
  MATCH(G914, CourseHandicap[[#Headers],[Hole 1]:[Hole 18]], 0)
),"")</f>
        <v>16</v>
      </c>
      <c r="K914" cm="1">
        <f t="array" ref="K914">IFERROR(INDEX(CourseRatings[[Hole 1]:[Hole 18]],
  MATCH(1, (CourseRatings[Course]=C914)*(CourseRatings[Tees]=E914), 0),
  MATCH(G914, CourseRatings[[#Headers],[Hole 1]:[Hole 18]], 0)
),"")</f>
        <v>3</v>
      </c>
      <c r="L914" cm="1">
        <f t="array" ref="L914">IFERROR(
  INDEX('Golf Log'!$E$2:$V$72,
    MATCH(1,
      ('Golf Log'!$A$2:$A$72=$A914)*
      ('Golf Log'!$B$2:$B$72=$B914)*
      ('Golf Log'!$C$2:$C$72=$C914),
    0),
    MATCH($G914,'Golf Log'!$E$1:$V$1,0)
  ),
"")</f>
        <v>3</v>
      </c>
      <c r="M914">
        <f t="shared" si="64"/>
        <v>0</v>
      </c>
      <c r="N914" t="str">
        <f t="shared" si="65"/>
        <v>Par</v>
      </c>
      <c r="O914" cm="1">
        <f t="array" ref="O914">IFERROR(
  INDEX('Putt Log'!$E$2:$V$72,
    MATCH(1,
      ('Putt Log'!$A$2:$A$72=$A914)*
      ('Putt Log'!$B$2:$B$72=$B914)*
      ('Putt Log'!$C$2:$C$72=$C914),
    0),
    MATCH($G914,'Putt Log'!$E$1:$V$1,0)
  ),
"")</f>
        <v>2</v>
      </c>
      <c r="P914" t="str" cm="1">
        <f t="array" ref="P914">IF(K914=3,"",
  IFERROR(
    INDEX('Fairway Log'!$E$2:$V$72,
      MATCH(1,
        ('Fairway Log'!$A$2:$A$72=$A914)*
        ('Fairway Log'!$B$2:$B$72=$B914)*
        ('Fairway Log'!$C$2:$C985=$C914),
      0),
      MATCH($G914,'Fairway Log'!$E$1:$V$1,0)
    ),
  "")
)</f>
        <v/>
      </c>
      <c r="Q914" cm="1">
        <f t="array" ref="Q914">IFERROR(
  INDEX('GIR Log'!$E$2:$V$72,
    MATCH(1,
      ('GIR Log'!$A$2:$A$72=$A914)*
      ('GIR Log'!$B$2:$B$72=$B914)*
      ('GIR Log'!$C$2:$C$72=$C914),
    0),
    MATCH($G914,'GIR Log'!$E$1:$V$1,0)
  ),
"")</f>
        <v>1</v>
      </c>
    </row>
    <row r="915" spans="1:17" x14ac:dyDescent="0.25">
      <c r="A915" s="51" t="s">
        <v>130</v>
      </c>
      <c r="B915" s="2">
        <v>45892</v>
      </c>
      <c r="C915" t="s">
        <v>41</v>
      </c>
      <c r="D915" s="51" t="s">
        <v>79</v>
      </c>
      <c r="E915" s="51" t="s">
        <v>34</v>
      </c>
      <c r="F915">
        <v>90</v>
      </c>
      <c r="G915" s="12" t="s">
        <v>60</v>
      </c>
      <c r="H915" s="9">
        <f t="shared" si="63"/>
        <v>14</v>
      </c>
      <c r="I915" cm="1">
        <f t="array" ref="I915">IFERROR(INDEX(CourseYardages[[Hole 1]:[Hole 18]],
  MATCH(1, (CourseYardages[Course]=C915)*(CourseYardages[Tees]=E915), 0),
  MATCH(G915, CourseYardages[[#Headers],[Hole 1]:[Hole 18]], 0)
),"")</f>
        <v>411</v>
      </c>
      <c r="J915" cm="1">
        <f t="array" ref="J915">IFERROR(INDEX(CourseHandicap[[Hole 1]:[Hole 18]],
  MATCH(1, (CourseHandicap[Course]=C915)*(CourseHandicap[Tees]=E915), 0),
  MATCH(G915, CourseHandicap[[#Headers],[Hole 1]:[Hole 18]], 0)
),"")</f>
        <v>4</v>
      </c>
      <c r="K915" cm="1">
        <f t="array" ref="K915">IFERROR(INDEX(CourseRatings[[Hole 1]:[Hole 18]],
  MATCH(1, (CourseRatings[Course]=C915)*(CourseRatings[Tees]=E915), 0),
  MATCH(G915, CourseRatings[[#Headers],[Hole 1]:[Hole 18]], 0)
),"")</f>
        <v>4</v>
      </c>
      <c r="L915" cm="1">
        <f t="array" ref="L915">IFERROR(
  INDEX('Golf Log'!$E$2:$V$72,
    MATCH(1,
      ('Golf Log'!$A$2:$A$72=$A915)*
      ('Golf Log'!$B$2:$B$72=$B915)*
      ('Golf Log'!$C$2:$C$72=$C915),
    0),
    MATCH($G915,'Golf Log'!$E$1:$V$1,0)
  ),
"")</f>
        <v>6</v>
      </c>
      <c r="M915">
        <f t="shared" si="64"/>
        <v>2</v>
      </c>
      <c r="N915" t="str">
        <f t="shared" si="65"/>
        <v>Double Bogey</v>
      </c>
      <c r="O915" cm="1">
        <f t="array" ref="O915">IFERROR(
  INDEX('Putt Log'!$E$2:$V$72,
    MATCH(1,
      ('Putt Log'!$A$2:$A$72=$A915)*
      ('Putt Log'!$B$2:$B$72=$B915)*
      ('Putt Log'!$C$2:$C$72=$C915),
    0),
    MATCH($G915,'Putt Log'!$E$1:$V$1,0)
  ),
"")</f>
        <v>2</v>
      </c>
      <c r="P915" t="str" cm="1">
        <f t="array" ref="P915">IF(K915=3,"",
  IFERROR(
    INDEX('Fairway Log'!$E$2:$V$72,
      MATCH(1,
        ('Fairway Log'!$A$2:$A$72=$A915)*
        ('Fairway Log'!$B$2:$B$72=$B915)*
        ('Fairway Log'!$C$2:$C986=$C915),
      0),
      MATCH($G915,'Fairway Log'!$E$1:$V$1,0)
    ),
  "")
)</f>
        <v>↓</v>
      </c>
      <c r="Q915" cm="1">
        <f t="array" ref="Q915">IFERROR(
  INDEX('GIR Log'!$E$2:$V$72,
    MATCH(1,
      ('GIR Log'!$A$2:$A$72=$A915)*
      ('GIR Log'!$B$2:$B$72=$B915)*
      ('GIR Log'!$C$2:$C$72=$C915),
    0),
    MATCH($G915,'GIR Log'!$E$1:$V$1,0)
  ),
"")</f>
        <v>0</v>
      </c>
    </row>
    <row r="916" spans="1:17" x14ac:dyDescent="0.25">
      <c r="A916" s="51" t="s">
        <v>130</v>
      </c>
      <c r="B916" s="2">
        <v>45892</v>
      </c>
      <c r="C916" t="s">
        <v>41</v>
      </c>
      <c r="D916" s="51" t="s">
        <v>79</v>
      </c>
      <c r="E916" s="51" t="s">
        <v>34</v>
      </c>
      <c r="F916">
        <v>90</v>
      </c>
      <c r="G916" s="12" t="s">
        <v>61</v>
      </c>
      <c r="H916" s="9">
        <f t="shared" si="63"/>
        <v>15</v>
      </c>
      <c r="I916" cm="1">
        <f t="array" ref="I916">IFERROR(INDEX(CourseYardages[[Hole 1]:[Hole 18]],
  MATCH(1, (CourseYardages[Course]=C916)*(CourseYardages[Tees]=E916), 0),
  MATCH(G916, CourseYardages[[#Headers],[Hole 1]:[Hole 18]], 0)
),"")</f>
        <v>344</v>
      </c>
      <c r="J916" cm="1">
        <f t="array" ref="J916">IFERROR(INDEX(CourseHandicap[[Hole 1]:[Hole 18]],
  MATCH(1, (CourseHandicap[Course]=C916)*(CourseHandicap[Tees]=E916), 0),
  MATCH(G916, CourseHandicap[[#Headers],[Hole 1]:[Hole 18]], 0)
),"")</f>
        <v>8</v>
      </c>
      <c r="K916" cm="1">
        <f t="array" ref="K916">IFERROR(INDEX(CourseRatings[[Hole 1]:[Hole 18]],
  MATCH(1, (CourseRatings[Course]=C916)*(CourseRatings[Tees]=E916), 0),
  MATCH(G916, CourseRatings[[#Headers],[Hole 1]:[Hole 18]], 0)
),"")</f>
        <v>4</v>
      </c>
      <c r="L916" cm="1">
        <f t="array" ref="L916">IFERROR(
  INDEX('Golf Log'!$E$2:$V$72,
    MATCH(1,
      ('Golf Log'!$A$2:$A$72=$A916)*
      ('Golf Log'!$B$2:$B$72=$B916)*
      ('Golf Log'!$C$2:$C$72=$C916),
    0),
    MATCH($G916,'Golf Log'!$E$1:$V$1,0)
  ),
"")</f>
        <v>6</v>
      </c>
      <c r="M916">
        <f t="shared" si="64"/>
        <v>2</v>
      </c>
      <c r="N916" t="str">
        <f t="shared" si="65"/>
        <v>Double Bogey</v>
      </c>
      <c r="O916" cm="1">
        <f t="array" ref="O916">IFERROR(
  INDEX('Putt Log'!$E$2:$V$72,
    MATCH(1,
      ('Putt Log'!$A$2:$A$72=$A916)*
      ('Putt Log'!$B$2:$B$72=$B916)*
      ('Putt Log'!$C$2:$C$72=$C916),
    0),
    MATCH($G916,'Putt Log'!$E$1:$V$1,0)
  ),
"")</f>
        <v>3</v>
      </c>
      <c r="P916" t="str" cm="1">
        <f t="array" ref="P916">IF(K916=3,"",
  IFERROR(
    INDEX('Fairway Log'!$E$2:$V$72,
      MATCH(1,
        ('Fairway Log'!$A$2:$A$72=$A916)*
        ('Fairway Log'!$B$2:$B$72=$B916)*
        ('Fairway Log'!$C$2:$C987=$C916),
      0),
      MATCH($G916,'Fairway Log'!$E$1:$V$1,0)
    ),
  "")
)</f>
        <v>↓</v>
      </c>
      <c r="Q916" cm="1">
        <f t="array" ref="Q916">IFERROR(
  INDEX('GIR Log'!$E$2:$V$72,
    MATCH(1,
      ('GIR Log'!$A$2:$A$72=$A916)*
      ('GIR Log'!$B$2:$B$72=$B916)*
      ('GIR Log'!$C$2:$C$72=$C916),
    0),
    MATCH($G916,'GIR Log'!$E$1:$V$1,0)
  ),
"")</f>
        <v>0</v>
      </c>
    </row>
    <row r="917" spans="1:17" x14ac:dyDescent="0.25">
      <c r="A917" s="51" t="s">
        <v>130</v>
      </c>
      <c r="B917" s="2">
        <v>45892</v>
      </c>
      <c r="C917" t="s">
        <v>41</v>
      </c>
      <c r="D917" s="51" t="s">
        <v>79</v>
      </c>
      <c r="E917" s="51" t="s">
        <v>34</v>
      </c>
      <c r="F917">
        <v>90</v>
      </c>
      <c r="G917" s="12" t="s">
        <v>62</v>
      </c>
      <c r="H917" s="9">
        <f t="shared" si="63"/>
        <v>16</v>
      </c>
      <c r="I917" cm="1">
        <f t="array" ref="I917">IFERROR(INDEX(CourseYardages[[Hole 1]:[Hole 18]],
  MATCH(1, (CourseYardages[Course]=C917)*(CourseYardages[Tees]=E917), 0),
  MATCH(G917, CourseYardages[[#Headers],[Hole 1]:[Hole 18]], 0)
),"")</f>
        <v>158</v>
      </c>
      <c r="J917" cm="1">
        <f t="array" ref="J917">IFERROR(INDEX(CourseHandicap[[Hole 1]:[Hole 18]],
  MATCH(1, (CourseHandicap[Course]=C917)*(CourseHandicap[Tees]=E917), 0),
  MATCH(G917, CourseHandicap[[#Headers],[Hole 1]:[Hole 18]], 0)
),"")</f>
        <v>18</v>
      </c>
      <c r="K917" cm="1">
        <f t="array" ref="K917">IFERROR(INDEX(CourseRatings[[Hole 1]:[Hole 18]],
  MATCH(1, (CourseRatings[Course]=C917)*(CourseRatings[Tees]=E917), 0),
  MATCH(G917, CourseRatings[[#Headers],[Hole 1]:[Hole 18]], 0)
),"")</f>
        <v>3</v>
      </c>
      <c r="L917" cm="1">
        <f t="array" ref="L917">IFERROR(
  INDEX('Golf Log'!$E$2:$V$72,
    MATCH(1,
      ('Golf Log'!$A$2:$A$72=$A917)*
      ('Golf Log'!$B$2:$B$72=$B917)*
      ('Golf Log'!$C$2:$C$72=$C917),
    0),
    MATCH($G917,'Golf Log'!$E$1:$V$1,0)
  ),
"")</f>
        <v>4</v>
      </c>
      <c r="M917">
        <f t="shared" si="64"/>
        <v>1</v>
      </c>
      <c r="N917" t="str">
        <f t="shared" si="65"/>
        <v>Bogey</v>
      </c>
      <c r="O917" cm="1">
        <f t="array" ref="O917">IFERROR(
  INDEX('Putt Log'!$E$2:$V$72,
    MATCH(1,
      ('Putt Log'!$A$2:$A$72=$A917)*
      ('Putt Log'!$B$2:$B$72=$B917)*
      ('Putt Log'!$C$2:$C$72=$C917),
    0),
    MATCH($G917,'Putt Log'!$E$1:$V$1,0)
  ),
"")</f>
        <v>2</v>
      </c>
      <c r="P917" t="str" cm="1">
        <f t="array" ref="P917">IF(K917=3,"",
  IFERROR(
    INDEX('Fairway Log'!$E$2:$V$72,
      MATCH(1,
        ('Fairway Log'!$A$2:$A$72=$A917)*
        ('Fairway Log'!$B$2:$B$72=$B917)*
        ('Fairway Log'!$C$2:$C988=$C917),
      0),
      MATCH($G917,'Fairway Log'!$E$1:$V$1,0)
    ),
  "")
)</f>
        <v/>
      </c>
      <c r="Q917" cm="1">
        <f t="array" ref="Q917">IFERROR(
  INDEX('GIR Log'!$E$2:$V$72,
    MATCH(1,
      ('GIR Log'!$A$2:$A$72=$A917)*
      ('GIR Log'!$B$2:$B$72=$B917)*
      ('GIR Log'!$C$2:$C$72=$C917),
    0),
    MATCH($G917,'GIR Log'!$E$1:$V$1,0)
  ),
"")</f>
        <v>0</v>
      </c>
    </row>
    <row r="918" spans="1:17" x14ac:dyDescent="0.25">
      <c r="A918" s="51" t="s">
        <v>130</v>
      </c>
      <c r="B918" s="2">
        <v>45892</v>
      </c>
      <c r="C918" t="s">
        <v>41</v>
      </c>
      <c r="D918" s="51" t="s">
        <v>79</v>
      </c>
      <c r="E918" s="51" t="s">
        <v>34</v>
      </c>
      <c r="F918">
        <v>90</v>
      </c>
      <c r="G918" s="12" t="s">
        <v>63</v>
      </c>
      <c r="H918" s="9">
        <f t="shared" si="63"/>
        <v>17</v>
      </c>
      <c r="I918" cm="1">
        <f t="array" ref="I918">IFERROR(INDEX(CourseYardages[[Hole 1]:[Hole 18]],
  MATCH(1, (CourseYardages[Course]=C918)*(CourseYardages[Tees]=E918), 0),
  MATCH(G918, CourseYardages[[#Headers],[Hole 1]:[Hole 18]], 0)
),"")</f>
        <v>421</v>
      </c>
      <c r="J918" cm="1">
        <f t="array" ref="J918">IFERROR(INDEX(CourseHandicap[[Hole 1]:[Hole 18]],
  MATCH(1, (CourseHandicap[Course]=C918)*(CourseHandicap[Tees]=E918), 0),
  MATCH(G918, CourseHandicap[[#Headers],[Hole 1]:[Hole 18]], 0)
),"")</f>
        <v>2</v>
      </c>
      <c r="K918" cm="1">
        <f t="array" ref="K918">IFERROR(INDEX(CourseRatings[[Hole 1]:[Hole 18]],
  MATCH(1, (CourseRatings[Course]=C918)*(CourseRatings[Tees]=E918), 0),
  MATCH(G918, CourseRatings[[#Headers],[Hole 1]:[Hole 18]], 0)
),"")</f>
        <v>4</v>
      </c>
      <c r="L918" cm="1">
        <f t="array" ref="L918">IFERROR(
  INDEX('Golf Log'!$E$2:$V$72,
    MATCH(1,
      ('Golf Log'!$A$2:$A$72=$A918)*
      ('Golf Log'!$B$2:$B$72=$B918)*
      ('Golf Log'!$C$2:$C$72=$C918),
    0),
    MATCH($G918,'Golf Log'!$E$1:$V$1,0)
  ),
"")</f>
        <v>4</v>
      </c>
      <c r="M918">
        <f t="shared" si="64"/>
        <v>0</v>
      </c>
      <c r="N918" t="str">
        <f t="shared" si="65"/>
        <v>Par</v>
      </c>
      <c r="O918" cm="1">
        <f t="array" ref="O918">IFERROR(
  INDEX('Putt Log'!$E$2:$V$72,
    MATCH(1,
      ('Putt Log'!$A$2:$A$72=$A918)*
      ('Putt Log'!$B$2:$B$72=$B918)*
      ('Putt Log'!$C$2:$C$72=$C918),
    0),
    MATCH($G918,'Putt Log'!$E$1:$V$1,0)
  ),
"")</f>
        <v>2</v>
      </c>
      <c r="P918" cm="1">
        <f t="array" ref="P918">IF(K918=3,"",
  IFERROR(
    INDEX('Fairway Log'!$E$2:$V$72,
      MATCH(1,
        ('Fairway Log'!$A$2:$A$72=$A918)*
        ('Fairway Log'!$B$2:$B$72=$B918)*
        ('Fairway Log'!$C$2:$C989=$C918),
      0),
      MATCH($G918,'Fairway Log'!$E$1:$V$1,0)
    ),
  "")
)</f>
        <v>1</v>
      </c>
      <c r="Q918" cm="1">
        <f t="array" ref="Q918">IFERROR(
  INDEX('GIR Log'!$E$2:$V$72,
    MATCH(1,
      ('GIR Log'!$A$2:$A$72=$A918)*
      ('GIR Log'!$B$2:$B$72=$B918)*
      ('GIR Log'!$C$2:$C$72=$C918),
    0),
    MATCH($G918,'GIR Log'!$E$1:$V$1,0)
  ),
"")</f>
        <v>1</v>
      </c>
    </row>
    <row r="919" spans="1:17" x14ac:dyDescent="0.25">
      <c r="A919" s="51" t="s">
        <v>130</v>
      </c>
      <c r="B919" s="2">
        <v>45892</v>
      </c>
      <c r="C919" t="s">
        <v>41</v>
      </c>
      <c r="D919" s="51" t="s">
        <v>79</v>
      </c>
      <c r="E919" s="51" t="s">
        <v>34</v>
      </c>
      <c r="F919">
        <v>90</v>
      </c>
      <c r="G919" s="12" t="s">
        <v>64</v>
      </c>
      <c r="H919" s="9">
        <f t="shared" si="63"/>
        <v>18</v>
      </c>
      <c r="I919" cm="1">
        <f t="array" ref="I919">IFERROR(INDEX(CourseYardages[[Hole 1]:[Hole 18]],
  MATCH(1, (CourseYardages[Course]=C919)*(CourseYardages[Tees]=E919), 0),
  MATCH(G919, CourseYardages[[#Headers],[Hole 1]:[Hole 18]], 0)
),"")</f>
        <v>549</v>
      </c>
      <c r="J919" cm="1">
        <f t="array" ref="J919">IFERROR(INDEX(CourseHandicap[[Hole 1]:[Hole 18]],
  MATCH(1, (CourseHandicap[Course]=C919)*(CourseHandicap[Tees]=E919), 0),
  MATCH(G919, CourseHandicap[[#Headers],[Hole 1]:[Hole 18]], 0)
),"")</f>
        <v>10</v>
      </c>
      <c r="K919" cm="1">
        <f t="array" ref="K919">IFERROR(INDEX(CourseRatings[[Hole 1]:[Hole 18]],
  MATCH(1, (CourseRatings[Course]=C919)*(CourseRatings[Tees]=E919), 0),
  MATCH(G919, CourseRatings[[#Headers],[Hole 1]:[Hole 18]], 0)
),"")</f>
        <v>5</v>
      </c>
      <c r="L919" cm="1">
        <f t="array" ref="L919">IFERROR(
  INDEX('Golf Log'!$E$2:$V$72,
    MATCH(1,
      ('Golf Log'!$A$2:$A$72=$A919)*
      ('Golf Log'!$B$2:$B$72=$B919)*
      ('Golf Log'!$C$2:$C$72=$C919),
    0),
    MATCH($G919,'Golf Log'!$E$1:$V$1,0)
  ),
"")</f>
        <v>6</v>
      </c>
      <c r="M919">
        <f t="shared" si="64"/>
        <v>1</v>
      </c>
      <c r="N919" t="str">
        <f t="shared" si="65"/>
        <v>Bogey</v>
      </c>
      <c r="O919" cm="1">
        <f t="array" ref="O919">IFERROR(
  INDEX('Putt Log'!$E$2:$V$72,
    MATCH(1,
      ('Putt Log'!$A$2:$A$72=$A919)*
      ('Putt Log'!$B$2:$B$72=$B919)*
      ('Putt Log'!$C$2:$C$72=$C919),
    0),
    MATCH($G919,'Putt Log'!$E$1:$V$1,0)
  ),
"")</f>
        <v>2</v>
      </c>
      <c r="P919" cm="1">
        <f t="array" ref="P919">IF(K919=3,"",
  IFERROR(
    INDEX('Fairway Log'!$E$2:$V$72,
      MATCH(1,
        ('Fairway Log'!$A$2:$A$72=$A919)*
        ('Fairway Log'!$B$2:$B$72=$B919)*
        ('Fairway Log'!$C$2:$C990=$C919),
      0),
      MATCH($G919,'Fairway Log'!$E$1:$V$1,0)
    ),
  "")
)</f>
        <v>1</v>
      </c>
      <c r="Q919" cm="1">
        <f t="array" ref="Q919">IFERROR(
  INDEX('GIR Log'!$E$2:$V$72,
    MATCH(1,
      ('GIR Log'!$A$2:$A$72=$A919)*
      ('GIR Log'!$B$2:$B$72=$B919)*
      ('GIR Log'!$C$2:$C$72=$C919),
    0),
    MATCH($G919,'GIR Log'!$E$1:$V$1,0)
  ),
"")</f>
        <v>0</v>
      </c>
    </row>
    <row r="920" spans="1:17" x14ac:dyDescent="0.25">
      <c r="A920" s="51" t="s">
        <v>130</v>
      </c>
      <c r="B920" s="2">
        <v>45886</v>
      </c>
      <c r="C920" t="s">
        <v>41</v>
      </c>
      <c r="D920" s="51" t="s">
        <v>79</v>
      </c>
      <c r="E920" s="51" t="s">
        <v>34</v>
      </c>
      <c r="F920">
        <v>89</v>
      </c>
      <c r="G920" t="s">
        <v>47</v>
      </c>
      <c r="H920" s="9">
        <f t="shared" si="63"/>
        <v>1</v>
      </c>
      <c r="I920" cm="1">
        <f t="array" ref="I920">IFERROR(INDEX(CourseYardages[[Hole 1]:[Hole 18]],
  MATCH(1, (CourseYardages[Course]=C920)*(CourseYardages[Tees]=E920), 0),
  MATCH(G920, CourseYardages[[#Headers],[Hole 1]:[Hole 18]], 0)
),"")</f>
        <v>423</v>
      </c>
      <c r="J920" cm="1">
        <f t="array" ref="J920">IFERROR(INDEX(CourseHandicap[[Hole 1]:[Hole 18]],
  MATCH(1, (CourseHandicap[Course]=C920)*(CourseHandicap[Tees]=E920), 0),
  MATCH(G920, CourseHandicap[[#Headers],[Hole 1]:[Hole 18]], 0)
),"")</f>
        <v>1</v>
      </c>
      <c r="K920" cm="1">
        <f t="array" ref="K920">IFERROR(INDEX(CourseRatings[[Hole 1]:[Hole 18]],
  MATCH(1, (CourseRatings[Course]=C920)*(CourseRatings[Tees]=E920), 0),
  MATCH(G920, CourseRatings[[#Headers],[Hole 1]:[Hole 18]], 0)
),"")</f>
        <v>4</v>
      </c>
      <c r="L920" cm="1">
        <f t="array" ref="L920">IFERROR(
  INDEX('Golf Log'!$E$2:$V$72,
    MATCH(1,
      ('Golf Log'!$A$2:$A$72=$A920)*
      ('Golf Log'!$B$2:$B$72=$B920)*
      ('Golf Log'!$C$2:$C$72=$C920),
    0),
    MATCH($G920,'Golf Log'!$E$1:$V$1,0)
  ),
"")</f>
        <v>6</v>
      </c>
      <c r="M920">
        <f t="shared" si="64"/>
        <v>2</v>
      </c>
      <c r="N920" t="str">
        <f t="shared" si="65"/>
        <v>Double Bogey</v>
      </c>
      <c r="O920" cm="1">
        <f t="array" ref="O920">IFERROR(
  INDEX('Putt Log'!$E$2:$V$72,
    MATCH(1,
      ('Putt Log'!$A$2:$A$72=$A920)*
      ('Putt Log'!$B$2:$B$72=$B920)*
      ('Putt Log'!$C$2:$C$72=$C920),
    0),
    MATCH($G920,'Putt Log'!$E$1:$V$1,0)
  ),
"")</f>
        <v>3</v>
      </c>
      <c r="P920" t="str" cm="1">
        <f t="array" ref="P920">IF(K920=3,"",
  IFERROR(
    INDEX('Fairway Log'!$E$2:$V$72,
      MATCH(1,
        ('Fairway Log'!$A$2:$A$72=$A920)*
        ('Fairway Log'!$B$2:$B$72=$B920)*
        ('Fairway Log'!$C$2:$C991=$C920),
      0),
      MATCH($G920,'Fairway Log'!$E$1:$V$1,0)
    ),
  "")
)</f>
        <v>←</v>
      </c>
      <c r="Q920" t="str" cm="1">
        <f t="array" ref="Q920">IFERROR(
  INDEX('GIR Log'!$E$2:$V$72,
    MATCH(1,
      ('GIR Log'!$A$2:$A$72=$A920)*
      ('GIR Log'!$B$2:$B$72=$B920)*
      ('GIR Log'!$C$2:$C$72=$C920),
    0),
    MATCH($G920,'GIR Log'!$E$1:$V$1,0)
  ),
"")</f>
        <v>↓</v>
      </c>
    </row>
    <row r="921" spans="1:17" x14ac:dyDescent="0.25">
      <c r="A921" s="51" t="s">
        <v>130</v>
      </c>
      <c r="B921" s="2">
        <v>45886</v>
      </c>
      <c r="C921" t="s">
        <v>41</v>
      </c>
      <c r="D921" s="51" t="s">
        <v>79</v>
      </c>
      <c r="E921" s="51" t="s">
        <v>34</v>
      </c>
      <c r="F921">
        <v>89</v>
      </c>
      <c r="G921" t="s">
        <v>48</v>
      </c>
      <c r="H921" s="9">
        <f t="shared" si="63"/>
        <v>2</v>
      </c>
      <c r="I921" cm="1">
        <f t="array" ref="I921">IFERROR(INDEX(CourseYardages[[Hole 1]:[Hole 18]],
  MATCH(1, (CourseYardages[Course]=C921)*(CourseYardages[Tees]=E921), 0),
  MATCH(G921, CourseYardages[[#Headers],[Hole 1]:[Hole 18]], 0)
),"")</f>
        <v>338</v>
      </c>
      <c r="J921" cm="1">
        <f t="array" ref="J921">IFERROR(INDEX(CourseHandicap[[Hole 1]:[Hole 18]],
  MATCH(1, (CourseHandicap[Course]=C921)*(CourseHandicap[Tees]=E921), 0),
  MATCH(G921, CourseHandicap[[#Headers],[Hole 1]:[Hole 18]], 0)
),"")</f>
        <v>13</v>
      </c>
      <c r="K921" cm="1">
        <f t="array" ref="K921">IFERROR(INDEX(CourseRatings[[Hole 1]:[Hole 18]],
  MATCH(1, (CourseRatings[Course]=C921)*(CourseRatings[Tees]=E921), 0),
  MATCH(G921, CourseRatings[[#Headers],[Hole 1]:[Hole 18]], 0)
),"")</f>
        <v>4</v>
      </c>
      <c r="L921" cm="1">
        <f t="array" ref="L921">IFERROR(
  INDEX('Golf Log'!$E$2:$V$72,
    MATCH(1,
      ('Golf Log'!$A$2:$A$72=$A921)*
      ('Golf Log'!$B$2:$B$72=$B921)*
      ('Golf Log'!$C$2:$C$72=$C921),
    0),
    MATCH($G921,'Golf Log'!$E$1:$V$1,0)
  ),
"")</f>
        <v>6</v>
      </c>
      <c r="M921">
        <f t="shared" si="64"/>
        <v>2</v>
      </c>
      <c r="N921" t="str">
        <f t="shared" si="65"/>
        <v>Double Bogey</v>
      </c>
      <c r="O921" cm="1">
        <f t="array" ref="O921">IFERROR(
  INDEX('Putt Log'!$E$2:$V$72,
    MATCH(1,
      ('Putt Log'!$A$2:$A$72=$A921)*
      ('Putt Log'!$B$2:$B$72=$B921)*
      ('Putt Log'!$C$2:$C$72=$C921),
    0),
    MATCH($G921,'Putt Log'!$E$1:$V$1,0)
  ),
"")</f>
        <v>3</v>
      </c>
      <c r="P921" t="str" cm="1">
        <f t="array" ref="P921">IF(K921=3,"",
  IFERROR(
    INDEX('Fairway Log'!$E$2:$V$72,
      MATCH(1,
        ('Fairway Log'!$A$2:$A$72=$A921)*
        ('Fairway Log'!$B$2:$B$72=$B921)*
        ('Fairway Log'!$C$2:$C992=$C921),
      0),
      MATCH($G921,'Fairway Log'!$E$1:$V$1,0)
    ),
  "")
)</f>
        <v>↓</v>
      </c>
      <c r="Q921" t="str" cm="1">
        <f t="array" ref="Q921">IFERROR(
  INDEX('GIR Log'!$E$2:$V$72,
    MATCH(1,
      ('GIR Log'!$A$2:$A$72=$A921)*
      ('GIR Log'!$B$2:$B$72=$B921)*
      ('GIR Log'!$C$2:$C$72=$C921),
    0),
    MATCH($G921,'GIR Log'!$E$1:$V$1,0)
  ),
"")</f>
        <v>↓</v>
      </c>
    </row>
    <row r="922" spans="1:17" x14ac:dyDescent="0.25">
      <c r="A922" s="51" t="s">
        <v>130</v>
      </c>
      <c r="B922" s="2">
        <v>45886</v>
      </c>
      <c r="C922" t="s">
        <v>41</v>
      </c>
      <c r="D922" s="51" t="s">
        <v>79</v>
      </c>
      <c r="E922" s="51" t="s">
        <v>34</v>
      </c>
      <c r="F922">
        <v>89</v>
      </c>
      <c r="G922" t="s">
        <v>49</v>
      </c>
      <c r="H922" s="9">
        <f t="shared" si="63"/>
        <v>3</v>
      </c>
      <c r="I922" cm="1">
        <f t="array" ref="I922">IFERROR(INDEX(CourseYardages[[Hole 1]:[Hole 18]],
  MATCH(1, (CourseYardages[Course]=C922)*(CourseYardages[Tees]=E922), 0),
  MATCH(G922, CourseYardages[[#Headers],[Hole 1]:[Hole 18]], 0)
),"")</f>
        <v>187</v>
      </c>
      <c r="J922" cm="1">
        <f t="array" ref="J922">IFERROR(INDEX(CourseHandicap[[Hole 1]:[Hole 18]],
  MATCH(1, (CourseHandicap[Course]=C922)*(CourseHandicap[Tees]=E922), 0),
  MATCH(G922, CourseHandicap[[#Headers],[Hole 1]:[Hole 18]], 0)
),"")</f>
        <v>15</v>
      </c>
      <c r="K922" cm="1">
        <f t="array" ref="K922">IFERROR(INDEX(CourseRatings[[Hole 1]:[Hole 18]],
  MATCH(1, (CourseRatings[Course]=C922)*(CourseRatings[Tees]=E922), 0),
  MATCH(G922, CourseRatings[[#Headers],[Hole 1]:[Hole 18]], 0)
),"")</f>
        <v>3</v>
      </c>
      <c r="L922" cm="1">
        <f t="array" ref="L922">IFERROR(
  INDEX('Golf Log'!$E$2:$V$72,
    MATCH(1,
      ('Golf Log'!$A$2:$A$72=$A922)*
      ('Golf Log'!$B$2:$B$72=$B922)*
      ('Golf Log'!$C$2:$C$72=$C922),
    0),
    MATCH($G922,'Golf Log'!$E$1:$V$1,0)
  ),
"")</f>
        <v>4</v>
      </c>
      <c r="M922">
        <f t="shared" si="64"/>
        <v>1</v>
      </c>
      <c r="N922" t="str">
        <f t="shared" si="65"/>
        <v>Bogey</v>
      </c>
      <c r="O922" cm="1">
        <f t="array" ref="O922">IFERROR(
  INDEX('Putt Log'!$E$2:$V$72,
    MATCH(1,
      ('Putt Log'!$A$2:$A$72=$A922)*
      ('Putt Log'!$B$2:$B$72=$B922)*
      ('Putt Log'!$C$2:$C$72=$C922),
    0),
    MATCH($G922,'Putt Log'!$E$1:$V$1,0)
  ),
"")</f>
        <v>2</v>
      </c>
      <c r="P922" t="str" cm="1">
        <f t="array" ref="P922">IF(K922=3,"",
  IFERROR(
    INDEX('Fairway Log'!$E$2:$V$72,
      MATCH(1,
        ('Fairway Log'!$A$2:$A$72=$A922)*
        ('Fairway Log'!$B$2:$B$72=$B922)*
        ('Fairway Log'!$C$2:$C993=$C922),
      0),
      MATCH($G922,'Fairway Log'!$E$1:$V$1,0)
    ),
  "")
)</f>
        <v/>
      </c>
      <c r="Q922" t="str" cm="1">
        <f t="array" ref="Q922">IFERROR(
  INDEX('GIR Log'!$E$2:$V$72,
    MATCH(1,
      ('GIR Log'!$A$2:$A$72=$A922)*
      ('GIR Log'!$B$2:$B$72=$B922)*
      ('GIR Log'!$C$2:$C$72=$C922),
    0),
    MATCH($G922,'GIR Log'!$E$1:$V$1,0)
  ),
"")</f>
        <v>→</v>
      </c>
    </row>
    <row r="923" spans="1:17" x14ac:dyDescent="0.25">
      <c r="A923" s="51" t="s">
        <v>130</v>
      </c>
      <c r="B923" s="2">
        <v>45886</v>
      </c>
      <c r="C923" t="s">
        <v>41</v>
      </c>
      <c r="D923" s="51" t="s">
        <v>79</v>
      </c>
      <c r="E923" s="51" t="s">
        <v>34</v>
      </c>
      <c r="F923">
        <v>89</v>
      </c>
      <c r="G923" t="s">
        <v>50</v>
      </c>
      <c r="H923" s="9">
        <f t="shared" si="63"/>
        <v>4</v>
      </c>
      <c r="I923" cm="1">
        <f t="array" ref="I923">IFERROR(INDEX(CourseYardages[[Hole 1]:[Hole 18]],
  MATCH(1, (CourseYardages[Course]=C923)*(CourseYardages[Tees]=E923), 0),
  MATCH(G923, CourseYardages[[#Headers],[Hole 1]:[Hole 18]], 0)
),"")</f>
        <v>520</v>
      </c>
      <c r="J923" cm="1">
        <f t="array" ref="J923">IFERROR(INDEX(CourseHandicap[[Hole 1]:[Hole 18]],
  MATCH(1, (CourseHandicap[Course]=C923)*(CourseHandicap[Tees]=E923), 0),
  MATCH(G923, CourseHandicap[[#Headers],[Hole 1]:[Hole 18]], 0)
),"")</f>
        <v>7</v>
      </c>
      <c r="K923" cm="1">
        <f t="array" ref="K923">IFERROR(INDEX(CourseRatings[[Hole 1]:[Hole 18]],
  MATCH(1, (CourseRatings[Course]=C923)*(CourseRatings[Tees]=E923), 0),
  MATCH(G923, CourseRatings[[#Headers],[Hole 1]:[Hole 18]], 0)
),"")</f>
        <v>5</v>
      </c>
      <c r="L923" cm="1">
        <f t="array" ref="L923">IFERROR(
  INDEX('Golf Log'!$E$2:$V$72,
    MATCH(1,
      ('Golf Log'!$A$2:$A$72=$A923)*
      ('Golf Log'!$B$2:$B$72=$B923)*
      ('Golf Log'!$C$2:$C$72=$C923),
    0),
    MATCH($G923,'Golf Log'!$E$1:$V$1,0)
  ),
"")</f>
        <v>6</v>
      </c>
      <c r="M923">
        <f t="shared" si="64"/>
        <v>1</v>
      </c>
      <c r="N923" t="str">
        <f t="shared" si="65"/>
        <v>Bogey</v>
      </c>
      <c r="O923" cm="1">
        <f t="array" ref="O923">IFERROR(
  INDEX('Putt Log'!$E$2:$V$72,
    MATCH(1,
      ('Putt Log'!$A$2:$A$72=$A923)*
      ('Putt Log'!$B$2:$B$72=$B923)*
      ('Putt Log'!$C$2:$C$72=$C923),
    0),
    MATCH($G923,'Putt Log'!$E$1:$V$1,0)
  ),
"")</f>
        <v>3</v>
      </c>
      <c r="P923" cm="1">
        <f t="array" ref="P923">IF(K923=3,"",
  IFERROR(
    INDEX('Fairway Log'!$E$2:$V$72,
      MATCH(1,
        ('Fairway Log'!$A$2:$A$72=$A923)*
        ('Fairway Log'!$B$2:$B$72=$B923)*
        ('Fairway Log'!$C$2:$C994=$C923),
      0),
      MATCH($G923,'Fairway Log'!$E$1:$V$1,0)
    ),
  "")
)</f>
        <v>1</v>
      </c>
      <c r="Q923" cm="1">
        <f t="array" ref="Q923">IFERROR(
  INDEX('GIR Log'!$E$2:$V$72,
    MATCH(1,
      ('GIR Log'!$A$2:$A$72=$A923)*
      ('GIR Log'!$B$2:$B$72=$B923)*
      ('GIR Log'!$C$2:$C$72=$C923),
    0),
    MATCH($G923,'GIR Log'!$E$1:$V$1,0)
  ),
"")</f>
        <v>1</v>
      </c>
    </row>
    <row r="924" spans="1:17" x14ac:dyDescent="0.25">
      <c r="A924" s="51" t="s">
        <v>130</v>
      </c>
      <c r="B924" s="2">
        <v>45886</v>
      </c>
      <c r="C924" t="s">
        <v>41</v>
      </c>
      <c r="D924" s="51" t="s">
        <v>79</v>
      </c>
      <c r="E924" s="51" t="s">
        <v>34</v>
      </c>
      <c r="F924">
        <v>89</v>
      </c>
      <c r="G924" t="s">
        <v>51</v>
      </c>
      <c r="H924" s="9">
        <f t="shared" si="63"/>
        <v>5</v>
      </c>
      <c r="I924" cm="1">
        <f t="array" ref="I924">IFERROR(INDEX(CourseYardages[[Hole 1]:[Hole 18]],
  MATCH(1, (CourseYardages[Course]=C924)*(CourseYardages[Tees]=E924), 0),
  MATCH(G924, CourseYardages[[#Headers],[Hole 1]:[Hole 18]], 0)
),"")</f>
        <v>349</v>
      </c>
      <c r="J924" cm="1">
        <f t="array" ref="J924">IFERROR(INDEX(CourseHandicap[[Hole 1]:[Hole 18]],
  MATCH(1, (CourseHandicap[Course]=C924)*(CourseHandicap[Tees]=E924), 0),
  MATCH(G924, CourseHandicap[[#Headers],[Hole 1]:[Hole 18]], 0)
),"")</f>
        <v>11</v>
      </c>
      <c r="K924" cm="1">
        <f t="array" ref="K924">IFERROR(INDEX(CourseRatings[[Hole 1]:[Hole 18]],
  MATCH(1, (CourseRatings[Course]=C924)*(CourseRatings[Tees]=E924), 0),
  MATCH(G924, CourseRatings[[#Headers],[Hole 1]:[Hole 18]], 0)
),"")</f>
        <v>4</v>
      </c>
      <c r="L924" cm="1">
        <f t="array" ref="L924">IFERROR(
  INDEX('Golf Log'!$E$2:$V$72,
    MATCH(1,
      ('Golf Log'!$A$2:$A$72=$A924)*
      ('Golf Log'!$B$2:$B$72=$B924)*
      ('Golf Log'!$C$2:$C$72=$C924),
    0),
    MATCH($G924,'Golf Log'!$E$1:$V$1,0)
  ),
"")</f>
        <v>6</v>
      </c>
      <c r="M924">
        <f t="shared" si="64"/>
        <v>2</v>
      </c>
      <c r="N924" t="str">
        <f t="shared" si="65"/>
        <v>Double Bogey</v>
      </c>
      <c r="O924" cm="1">
        <f t="array" ref="O924">IFERROR(
  INDEX('Putt Log'!$E$2:$V$72,
    MATCH(1,
      ('Putt Log'!$A$2:$A$72=$A924)*
      ('Putt Log'!$B$2:$B$72=$B924)*
      ('Putt Log'!$C$2:$C$72=$C924),
    0),
    MATCH($G924,'Putt Log'!$E$1:$V$1,0)
  ),
"")</f>
        <v>2</v>
      </c>
      <c r="P924" t="str" cm="1">
        <f t="array" ref="P924">IF(K924=3,"",
  IFERROR(
    INDEX('Fairway Log'!$E$2:$V$72,
      MATCH(1,
        ('Fairway Log'!$A$2:$A$72=$A924)*
        ('Fairway Log'!$B$2:$B$72=$B924)*
        ('Fairway Log'!$C$2:$C995=$C924),
      0),
      MATCH($G924,'Fairway Log'!$E$1:$V$1,0)
    ),
  "")
)</f>
        <v>↓</v>
      </c>
      <c r="Q924" t="str" cm="1">
        <f t="array" ref="Q924">IFERROR(
  INDEX('GIR Log'!$E$2:$V$72,
    MATCH(1,
      ('GIR Log'!$A$2:$A$72=$A924)*
      ('GIR Log'!$B$2:$B$72=$B924)*
      ('GIR Log'!$C$2:$C$72=$C924),
    0),
    MATCH($G924,'GIR Log'!$E$1:$V$1,0)
  ),
"")</f>
        <v>↓</v>
      </c>
    </row>
    <row r="925" spans="1:17" x14ac:dyDescent="0.25">
      <c r="A925" s="51" t="s">
        <v>130</v>
      </c>
      <c r="B925" s="2">
        <v>45886</v>
      </c>
      <c r="C925" t="s">
        <v>41</v>
      </c>
      <c r="D925" s="51" t="s">
        <v>79</v>
      </c>
      <c r="E925" s="51" t="s">
        <v>34</v>
      </c>
      <c r="F925">
        <v>89</v>
      </c>
      <c r="G925" t="s">
        <v>52</v>
      </c>
      <c r="H925" s="9">
        <f t="shared" si="63"/>
        <v>6</v>
      </c>
      <c r="I925" cm="1">
        <f t="array" ref="I925">IFERROR(INDEX(CourseYardages[[Hole 1]:[Hole 18]],
  MATCH(1, (CourseYardages[Course]=C925)*(CourseYardages[Tees]=E925), 0),
  MATCH(G925, CourseYardages[[#Headers],[Hole 1]:[Hole 18]], 0)
),"")</f>
        <v>153</v>
      </c>
      <c r="J925" cm="1">
        <f t="array" ref="J925">IFERROR(INDEX(CourseHandicap[[Hole 1]:[Hole 18]],
  MATCH(1, (CourseHandicap[Course]=C925)*(CourseHandicap[Tees]=E925), 0),
  MATCH(G925, CourseHandicap[[#Headers],[Hole 1]:[Hole 18]], 0)
),"")</f>
        <v>17</v>
      </c>
      <c r="K925" cm="1">
        <f t="array" ref="K925">IFERROR(INDEX(CourseRatings[[Hole 1]:[Hole 18]],
  MATCH(1, (CourseRatings[Course]=C925)*(CourseRatings[Tees]=E925), 0),
  MATCH(G925, CourseRatings[[#Headers],[Hole 1]:[Hole 18]], 0)
),"")</f>
        <v>3</v>
      </c>
      <c r="L925" cm="1">
        <f t="array" ref="L925">IFERROR(
  INDEX('Golf Log'!$E$2:$V$72,
    MATCH(1,
      ('Golf Log'!$A$2:$A$72=$A925)*
      ('Golf Log'!$B$2:$B$72=$B925)*
      ('Golf Log'!$C$2:$C$72=$C925),
    0),
    MATCH($G925,'Golf Log'!$E$1:$V$1,0)
  ),
"")</f>
        <v>3</v>
      </c>
      <c r="M925">
        <f t="shared" si="64"/>
        <v>0</v>
      </c>
      <c r="N925" t="str">
        <f t="shared" si="65"/>
        <v>Par</v>
      </c>
      <c r="O925" cm="1">
        <f t="array" ref="O925">IFERROR(
  INDEX('Putt Log'!$E$2:$V$72,
    MATCH(1,
      ('Putt Log'!$A$2:$A$72=$A925)*
      ('Putt Log'!$B$2:$B$72=$B925)*
      ('Putt Log'!$C$2:$C$72=$C925),
    0),
    MATCH($G925,'Putt Log'!$E$1:$V$1,0)
  ),
"")</f>
        <v>2</v>
      </c>
      <c r="P925" t="str" cm="1">
        <f t="array" ref="P925">IF(K925=3,"",
  IFERROR(
    INDEX('Fairway Log'!$E$2:$V$72,
      MATCH(1,
        ('Fairway Log'!$A$2:$A$72=$A925)*
        ('Fairway Log'!$B$2:$B$72=$B925)*
        ('Fairway Log'!$C$2:$C996=$C925),
      0),
      MATCH($G925,'Fairway Log'!$E$1:$V$1,0)
    ),
  "")
)</f>
        <v/>
      </c>
      <c r="Q925" cm="1">
        <f t="array" ref="Q925">IFERROR(
  INDEX('GIR Log'!$E$2:$V$72,
    MATCH(1,
      ('GIR Log'!$A$2:$A$72=$A925)*
      ('GIR Log'!$B$2:$B$72=$B925)*
      ('GIR Log'!$C$2:$C$72=$C925),
    0),
    MATCH($G925,'GIR Log'!$E$1:$V$1,0)
  ),
"")</f>
        <v>1</v>
      </c>
    </row>
    <row r="926" spans="1:17" x14ac:dyDescent="0.25">
      <c r="A926" s="51" t="s">
        <v>130</v>
      </c>
      <c r="B926" s="2">
        <v>45886</v>
      </c>
      <c r="C926" t="s">
        <v>41</v>
      </c>
      <c r="D926" s="51" t="s">
        <v>79</v>
      </c>
      <c r="E926" s="51" t="s">
        <v>34</v>
      </c>
      <c r="F926">
        <v>89</v>
      </c>
      <c r="G926" t="s">
        <v>53</v>
      </c>
      <c r="H926" s="9">
        <f t="shared" si="63"/>
        <v>7</v>
      </c>
      <c r="I926" cm="1">
        <f t="array" ref="I926">IFERROR(INDEX(CourseYardages[[Hole 1]:[Hole 18]],
  MATCH(1, (CourseYardages[Course]=C926)*(CourseYardages[Tees]=E926), 0),
  MATCH(G926, CourseYardages[[#Headers],[Hole 1]:[Hole 18]], 0)
),"")</f>
        <v>394</v>
      </c>
      <c r="J926" cm="1">
        <f t="array" ref="J926">IFERROR(INDEX(CourseHandicap[[Hole 1]:[Hole 18]],
  MATCH(1, (CourseHandicap[Course]=C926)*(CourseHandicap[Tees]=E926), 0),
  MATCH(G926, CourseHandicap[[#Headers],[Hole 1]:[Hole 18]], 0)
),"")</f>
        <v>9</v>
      </c>
      <c r="K926" cm="1">
        <f t="array" ref="K926">IFERROR(INDEX(CourseRatings[[Hole 1]:[Hole 18]],
  MATCH(1, (CourseRatings[Course]=C926)*(CourseRatings[Tees]=E926), 0),
  MATCH(G926, CourseRatings[[#Headers],[Hole 1]:[Hole 18]], 0)
),"")</f>
        <v>4</v>
      </c>
      <c r="L926" cm="1">
        <f t="array" ref="L926">IFERROR(
  INDEX('Golf Log'!$E$2:$V$72,
    MATCH(1,
      ('Golf Log'!$A$2:$A$72=$A926)*
      ('Golf Log'!$B$2:$B$72=$B926)*
      ('Golf Log'!$C$2:$C$72=$C926),
    0),
    MATCH($G926,'Golf Log'!$E$1:$V$1,0)
  ),
"")</f>
        <v>4</v>
      </c>
      <c r="M926">
        <f t="shared" si="64"/>
        <v>0</v>
      </c>
      <c r="N926" t="str">
        <f t="shared" si="65"/>
        <v>Par</v>
      </c>
      <c r="O926" cm="1">
        <f t="array" ref="O926">IFERROR(
  INDEX('Putt Log'!$E$2:$V$72,
    MATCH(1,
      ('Putt Log'!$A$2:$A$72=$A926)*
      ('Putt Log'!$B$2:$B$72=$B926)*
      ('Putt Log'!$C$2:$C$72=$C926),
    0),
    MATCH($G926,'Putt Log'!$E$1:$V$1,0)
  ),
"")</f>
        <v>2</v>
      </c>
      <c r="P926" cm="1">
        <f t="array" ref="P926">IF(K926=3,"",
  IFERROR(
    INDEX('Fairway Log'!$E$2:$V$72,
      MATCH(1,
        ('Fairway Log'!$A$2:$A$72=$A926)*
        ('Fairway Log'!$B$2:$B$72=$B926)*
        ('Fairway Log'!$C$2:$C997=$C926),
      0),
      MATCH($G926,'Fairway Log'!$E$1:$V$1,0)
    ),
  "")
)</f>
        <v>1</v>
      </c>
      <c r="Q926" cm="1">
        <f t="array" ref="Q926">IFERROR(
  INDEX('GIR Log'!$E$2:$V$72,
    MATCH(1,
      ('GIR Log'!$A$2:$A$72=$A926)*
      ('GIR Log'!$B$2:$B$72=$B926)*
      ('GIR Log'!$C$2:$C$72=$C926),
    0),
    MATCH($G926,'GIR Log'!$E$1:$V$1,0)
  ),
"")</f>
        <v>1</v>
      </c>
    </row>
    <row r="927" spans="1:17" x14ac:dyDescent="0.25">
      <c r="A927" s="51" t="s">
        <v>130</v>
      </c>
      <c r="B927" s="2">
        <v>45886</v>
      </c>
      <c r="C927" t="s">
        <v>41</v>
      </c>
      <c r="D927" s="51" t="s">
        <v>79</v>
      </c>
      <c r="E927" s="51" t="s">
        <v>34</v>
      </c>
      <c r="F927">
        <v>89</v>
      </c>
      <c r="G927" t="s">
        <v>54</v>
      </c>
      <c r="H927" s="9">
        <f t="shared" si="63"/>
        <v>8</v>
      </c>
      <c r="I927" cm="1">
        <f t="array" ref="I927">IFERROR(INDEX(CourseYardages[[Hole 1]:[Hole 18]],
  MATCH(1, (CourseYardages[Course]=C927)*(CourseYardages[Tees]=E927), 0),
  MATCH(G927, CourseYardages[[#Headers],[Hole 1]:[Hole 18]], 0)
),"")</f>
        <v>399</v>
      </c>
      <c r="J927" cm="1">
        <f t="array" ref="J927">IFERROR(INDEX(CourseHandicap[[Hole 1]:[Hole 18]],
  MATCH(1, (CourseHandicap[Course]=C927)*(CourseHandicap[Tees]=E927), 0),
  MATCH(G927, CourseHandicap[[#Headers],[Hole 1]:[Hole 18]], 0)
),"")</f>
        <v>3</v>
      </c>
      <c r="K927" cm="1">
        <f t="array" ref="K927">IFERROR(INDEX(CourseRatings[[Hole 1]:[Hole 18]],
  MATCH(1, (CourseRatings[Course]=C927)*(CourseRatings[Tees]=E927), 0),
  MATCH(G927, CourseRatings[[#Headers],[Hole 1]:[Hole 18]], 0)
),"")</f>
        <v>4</v>
      </c>
      <c r="L927" cm="1">
        <f t="array" ref="L927">IFERROR(
  INDEX('Golf Log'!$E$2:$V$72,
    MATCH(1,
      ('Golf Log'!$A$2:$A$72=$A927)*
      ('Golf Log'!$B$2:$B$72=$B927)*
      ('Golf Log'!$C$2:$C$72=$C927),
    0),
    MATCH($G927,'Golf Log'!$E$1:$V$1,0)
  ),
"")</f>
        <v>4</v>
      </c>
      <c r="M927">
        <f t="shared" si="64"/>
        <v>0</v>
      </c>
      <c r="N927" t="str">
        <f t="shared" si="65"/>
        <v>Par</v>
      </c>
      <c r="O927" cm="1">
        <f t="array" ref="O927">IFERROR(
  INDEX('Putt Log'!$E$2:$V$72,
    MATCH(1,
      ('Putt Log'!$A$2:$A$72=$A927)*
      ('Putt Log'!$B$2:$B$72=$B927)*
      ('Putt Log'!$C$2:$C$72=$C927),
    0),
    MATCH($G927,'Putt Log'!$E$1:$V$1,0)
  ),
"")</f>
        <v>2</v>
      </c>
      <c r="P927" cm="1">
        <f t="array" ref="P927">IF(K927=3,"",
  IFERROR(
    INDEX('Fairway Log'!$E$2:$V$72,
      MATCH(1,
        ('Fairway Log'!$A$2:$A$72=$A927)*
        ('Fairway Log'!$B$2:$B$72=$B927)*
        ('Fairway Log'!$C$2:$C998=$C927),
      0),
      MATCH($G927,'Fairway Log'!$E$1:$V$1,0)
    ),
  "")
)</f>
        <v>1</v>
      </c>
      <c r="Q927" cm="1">
        <f t="array" ref="Q927">IFERROR(
  INDEX('GIR Log'!$E$2:$V$72,
    MATCH(1,
      ('GIR Log'!$A$2:$A$72=$A927)*
      ('GIR Log'!$B$2:$B$72=$B927)*
      ('GIR Log'!$C$2:$C$72=$C927),
    0),
    MATCH($G927,'GIR Log'!$E$1:$V$1,0)
  ),
"")</f>
        <v>1</v>
      </c>
    </row>
    <row r="928" spans="1:17" x14ac:dyDescent="0.25">
      <c r="A928" s="51" t="s">
        <v>130</v>
      </c>
      <c r="B928" s="2">
        <v>45886</v>
      </c>
      <c r="C928" t="s">
        <v>41</v>
      </c>
      <c r="D928" s="51" t="s">
        <v>79</v>
      </c>
      <c r="E928" s="51" t="s">
        <v>34</v>
      </c>
      <c r="F928">
        <v>89</v>
      </c>
      <c r="G928" t="s">
        <v>55</v>
      </c>
      <c r="H928" s="9">
        <f t="shared" si="63"/>
        <v>9</v>
      </c>
      <c r="I928" cm="1">
        <f t="array" ref="I928">IFERROR(INDEX(CourseYardages[[Hole 1]:[Hole 18]],
  MATCH(1, (CourseYardages[Course]=C928)*(CourseYardages[Tees]=E928), 0),
  MATCH(G928, CourseYardages[[#Headers],[Hole 1]:[Hole 18]], 0)
),"")</f>
        <v>512</v>
      </c>
      <c r="J928" cm="1">
        <f t="array" ref="J928">IFERROR(INDEX(CourseHandicap[[Hole 1]:[Hole 18]],
  MATCH(1, (CourseHandicap[Course]=C928)*(CourseHandicap[Tees]=E928), 0),
  MATCH(G928, CourseHandicap[[#Headers],[Hole 1]:[Hole 18]], 0)
),"")</f>
        <v>5</v>
      </c>
      <c r="K928" cm="1">
        <f t="array" ref="K928">IFERROR(INDEX(CourseRatings[[Hole 1]:[Hole 18]],
  MATCH(1, (CourseRatings[Course]=C928)*(CourseRatings[Tees]=E928), 0),
  MATCH(G928, CourseRatings[[#Headers],[Hole 1]:[Hole 18]], 0)
),"")</f>
        <v>5</v>
      </c>
      <c r="L928" cm="1">
        <f t="array" ref="L928">IFERROR(
  INDEX('Golf Log'!$E$2:$V$72,
    MATCH(1,
      ('Golf Log'!$A$2:$A$72=$A928)*
      ('Golf Log'!$B$2:$B$72=$B928)*
      ('Golf Log'!$C$2:$C$72=$C928),
    0),
    MATCH($G928,'Golf Log'!$E$1:$V$1,0)
  ),
"")</f>
        <v>6</v>
      </c>
      <c r="M928">
        <f t="shared" si="64"/>
        <v>1</v>
      </c>
      <c r="N928" t="str">
        <f t="shared" si="65"/>
        <v>Bogey</v>
      </c>
      <c r="O928" cm="1">
        <f t="array" ref="O928">IFERROR(
  INDEX('Putt Log'!$E$2:$V$72,
    MATCH(1,
      ('Putt Log'!$A$2:$A$72=$A928)*
      ('Putt Log'!$B$2:$B$72=$B928)*
      ('Putt Log'!$C$2:$C$72=$C928),
    0),
    MATCH($G928,'Putt Log'!$E$1:$V$1,0)
  ),
"")</f>
        <v>2</v>
      </c>
      <c r="P928" t="str" cm="1">
        <f t="array" ref="P928">IF(K928=3,"",
  IFERROR(
    INDEX('Fairway Log'!$E$2:$V$72,
      MATCH(1,
        ('Fairway Log'!$A$2:$A$72=$A928)*
        ('Fairway Log'!$B$2:$B$72=$B928)*
        ('Fairway Log'!$C$2:$C999=$C928),
      0),
      MATCH($G928,'Fairway Log'!$E$1:$V$1,0)
    ),
  "")
)</f>
        <v>←</v>
      </c>
      <c r="Q928" t="str" cm="1">
        <f t="array" ref="Q928">IFERROR(
  INDEX('GIR Log'!$E$2:$V$72,
    MATCH(1,
      ('GIR Log'!$A$2:$A$72=$A928)*
      ('GIR Log'!$B$2:$B$72=$B928)*
      ('GIR Log'!$C$2:$C$72=$C928),
    0),
    MATCH($G928,'GIR Log'!$E$1:$V$1,0)
  ),
"")</f>
        <v>↓</v>
      </c>
    </row>
    <row r="929" spans="1:17" x14ac:dyDescent="0.25">
      <c r="A929" s="51" t="s">
        <v>130</v>
      </c>
      <c r="B929" s="2">
        <v>45886</v>
      </c>
      <c r="C929" t="s">
        <v>41</v>
      </c>
      <c r="D929" s="51" t="s">
        <v>79</v>
      </c>
      <c r="E929" s="51" t="s">
        <v>34</v>
      </c>
      <c r="F929">
        <v>89</v>
      </c>
      <c r="G929" t="s">
        <v>56</v>
      </c>
      <c r="H929" s="9">
        <f t="shared" si="63"/>
        <v>10</v>
      </c>
      <c r="I929" cm="1">
        <f t="array" ref="I929">IFERROR(INDEX(CourseYardages[[Hole 1]:[Hole 18]],
  MATCH(1, (CourseYardages[Course]=C929)*(CourseYardages[Tees]=E929), 0),
  MATCH(G929, CourseYardages[[#Headers],[Hole 1]:[Hole 18]], 0)
),"")</f>
        <v>326</v>
      </c>
      <c r="J929" cm="1">
        <f t="array" ref="J929">IFERROR(INDEX(CourseHandicap[[Hole 1]:[Hole 18]],
  MATCH(1, (CourseHandicap[Course]=C929)*(CourseHandicap[Tees]=E929), 0),
  MATCH(G929, CourseHandicap[[#Headers],[Hole 1]:[Hole 18]], 0)
),"")</f>
        <v>12</v>
      </c>
      <c r="K929" cm="1">
        <f t="array" ref="K929">IFERROR(INDEX(CourseRatings[[Hole 1]:[Hole 18]],
  MATCH(1, (CourseRatings[Course]=C929)*(CourseRatings[Tees]=E929), 0),
  MATCH(G929, CourseRatings[[#Headers],[Hole 1]:[Hole 18]], 0)
),"")</f>
        <v>4</v>
      </c>
      <c r="L929" cm="1">
        <f t="array" ref="L929">IFERROR(
  INDEX('Golf Log'!$E$2:$V$72,
    MATCH(1,
      ('Golf Log'!$A$2:$A$72=$A929)*
      ('Golf Log'!$B$2:$B$72=$B929)*
      ('Golf Log'!$C$2:$C$72=$C929),
    0),
    MATCH($G929,'Golf Log'!$E$1:$V$1,0)
  ),
"")</f>
        <v>4</v>
      </c>
      <c r="M929">
        <f t="shared" si="64"/>
        <v>0</v>
      </c>
      <c r="N929" t="str">
        <f t="shared" si="65"/>
        <v>Par</v>
      </c>
      <c r="O929" cm="1">
        <f t="array" ref="O929">IFERROR(
  INDEX('Putt Log'!$E$2:$V$72,
    MATCH(1,
      ('Putt Log'!$A$2:$A$72=$A929)*
      ('Putt Log'!$B$2:$B$72=$B929)*
      ('Putt Log'!$C$2:$C$72=$C929),
    0),
    MATCH($G929,'Putt Log'!$E$1:$V$1,0)
  ),
"")</f>
        <v>2</v>
      </c>
      <c r="P929" cm="1">
        <f t="array" ref="P929">IF(K929=3,"",
  IFERROR(
    INDEX('Fairway Log'!$E$2:$V$72,
      MATCH(1,
        ('Fairway Log'!$A$2:$A$72=$A929)*
        ('Fairway Log'!$B$2:$B$72=$B929)*
        ('Fairway Log'!$C$2:$C1000=$C929),
      0),
      MATCH($G929,'Fairway Log'!$E$1:$V$1,0)
    ),
  "")
)</f>
        <v>1</v>
      </c>
      <c r="Q929" cm="1">
        <f t="array" ref="Q929">IFERROR(
  INDEX('GIR Log'!$E$2:$V$72,
    MATCH(1,
      ('GIR Log'!$A$2:$A$72=$A929)*
      ('GIR Log'!$B$2:$B$72=$B929)*
      ('GIR Log'!$C$2:$C$72=$C929),
    0),
    MATCH($G929,'GIR Log'!$E$1:$V$1,0)
  ),
"")</f>
        <v>1</v>
      </c>
    </row>
    <row r="930" spans="1:17" x14ac:dyDescent="0.25">
      <c r="A930" s="51" t="s">
        <v>130</v>
      </c>
      <c r="B930" s="2">
        <v>45886</v>
      </c>
      <c r="C930" t="s">
        <v>41</v>
      </c>
      <c r="D930" s="51" t="s">
        <v>79</v>
      </c>
      <c r="E930" s="51" t="s">
        <v>34</v>
      </c>
      <c r="F930">
        <v>89</v>
      </c>
      <c r="G930" t="s">
        <v>57</v>
      </c>
      <c r="H930" s="9">
        <f t="shared" si="63"/>
        <v>11</v>
      </c>
      <c r="I930" cm="1">
        <f t="array" ref="I930">IFERROR(INDEX(CourseYardages[[Hole 1]:[Hole 18]],
  MATCH(1, (CourseYardages[Course]=C930)*(CourseYardages[Tees]=E930), 0),
  MATCH(G930, CourseYardages[[#Headers],[Hole 1]:[Hole 18]], 0)
),"")</f>
        <v>497</v>
      </c>
      <c r="J930" cm="1">
        <f t="array" ref="J930">IFERROR(INDEX(CourseHandicap[[Hole 1]:[Hole 18]],
  MATCH(1, (CourseHandicap[Course]=C930)*(CourseHandicap[Tees]=E930), 0),
  MATCH(G930, CourseHandicap[[#Headers],[Hole 1]:[Hole 18]], 0)
),"")</f>
        <v>6</v>
      </c>
      <c r="K930" cm="1">
        <f t="array" ref="K930">IFERROR(INDEX(CourseRatings[[Hole 1]:[Hole 18]],
  MATCH(1, (CourseRatings[Course]=C930)*(CourseRatings[Tees]=E930), 0),
  MATCH(G930, CourseRatings[[#Headers],[Hole 1]:[Hole 18]], 0)
),"")</f>
        <v>5</v>
      </c>
      <c r="L930" cm="1">
        <f t="array" ref="L930">IFERROR(
  INDEX('Golf Log'!$E$2:$V$72,
    MATCH(1,
      ('Golf Log'!$A$2:$A$72=$A930)*
      ('Golf Log'!$B$2:$B$72=$B930)*
      ('Golf Log'!$C$2:$C$72=$C930),
    0),
    MATCH($G930,'Golf Log'!$E$1:$V$1,0)
  ),
"")</f>
        <v>5</v>
      </c>
      <c r="M930">
        <f t="shared" si="64"/>
        <v>0</v>
      </c>
      <c r="N930" t="str">
        <f t="shared" si="65"/>
        <v>Par</v>
      </c>
      <c r="O930" cm="1">
        <f t="array" ref="O930">IFERROR(
  INDEX('Putt Log'!$E$2:$V$72,
    MATCH(1,
      ('Putt Log'!$A$2:$A$72=$A930)*
      ('Putt Log'!$B$2:$B$72=$B930)*
      ('Putt Log'!$C$2:$C$72=$C930),
    0),
    MATCH($G930,'Putt Log'!$E$1:$V$1,0)
  ),
"")</f>
        <v>2</v>
      </c>
      <c r="P930" cm="1">
        <f t="array" ref="P930">IF(K930=3,"",
  IFERROR(
    INDEX('Fairway Log'!$E$2:$V$72,
      MATCH(1,
        ('Fairway Log'!$A$2:$A$72=$A930)*
        ('Fairway Log'!$B$2:$B$72=$B930)*
        ('Fairway Log'!$C$2:$C1001=$C930),
      0),
      MATCH($G930,'Fairway Log'!$E$1:$V$1,0)
    ),
  "")
)</f>
        <v>1</v>
      </c>
      <c r="Q930" cm="1">
        <f t="array" ref="Q930">IFERROR(
  INDEX('GIR Log'!$E$2:$V$72,
    MATCH(1,
      ('GIR Log'!$A$2:$A$72=$A930)*
      ('GIR Log'!$B$2:$B$72=$B930)*
      ('GIR Log'!$C$2:$C$72=$C930),
    0),
    MATCH($G930,'GIR Log'!$E$1:$V$1,0)
  ),
"")</f>
        <v>1</v>
      </c>
    </row>
    <row r="931" spans="1:17" x14ac:dyDescent="0.25">
      <c r="A931" s="51" t="s">
        <v>130</v>
      </c>
      <c r="B931" s="2">
        <v>45886</v>
      </c>
      <c r="C931" t="s">
        <v>41</v>
      </c>
      <c r="D931" s="51" t="s">
        <v>79</v>
      </c>
      <c r="E931" s="51" t="s">
        <v>34</v>
      </c>
      <c r="F931">
        <v>89</v>
      </c>
      <c r="G931" t="s">
        <v>58</v>
      </c>
      <c r="H931" s="9">
        <f t="shared" si="63"/>
        <v>12</v>
      </c>
      <c r="I931" cm="1">
        <f t="array" ref="I931">IFERROR(INDEX(CourseYardages[[Hole 1]:[Hole 18]],
  MATCH(1, (CourseYardages[Course]=C931)*(CourseYardages[Tees]=E931), 0),
  MATCH(G931, CourseYardages[[#Headers],[Hole 1]:[Hole 18]], 0)
),"")</f>
        <v>343</v>
      </c>
      <c r="J931" cm="1">
        <f t="array" ref="J931">IFERROR(INDEX(CourseHandicap[[Hole 1]:[Hole 18]],
  MATCH(1, (CourseHandicap[Course]=C931)*(CourseHandicap[Tees]=E931), 0),
  MATCH(G931, CourseHandicap[[#Headers],[Hole 1]:[Hole 18]], 0)
),"")</f>
        <v>14</v>
      </c>
      <c r="K931" cm="1">
        <f t="array" ref="K931">IFERROR(INDEX(CourseRatings[[Hole 1]:[Hole 18]],
  MATCH(1, (CourseRatings[Course]=C931)*(CourseRatings[Tees]=E931), 0),
  MATCH(G931, CourseRatings[[#Headers],[Hole 1]:[Hole 18]], 0)
),"")</f>
        <v>4</v>
      </c>
      <c r="L931" cm="1">
        <f t="array" ref="L931">IFERROR(
  INDEX('Golf Log'!$E$2:$V$72,
    MATCH(1,
      ('Golf Log'!$A$2:$A$72=$A931)*
      ('Golf Log'!$B$2:$B$72=$B931)*
      ('Golf Log'!$C$2:$C$72=$C931),
    0),
    MATCH($G931,'Golf Log'!$E$1:$V$1,0)
  ),
"")</f>
        <v>5</v>
      </c>
      <c r="M931">
        <f t="shared" si="64"/>
        <v>1</v>
      </c>
      <c r="N931" t="str">
        <f t="shared" si="65"/>
        <v>Bogey</v>
      </c>
      <c r="O931" cm="1">
        <f t="array" ref="O931">IFERROR(
  INDEX('Putt Log'!$E$2:$V$72,
    MATCH(1,
      ('Putt Log'!$A$2:$A$72=$A931)*
      ('Putt Log'!$B$2:$B$72=$B931)*
      ('Putt Log'!$C$2:$C$72=$C931),
    0),
    MATCH($G931,'Putt Log'!$E$1:$V$1,0)
  ),
"")</f>
        <v>1</v>
      </c>
      <c r="P931" cm="1">
        <f t="array" ref="P931">IF(K931=3,"",
  IFERROR(
    INDEX('Fairway Log'!$E$2:$V$72,
      MATCH(1,
        ('Fairway Log'!$A$2:$A$72=$A931)*
        ('Fairway Log'!$B$2:$B$72=$B931)*
        ('Fairway Log'!$C$2:$C1002=$C931),
      0),
      MATCH($G931,'Fairway Log'!$E$1:$V$1,0)
    ),
  "")
)</f>
        <v>1</v>
      </c>
      <c r="Q931" t="str" cm="1">
        <f t="array" ref="Q931">IFERROR(
  INDEX('GIR Log'!$E$2:$V$72,
    MATCH(1,
      ('GIR Log'!$A$2:$A$72=$A931)*
      ('GIR Log'!$B$2:$B$72=$B931)*
      ('GIR Log'!$C$2:$C$72=$C931),
    0),
    MATCH($G931,'GIR Log'!$E$1:$V$1,0)
  ),
"")</f>
        <v>↑</v>
      </c>
    </row>
    <row r="932" spans="1:17" x14ac:dyDescent="0.25">
      <c r="A932" s="51" t="s">
        <v>130</v>
      </c>
      <c r="B932" s="2">
        <v>45886</v>
      </c>
      <c r="C932" t="s">
        <v>41</v>
      </c>
      <c r="D932" s="51" t="s">
        <v>79</v>
      </c>
      <c r="E932" s="51" t="s">
        <v>34</v>
      </c>
      <c r="F932">
        <v>89</v>
      </c>
      <c r="G932" t="s">
        <v>59</v>
      </c>
      <c r="H932" s="9">
        <f t="shared" si="63"/>
        <v>13</v>
      </c>
      <c r="I932" cm="1">
        <f t="array" ref="I932">IFERROR(INDEX(CourseYardages[[Hole 1]:[Hole 18]],
  MATCH(1, (CourseYardages[Course]=C932)*(CourseYardages[Tees]=E932), 0),
  MATCH(G932, CourseYardages[[#Headers],[Hole 1]:[Hole 18]], 0)
),"")</f>
        <v>180</v>
      </c>
      <c r="J932" cm="1">
        <f t="array" ref="J932">IFERROR(INDEX(CourseHandicap[[Hole 1]:[Hole 18]],
  MATCH(1, (CourseHandicap[Course]=C932)*(CourseHandicap[Tees]=E932), 0),
  MATCH(G932, CourseHandicap[[#Headers],[Hole 1]:[Hole 18]], 0)
),"")</f>
        <v>16</v>
      </c>
      <c r="K932" cm="1">
        <f t="array" ref="K932">IFERROR(INDEX(CourseRatings[[Hole 1]:[Hole 18]],
  MATCH(1, (CourseRatings[Course]=C932)*(CourseRatings[Tees]=E932), 0),
  MATCH(G932, CourseRatings[[#Headers],[Hole 1]:[Hole 18]], 0)
),"")</f>
        <v>3</v>
      </c>
      <c r="L932" cm="1">
        <f t="array" ref="L932">IFERROR(
  INDEX('Golf Log'!$E$2:$V$72,
    MATCH(1,
      ('Golf Log'!$A$2:$A$72=$A932)*
      ('Golf Log'!$B$2:$B$72=$B932)*
      ('Golf Log'!$C$2:$C$72=$C932),
    0),
    MATCH($G932,'Golf Log'!$E$1:$V$1,0)
  ),
"")</f>
        <v>4</v>
      </c>
      <c r="M932">
        <f t="shared" si="64"/>
        <v>1</v>
      </c>
      <c r="N932" t="str">
        <f t="shared" si="65"/>
        <v>Bogey</v>
      </c>
      <c r="O932" cm="1">
        <f t="array" ref="O932">IFERROR(
  INDEX('Putt Log'!$E$2:$V$72,
    MATCH(1,
      ('Putt Log'!$A$2:$A$72=$A932)*
      ('Putt Log'!$B$2:$B$72=$B932)*
      ('Putt Log'!$C$2:$C$72=$C932),
    0),
    MATCH($G932,'Putt Log'!$E$1:$V$1,0)
  ),
"")</f>
        <v>2</v>
      </c>
      <c r="P932" t="str" cm="1">
        <f t="array" ref="P932">IF(K932=3,"",
  IFERROR(
    INDEX('Fairway Log'!$E$2:$V$72,
      MATCH(1,
        ('Fairway Log'!$A$2:$A$72=$A932)*
        ('Fairway Log'!$B$2:$B$72=$B932)*
        ('Fairway Log'!$C$2:$C1003=$C932),
      0),
      MATCH($G932,'Fairway Log'!$E$1:$V$1,0)
    ),
  "")
)</f>
        <v/>
      </c>
      <c r="Q932" t="str" cm="1">
        <f t="array" ref="Q932">IFERROR(
  INDEX('GIR Log'!$E$2:$V$72,
    MATCH(1,
      ('GIR Log'!$A$2:$A$72=$A932)*
      ('GIR Log'!$B$2:$B$72=$B932)*
      ('GIR Log'!$C$2:$C$72=$C932),
    0),
    MATCH($G932,'GIR Log'!$E$1:$V$1,0)
  ),
"")</f>
        <v>↓</v>
      </c>
    </row>
    <row r="933" spans="1:17" x14ac:dyDescent="0.25">
      <c r="A933" s="51" t="s">
        <v>130</v>
      </c>
      <c r="B933" s="2">
        <v>45886</v>
      </c>
      <c r="C933" t="s">
        <v>41</v>
      </c>
      <c r="D933" s="51" t="s">
        <v>79</v>
      </c>
      <c r="E933" s="51" t="s">
        <v>34</v>
      </c>
      <c r="F933">
        <v>89</v>
      </c>
      <c r="G933" t="s">
        <v>60</v>
      </c>
      <c r="H933" s="9">
        <f t="shared" si="63"/>
        <v>14</v>
      </c>
      <c r="I933" cm="1">
        <f t="array" ref="I933">IFERROR(INDEX(CourseYardages[[Hole 1]:[Hole 18]],
  MATCH(1, (CourseYardages[Course]=C933)*(CourseYardages[Tees]=E933), 0),
  MATCH(G933, CourseYardages[[#Headers],[Hole 1]:[Hole 18]], 0)
),"")</f>
        <v>411</v>
      </c>
      <c r="J933" cm="1">
        <f t="array" ref="J933">IFERROR(INDEX(CourseHandicap[[Hole 1]:[Hole 18]],
  MATCH(1, (CourseHandicap[Course]=C933)*(CourseHandicap[Tees]=E933), 0),
  MATCH(G933, CourseHandicap[[#Headers],[Hole 1]:[Hole 18]], 0)
),"")</f>
        <v>4</v>
      </c>
      <c r="K933" cm="1">
        <f t="array" ref="K933">IFERROR(INDEX(CourseRatings[[Hole 1]:[Hole 18]],
  MATCH(1, (CourseRatings[Course]=C933)*(CourseRatings[Tees]=E933), 0),
  MATCH(G933, CourseRatings[[#Headers],[Hole 1]:[Hole 18]], 0)
),"")</f>
        <v>4</v>
      </c>
      <c r="L933" cm="1">
        <f t="array" ref="L933">IFERROR(
  INDEX('Golf Log'!$E$2:$V$72,
    MATCH(1,
      ('Golf Log'!$A$2:$A$72=$A933)*
      ('Golf Log'!$B$2:$B$72=$B933)*
      ('Golf Log'!$C$2:$C$72=$C933),
    0),
    MATCH($G933,'Golf Log'!$E$1:$V$1,0)
  ),
"")</f>
        <v>4</v>
      </c>
      <c r="M933">
        <f t="shared" si="64"/>
        <v>0</v>
      </c>
      <c r="N933" t="str">
        <f t="shared" si="65"/>
        <v>Par</v>
      </c>
      <c r="O933" cm="1">
        <f t="array" ref="O933">IFERROR(
  INDEX('Putt Log'!$E$2:$V$72,
    MATCH(1,
      ('Putt Log'!$A$2:$A$72=$A933)*
      ('Putt Log'!$B$2:$B$72=$B933)*
      ('Putt Log'!$C$2:$C$72=$C933),
    0),
    MATCH($G933,'Putt Log'!$E$1:$V$1,0)
  ),
"")</f>
        <v>2</v>
      </c>
      <c r="P933" cm="1">
        <f t="array" ref="P933">IF(K933=3,"",
  IFERROR(
    INDEX('Fairway Log'!$E$2:$V$72,
      MATCH(1,
        ('Fairway Log'!$A$2:$A$72=$A933)*
        ('Fairway Log'!$B$2:$B$72=$B933)*
        ('Fairway Log'!$C$2:$C1004=$C933),
      0),
      MATCH($G933,'Fairway Log'!$E$1:$V$1,0)
    ),
  "")
)</f>
        <v>1</v>
      </c>
      <c r="Q933" cm="1">
        <f t="array" ref="Q933">IFERROR(
  INDEX('GIR Log'!$E$2:$V$72,
    MATCH(1,
      ('GIR Log'!$A$2:$A$72=$A933)*
      ('GIR Log'!$B$2:$B$72=$B933)*
      ('GIR Log'!$C$2:$C$72=$C933),
    0),
    MATCH($G933,'GIR Log'!$E$1:$V$1,0)
  ),
"")</f>
        <v>1</v>
      </c>
    </row>
    <row r="934" spans="1:17" x14ac:dyDescent="0.25">
      <c r="A934" s="51" t="s">
        <v>130</v>
      </c>
      <c r="B934" s="2">
        <v>45886</v>
      </c>
      <c r="C934" t="s">
        <v>41</v>
      </c>
      <c r="D934" s="51" t="s">
        <v>79</v>
      </c>
      <c r="E934" s="51" t="s">
        <v>34</v>
      </c>
      <c r="F934">
        <v>89</v>
      </c>
      <c r="G934" t="s">
        <v>61</v>
      </c>
      <c r="H934" s="9">
        <f t="shared" si="63"/>
        <v>15</v>
      </c>
      <c r="I934" cm="1">
        <f t="array" ref="I934">IFERROR(INDEX(CourseYardages[[Hole 1]:[Hole 18]],
  MATCH(1, (CourseYardages[Course]=C934)*(CourseYardages[Tees]=E934), 0),
  MATCH(G934, CourseYardages[[#Headers],[Hole 1]:[Hole 18]], 0)
),"")</f>
        <v>344</v>
      </c>
      <c r="J934" cm="1">
        <f t="array" ref="J934">IFERROR(INDEX(CourseHandicap[[Hole 1]:[Hole 18]],
  MATCH(1, (CourseHandicap[Course]=C934)*(CourseHandicap[Tees]=E934), 0),
  MATCH(G934, CourseHandicap[[#Headers],[Hole 1]:[Hole 18]], 0)
),"")</f>
        <v>8</v>
      </c>
      <c r="K934" cm="1">
        <f t="array" ref="K934">IFERROR(INDEX(CourseRatings[[Hole 1]:[Hole 18]],
  MATCH(1, (CourseRatings[Course]=C934)*(CourseRatings[Tees]=E934), 0),
  MATCH(G934, CourseRatings[[#Headers],[Hole 1]:[Hole 18]], 0)
),"")</f>
        <v>4</v>
      </c>
      <c r="L934" cm="1">
        <f t="array" ref="L934">IFERROR(
  INDEX('Golf Log'!$E$2:$V$72,
    MATCH(1,
      ('Golf Log'!$A$2:$A$72=$A934)*
      ('Golf Log'!$B$2:$B$72=$B934)*
      ('Golf Log'!$C$2:$C$72=$C934),
    0),
    MATCH($G934,'Golf Log'!$E$1:$V$1,0)
  ),
"")</f>
        <v>6</v>
      </c>
      <c r="M934">
        <f t="shared" si="64"/>
        <v>2</v>
      </c>
      <c r="N934" t="str">
        <f t="shared" si="65"/>
        <v>Double Bogey</v>
      </c>
      <c r="O934" cm="1">
        <f t="array" ref="O934">IFERROR(
  INDEX('Putt Log'!$E$2:$V$72,
    MATCH(1,
      ('Putt Log'!$A$2:$A$72=$A934)*
      ('Putt Log'!$B$2:$B$72=$B934)*
      ('Putt Log'!$C$2:$C$72=$C934),
    0),
    MATCH($G934,'Putt Log'!$E$1:$V$1,0)
  ),
"")</f>
        <v>2</v>
      </c>
      <c r="P934" t="str" cm="1">
        <f t="array" ref="P934">IF(K934=3,"",
  IFERROR(
    INDEX('Fairway Log'!$E$2:$V$72,
      MATCH(1,
        ('Fairway Log'!$A$2:$A$72=$A934)*
        ('Fairway Log'!$B$2:$B$72=$B934)*
        ('Fairway Log'!$C$2:$C1005=$C934),
      0),
      MATCH($G934,'Fairway Log'!$E$1:$V$1,0)
    ),
  "")
)</f>
        <v>←</v>
      </c>
      <c r="Q934" t="str" cm="1">
        <f t="array" ref="Q934">IFERROR(
  INDEX('GIR Log'!$E$2:$V$72,
    MATCH(1,
      ('GIR Log'!$A$2:$A$72=$A934)*
      ('GIR Log'!$B$2:$B$72=$B934)*
      ('GIR Log'!$C$2:$C$72=$C934),
    0),
    MATCH($G934,'GIR Log'!$E$1:$V$1,0)
  ),
"")</f>
        <v>↓</v>
      </c>
    </row>
    <row r="935" spans="1:17" x14ac:dyDescent="0.25">
      <c r="A935" s="51" t="s">
        <v>130</v>
      </c>
      <c r="B935" s="2">
        <v>45886</v>
      </c>
      <c r="C935" t="s">
        <v>41</v>
      </c>
      <c r="D935" s="51" t="s">
        <v>79</v>
      </c>
      <c r="E935" s="51" t="s">
        <v>34</v>
      </c>
      <c r="F935">
        <v>89</v>
      </c>
      <c r="G935" t="s">
        <v>62</v>
      </c>
      <c r="H935" s="9">
        <f t="shared" si="63"/>
        <v>16</v>
      </c>
      <c r="I935" cm="1">
        <f t="array" ref="I935">IFERROR(INDEX(CourseYardages[[Hole 1]:[Hole 18]],
  MATCH(1, (CourseYardages[Course]=C935)*(CourseYardages[Tees]=E935), 0),
  MATCH(G935, CourseYardages[[#Headers],[Hole 1]:[Hole 18]], 0)
),"")</f>
        <v>158</v>
      </c>
      <c r="J935" cm="1">
        <f t="array" ref="J935">IFERROR(INDEX(CourseHandicap[[Hole 1]:[Hole 18]],
  MATCH(1, (CourseHandicap[Course]=C935)*(CourseHandicap[Tees]=E935), 0),
  MATCH(G935, CourseHandicap[[#Headers],[Hole 1]:[Hole 18]], 0)
),"")</f>
        <v>18</v>
      </c>
      <c r="K935" cm="1">
        <f t="array" ref="K935">IFERROR(INDEX(CourseRatings[[Hole 1]:[Hole 18]],
  MATCH(1, (CourseRatings[Course]=C935)*(CourseRatings[Tees]=E935), 0),
  MATCH(G935, CourseRatings[[#Headers],[Hole 1]:[Hole 18]], 0)
),"")</f>
        <v>3</v>
      </c>
      <c r="L935" cm="1">
        <f t="array" ref="L935">IFERROR(
  INDEX('Golf Log'!$E$2:$V$72,
    MATCH(1,
      ('Golf Log'!$A$2:$A$72=$A935)*
      ('Golf Log'!$B$2:$B$72=$B935)*
      ('Golf Log'!$C$2:$C$72=$C935),
    0),
    MATCH($G935,'Golf Log'!$E$1:$V$1,0)
  ),
"")</f>
        <v>3</v>
      </c>
      <c r="M935">
        <f t="shared" si="64"/>
        <v>0</v>
      </c>
      <c r="N935" t="str">
        <f t="shared" si="65"/>
        <v>Par</v>
      </c>
      <c r="O935" cm="1">
        <f t="array" ref="O935">IFERROR(
  INDEX('Putt Log'!$E$2:$V$72,
    MATCH(1,
      ('Putt Log'!$A$2:$A$72=$A935)*
      ('Putt Log'!$B$2:$B$72=$B935)*
      ('Putt Log'!$C$2:$C$72=$C935),
    0),
    MATCH($G935,'Putt Log'!$E$1:$V$1,0)
  ),
"")</f>
        <v>2</v>
      </c>
      <c r="P935" t="str" cm="1">
        <f t="array" ref="P935">IF(K935=3,"",
  IFERROR(
    INDEX('Fairway Log'!$E$2:$V$72,
      MATCH(1,
        ('Fairway Log'!$A$2:$A$72=$A935)*
        ('Fairway Log'!$B$2:$B$72=$B935)*
        ('Fairway Log'!$C$2:$C1006=$C935),
      0),
      MATCH($G935,'Fairway Log'!$E$1:$V$1,0)
    ),
  "")
)</f>
        <v/>
      </c>
      <c r="Q935" cm="1">
        <f t="array" ref="Q935">IFERROR(
  INDEX('GIR Log'!$E$2:$V$72,
    MATCH(1,
      ('GIR Log'!$A$2:$A$72=$A935)*
      ('GIR Log'!$B$2:$B$72=$B935)*
      ('GIR Log'!$C$2:$C$72=$C935),
    0),
    MATCH($G935,'GIR Log'!$E$1:$V$1,0)
  ),
"")</f>
        <v>1</v>
      </c>
    </row>
    <row r="936" spans="1:17" x14ac:dyDescent="0.25">
      <c r="A936" s="51" t="s">
        <v>130</v>
      </c>
      <c r="B936" s="2">
        <v>45886</v>
      </c>
      <c r="C936" t="s">
        <v>41</v>
      </c>
      <c r="D936" s="51" t="s">
        <v>79</v>
      </c>
      <c r="E936" s="51" t="s">
        <v>34</v>
      </c>
      <c r="F936">
        <v>89</v>
      </c>
      <c r="G936" t="s">
        <v>63</v>
      </c>
      <c r="H936" s="9">
        <f t="shared" si="63"/>
        <v>17</v>
      </c>
      <c r="I936" cm="1">
        <f t="array" ref="I936">IFERROR(INDEX(CourseYardages[[Hole 1]:[Hole 18]],
  MATCH(1, (CourseYardages[Course]=C936)*(CourseYardages[Tees]=E936), 0),
  MATCH(G936, CourseYardages[[#Headers],[Hole 1]:[Hole 18]], 0)
),"")</f>
        <v>421</v>
      </c>
      <c r="J936" cm="1">
        <f t="array" ref="J936">IFERROR(INDEX(CourseHandicap[[Hole 1]:[Hole 18]],
  MATCH(1, (CourseHandicap[Course]=C936)*(CourseHandicap[Tees]=E936), 0),
  MATCH(G936, CourseHandicap[[#Headers],[Hole 1]:[Hole 18]], 0)
),"")</f>
        <v>2</v>
      </c>
      <c r="K936" cm="1">
        <f t="array" ref="K936">IFERROR(INDEX(CourseRatings[[Hole 1]:[Hole 18]],
  MATCH(1, (CourseRatings[Course]=C936)*(CourseRatings[Tees]=E936), 0),
  MATCH(G936, CourseRatings[[#Headers],[Hole 1]:[Hole 18]], 0)
),"")</f>
        <v>4</v>
      </c>
      <c r="L936" cm="1">
        <f t="array" ref="L936">IFERROR(
  INDEX('Golf Log'!$E$2:$V$72,
    MATCH(1,
      ('Golf Log'!$A$2:$A$72=$A936)*
      ('Golf Log'!$B$2:$B$72=$B936)*
      ('Golf Log'!$C$2:$C$72=$C936),
    0),
    MATCH($G936,'Golf Log'!$E$1:$V$1,0)
  ),
"")</f>
        <v>7</v>
      </c>
      <c r="M936">
        <f t="shared" si="64"/>
        <v>3</v>
      </c>
      <c r="N936" t="str">
        <f t="shared" si="65"/>
        <v>Triple Bogey</v>
      </c>
      <c r="O936" cm="1">
        <f t="array" ref="O936">IFERROR(
  INDEX('Putt Log'!$E$2:$V$72,
    MATCH(1,
      ('Putt Log'!$A$2:$A$72=$A936)*
      ('Putt Log'!$B$2:$B$72=$B936)*
      ('Putt Log'!$C$2:$C$72=$C936),
    0),
    MATCH($G936,'Putt Log'!$E$1:$V$1,0)
  ),
"")</f>
        <v>3</v>
      </c>
      <c r="P936" t="str" cm="1">
        <f t="array" ref="P936">IF(K936=3,"",
  IFERROR(
    INDEX('Fairway Log'!$E$2:$V$72,
      MATCH(1,
        ('Fairway Log'!$A$2:$A$72=$A936)*
        ('Fairway Log'!$B$2:$B$72=$B936)*
        ('Fairway Log'!$C$2:$C1007=$C936),
      0),
      MATCH($G936,'Fairway Log'!$E$1:$V$1,0)
    ),
  "")
)</f>
        <v>→</v>
      </c>
      <c r="Q936" t="str" cm="1">
        <f t="array" ref="Q936">IFERROR(
  INDEX('GIR Log'!$E$2:$V$72,
    MATCH(1,
      ('GIR Log'!$A$2:$A$72=$A936)*
      ('GIR Log'!$B$2:$B$72=$B936)*
      ('GIR Log'!$C$2:$C$72=$C936),
    0),
    MATCH($G936,'GIR Log'!$E$1:$V$1,0)
  ),
"")</f>
        <v>↓</v>
      </c>
    </row>
    <row r="937" spans="1:17" x14ac:dyDescent="0.25">
      <c r="A937" s="51" t="s">
        <v>130</v>
      </c>
      <c r="B937" s="2">
        <v>45886</v>
      </c>
      <c r="C937" t="s">
        <v>41</v>
      </c>
      <c r="D937" s="51" t="s">
        <v>79</v>
      </c>
      <c r="E937" s="51" t="s">
        <v>34</v>
      </c>
      <c r="F937">
        <v>89</v>
      </c>
      <c r="G937" t="s">
        <v>64</v>
      </c>
      <c r="H937" s="9">
        <f t="shared" si="63"/>
        <v>18</v>
      </c>
      <c r="I937" cm="1">
        <f t="array" ref="I937">IFERROR(INDEX(CourseYardages[[Hole 1]:[Hole 18]],
  MATCH(1, (CourseYardages[Course]=C937)*(CourseYardages[Tees]=E937), 0),
  MATCH(G937, CourseYardages[[#Headers],[Hole 1]:[Hole 18]], 0)
),"")</f>
        <v>549</v>
      </c>
      <c r="J937" cm="1">
        <f t="array" ref="J937">IFERROR(INDEX(CourseHandicap[[Hole 1]:[Hole 18]],
  MATCH(1, (CourseHandicap[Course]=C937)*(CourseHandicap[Tees]=E937), 0),
  MATCH(G937, CourseHandicap[[#Headers],[Hole 1]:[Hole 18]], 0)
),"")</f>
        <v>10</v>
      </c>
      <c r="K937" cm="1">
        <f t="array" ref="K937">IFERROR(INDEX(CourseRatings[[Hole 1]:[Hole 18]],
  MATCH(1, (CourseRatings[Course]=C937)*(CourseRatings[Tees]=E937), 0),
  MATCH(G937, CourseRatings[[#Headers],[Hole 1]:[Hole 18]], 0)
),"")</f>
        <v>5</v>
      </c>
      <c r="L937" cm="1">
        <f t="array" ref="L937">IFERROR(
  INDEX('Golf Log'!$E$2:$V$72,
    MATCH(1,
      ('Golf Log'!$A$2:$A$72=$A937)*
      ('Golf Log'!$B$2:$B$72=$B937)*
      ('Golf Log'!$C$2:$C$72=$C937),
    0),
    MATCH($G937,'Golf Log'!$E$1:$V$1,0)
  ),
"")</f>
        <v>6</v>
      </c>
      <c r="M937">
        <f t="shared" si="64"/>
        <v>1</v>
      </c>
      <c r="N937" t="str">
        <f t="shared" si="65"/>
        <v>Bogey</v>
      </c>
      <c r="O937" cm="1">
        <f t="array" ref="O937">IFERROR(
  INDEX('Putt Log'!$E$2:$V$72,
    MATCH(1,
      ('Putt Log'!$A$2:$A$72=$A937)*
      ('Putt Log'!$B$2:$B$72=$B937)*
      ('Putt Log'!$C$2:$C$72=$C937),
    0),
    MATCH($G937,'Putt Log'!$E$1:$V$1,0)
  ),
"")</f>
        <v>2</v>
      </c>
      <c r="P937" cm="1">
        <f t="array" ref="P937">IF(K937=3,"",
  IFERROR(
    INDEX('Fairway Log'!$E$2:$V$72,
      MATCH(1,
        ('Fairway Log'!$A$2:$A$72=$A937)*
        ('Fairway Log'!$B$2:$B$72=$B937)*
        ('Fairway Log'!$C$2:$C1008=$C937),
      0),
      MATCH($G937,'Fairway Log'!$E$1:$V$1,0)
    ),
  "")
)</f>
        <v>1</v>
      </c>
      <c r="Q937" t="str" cm="1">
        <f t="array" ref="Q937">IFERROR(
  INDEX('GIR Log'!$E$2:$V$72,
    MATCH(1,
      ('GIR Log'!$A$2:$A$72=$A937)*
      ('GIR Log'!$B$2:$B$72=$B937)*
      ('GIR Log'!$C$2:$C$72=$C937),
    0),
    MATCH($G937,'GIR Log'!$E$1:$V$1,0)
  ),
"")</f>
        <v>↓</v>
      </c>
    </row>
    <row r="938" spans="1:17" x14ac:dyDescent="0.25">
      <c r="A938" s="51" t="s">
        <v>130</v>
      </c>
      <c r="B938" s="2">
        <v>45897</v>
      </c>
      <c r="C938" t="s">
        <v>41</v>
      </c>
      <c r="D938" s="51" t="s">
        <v>79</v>
      </c>
      <c r="E938" s="51" t="s">
        <v>34</v>
      </c>
      <c r="F938">
        <v>90</v>
      </c>
      <c r="G938" s="12" t="s">
        <v>47</v>
      </c>
      <c r="H938" s="9">
        <f t="shared" si="63"/>
        <v>1</v>
      </c>
      <c r="I938" cm="1">
        <f t="array" ref="I938">IFERROR(INDEX(CourseYardages[[Hole 1]:[Hole 18]],
  MATCH(1, (CourseYardages[Course]=C938)*(CourseYardages[Tees]=E938), 0),
  MATCH(G938, CourseYardages[[#Headers],[Hole 1]:[Hole 18]], 0)
),"")</f>
        <v>423</v>
      </c>
      <c r="J938" cm="1">
        <f t="array" ref="J938">IFERROR(INDEX(CourseHandicap[[Hole 1]:[Hole 18]],
  MATCH(1, (CourseHandicap[Course]=C938)*(CourseHandicap[Tees]=E938), 0),
  MATCH(G938, CourseHandicap[[#Headers],[Hole 1]:[Hole 18]], 0)
),"")</f>
        <v>1</v>
      </c>
      <c r="K938" cm="1">
        <f t="array" ref="K938">IFERROR(INDEX(CourseRatings[[Hole 1]:[Hole 18]],
  MATCH(1, (CourseRatings[Course]=C938)*(CourseRatings[Tees]=E938), 0),
  MATCH(G938, CourseRatings[[#Headers],[Hole 1]:[Hole 18]], 0)
),"")</f>
        <v>4</v>
      </c>
      <c r="L938" cm="1">
        <f t="array" ref="L938">IFERROR(
  INDEX('Golf Log'!$E$2:$V$72,
    MATCH(1,
      ('Golf Log'!$A$2:$A$72=$A938)*
      ('Golf Log'!$B$2:$B$72=$B938)*
      ('Golf Log'!$C$2:$C$72=$C938),
    0),
    MATCH($G938,'Golf Log'!$E$1:$V$1,0)
  ),
"")</f>
        <v>5</v>
      </c>
      <c r="M938">
        <f t="shared" si="64"/>
        <v>1</v>
      </c>
      <c r="N938" t="str">
        <f t="shared" si="65"/>
        <v>Bogey</v>
      </c>
      <c r="O938" cm="1">
        <f t="array" ref="O938">IFERROR(
  INDEX('Putt Log'!$E$2:$V$72,
    MATCH(1,
      ('Putt Log'!$A$2:$A$72=$A938)*
      ('Putt Log'!$B$2:$B$72=$B938)*
      ('Putt Log'!$C$2:$C$72=$C938),
    0),
    MATCH($G938,'Putt Log'!$E$1:$V$1,0)
  ),
"")</f>
        <v>2</v>
      </c>
      <c r="P938" t="str" cm="1">
        <f t="array" ref="P938">IF(K938=3,"",
  IFERROR(
    INDEX('Fairway Log'!$E$2:$V$72,
      MATCH(1,
        ('Fairway Log'!$A$2:$A$72=$A938)*
        ('Fairway Log'!$B$2:$B$72=$B938)*
        ('Fairway Log'!$C$2:$C1009=$C938),
      0),
      MATCH($G938,'Fairway Log'!$E$1:$V$1,0)
    ),
  "")
)</f>
        <v>←</v>
      </c>
      <c r="Q938" t="str" cm="1">
        <f t="array" ref="Q938">IFERROR(
  INDEX('GIR Log'!$E$2:$V$72,
    MATCH(1,
      ('GIR Log'!$A$2:$A$72=$A938)*
      ('GIR Log'!$B$2:$B$72=$B938)*
      ('GIR Log'!$C$2:$C$72=$C938),
    0),
    MATCH($G938,'GIR Log'!$E$1:$V$1,0)
  ),
"")</f>
        <v>←</v>
      </c>
    </row>
    <row r="939" spans="1:17" x14ac:dyDescent="0.25">
      <c r="A939" s="51" t="s">
        <v>130</v>
      </c>
      <c r="B939" s="2">
        <v>45897</v>
      </c>
      <c r="C939" t="s">
        <v>41</v>
      </c>
      <c r="D939" s="51" t="s">
        <v>79</v>
      </c>
      <c r="E939" s="51" t="s">
        <v>34</v>
      </c>
      <c r="F939">
        <v>90</v>
      </c>
      <c r="G939" s="12" t="s">
        <v>48</v>
      </c>
      <c r="H939" s="9">
        <f t="shared" si="63"/>
        <v>2</v>
      </c>
      <c r="I939" cm="1">
        <f t="array" ref="I939">IFERROR(INDEX(CourseYardages[[Hole 1]:[Hole 18]],
  MATCH(1, (CourseYardages[Course]=C939)*(CourseYardages[Tees]=E939), 0),
  MATCH(G939, CourseYardages[[#Headers],[Hole 1]:[Hole 18]], 0)
),"")</f>
        <v>338</v>
      </c>
      <c r="J939" cm="1">
        <f t="array" ref="J939">IFERROR(INDEX(CourseHandicap[[Hole 1]:[Hole 18]],
  MATCH(1, (CourseHandicap[Course]=C939)*(CourseHandicap[Tees]=E939), 0),
  MATCH(G939, CourseHandicap[[#Headers],[Hole 1]:[Hole 18]], 0)
),"")</f>
        <v>13</v>
      </c>
      <c r="K939" cm="1">
        <f t="array" ref="K939">IFERROR(INDEX(CourseRatings[[Hole 1]:[Hole 18]],
  MATCH(1, (CourseRatings[Course]=C939)*(CourseRatings[Tees]=E939), 0),
  MATCH(G939, CourseRatings[[#Headers],[Hole 1]:[Hole 18]], 0)
),"")</f>
        <v>4</v>
      </c>
      <c r="L939" cm="1">
        <f t="array" ref="L939">IFERROR(
  INDEX('Golf Log'!$E$2:$V$72,
    MATCH(1,
      ('Golf Log'!$A$2:$A$72=$A939)*
      ('Golf Log'!$B$2:$B$72=$B939)*
      ('Golf Log'!$C$2:$C$72=$C939),
    0),
    MATCH($G939,'Golf Log'!$E$1:$V$1,0)
  ),
"")</f>
        <v>5</v>
      </c>
      <c r="M939">
        <f t="shared" si="64"/>
        <v>1</v>
      </c>
      <c r="N939" t="str">
        <f t="shared" si="65"/>
        <v>Bogey</v>
      </c>
      <c r="O939" cm="1">
        <f t="array" ref="O939">IFERROR(
  INDEX('Putt Log'!$E$2:$V$72,
    MATCH(1,
      ('Putt Log'!$A$2:$A$72=$A939)*
      ('Putt Log'!$B$2:$B$72=$B939)*
      ('Putt Log'!$C$2:$C$72=$C939),
    0),
    MATCH($G939,'Putt Log'!$E$1:$V$1,0)
  ),
"")</f>
        <v>1</v>
      </c>
      <c r="P939" t="str" cm="1">
        <f t="array" ref="P939">IF(K939=3,"",
  IFERROR(
    INDEX('Fairway Log'!$E$2:$V$72,
      MATCH(1,
        ('Fairway Log'!$A$2:$A$72=$A939)*
        ('Fairway Log'!$B$2:$B$72=$B939)*
        ('Fairway Log'!$C$2:$C1010=$C939),
      0),
      MATCH($G939,'Fairway Log'!$E$1:$V$1,0)
    ),
  "")
)</f>
        <v>←</v>
      </c>
      <c r="Q939" t="str" cm="1">
        <f t="array" ref="Q939">IFERROR(
  INDEX('GIR Log'!$E$2:$V$72,
    MATCH(1,
      ('GIR Log'!$A$2:$A$72=$A939)*
      ('GIR Log'!$B$2:$B$72=$B939)*
      ('GIR Log'!$C$2:$C$72=$C939),
    0),
    MATCH($G939,'GIR Log'!$E$1:$V$1,0)
  ),
"")</f>
        <v>↓</v>
      </c>
    </row>
    <row r="940" spans="1:17" x14ac:dyDescent="0.25">
      <c r="A940" s="51" t="s">
        <v>130</v>
      </c>
      <c r="B940" s="2">
        <v>45897</v>
      </c>
      <c r="C940" t="s">
        <v>41</v>
      </c>
      <c r="D940" s="51" t="s">
        <v>79</v>
      </c>
      <c r="E940" s="51" t="s">
        <v>34</v>
      </c>
      <c r="F940">
        <v>90</v>
      </c>
      <c r="G940" s="12" t="s">
        <v>49</v>
      </c>
      <c r="H940" s="9">
        <f t="shared" si="63"/>
        <v>3</v>
      </c>
      <c r="I940" cm="1">
        <f t="array" ref="I940">IFERROR(INDEX(CourseYardages[[Hole 1]:[Hole 18]],
  MATCH(1, (CourseYardages[Course]=C940)*(CourseYardages[Tees]=E940), 0),
  MATCH(G940, CourseYardages[[#Headers],[Hole 1]:[Hole 18]], 0)
),"")</f>
        <v>187</v>
      </c>
      <c r="J940" cm="1">
        <f t="array" ref="J940">IFERROR(INDEX(CourseHandicap[[Hole 1]:[Hole 18]],
  MATCH(1, (CourseHandicap[Course]=C940)*(CourseHandicap[Tees]=E940), 0),
  MATCH(G940, CourseHandicap[[#Headers],[Hole 1]:[Hole 18]], 0)
),"")</f>
        <v>15</v>
      </c>
      <c r="K940" cm="1">
        <f t="array" ref="K940">IFERROR(INDEX(CourseRatings[[Hole 1]:[Hole 18]],
  MATCH(1, (CourseRatings[Course]=C940)*(CourseRatings[Tees]=E940), 0),
  MATCH(G940, CourseRatings[[#Headers],[Hole 1]:[Hole 18]], 0)
),"")</f>
        <v>3</v>
      </c>
      <c r="L940" cm="1">
        <f t="array" ref="L940">IFERROR(
  INDEX('Golf Log'!$E$2:$V$72,
    MATCH(1,
      ('Golf Log'!$A$2:$A$72=$A940)*
      ('Golf Log'!$B$2:$B$72=$B940)*
      ('Golf Log'!$C$2:$C$72=$C940),
    0),
    MATCH($G940,'Golf Log'!$E$1:$V$1,0)
  ),
"")</f>
        <v>4</v>
      </c>
      <c r="M940">
        <f t="shared" si="64"/>
        <v>1</v>
      </c>
      <c r="N940" t="str">
        <f t="shared" si="65"/>
        <v>Bogey</v>
      </c>
      <c r="O940" cm="1">
        <f t="array" ref="O940">IFERROR(
  INDEX('Putt Log'!$E$2:$V$72,
    MATCH(1,
      ('Putt Log'!$A$2:$A$72=$A940)*
      ('Putt Log'!$B$2:$B$72=$B940)*
      ('Putt Log'!$C$2:$C$72=$C940),
    0),
    MATCH($G940,'Putt Log'!$E$1:$V$1,0)
  ),
"")</f>
        <v>2</v>
      </c>
      <c r="P940" t="str" cm="1">
        <f t="array" ref="P940">IF(K940=3,"",
  IFERROR(
    INDEX('Fairway Log'!$E$2:$V$72,
      MATCH(1,
        ('Fairway Log'!$A$2:$A$72=$A940)*
        ('Fairway Log'!$B$2:$B$72=$B940)*
        ('Fairway Log'!$C$2:$C1011=$C940),
      0),
      MATCH($G940,'Fairway Log'!$E$1:$V$1,0)
    ),
  "")
)</f>
        <v/>
      </c>
      <c r="Q940" t="str" cm="1">
        <f t="array" ref="Q940">IFERROR(
  INDEX('GIR Log'!$E$2:$V$72,
    MATCH(1,
      ('GIR Log'!$A$2:$A$72=$A940)*
      ('GIR Log'!$B$2:$B$72=$B940)*
      ('GIR Log'!$C$2:$C$72=$C940),
    0),
    MATCH($G940,'GIR Log'!$E$1:$V$1,0)
  ),
"")</f>
        <v>←</v>
      </c>
    </row>
    <row r="941" spans="1:17" x14ac:dyDescent="0.25">
      <c r="A941" s="51" t="s">
        <v>130</v>
      </c>
      <c r="B941" s="2">
        <v>45897</v>
      </c>
      <c r="C941" t="s">
        <v>41</v>
      </c>
      <c r="D941" s="51" t="s">
        <v>79</v>
      </c>
      <c r="E941" s="51" t="s">
        <v>34</v>
      </c>
      <c r="F941">
        <v>90</v>
      </c>
      <c r="G941" s="12" t="s">
        <v>50</v>
      </c>
      <c r="H941" s="9">
        <f t="shared" si="63"/>
        <v>4</v>
      </c>
      <c r="I941" cm="1">
        <f t="array" ref="I941">IFERROR(INDEX(CourseYardages[[Hole 1]:[Hole 18]],
  MATCH(1, (CourseYardages[Course]=C941)*(CourseYardages[Tees]=E941), 0),
  MATCH(G941, CourseYardages[[#Headers],[Hole 1]:[Hole 18]], 0)
),"")</f>
        <v>520</v>
      </c>
      <c r="J941" cm="1">
        <f t="array" ref="J941">IFERROR(INDEX(CourseHandicap[[Hole 1]:[Hole 18]],
  MATCH(1, (CourseHandicap[Course]=C941)*(CourseHandicap[Tees]=E941), 0),
  MATCH(G941, CourseHandicap[[#Headers],[Hole 1]:[Hole 18]], 0)
),"")</f>
        <v>7</v>
      </c>
      <c r="K941" cm="1">
        <f t="array" ref="K941">IFERROR(INDEX(CourseRatings[[Hole 1]:[Hole 18]],
  MATCH(1, (CourseRatings[Course]=C941)*(CourseRatings[Tees]=E941), 0),
  MATCH(G941, CourseRatings[[#Headers],[Hole 1]:[Hole 18]], 0)
),"")</f>
        <v>5</v>
      </c>
      <c r="L941" cm="1">
        <f t="array" ref="L941">IFERROR(
  INDEX('Golf Log'!$E$2:$V$72,
    MATCH(1,
      ('Golf Log'!$A$2:$A$72=$A941)*
      ('Golf Log'!$B$2:$B$72=$B941)*
      ('Golf Log'!$C$2:$C$72=$C941),
    0),
    MATCH($G941,'Golf Log'!$E$1:$V$1,0)
  ),
"")</f>
        <v>6</v>
      </c>
      <c r="M941">
        <f t="shared" si="64"/>
        <v>1</v>
      </c>
      <c r="N941" t="str">
        <f t="shared" si="65"/>
        <v>Bogey</v>
      </c>
      <c r="O941" cm="1">
        <f t="array" ref="O941">IFERROR(
  INDEX('Putt Log'!$E$2:$V$72,
    MATCH(1,
      ('Putt Log'!$A$2:$A$72=$A941)*
      ('Putt Log'!$B$2:$B$72=$B941)*
      ('Putt Log'!$C$2:$C$72=$C941),
    0),
    MATCH($G941,'Putt Log'!$E$1:$V$1,0)
  ),
"")</f>
        <v>2</v>
      </c>
      <c r="P941" cm="1">
        <f t="array" ref="P941">IF(K941=3,"",
  IFERROR(
    INDEX('Fairway Log'!$E$2:$V$72,
      MATCH(1,
        ('Fairway Log'!$A$2:$A$72=$A941)*
        ('Fairway Log'!$B$2:$B$72=$B941)*
        ('Fairway Log'!$C$2:$C1012=$C941),
      0),
      MATCH($G941,'Fairway Log'!$E$1:$V$1,0)
    ),
  "")
)</f>
        <v>1</v>
      </c>
      <c r="Q941" t="str" cm="1">
        <f t="array" ref="Q941">IFERROR(
  INDEX('GIR Log'!$E$2:$V$72,
    MATCH(1,
      ('GIR Log'!$A$2:$A$72=$A941)*
      ('GIR Log'!$B$2:$B$72=$B941)*
      ('GIR Log'!$C$2:$C$72=$C941),
    0),
    MATCH($G941,'GIR Log'!$E$1:$V$1,0)
  ),
"")</f>
        <v>↓</v>
      </c>
    </row>
    <row r="942" spans="1:17" x14ac:dyDescent="0.25">
      <c r="A942" s="51" t="s">
        <v>130</v>
      </c>
      <c r="B942" s="2">
        <v>45897</v>
      </c>
      <c r="C942" t="s">
        <v>41</v>
      </c>
      <c r="D942" s="51" t="s">
        <v>79</v>
      </c>
      <c r="E942" s="51" t="s">
        <v>34</v>
      </c>
      <c r="F942">
        <v>90</v>
      </c>
      <c r="G942" s="12" t="s">
        <v>51</v>
      </c>
      <c r="H942" s="9">
        <f t="shared" si="63"/>
        <v>5</v>
      </c>
      <c r="I942" cm="1">
        <f t="array" ref="I942">IFERROR(INDEX(CourseYardages[[Hole 1]:[Hole 18]],
  MATCH(1, (CourseYardages[Course]=C942)*(CourseYardages[Tees]=E942), 0),
  MATCH(G942, CourseYardages[[#Headers],[Hole 1]:[Hole 18]], 0)
),"")</f>
        <v>349</v>
      </c>
      <c r="J942" cm="1">
        <f t="array" ref="J942">IFERROR(INDEX(CourseHandicap[[Hole 1]:[Hole 18]],
  MATCH(1, (CourseHandicap[Course]=C942)*(CourseHandicap[Tees]=E942), 0),
  MATCH(G942, CourseHandicap[[#Headers],[Hole 1]:[Hole 18]], 0)
),"")</f>
        <v>11</v>
      </c>
      <c r="K942" cm="1">
        <f t="array" ref="K942">IFERROR(INDEX(CourseRatings[[Hole 1]:[Hole 18]],
  MATCH(1, (CourseRatings[Course]=C942)*(CourseRatings[Tees]=E942), 0),
  MATCH(G942, CourseRatings[[#Headers],[Hole 1]:[Hole 18]], 0)
),"")</f>
        <v>4</v>
      </c>
      <c r="L942" cm="1">
        <f t="array" ref="L942">IFERROR(
  INDEX('Golf Log'!$E$2:$V$72,
    MATCH(1,
      ('Golf Log'!$A$2:$A$72=$A942)*
      ('Golf Log'!$B$2:$B$72=$B942)*
      ('Golf Log'!$C$2:$C$72=$C942),
    0),
    MATCH($G942,'Golf Log'!$E$1:$V$1,0)
  ),
"")</f>
        <v>5</v>
      </c>
      <c r="M942">
        <f t="shared" si="64"/>
        <v>1</v>
      </c>
      <c r="N942" t="str">
        <f t="shared" si="65"/>
        <v>Bogey</v>
      </c>
      <c r="O942" cm="1">
        <f t="array" ref="O942">IFERROR(
  INDEX('Putt Log'!$E$2:$V$72,
    MATCH(1,
      ('Putt Log'!$A$2:$A$72=$A942)*
      ('Putt Log'!$B$2:$B$72=$B942)*
      ('Putt Log'!$C$2:$C$72=$C942),
    0),
    MATCH($G942,'Putt Log'!$E$1:$V$1,0)
  ),
"")</f>
        <v>2</v>
      </c>
      <c r="P942" t="str" cm="1">
        <f t="array" ref="P942">IF(K942=3,"",
  IFERROR(
    INDEX('Fairway Log'!$E$2:$V$72,
      MATCH(1,
        ('Fairway Log'!$A$2:$A$72=$A942)*
        ('Fairway Log'!$B$2:$B$72=$B942)*
        ('Fairway Log'!$C$2:$C1013=$C942),
      0),
      MATCH($G942,'Fairway Log'!$E$1:$V$1,0)
    ),
  "")
)</f>
        <v>←</v>
      </c>
      <c r="Q942" t="str" cm="1">
        <f t="array" ref="Q942">IFERROR(
  INDEX('GIR Log'!$E$2:$V$72,
    MATCH(1,
      ('GIR Log'!$A$2:$A$72=$A942)*
      ('GIR Log'!$B$2:$B$72=$B942)*
      ('GIR Log'!$C$2:$C$72=$C942),
    0),
    MATCH($G942,'GIR Log'!$E$1:$V$1,0)
  ),
"")</f>
        <v>←</v>
      </c>
    </row>
    <row r="943" spans="1:17" x14ac:dyDescent="0.25">
      <c r="A943" s="51" t="s">
        <v>130</v>
      </c>
      <c r="B943" s="2">
        <v>45897</v>
      </c>
      <c r="C943" t="s">
        <v>41</v>
      </c>
      <c r="D943" s="51" t="s">
        <v>79</v>
      </c>
      <c r="E943" s="51" t="s">
        <v>34</v>
      </c>
      <c r="F943">
        <v>90</v>
      </c>
      <c r="G943" s="12" t="s">
        <v>52</v>
      </c>
      <c r="H943" s="9">
        <f t="shared" si="63"/>
        <v>6</v>
      </c>
      <c r="I943" cm="1">
        <f t="array" ref="I943">IFERROR(INDEX(CourseYardages[[Hole 1]:[Hole 18]],
  MATCH(1, (CourseYardages[Course]=C943)*(CourseYardages[Tees]=E943), 0),
  MATCH(G943, CourseYardages[[#Headers],[Hole 1]:[Hole 18]], 0)
),"")</f>
        <v>153</v>
      </c>
      <c r="J943" cm="1">
        <f t="array" ref="J943">IFERROR(INDEX(CourseHandicap[[Hole 1]:[Hole 18]],
  MATCH(1, (CourseHandicap[Course]=C943)*(CourseHandicap[Tees]=E943), 0),
  MATCH(G943, CourseHandicap[[#Headers],[Hole 1]:[Hole 18]], 0)
),"")</f>
        <v>17</v>
      </c>
      <c r="K943" cm="1">
        <f t="array" ref="K943">IFERROR(INDEX(CourseRatings[[Hole 1]:[Hole 18]],
  MATCH(1, (CourseRatings[Course]=C943)*(CourseRatings[Tees]=E943), 0),
  MATCH(G943, CourseRatings[[#Headers],[Hole 1]:[Hole 18]], 0)
),"")</f>
        <v>3</v>
      </c>
      <c r="L943" cm="1">
        <f t="array" ref="L943">IFERROR(
  INDEX('Golf Log'!$E$2:$V$72,
    MATCH(1,
      ('Golf Log'!$A$2:$A$72=$A943)*
      ('Golf Log'!$B$2:$B$72=$B943)*
      ('Golf Log'!$C$2:$C$72=$C943),
    0),
    MATCH($G943,'Golf Log'!$E$1:$V$1,0)
  ),
"")</f>
        <v>3</v>
      </c>
      <c r="M943">
        <f t="shared" si="64"/>
        <v>0</v>
      </c>
      <c r="N943" t="str">
        <f t="shared" si="65"/>
        <v>Par</v>
      </c>
      <c r="O943" cm="1">
        <f t="array" ref="O943">IFERROR(
  INDEX('Putt Log'!$E$2:$V$72,
    MATCH(1,
      ('Putt Log'!$A$2:$A$72=$A943)*
      ('Putt Log'!$B$2:$B$72=$B943)*
      ('Putt Log'!$C$2:$C$72=$C943),
    0),
    MATCH($G943,'Putt Log'!$E$1:$V$1,0)
  ),
"")</f>
        <v>1</v>
      </c>
      <c r="P943" t="str" cm="1">
        <f t="array" ref="P943">IF(K943=3,"",
  IFERROR(
    INDEX('Fairway Log'!$E$2:$V$72,
      MATCH(1,
        ('Fairway Log'!$A$2:$A$72=$A943)*
        ('Fairway Log'!$B$2:$B$72=$B943)*
        ('Fairway Log'!$C$2:$C1014=$C943),
      0),
      MATCH($G943,'Fairway Log'!$E$1:$V$1,0)
    ),
  "")
)</f>
        <v/>
      </c>
      <c r="Q943" t="str" cm="1">
        <f t="array" ref="Q943">IFERROR(
  INDEX('GIR Log'!$E$2:$V$72,
    MATCH(1,
      ('GIR Log'!$A$2:$A$72=$A943)*
      ('GIR Log'!$B$2:$B$72=$B943)*
      ('GIR Log'!$C$2:$C$72=$C943),
    0),
    MATCH($G943,'GIR Log'!$E$1:$V$1,0)
  ),
"")</f>
        <v>←</v>
      </c>
    </row>
    <row r="944" spans="1:17" x14ac:dyDescent="0.25">
      <c r="A944" s="51" t="s">
        <v>130</v>
      </c>
      <c r="B944" s="2">
        <v>45897</v>
      </c>
      <c r="C944" t="s">
        <v>41</v>
      </c>
      <c r="D944" s="51" t="s">
        <v>79</v>
      </c>
      <c r="E944" s="51" t="s">
        <v>34</v>
      </c>
      <c r="F944">
        <v>90</v>
      </c>
      <c r="G944" s="12" t="s">
        <v>53</v>
      </c>
      <c r="H944" s="9">
        <f t="shared" si="63"/>
        <v>7</v>
      </c>
      <c r="I944" cm="1">
        <f t="array" ref="I944">IFERROR(INDEX(CourseYardages[[Hole 1]:[Hole 18]],
  MATCH(1, (CourseYardages[Course]=C944)*(CourseYardages[Tees]=E944), 0),
  MATCH(G944, CourseYardages[[#Headers],[Hole 1]:[Hole 18]], 0)
),"")</f>
        <v>394</v>
      </c>
      <c r="J944" cm="1">
        <f t="array" ref="J944">IFERROR(INDEX(CourseHandicap[[Hole 1]:[Hole 18]],
  MATCH(1, (CourseHandicap[Course]=C944)*(CourseHandicap[Tees]=E944), 0),
  MATCH(G944, CourseHandicap[[#Headers],[Hole 1]:[Hole 18]], 0)
),"")</f>
        <v>9</v>
      </c>
      <c r="K944" cm="1">
        <f t="array" ref="K944">IFERROR(INDEX(CourseRatings[[Hole 1]:[Hole 18]],
  MATCH(1, (CourseRatings[Course]=C944)*(CourseRatings[Tees]=E944), 0),
  MATCH(G944, CourseRatings[[#Headers],[Hole 1]:[Hole 18]], 0)
),"")</f>
        <v>4</v>
      </c>
      <c r="L944" cm="1">
        <f t="array" ref="L944">IFERROR(
  INDEX('Golf Log'!$E$2:$V$72,
    MATCH(1,
      ('Golf Log'!$A$2:$A$72=$A944)*
      ('Golf Log'!$B$2:$B$72=$B944)*
      ('Golf Log'!$C$2:$C$72=$C944),
    0),
    MATCH($G944,'Golf Log'!$E$1:$V$1,0)
  ),
"")</f>
        <v>4</v>
      </c>
      <c r="M944">
        <f t="shared" si="64"/>
        <v>0</v>
      </c>
      <c r="N944" t="str">
        <f t="shared" si="65"/>
        <v>Par</v>
      </c>
      <c r="O944" cm="1">
        <f t="array" ref="O944">IFERROR(
  INDEX('Putt Log'!$E$2:$V$72,
    MATCH(1,
      ('Putt Log'!$A$2:$A$72=$A944)*
      ('Putt Log'!$B$2:$B$72=$B944)*
      ('Putt Log'!$C$2:$C$72=$C944),
    0),
    MATCH($G944,'Putt Log'!$E$1:$V$1,0)
  ),
"")</f>
        <v>1</v>
      </c>
      <c r="P944" t="str" cm="1">
        <f t="array" ref="P944">IF(K944=3,"",
  IFERROR(
    INDEX('Fairway Log'!$E$2:$V$72,
      MATCH(1,
        ('Fairway Log'!$A$2:$A$72=$A944)*
        ('Fairway Log'!$B$2:$B$72=$B944)*
        ('Fairway Log'!$C$2:$C1015=$C944),
      0),
      MATCH($G944,'Fairway Log'!$E$1:$V$1,0)
    ),
  "")
)</f>
        <v>←</v>
      </c>
      <c r="Q944" t="str" cm="1">
        <f t="array" ref="Q944">IFERROR(
  INDEX('GIR Log'!$E$2:$V$72,
    MATCH(1,
      ('GIR Log'!$A$2:$A$72=$A944)*
      ('GIR Log'!$B$2:$B$72=$B944)*
      ('GIR Log'!$C$2:$C$72=$C944),
    0),
    MATCH($G944,'GIR Log'!$E$1:$V$1,0)
  ),
"")</f>
        <v>↑</v>
      </c>
    </row>
    <row r="945" spans="1:17" x14ac:dyDescent="0.25">
      <c r="A945" s="51" t="s">
        <v>130</v>
      </c>
      <c r="B945" s="2">
        <v>45897</v>
      </c>
      <c r="C945" t="s">
        <v>41</v>
      </c>
      <c r="D945" s="51" t="s">
        <v>79</v>
      </c>
      <c r="E945" s="51" t="s">
        <v>34</v>
      </c>
      <c r="F945">
        <v>90</v>
      </c>
      <c r="G945" s="12" t="s">
        <v>54</v>
      </c>
      <c r="H945" s="9">
        <f t="shared" si="63"/>
        <v>8</v>
      </c>
      <c r="I945" cm="1">
        <f t="array" ref="I945">IFERROR(INDEX(CourseYardages[[Hole 1]:[Hole 18]],
  MATCH(1, (CourseYardages[Course]=C945)*(CourseYardages[Tees]=E945), 0),
  MATCH(G945, CourseYardages[[#Headers],[Hole 1]:[Hole 18]], 0)
),"")</f>
        <v>399</v>
      </c>
      <c r="J945" cm="1">
        <f t="array" ref="J945">IFERROR(INDEX(CourseHandicap[[Hole 1]:[Hole 18]],
  MATCH(1, (CourseHandicap[Course]=C945)*(CourseHandicap[Tees]=E945), 0),
  MATCH(G945, CourseHandicap[[#Headers],[Hole 1]:[Hole 18]], 0)
),"")</f>
        <v>3</v>
      </c>
      <c r="K945" cm="1">
        <f t="array" ref="K945">IFERROR(INDEX(CourseRatings[[Hole 1]:[Hole 18]],
  MATCH(1, (CourseRatings[Course]=C945)*(CourseRatings[Tees]=E945), 0),
  MATCH(G945, CourseRatings[[#Headers],[Hole 1]:[Hole 18]], 0)
),"")</f>
        <v>4</v>
      </c>
      <c r="L945" cm="1">
        <f t="array" ref="L945">IFERROR(
  INDEX('Golf Log'!$E$2:$V$72,
    MATCH(1,
      ('Golf Log'!$A$2:$A$72=$A945)*
      ('Golf Log'!$B$2:$B$72=$B945)*
      ('Golf Log'!$C$2:$C$72=$C945),
    0),
    MATCH($G945,'Golf Log'!$E$1:$V$1,0)
  ),
"")</f>
        <v>5</v>
      </c>
      <c r="M945">
        <f t="shared" si="64"/>
        <v>1</v>
      </c>
      <c r="N945" t="str">
        <f t="shared" si="65"/>
        <v>Bogey</v>
      </c>
      <c r="O945" cm="1">
        <f t="array" ref="O945">IFERROR(
  INDEX('Putt Log'!$E$2:$V$72,
    MATCH(1,
      ('Putt Log'!$A$2:$A$72=$A945)*
      ('Putt Log'!$B$2:$B$72=$B945)*
      ('Putt Log'!$C$2:$C$72=$C945),
    0),
    MATCH($G945,'Putt Log'!$E$1:$V$1,0)
  ),
"")</f>
        <v>2</v>
      </c>
      <c r="P945" cm="1">
        <f t="array" ref="P945">IF(K945=3,"",
  IFERROR(
    INDEX('Fairway Log'!$E$2:$V$72,
      MATCH(1,
        ('Fairway Log'!$A$2:$A$72=$A945)*
        ('Fairway Log'!$B$2:$B$72=$B945)*
        ('Fairway Log'!$C$2:$C1016=$C945),
      0),
      MATCH($G945,'Fairway Log'!$E$1:$V$1,0)
    ),
  "")
)</f>
        <v>1</v>
      </c>
      <c r="Q945" t="str" cm="1">
        <f t="array" ref="Q945">IFERROR(
  INDEX('GIR Log'!$E$2:$V$72,
    MATCH(1,
      ('GIR Log'!$A$2:$A$72=$A945)*
      ('GIR Log'!$B$2:$B$72=$B945)*
      ('GIR Log'!$C$2:$C$72=$C945),
    0),
    MATCH($G945,'GIR Log'!$E$1:$V$1,0)
  ),
"")</f>
        <v>→</v>
      </c>
    </row>
    <row r="946" spans="1:17" x14ac:dyDescent="0.25">
      <c r="A946" s="51" t="s">
        <v>130</v>
      </c>
      <c r="B946" s="2">
        <v>45897</v>
      </c>
      <c r="C946" t="s">
        <v>41</v>
      </c>
      <c r="D946" s="51" t="s">
        <v>79</v>
      </c>
      <c r="E946" s="51" t="s">
        <v>34</v>
      </c>
      <c r="F946">
        <v>90</v>
      </c>
      <c r="G946" s="12" t="s">
        <v>55</v>
      </c>
      <c r="H946" s="9">
        <f t="shared" si="63"/>
        <v>9</v>
      </c>
      <c r="I946" cm="1">
        <f t="array" ref="I946">IFERROR(INDEX(CourseYardages[[Hole 1]:[Hole 18]],
  MATCH(1, (CourseYardages[Course]=C946)*(CourseYardages[Tees]=E946), 0),
  MATCH(G946, CourseYardages[[#Headers],[Hole 1]:[Hole 18]], 0)
),"")</f>
        <v>512</v>
      </c>
      <c r="J946" cm="1">
        <f t="array" ref="J946">IFERROR(INDEX(CourseHandicap[[Hole 1]:[Hole 18]],
  MATCH(1, (CourseHandicap[Course]=C946)*(CourseHandicap[Tees]=E946), 0),
  MATCH(G946, CourseHandicap[[#Headers],[Hole 1]:[Hole 18]], 0)
),"")</f>
        <v>5</v>
      </c>
      <c r="K946" cm="1">
        <f t="array" ref="K946">IFERROR(INDEX(CourseRatings[[Hole 1]:[Hole 18]],
  MATCH(1, (CourseRatings[Course]=C946)*(CourseRatings[Tees]=E946), 0),
  MATCH(G946, CourseRatings[[#Headers],[Hole 1]:[Hole 18]], 0)
),"")</f>
        <v>5</v>
      </c>
      <c r="L946" cm="1">
        <f t="array" ref="L946">IFERROR(
  INDEX('Golf Log'!$E$2:$V$72,
    MATCH(1,
      ('Golf Log'!$A$2:$A$72=$A946)*
      ('Golf Log'!$B$2:$B$72=$B946)*
      ('Golf Log'!$C$2:$C$72=$C946),
    0),
    MATCH($G946,'Golf Log'!$E$1:$V$1,0)
  ),
"")</f>
        <v>6</v>
      </c>
      <c r="M946">
        <f t="shared" si="64"/>
        <v>1</v>
      </c>
      <c r="N946" t="str">
        <f t="shared" si="65"/>
        <v>Bogey</v>
      </c>
      <c r="O946" cm="1">
        <f t="array" ref="O946">IFERROR(
  INDEX('Putt Log'!$E$2:$V$72,
    MATCH(1,
      ('Putt Log'!$A$2:$A$72=$A946)*
      ('Putt Log'!$B$2:$B$72=$B946)*
      ('Putt Log'!$C$2:$C$72=$C946),
    0),
    MATCH($G946,'Putt Log'!$E$1:$V$1,0)
  ),
"")</f>
        <v>2</v>
      </c>
      <c r="P946" cm="1">
        <f t="array" ref="P946">IF(K946=3,"",
  IFERROR(
    INDEX('Fairway Log'!$E$2:$V$72,
      MATCH(1,
        ('Fairway Log'!$A$2:$A$72=$A946)*
        ('Fairway Log'!$B$2:$B$72=$B946)*
        ('Fairway Log'!$C$2:$C1017=$C946),
      0),
      MATCH($G946,'Fairway Log'!$E$1:$V$1,0)
    ),
  "")
)</f>
        <v>1</v>
      </c>
      <c r="Q946" t="str" cm="1">
        <f t="array" ref="Q946">IFERROR(
  INDEX('GIR Log'!$E$2:$V$72,
    MATCH(1,
      ('GIR Log'!$A$2:$A$72=$A946)*
      ('GIR Log'!$B$2:$B$72=$B946)*
      ('GIR Log'!$C$2:$C$72=$C946),
    0),
    MATCH($G946,'GIR Log'!$E$1:$V$1,0)
  ),
"")</f>
        <v>↓</v>
      </c>
    </row>
    <row r="947" spans="1:17" x14ac:dyDescent="0.25">
      <c r="A947" s="51" t="s">
        <v>130</v>
      </c>
      <c r="B947" s="2">
        <v>45897</v>
      </c>
      <c r="C947" t="s">
        <v>41</v>
      </c>
      <c r="D947" s="51" t="s">
        <v>79</v>
      </c>
      <c r="E947" s="51" t="s">
        <v>34</v>
      </c>
      <c r="F947">
        <v>90</v>
      </c>
      <c r="G947" s="12" t="s">
        <v>56</v>
      </c>
      <c r="H947" s="9">
        <f t="shared" si="63"/>
        <v>10</v>
      </c>
      <c r="I947" cm="1">
        <f t="array" ref="I947">IFERROR(INDEX(CourseYardages[[Hole 1]:[Hole 18]],
  MATCH(1, (CourseYardages[Course]=C947)*(CourseYardages[Tees]=E947), 0),
  MATCH(G947, CourseYardages[[#Headers],[Hole 1]:[Hole 18]], 0)
),"")</f>
        <v>326</v>
      </c>
      <c r="J947" cm="1">
        <f t="array" ref="J947">IFERROR(INDEX(CourseHandicap[[Hole 1]:[Hole 18]],
  MATCH(1, (CourseHandicap[Course]=C947)*(CourseHandicap[Tees]=E947), 0),
  MATCH(G947, CourseHandicap[[#Headers],[Hole 1]:[Hole 18]], 0)
),"")</f>
        <v>12</v>
      </c>
      <c r="K947" cm="1">
        <f t="array" ref="K947">IFERROR(INDEX(CourseRatings[[Hole 1]:[Hole 18]],
  MATCH(1, (CourseRatings[Course]=C947)*(CourseRatings[Tees]=E947), 0),
  MATCH(G947, CourseRatings[[#Headers],[Hole 1]:[Hole 18]], 0)
),"")</f>
        <v>4</v>
      </c>
      <c r="L947" cm="1">
        <f t="array" ref="L947">IFERROR(
  INDEX('Golf Log'!$E$2:$V$72,
    MATCH(1,
      ('Golf Log'!$A$2:$A$72=$A947)*
      ('Golf Log'!$B$2:$B$72=$B947)*
      ('Golf Log'!$C$2:$C$72=$C947),
    0),
    MATCH($G947,'Golf Log'!$E$1:$V$1,0)
  ),
"")</f>
        <v>5</v>
      </c>
      <c r="M947">
        <f t="shared" si="64"/>
        <v>1</v>
      </c>
      <c r="N947" t="str">
        <f t="shared" si="65"/>
        <v>Bogey</v>
      </c>
      <c r="O947" cm="1">
        <f t="array" ref="O947">IFERROR(
  INDEX('Putt Log'!$E$2:$V$72,
    MATCH(1,
      ('Putt Log'!$A$2:$A$72=$A947)*
      ('Putt Log'!$B$2:$B$72=$B947)*
      ('Putt Log'!$C$2:$C$72=$C947),
    0),
    MATCH($G947,'Putt Log'!$E$1:$V$1,0)
  ),
"")</f>
        <v>2</v>
      </c>
      <c r="P947" t="str" cm="1">
        <f t="array" ref="P947">IF(K947=3,"",
  IFERROR(
    INDEX('Fairway Log'!$E$2:$V$72,
      MATCH(1,
        ('Fairway Log'!$A$2:$A$72=$A947)*
        ('Fairway Log'!$B$2:$B$72=$B947)*
        ('Fairway Log'!$C$2:$C1018=$C947),
      0),
      MATCH($G947,'Fairway Log'!$E$1:$V$1,0)
    ),
  "")
)</f>
        <v>←</v>
      </c>
      <c r="Q947" t="str" cm="1">
        <f t="array" ref="Q947">IFERROR(
  INDEX('GIR Log'!$E$2:$V$72,
    MATCH(1,
      ('GIR Log'!$A$2:$A$72=$A947)*
      ('GIR Log'!$B$2:$B$72=$B947)*
      ('GIR Log'!$C$2:$C$72=$C947),
    0),
    MATCH($G947,'GIR Log'!$E$1:$V$1,0)
  ),
"")</f>
        <v>↓</v>
      </c>
    </row>
    <row r="948" spans="1:17" x14ac:dyDescent="0.25">
      <c r="A948" s="51" t="s">
        <v>130</v>
      </c>
      <c r="B948" s="2">
        <v>45897</v>
      </c>
      <c r="C948" t="s">
        <v>41</v>
      </c>
      <c r="D948" s="51" t="s">
        <v>79</v>
      </c>
      <c r="E948" s="51" t="s">
        <v>34</v>
      </c>
      <c r="F948">
        <v>90</v>
      </c>
      <c r="G948" s="12" t="s">
        <v>57</v>
      </c>
      <c r="H948" s="9">
        <f t="shared" si="63"/>
        <v>11</v>
      </c>
      <c r="I948" cm="1">
        <f t="array" ref="I948">IFERROR(INDEX(CourseYardages[[Hole 1]:[Hole 18]],
  MATCH(1, (CourseYardages[Course]=C948)*(CourseYardages[Tees]=E948), 0),
  MATCH(G948, CourseYardages[[#Headers],[Hole 1]:[Hole 18]], 0)
),"")</f>
        <v>497</v>
      </c>
      <c r="J948" cm="1">
        <f t="array" ref="J948">IFERROR(INDEX(CourseHandicap[[Hole 1]:[Hole 18]],
  MATCH(1, (CourseHandicap[Course]=C948)*(CourseHandicap[Tees]=E948), 0),
  MATCH(G948, CourseHandicap[[#Headers],[Hole 1]:[Hole 18]], 0)
),"")</f>
        <v>6</v>
      </c>
      <c r="K948" cm="1">
        <f t="array" ref="K948">IFERROR(INDEX(CourseRatings[[Hole 1]:[Hole 18]],
  MATCH(1, (CourseRatings[Course]=C948)*(CourseRatings[Tees]=E948), 0),
  MATCH(G948, CourseRatings[[#Headers],[Hole 1]:[Hole 18]], 0)
),"")</f>
        <v>5</v>
      </c>
      <c r="L948" cm="1">
        <f t="array" ref="L948">IFERROR(
  INDEX('Golf Log'!$E$2:$V$72,
    MATCH(1,
      ('Golf Log'!$A$2:$A$72=$A948)*
      ('Golf Log'!$B$2:$B$72=$B948)*
      ('Golf Log'!$C$2:$C$72=$C948),
    0),
    MATCH($G948,'Golf Log'!$E$1:$V$1,0)
  ),
"")</f>
        <v>7</v>
      </c>
      <c r="M948">
        <f t="shared" si="64"/>
        <v>2</v>
      </c>
      <c r="N948" t="str">
        <f t="shared" si="65"/>
        <v>Double Bogey</v>
      </c>
      <c r="O948" cm="1">
        <f t="array" ref="O948">IFERROR(
  INDEX('Putt Log'!$E$2:$V$72,
    MATCH(1,
      ('Putt Log'!$A$2:$A$72=$A948)*
      ('Putt Log'!$B$2:$B$72=$B948)*
      ('Putt Log'!$C$2:$C$72=$C948),
    0),
    MATCH($G948,'Putt Log'!$E$1:$V$1,0)
  ),
"")</f>
        <v>2</v>
      </c>
      <c r="P948" t="str" cm="1">
        <f t="array" ref="P948">IF(K948=3,"",
  IFERROR(
    INDEX('Fairway Log'!$E$2:$V$72,
      MATCH(1,
        ('Fairway Log'!$A$2:$A$72=$A948)*
        ('Fairway Log'!$B$2:$B$72=$B948)*
        ('Fairway Log'!$C$2:$C1019=$C948),
      0),
      MATCH($G948,'Fairway Log'!$E$1:$V$1,0)
    ),
  "")
)</f>
        <v>→</v>
      </c>
      <c r="Q948" t="str" cm="1">
        <f t="array" ref="Q948">IFERROR(
  INDEX('GIR Log'!$E$2:$V$72,
    MATCH(1,
      ('GIR Log'!$A$2:$A$72=$A948)*
      ('GIR Log'!$B$2:$B$72=$B948)*
      ('GIR Log'!$C$2:$C$72=$C948),
    0),
    MATCH($G948,'GIR Log'!$E$1:$V$1,0)
  ),
"")</f>
        <v>↓</v>
      </c>
    </row>
    <row r="949" spans="1:17" x14ac:dyDescent="0.25">
      <c r="A949" s="51" t="s">
        <v>130</v>
      </c>
      <c r="B949" s="2">
        <v>45897</v>
      </c>
      <c r="C949" t="s">
        <v>41</v>
      </c>
      <c r="D949" s="51" t="s">
        <v>79</v>
      </c>
      <c r="E949" s="51" t="s">
        <v>34</v>
      </c>
      <c r="F949">
        <v>90</v>
      </c>
      <c r="G949" s="12" t="s">
        <v>58</v>
      </c>
      <c r="H949" s="9">
        <f t="shared" si="63"/>
        <v>12</v>
      </c>
      <c r="I949" cm="1">
        <f t="array" ref="I949">IFERROR(INDEX(CourseYardages[[Hole 1]:[Hole 18]],
  MATCH(1, (CourseYardages[Course]=C949)*(CourseYardages[Tees]=E949), 0),
  MATCH(G949, CourseYardages[[#Headers],[Hole 1]:[Hole 18]], 0)
),"")</f>
        <v>343</v>
      </c>
      <c r="J949" cm="1">
        <f t="array" ref="J949">IFERROR(INDEX(CourseHandicap[[Hole 1]:[Hole 18]],
  MATCH(1, (CourseHandicap[Course]=C949)*(CourseHandicap[Tees]=E949), 0),
  MATCH(G949, CourseHandicap[[#Headers],[Hole 1]:[Hole 18]], 0)
),"")</f>
        <v>14</v>
      </c>
      <c r="K949" cm="1">
        <f t="array" ref="K949">IFERROR(INDEX(CourseRatings[[Hole 1]:[Hole 18]],
  MATCH(1, (CourseRatings[Course]=C949)*(CourseRatings[Tees]=E949), 0),
  MATCH(G949, CourseRatings[[#Headers],[Hole 1]:[Hole 18]], 0)
),"")</f>
        <v>4</v>
      </c>
      <c r="L949" cm="1">
        <f t="array" ref="L949">IFERROR(
  INDEX('Golf Log'!$E$2:$V$72,
    MATCH(1,
      ('Golf Log'!$A$2:$A$72=$A949)*
      ('Golf Log'!$B$2:$B$72=$B949)*
      ('Golf Log'!$C$2:$C$72=$C949),
    0),
    MATCH($G949,'Golf Log'!$E$1:$V$1,0)
  ),
"")</f>
        <v>5</v>
      </c>
      <c r="M949">
        <f t="shared" si="64"/>
        <v>1</v>
      </c>
      <c r="N949" t="str">
        <f t="shared" si="65"/>
        <v>Bogey</v>
      </c>
      <c r="O949" cm="1">
        <f t="array" ref="O949">IFERROR(
  INDEX('Putt Log'!$E$2:$V$72,
    MATCH(1,
      ('Putt Log'!$A$2:$A$72=$A949)*
      ('Putt Log'!$B$2:$B$72=$B949)*
      ('Putt Log'!$C$2:$C$72=$C949),
    0),
    MATCH($G949,'Putt Log'!$E$1:$V$1,0)
  ),
"")</f>
        <v>2</v>
      </c>
      <c r="P949" t="str" cm="1">
        <f t="array" ref="P949">IF(K949=3,"",
  IFERROR(
    INDEX('Fairway Log'!$E$2:$V$72,
      MATCH(1,
        ('Fairway Log'!$A$2:$A$72=$A949)*
        ('Fairway Log'!$B$2:$B$72=$B949)*
        ('Fairway Log'!$C$2:$C1020=$C949),
      0),
      MATCH($G949,'Fairway Log'!$E$1:$V$1,0)
    ),
  "")
)</f>
        <v>→</v>
      </c>
      <c r="Q949" t="str" cm="1">
        <f t="array" ref="Q949">IFERROR(
  INDEX('GIR Log'!$E$2:$V$72,
    MATCH(1,
      ('GIR Log'!$A$2:$A$72=$A949)*
      ('GIR Log'!$B$2:$B$72=$B949)*
      ('GIR Log'!$C$2:$C$72=$C949),
    0),
    MATCH($G949,'GIR Log'!$E$1:$V$1,0)
  ),
"")</f>
        <v>↓</v>
      </c>
    </row>
    <row r="950" spans="1:17" x14ac:dyDescent="0.25">
      <c r="A950" s="51" t="s">
        <v>130</v>
      </c>
      <c r="B950" s="2">
        <v>45897</v>
      </c>
      <c r="C950" t="s">
        <v>41</v>
      </c>
      <c r="D950" s="51" t="s">
        <v>79</v>
      </c>
      <c r="E950" s="51" t="s">
        <v>34</v>
      </c>
      <c r="F950">
        <v>90</v>
      </c>
      <c r="G950" s="12" t="s">
        <v>59</v>
      </c>
      <c r="H950" s="9">
        <f t="shared" si="63"/>
        <v>13</v>
      </c>
      <c r="I950" cm="1">
        <f t="array" ref="I950">IFERROR(INDEX(CourseYardages[[Hole 1]:[Hole 18]],
  MATCH(1, (CourseYardages[Course]=C950)*(CourseYardages[Tees]=E950), 0),
  MATCH(G950, CourseYardages[[#Headers],[Hole 1]:[Hole 18]], 0)
),"")</f>
        <v>180</v>
      </c>
      <c r="J950" cm="1">
        <f t="array" ref="J950">IFERROR(INDEX(CourseHandicap[[Hole 1]:[Hole 18]],
  MATCH(1, (CourseHandicap[Course]=C950)*(CourseHandicap[Tees]=E950), 0),
  MATCH(G950, CourseHandicap[[#Headers],[Hole 1]:[Hole 18]], 0)
),"")</f>
        <v>16</v>
      </c>
      <c r="K950" cm="1">
        <f t="array" ref="K950">IFERROR(INDEX(CourseRatings[[Hole 1]:[Hole 18]],
  MATCH(1, (CourseRatings[Course]=C950)*(CourseRatings[Tees]=E950), 0),
  MATCH(G950, CourseRatings[[#Headers],[Hole 1]:[Hole 18]], 0)
),"")</f>
        <v>3</v>
      </c>
      <c r="L950" cm="1">
        <f t="array" ref="L950">IFERROR(
  INDEX('Golf Log'!$E$2:$V$72,
    MATCH(1,
      ('Golf Log'!$A$2:$A$72=$A950)*
      ('Golf Log'!$B$2:$B$72=$B950)*
      ('Golf Log'!$C$2:$C$72=$C950),
    0),
    MATCH($G950,'Golf Log'!$E$1:$V$1,0)
  ),
"")</f>
        <v>4</v>
      </c>
      <c r="M950">
        <f t="shared" si="64"/>
        <v>1</v>
      </c>
      <c r="N950" t="str">
        <f t="shared" si="65"/>
        <v>Bogey</v>
      </c>
      <c r="O950" cm="1">
        <f t="array" ref="O950">IFERROR(
  INDEX('Putt Log'!$E$2:$V$72,
    MATCH(1,
      ('Putt Log'!$A$2:$A$72=$A950)*
      ('Putt Log'!$B$2:$B$72=$B950)*
      ('Putt Log'!$C$2:$C$72=$C950),
    0),
    MATCH($G950,'Putt Log'!$E$1:$V$1,0)
  ),
"")</f>
        <v>2</v>
      </c>
      <c r="P950" t="str" cm="1">
        <f t="array" ref="P950">IF(K950=3,"",
  IFERROR(
    INDEX('Fairway Log'!$E$2:$V$72,
      MATCH(1,
        ('Fairway Log'!$A$2:$A$72=$A950)*
        ('Fairway Log'!$B$2:$B$72=$B950)*
        ('Fairway Log'!$C$2:$C1021=$C950),
      0),
      MATCH($G950,'Fairway Log'!$E$1:$V$1,0)
    ),
  "")
)</f>
        <v/>
      </c>
      <c r="Q950" t="str" cm="1">
        <f t="array" ref="Q950">IFERROR(
  INDEX('GIR Log'!$E$2:$V$72,
    MATCH(1,
      ('GIR Log'!$A$2:$A$72=$A950)*
      ('GIR Log'!$B$2:$B$72=$B950)*
      ('GIR Log'!$C$2:$C$72=$C950),
    0),
    MATCH($G950,'GIR Log'!$E$1:$V$1,0)
  ),
"")</f>
        <v>→</v>
      </c>
    </row>
    <row r="951" spans="1:17" x14ac:dyDescent="0.25">
      <c r="A951" s="51" t="s">
        <v>130</v>
      </c>
      <c r="B951" s="2">
        <v>45897</v>
      </c>
      <c r="C951" t="s">
        <v>41</v>
      </c>
      <c r="D951" s="51" t="s">
        <v>79</v>
      </c>
      <c r="E951" s="51" t="s">
        <v>34</v>
      </c>
      <c r="F951">
        <v>90</v>
      </c>
      <c r="G951" s="12" t="s">
        <v>60</v>
      </c>
      <c r="H951" s="9">
        <f t="shared" si="63"/>
        <v>14</v>
      </c>
      <c r="I951" cm="1">
        <f t="array" ref="I951">IFERROR(INDEX(CourseYardages[[Hole 1]:[Hole 18]],
  MATCH(1, (CourseYardages[Course]=C951)*(CourseYardages[Tees]=E951), 0),
  MATCH(G951, CourseYardages[[#Headers],[Hole 1]:[Hole 18]], 0)
),"")</f>
        <v>411</v>
      </c>
      <c r="J951" cm="1">
        <f t="array" ref="J951">IFERROR(INDEX(CourseHandicap[[Hole 1]:[Hole 18]],
  MATCH(1, (CourseHandicap[Course]=C951)*(CourseHandicap[Tees]=E951), 0),
  MATCH(G951, CourseHandicap[[#Headers],[Hole 1]:[Hole 18]], 0)
),"")</f>
        <v>4</v>
      </c>
      <c r="K951" cm="1">
        <f t="array" ref="K951">IFERROR(INDEX(CourseRatings[[Hole 1]:[Hole 18]],
  MATCH(1, (CourseRatings[Course]=C951)*(CourseRatings[Tees]=E951), 0),
  MATCH(G951, CourseRatings[[#Headers],[Hole 1]:[Hole 18]], 0)
),"")</f>
        <v>4</v>
      </c>
      <c r="L951" cm="1">
        <f t="array" ref="L951">IFERROR(
  INDEX('Golf Log'!$E$2:$V$72,
    MATCH(1,
      ('Golf Log'!$A$2:$A$72=$A951)*
      ('Golf Log'!$B$2:$B$72=$B951)*
      ('Golf Log'!$C$2:$C$72=$C951),
    0),
    MATCH($G951,'Golf Log'!$E$1:$V$1,0)
  ),
"")</f>
        <v>4</v>
      </c>
      <c r="M951">
        <f t="shared" si="64"/>
        <v>0</v>
      </c>
      <c r="N951" t="str">
        <f t="shared" si="65"/>
        <v>Par</v>
      </c>
      <c r="O951" cm="1">
        <f t="array" ref="O951">IFERROR(
  INDEX('Putt Log'!$E$2:$V$72,
    MATCH(1,
      ('Putt Log'!$A$2:$A$72=$A951)*
      ('Putt Log'!$B$2:$B$72=$B951)*
      ('Putt Log'!$C$2:$C$72=$C951),
    0),
    MATCH($G951,'Putt Log'!$E$1:$V$1,0)
  ),
"")</f>
        <v>1</v>
      </c>
      <c r="P951" t="str" cm="1">
        <f t="array" ref="P951">IF(K951=3,"",
  IFERROR(
    INDEX('Fairway Log'!$E$2:$V$72,
      MATCH(1,
        ('Fairway Log'!$A$2:$A$72=$A951)*
        ('Fairway Log'!$B$2:$B$72=$B951)*
        ('Fairway Log'!$C$2:$C1022=$C951),
      0),
      MATCH($G951,'Fairway Log'!$E$1:$V$1,0)
    ),
  "")
)</f>
        <v>←</v>
      </c>
      <c r="Q951" t="str" cm="1">
        <f t="array" ref="Q951">IFERROR(
  INDEX('GIR Log'!$E$2:$V$72,
    MATCH(1,
      ('GIR Log'!$A$2:$A$72=$A951)*
      ('GIR Log'!$B$2:$B$72=$B951)*
      ('GIR Log'!$C$2:$C$72=$C951),
    0),
    MATCH($G951,'GIR Log'!$E$1:$V$1,0)
  ),
"")</f>
        <v>↓</v>
      </c>
    </row>
    <row r="952" spans="1:17" x14ac:dyDescent="0.25">
      <c r="A952" s="51" t="s">
        <v>130</v>
      </c>
      <c r="B952" s="2">
        <v>45897</v>
      </c>
      <c r="C952" t="s">
        <v>41</v>
      </c>
      <c r="D952" s="51" t="s">
        <v>79</v>
      </c>
      <c r="E952" s="51" t="s">
        <v>34</v>
      </c>
      <c r="F952">
        <v>90</v>
      </c>
      <c r="G952" s="12" t="s">
        <v>61</v>
      </c>
      <c r="H952" s="9">
        <f t="shared" si="63"/>
        <v>15</v>
      </c>
      <c r="I952" cm="1">
        <f t="array" ref="I952">IFERROR(INDEX(CourseYardages[[Hole 1]:[Hole 18]],
  MATCH(1, (CourseYardages[Course]=C952)*(CourseYardages[Tees]=E952), 0),
  MATCH(G952, CourseYardages[[#Headers],[Hole 1]:[Hole 18]], 0)
),"")</f>
        <v>344</v>
      </c>
      <c r="J952" cm="1">
        <f t="array" ref="J952">IFERROR(INDEX(CourseHandicap[[Hole 1]:[Hole 18]],
  MATCH(1, (CourseHandicap[Course]=C952)*(CourseHandicap[Tees]=E952), 0),
  MATCH(G952, CourseHandicap[[#Headers],[Hole 1]:[Hole 18]], 0)
),"")</f>
        <v>8</v>
      </c>
      <c r="K952" cm="1">
        <f t="array" ref="K952">IFERROR(INDEX(CourseRatings[[Hole 1]:[Hole 18]],
  MATCH(1, (CourseRatings[Course]=C952)*(CourseRatings[Tees]=E952), 0),
  MATCH(G952, CourseRatings[[#Headers],[Hole 1]:[Hole 18]], 0)
),"")</f>
        <v>4</v>
      </c>
      <c r="L952" cm="1">
        <f t="array" ref="L952">IFERROR(
  INDEX('Golf Log'!$E$2:$V$72,
    MATCH(1,
      ('Golf Log'!$A$2:$A$72=$A952)*
      ('Golf Log'!$B$2:$B$72=$B952)*
      ('Golf Log'!$C$2:$C$72=$C952),
    0),
    MATCH($G952,'Golf Log'!$E$1:$V$1,0)
  ),
"")</f>
        <v>6</v>
      </c>
      <c r="M952">
        <f t="shared" si="64"/>
        <v>2</v>
      </c>
      <c r="N952" t="str">
        <f t="shared" si="65"/>
        <v>Double Bogey</v>
      </c>
      <c r="O952" cm="1">
        <f t="array" ref="O952">IFERROR(
  INDEX('Putt Log'!$E$2:$V$72,
    MATCH(1,
      ('Putt Log'!$A$2:$A$72=$A952)*
      ('Putt Log'!$B$2:$B$72=$B952)*
      ('Putt Log'!$C$2:$C$72=$C952),
    0),
    MATCH($G952,'Putt Log'!$E$1:$V$1,0)
  ),
"")</f>
        <v>2</v>
      </c>
      <c r="P952" t="str" cm="1">
        <f t="array" ref="P952">IF(K952=3,"",
  IFERROR(
    INDEX('Fairway Log'!$E$2:$V$72,
      MATCH(1,
        ('Fairway Log'!$A$2:$A$72=$A952)*
        ('Fairway Log'!$B$2:$B$72=$B952)*
        ('Fairway Log'!$C$2:$C1023=$C952),
      0),
      MATCH($G952,'Fairway Log'!$E$1:$V$1,0)
    ),
  "")
)</f>
        <v>↑</v>
      </c>
      <c r="Q952" t="str" cm="1">
        <f t="array" ref="Q952">IFERROR(
  INDEX('GIR Log'!$E$2:$V$72,
    MATCH(1,
      ('GIR Log'!$A$2:$A$72=$A952)*
      ('GIR Log'!$B$2:$B$72=$B952)*
      ('GIR Log'!$C$2:$C$72=$C952),
    0),
    MATCH($G952,'GIR Log'!$E$1:$V$1,0)
  ),
"")</f>
        <v>↓</v>
      </c>
    </row>
    <row r="953" spans="1:17" x14ac:dyDescent="0.25">
      <c r="A953" s="51" t="s">
        <v>130</v>
      </c>
      <c r="B953" s="2">
        <v>45897</v>
      </c>
      <c r="C953" t="s">
        <v>41</v>
      </c>
      <c r="D953" s="51" t="s">
        <v>79</v>
      </c>
      <c r="E953" s="51" t="s">
        <v>34</v>
      </c>
      <c r="F953">
        <v>90</v>
      </c>
      <c r="G953" s="12" t="s">
        <v>62</v>
      </c>
      <c r="H953" s="9">
        <f t="shared" si="63"/>
        <v>16</v>
      </c>
      <c r="I953" cm="1">
        <f t="array" ref="I953">IFERROR(INDEX(CourseYardages[[Hole 1]:[Hole 18]],
  MATCH(1, (CourseYardages[Course]=C953)*(CourseYardages[Tees]=E953), 0),
  MATCH(G953, CourseYardages[[#Headers],[Hole 1]:[Hole 18]], 0)
),"")</f>
        <v>158</v>
      </c>
      <c r="J953" cm="1">
        <f t="array" ref="J953">IFERROR(INDEX(CourseHandicap[[Hole 1]:[Hole 18]],
  MATCH(1, (CourseHandicap[Course]=C953)*(CourseHandicap[Tees]=E953), 0),
  MATCH(G953, CourseHandicap[[#Headers],[Hole 1]:[Hole 18]], 0)
),"")</f>
        <v>18</v>
      </c>
      <c r="K953" cm="1">
        <f t="array" ref="K953">IFERROR(INDEX(CourseRatings[[Hole 1]:[Hole 18]],
  MATCH(1, (CourseRatings[Course]=C953)*(CourseRatings[Tees]=E953), 0),
  MATCH(G953, CourseRatings[[#Headers],[Hole 1]:[Hole 18]], 0)
),"")</f>
        <v>3</v>
      </c>
      <c r="L953" cm="1">
        <f t="array" ref="L953">IFERROR(
  INDEX('Golf Log'!$E$2:$V$72,
    MATCH(1,
      ('Golf Log'!$A$2:$A$72=$A953)*
      ('Golf Log'!$B$2:$B$72=$B953)*
      ('Golf Log'!$C$2:$C$72=$C953),
    0),
    MATCH($G953,'Golf Log'!$E$1:$V$1,0)
  ),
"")</f>
        <v>4</v>
      </c>
      <c r="M953">
        <f t="shared" si="64"/>
        <v>1</v>
      </c>
      <c r="N953" t="str">
        <f t="shared" si="65"/>
        <v>Bogey</v>
      </c>
      <c r="O953" cm="1">
        <f t="array" ref="O953">IFERROR(
  INDEX('Putt Log'!$E$2:$V$72,
    MATCH(1,
      ('Putt Log'!$A$2:$A$72=$A953)*
      ('Putt Log'!$B$2:$B$72=$B953)*
      ('Putt Log'!$C$2:$C$72=$C953),
    0),
    MATCH($G953,'Putt Log'!$E$1:$V$1,0)
  ),
"")</f>
        <v>2</v>
      </c>
      <c r="P953" t="str" cm="1">
        <f t="array" ref="P953">IF(K953=3,"",
  IFERROR(
    INDEX('Fairway Log'!$E$2:$V$72,
      MATCH(1,
        ('Fairway Log'!$A$2:$A$72=$A953)*
        ('Fairway Log'!$B$2:$B$72=$B953)*
        ('Fairway Log'!$C$2:$C1024=$C953),
      0),
      MATCH($G953,'Fairway Log'!$E$1:$V$1,0)
    ),
  "")
)</f>
        <v/>
      </c>
      <c r="Q953" t="str" cm="1">
        <f t="array" ref="Q953">IFERROR(
  INDEX('GIR Log'!$E$2:$V$72,
    MATCH(1,
      ('GIR Log'!$A$2:$A$72=$A953)*
      ('GIR Log'!$B$2:$B$72=$B953)*
      ('GIR Log'!$C$2:$C$72=$C953),
    0),
    MATCH($G953,'GIR Log'!$E$1:$V$1,0)
  ),
"")</f>
        <v>←</v>
      </c>
    </row>
    <row r="954" spans="1:17" x14ac:dyDescent="0.25">
      <c r="A954" s="51" t="s">
        <v>130</v>
      </c>
      <c r="B954" s="2">
        <v>45897</v>
      </c>
      <c r="C954" t="s">
        <v>41</v>
      </c>
      <c r="D954" s="51" t="s">
        <v>79</v>
      </c>
      <c r="E954" s="51" t="s">
        <v>34</v>
      </c>
      <c r="F954">
        <v>90</v>
      </c>
      <c r="G954" s="12" t="s">
        <v>63</v>
      </c>
      <c r="H954" s="9">
        <f t="shared" si="63"/>
        <v>17</v>
      </c>
      <c r="I954" cm="1">
        <f t="array" ref="I954">IFERROR(INDEX(CourseYardages[[Hole 1]:[Hole 18]],
  MATCH(1, (CourseYardages[Course]=C954)*(CourseYardages[Tees]=E954), 0),
  MATCH(G954, CourseYardages[[#Headers],[Hole 1]:[Hole 18]], 0)
),"")</f>
        <v>421</v>
      </c>
      <c r="J954" cm="1">
        <f t="array" ref="J954">IFERROR(INDEX(CourseHandicap[[Hole 1]:[Hole 18]],
  MATCH(1, (CourseHandicap[Course]=C954)*(CourseHandicap[Tees]=E954), 0),
  MATCH(G954, CourseHandicap[[#Headers],[Hole 1]:[Hole 18]], 0)
),"")</f>
        <v>2</v>
      </c>
      <c r="K954" cm="1">
        <f t="array" ref="K954">IFERROR(INDEX(CourseRatings[[Hole 1]:[Hole 18]],
  MATCH(1, (CourseRatings[Course]=C954)*(CourseRatings[Tees]=E954), 0),
  MATCH(G954, CourseRatings[[#Headers],[Hole 1]:[Hole 18]], 0)
),"")</f>
        <v>4</v>
      </c>
      <c r="L954" cm="1">
        <f t="array" ref="L954">IFERROR(
  INDEX('Golf Log'!$E$2:$V$72,
    MATCH(1,
      ('Golf Log'!$A$2:$A$72=$A954)*
      ('Golf Log'!$B$2:$B$72=$B954)*
      ('Golf Log'!$C$2:$C$72=$C954),
    0),
    MATCH($G954,'Golf Log'!$E$1:$V$1,0)
  ),
"")</f>
        <v>6</v>
      </c>
      <c r="M954">
        <f t="shared" si="64"/>
        <v>2</v>
      </c>
      <c r="N954" t="str">
        <f t="shared" si="65"/>
        <v>Double Bogey</v>
      </c>
      <c r="O954" cm="1">
        <f t="array" ref="O954">IFERROR(
  INDEX('Putt Log'!$E$2:$V$72,
    MATCH(1,
      ('Putt Log'!$A$2:$A$72=$A954)*
      ('Putt Log'!$B$2:$B$72=$B954)*
      ('Putt Log'!$C$2:$C$72=$C954),
    0),
    MATCH($G954,'Putt Log'!$E$1:$V$1,0)
  ),
"")</f>
        <v>2</v>
      </c>
      <c r="P954" cm="1">
        <f t="array" ref="P954">IF(K954=3,"",
  IFERROR(
    INDEX('Fairway Log'!$E$2:$V$72,
      MATCH(1,
        ('Fairway Log'!$A$2:$A$72=$A954)*
        ('Fairway Log'!$B$2:$B$72=$B954)*
        ('Fairway Log'!$C$2:$C1025=$C954),
      0),
      MATCH($G954,'Fairway Log'!$E$1:$V$1,0)
    ),
  "")
)</f>
        <v>1</v>
      </c>
      <c r="Q954" t="str" cm="1">
        <f t="array" ref="Q954">IFERROR(
  INDEX('GIR Log'!$E$2:$V$72,
    MATCH(1,
      ('GIR Log'!$A$2:$A$72=$A954)*
      ('GIR Log'!$B$2:$B$72=$B954)*
      ('GIR Log'!$C$2:$C$72=$C954),
    0),
    MATCH($G954,'GIR Log'!$E$1:$V$1,0)
  ),
"")</f>
        <v>←</v>
      </c>
    </row>
    <row r="955" spans="1:17" x14ac:dyDescent="0.25">
      <c r="A955" s="51" t="s">
        <v>130</v>
      </c>
      <c r="B955" s="2">
        <v>45897</v>
      </c>
      <c r="C955" t="s">
        <v>41</v>
      </c>
      <c r="D955" s="51" t="s">
        <v>79</v>
      </c>
      <c r="E955" s="51" t="s">
        <v>34</v>
      </c>
      <c r="F955">
        <v>90</v>
      </c>
      <c r="G955" s="12" t="s">
        <v>64</v>
      </c>
      <c r="H955" s="9">
        <f t="shared" si="63"/>
        <v>18</v>
      </c>
      <c r="I955" cm="1">
        <f t="array" ref="I955">IFERROR(INDEX(CourseYardages[[Hole 1]:[Hole 18]],
  MATCH(1, (CourseYardages[Course]=C955)*(CourseYardages[Tees]=E955), 0),
  MATCH(G955, CourseYardages[[#Headers],[Hole 1]:[Hole 18]], 0)
),"")</f>
        <v>549</v>
      </c>
      <c r="J955" cm="1">
        <f t="array" ref="J955">IFERROR(INDEX(CourseHandicap[[Hole 1]:[Hole 18]],
  MATCH(1, (CourseHandicap[Course]=C955)*(CourseHandicap[Tees]=E955), 0),
  MATCH(G955, CourseHandicap[[#Headers],[Hole 1]:[Hole 18]], 0)
),"")</f>
        <v>10</v>
      </c>
      <c r="K955" cm="1">
        <f t="array" ref="K955">IFERROR(INDEX(CourseRatings[[Hole 1]:[Hole 18]],
  MATCH(1, (CourseRatings[Course]=C955)*(CourseRatings[Tees]=E955), 0),
  MATCH(G955, CourseRatings[[#Headers],[Hole 1]:[Hole 18]], 0)
),"")</f>
        <v>5</v>
      </c>
      <c r="L955" cm="1">
        <f t="array" ref="L955">IFERROR(
  INDEX('Golf Log'!$E$2:$V$72,
    MATCH(1,
      ('Golf Log'!$A$2:$A$72=$A955)*
      ('Golf Log'!$B$2:$B$72=$B955)*
      ('Golf Log'!$C$2:$C$72=$C955),
    0),
    MATCH($G955,'Golf Log'!$E$1:$V$1,0)
  ),
"")</f>
        <v>6</v>
      </c>
      <c r="M955">
        <f t="shared" si="64"/>
        <v>1</v>
      </c>
      <c r="N955" t="str">
        <f t="shared" si="65"/>
        <v>Bogey</v>
      </c>
      <c r="O955" cm="1">
        <f t="array" ref="O955">IFERROR(
  INDEX('Putt Log'!$E$2:$V$72,
    MATCH(1,
      ('Putt Log'!$A$2:$A$72=$A955)*
      ('Putt Log'!$B$2:$B$72=$B955)*
      ('Putt Log'!$C$2:$C$72=$C955),
    0),
    MATCH($G955,'Putt Log'!$E$1:$V$1,0)
  ),
"")</f>
        <v>2</v>
      </c>
      <c r="P955" cm="1">
        <f t="array" ref="P955">IF(K955=3,"",
  IFERROR(
    INDEX('Fairway Log'!$E$2:$V$72,
      MATCH(1,
        ('Fairway Log'!$A$2:$A$72=$A955)*
        ('Fairway Log'!$B$2:$B$72=$B955)*
        ('Fairway Log'!$C$2:$C1026=$C955),
      0),
      MATCH($G955,'Fairway Log'!$E$1:$V$1,0)
    ),
  "")
)</f>
        <v>1</v>
      </c>
      <c r="Q955" t="str" cm="1">
        <f t="array" ref="Q955">IFERROR(
  INDEX('GIR Log'!$E$2:$V$72,
    MATCH(1,
      ('GIR Log'!$A$2:$A$72=$A955)*
      ('GIR Log'!$B$2:$B$72=$B955)*
      ('GIR Log'!$C$2:$C$72=$C955),
    0),
    MATCH($G955,'GIR Log'!$E$1:$V$1,0)
  ),
"")</f>
        <v>↓</v>
      </c>
    </row>
    <row r="956" spans="1:17" x14ac:dyDescent="0.25">
      <c r="A956" s="51" t="s">
        <v>130</v>
      </c>
      <c r="B956" s="2">
        <v>45829</v>
      </c>
      <c r="C956" t="s">
        <v>6</v>
      </c>
      <c r="D956" s="51" t="s">
        <v>75</v>
      </c>
      <c r="E956" s="51" t="s">
        <v>36</v>
      </c>
      <c r="F956">
        <v>83</v>
      </c>
      <c r="G956" t="s">
        <v>47</v>
      </c>
      <c r="H956" s="9">
        <f t="shared" si="63"/>
        <v>1</v>
      </c>
      <c r="I956" cm="1">
        <f t="array" ref="I956">IFERROR(INDEX(CourseYardages[[Hole 1]:[Hole 18]],
  MATCH(1, (CourseYardages[Course]=C956)*(CourseYardages[Tees]=E956), 0),
  MATCH(G956, CourseYardages[[#Headers],[Hole 1]:[Hole 18]], 0)
),"")</f>
        <v>435</v>
      </c>
      <c r="J956" cm="1">
        <f t="array" ref="J956">IFERROR(INDEX(CourseHandicap[[Hole 1]:[Hole 18]],
  MATCH(1, (CourseHandicap[Course]=C956)*(CourseHandicap[Tees]=E956), 0),
  MATCH(G956, CourseHandicap[[#Headers],[Hole 1]:[Hole 18]], 0)
),"")</f>
        <v>6</v>
      </c>
      <c r="K956" cm="1">
        <f t="array" ref="K956">IFERROR(INDEX(CourseRatings[[Hole 1]:[Hole 18]],
  MATCH(1, (CourseRatings[Course]=C956)*(CourseRatings[Tees]=E956), 0),
  MATCH(G956, CourseRatings[[#Headers],[Hole 1]:[Hole 18]], 0)
),"")</f>
        <v>5</v>
      </c>
      <c r="L956" cm="1">
        <f t="array" ref="L956">IFERROR(
  INDEX('Golf Log'!$E$2:$V$72,
    MATCH(1,
      ('Golf Log'!$A$2:$A$72=$A956)*
      ('Golf Log'!$B$2:$B$72=$B956)*
      ('Golf Log'!$C$2:$C$72=$C956),
    0),
    MATCH($G956,'Golf Log'!$E$1:$V$1,0)
  ),
"")</f>
        <v>6</v>
      </c>
      <c r="M956">
        <f t="shared" si="64"/>
        <v>1</v>
      </c>
      <c r="N956" t="str">
        <f t="shared" si="65"/>
        <v>Bogey</v>
      </c>
      <c r="O956" cm="1">
        <f t="array" ref="O956">IFERROR(
  INDEX('Putt Log'!$E$2:$V$72,
    MATCH(1,
      ('Putt Log'!$A$2:$A$72=$A956)*
      ('Putt Log'!$B$2:$B$72=$B956)*
      ('Putt Log'!$C$2:$C$72=$C956),
    0),
    MATCH($G956,'Putt Log'!$E$1:$V$1,0)
  ),
"")</f>
        <v>2</v>
      </c>
      <c r="P956" t="str" cm="1">
        <f t="array" ref="P956">IF(K956=3,"",
  IFERROR(
    INDEX('Fairway Log'!$E$2:$V$72,
      MATCH(1,
        ('Fairway Log'!$A$2:$A$72=$A956)*
        ('Fairway Log'!$B$2:$B$72=$B956)*
        ('Fairway Log'!$C$2:$C1027=$C956),
      0),
      MATCH($G956,'Fairway Log'!$E$1:$V$1,0)
    ),
  "")
)</f>
        <v>↓</v>
      </c>
      <c r="Q956" t="str" cm="1">
        <f t="array" ref="Q956">IFERROR(
  INDEX('GIR Log'!$E$2:$V$72,
    MATCH(1,
      ('GIR Log'!$A$2:$A$72=$A956)*
      ('GIR Log'!$B$2:$B$72=$B956)*
      ('GIR Log'!$C$2:$C$72=$C956),
    0),
    MATCH($G956,'GIR Log'!$E$1:$V$1,0)
  ),
"")</f>
        <v>←</v>
      </c>
    </row>
    <row r="957" spans="1:17" x14ac:dyDescent="0.25">
      <c r="A957" s="51" t="s">
        <v>130</v>
      </c>
      <c r="B957" s="2">
        <v>45829</v>
      </c>
      <c r="C957" t="s">
        <v>6</v>
      </c>
      <c r="D957" s="51" t="s">
        <v>75</v>
      </c>
      <c r="E957" s="51" t="s">
        <v>36</v>
      </c>
      <c r="F957">
        <v>83</v>
      </c>
      <c r="G957" t="s">
        <v>48</v>
      </c>
      <c r="H957" s="9">
        <f t="shared" si="63"/>
        <v>2</v>
      </c>
      <c r="I957" cm="1">
        <f t="array" ref="I957">IFERROR(INDEX(CourseYardages[[Hole 1]:[Hole 18]],
  MATCH(1, (CourseYardages[Course]=C957)*(CourseYardages[Tees]=E957), 0),
  MATCH(G957, CourseYardages[[#Headers],[Hole 1]:[Hole 18]], 0)
),"")</f>
        <v>302</v>
      </c>
      <c r="J957" cm="1">
        <f t="array" ref="J957">IFERROR(INDEX(CourseHandicap[[Hole 1]:[Hole 18]],
  MATCH(1, (CourseHandicap[Course]=C957)*(CourseHandicap[Tees]=E957), 0),
  MATCH(G957, CourseHandicap[[#Headers],[Hole 1]:[Hole 18]], 0)
),"")</f>
        <v>2</v>
      </c>
      <c r="K957" cm="1">
        <f t="array" ref="K957">IFERROR(INDEX(CourseRatings[[Hole 1]:[Hole 18]],
  MATCH(1, (CourseRatings[Course]=C957)*(CourseRatings[Tees]=E957), 0),
  MATCH(G957, CourseRatings[[#Headers],[Hole 1]:[Hole 18]], 0)
),"")</f>
        <v>4</v>
      </c>
      <c r="L957" cm="1">
        <f t="array" ref="L957">IFERROR(
  INDEX('Golf Log'!$E$2:$V$72,
    MATCH(1,
      ('Golf Log'!$A$2:$A$72=$A957)*
      ('Golf Log'!$B$2:$B$72=$B957)*
      ('Golf Log'!$C$2:$C$72=$C957),
    0),
    MATCH($G957,'Golf Log'!$E$1:$V$1,0)
  ),
"")</f>
        <v>5</v>
      </c>
      <c r="M957">
        <f t="shared" si="64"/>
        <v>1</v>
      </c>
      <c r="N957" t="str">
        <f t="shared" si="65"/>
        <v>Bogey</v>
      </c>
      <c r="O957" cm="1">
        <f t="array" ref="O957">IFERROR(
  INDEX('Putt Log'!$E$2:$V$72,
    MATCH(1,
      ('Putt Log'!$A$2:$A$72=$A957)*
      ('Putt Log'!$B$2:$B$72=$B957)*
      ('Putt Log'!$C$2:$C$72=$C957),
    0),
    MATCH($G957,'Putt Log'!$E$1:$V$1,0)
  ),
"")</f>
        <v>1</v>
      </c>
      <c r="P957" t="str" cm="1">
        <f t="array" ref="P957">IF(K957=3,"",
  IFERROR(
    INDEX('Fairway Log'!$E$2:$V$72,
      MATCH(1,
        ('Fairway Log'!$A$2:$A$72=$A957)*
        ('Fairway Log'!$B$2:$B$72=$B957)*
        ('Fairway Log'!$C$2:$C1028=$C957),
      0),
      MATCH($G957,'Fairway Log'!$E$1:$V$1,0)
    ),
  "")
)</f>
        <v>←</v>
      </c>
      <c r="Q957" t="str" cm="1">
        <f t="array" ref="Q957">IFERROR(
  INDEX('GIR Log'!$E$2:$V$72,
    MATCH(1,
      ('GIR Log'!$A$2:$A$72=$A957)*
      ('GIR Log'!$B$2:$B$72=$B957)*
      ('GIR Log'!$C$2:$C$72=$C957),
    0),
    MATCH($G957,'GIR Log'!$E$1:$V$1,0)
  ),
"")</f>
        <v>↓</v>
      </c>
    </row>
    <row r="958" spans="1:17" x14ac:dyDescent="0.25">
      <c r="A958" s="51" t="s">
        <v>130</v>
      </c>
      <c r="B958" s="2">
        <v>45829</v>
      </c>
      <c r="C958" t="s">
        <v>6</v>
      </c>
      <c r="D958" s="51" t="s">
        <v>75</v>
      </c>
      <c r="E958" s="51" t="s">
        <v>36</v>
      </c>
      <c r="F958">
        <v>83</v>
      </c>
      <c r="G958" t="s">
        <v>49</v>
      </c>
      <c r="H958" s="9">
        <f t="shared" si="63"/>
        <v>3</v>
      </c>
      <c r="I958" cm="1">
        <f t="array" ref="I958">IFERROR(INDEX(CourseYardages[[Hole 1]:[Hole 18]],
  MATCH(1, (CourseYardages[Course]=C958)*(CourseYardages[Tees]=E958), 0),
  MATCH(G958, CourseYardages[[#Headers],[Hole 1]:[Hole 18]], 0)
),"")</f>
        <v>169</v>
      </c>
      <c r="J958" cm="1">
        <f t="array" ref="J958">IFERROR(INDEX(CourseHandicap[[Hole 1]:[Hole 18]],
  MATCH(1, (CourseHandicap[Course]=C958)*(CourseHandicap[Tees]=E958), 0),
  MATCH(G958, CourseHandicap[[#Headers],[Hole 1]:[Hole 18]], 0)
),"")</f>
        <v>14</v>
      </c>
      <c r="K958" cm="1">
        <f t="array" ref="K958">IFERROR(INDEX(CourseRatings[[Hole 1]:[Hole 18]],
  MATCH(1, (CourseRatings[Course]=C958)*(CourseRatings[Tees]=E958), 0),
  MATCH(G958, CourseRatings[[#Headers],[Hole 1]:[Hole 18]], 0)
),"")</f>
        <v>3</v>
      </c>
      <c r="L958" cm="1">
        <f t="array" ref="L958">IFERROR(
  INDEX('Golf Log'!$E$2:$V$72,
    MATCH(1,
      ('Golf Log'!$A$2:$A$72=$A958)*
      ('Golf Log'!$B$2:$B$72=$B958)*
      ('Golf Log'!$C$2:$C$72=$C958),
    0),
    MATCH($G958,'Golf Log'!$E$1:$V$1,0)
  ),
"")</f>
        <v>4</v>
      </c>
      <c r="M958">
        <f t="shared" si="64"/>
        <v>1</v>
      </c>
      <c r="N958" t="str">
        <f t="shared" si="65"/>
        <v>Bogey</v>
      </c>
      <c r="O958" cm="1">
        <f t="array" ref="O958">IFERROR(
  INDEX('Putt Log'!$E$2:$V$72,
    MATCH(1,
      ('Putt Log'!$A$2:$A$72=$A958)*
      ('Putt Log'!$B$2:$B$72=$B958)*
      ('Putt Log'!$C$2:$C$72=$C958),
    0),
    MATCH($G958,'Putt Log'!$E$1:$V$1,0)
  ),
"")</f>
        <v>2</v>
      </c>
      <c r="P958" t="str" cm="1">
        <f t="array" ref="P958">IF(K958=3,"",
  IFERROR(
    INDEX('Fairway Log'!$E$2:$V$72,
      MATCH(1,
        ('Fairway Log'!$A$2:$A$72=$A958)*
        ('Fairway Log'!$B$2:$B$72=$B958)*
        ('Fairway Log'!$C$2:$C1029=$C958),
      0),
      MATCH($G958,'Fairway Log'!$E$1:$V$1,0)
    ),
  "")
)</f>
        <v/>
      </c>
      <c r="Q958" t="str" cm="1">
        <f t="array" ref="Q958">IFERROR(
  INDEX('GIR Log'!$E$2:$V$72,
    MATCH(1,
      ('GIR Log'!$A$2:$A$72=$A958)*
      ('GIR Log'!$B$2:$B$72=$B958)*
      ('GIR Log'!$C$2:$C$72=$C958),
    0),
    MATCH($G958,'GIR Log'!$E$1:$V$1,0)
  ),
"")</f>
        <v>←</v>
      </c>
    </row>
    <row r="959" spans="1:17" x14ac:dyDescent="0.25">
      <c r="A959" s="51" t="s">
        <v>130</v>
      </c>
      <c r="B959" s="2">
        <v>45829</v>
      </c>
      <c r="C959" t="s">
        <v>6</v>
      </c>
      <c r="D959" s="51" t="s">
        <v>75</v>
      </c>
      <c r="E959" s="51" t="s">
        <v>36</v>
      </c>
      <c r="F959">
        <v>83</v>
      </c>
      <c r="G959" t="s">
        <v>50</v>
      </c>
      <c r="H959" s="9">
        <f t="shared" si="63"/>
        <v>4</v>
      </c>
      <c r="I959" cm="1">
        <f t="array" ref="I959">IFERROR(INDEX(CourseYardages[[Hole 1]:[Hole 18]],
  MATCH(1, (CourseYardages[Course]=C959)*(CourseYardages[Tees]=E959), 0),
  MATCH(G959, CourseYardages[[#Headers],[Hole 1]:[Hole 18]], 0)
),"")</f>
        <v>483</v>
      </c>
      <c r="J959" cm="1">
        <f t="array" ref="J959">IFERROR(INDEX(CourseHandicap[[Hole 1]:[Hole 18]],
  MATCH(1, (CourseHandicap[Course]=C959)*(CourseHandicap[Tees]=E959), 0),
  MATCH(G959, CourseHandicap[[#Headers],[Hole 1]:[Hole 18]], 0)
),"")</f>
        <v>8</v>
      </c>
      <c r="K959" cm="1">
        <f t="array" ref="K959">IFERROR(INDEX(CourseRatings[[Hole 1]:[Hole 18]],
  MATCH(1, (CourseRatings[Course]=C959)*(CourseRatings[Tees]=E959), 0),
  MATCH(G959, CourseRatings[[#Headers],[Hole 1]:[Hole 18]], 0)
),"")</f>
        <v>5</v>
      </c>
      <c r="L959" cm="1">
        <f t="array" ref="L959">IFERROR(
  INDEX('Golf Log'!$E$2:$V$72,
    MATCH(1,
      ('Golf Log'!$A$2:$A$72=$A959)*
      ('Golf Log'!$B$2:$B$72=$B959)*
      ('Golf Log'!$C$2:$C$72=$C959),
    0),
    MATCH($G959,'Golf Log'!$E$1:$V$1,0)
  ),
"")</f>
        <v>6</v>
      </c>
      <c r="M959">
        <f t="shared" si="64"/>
        <v>1</v>
      </c>
      <c r="N959" t="str">
        <f t="shared" si="65"/>
        <v>Bogey</v>
      </c>
      <c r="O959" cm="1">
        <f t="array" ref="O959">IFERROR(
  INDEX('Putt Log'!$E$2:$V$72,
    MATCH(1,
      ('Putt Log'!$A$2:$A$72=$A959)*
      ('Putt Log'!$B$2:$B$72=$B959)*
      ('Putt Log'!$C$2:$C$72=$C959),
    0),
    MATCH($G959,'Putt Log'!$E$1:$V$1,0)
  ),
"")</f>
        <v>2</v>
      </c>
      <c r="P959" t="str" cm="1">
        <f t="array" ref="P959">IF(K959=3,"",
  IFERROR(
    INDEX('Fairway Log'!$E$2:$V$72,
      MATCH(1,
        ('Fairway Log'!$A$2:$A$72=$A959)*
        ('Fairway Log'!$B$2:$B$72=$B959)*
        ('Fairway Log'!$C$2:$C1030=$C959),
      0),
      MATCH($G959,'Fairway Log'!$E$1:$V$1,0)
    ),
  "")
)</f>
        <v>←</v>
      </c>
      <c r="Q959" t="str" cm="1">
        <f t="array" ref="Q959">IFERROR(
  INDEX('GIR Log'!$E$2:$V$72,
    MATCH(1,
      ('GIR Log'!$A$2:$A$72=$A959)*
      ('GIR Log'!$B$2:$B$72=$B959)*
      ('GIR Log'!$C$2:$C$72=$C959),
    0),
    MATCH($G959,'GIR Log'!$E$1:$V$1,0)
  ),
"")</f>
        <v>↓</v>
      </c>
    </row>
    <row r="960" spans="1:17" x14ac:dyDescent="0.25">
      <c r="A960" s="51" t="s">
        <v>130</v>
      </c>
      <c r="B960" s="2">
        <v>45829</v>
      </c>
      <c r="C960" t="s">
        <v>6</v>
      </c>
      <c r="D960" s="51" t="s">
        <v>75</v>
      </c>
      <c r="E960" s="51" t="s">
        <v>36</v>
      </c>
      <c r="F960">
        <v>83</v>
      </c>
      <c r="G960" t="s">
        <v>51</v>
      </c>
      <c r="H960" s="9">
        <f t="shared" si="63"/>
        <v>5</v>
      </c>
      <c r="I960" cm="1">
        <f t="array" ref="I960">IFERROR(INDEX(CourseYardages[[Hole 1]:[Hole 18]],
  MATCH(1, (CourseYardages[Course]=C960)*(CourseYardages[Tees]=E960), 0),
  MATCH(G960, CourseYardages[[#Headers],[Hole 1]:[Hole 18]], 0)
),"")</f>
        <v>133</v>
      </c>
      <c r="J960" cm="1">
        <f t="array" ref="J960">IFERROR(INDEX(CourseHandicap[[Hole 1]:[Hole 18]],
  MATCH(1, (CourseHandicap[Course]=C960)*(CourseHandicap[Tees]=E960), 0),
  MATCH(G960, CourseHandicap[[#Headers],[Hole 1]:[Hole 18]], 0)
),"")</f>
        <v>16</v>
      </c>
      <c r="K960" cm="1">
        <f t="array" ref="K960">IFERROR(INDEX(CourseRatings[[Hole 1]:[Hole 18]],
  MATCH(1, (CourseRatings[Course]=C960)*(CourseRatings[Tees]=E960), 0),
  MATCH(G960, CourseRatings[[#Headers],[Hole 1]:[Hole 18]], 0)
),"")</f>
        <v>3</v>
      </c>
      <c r="L960" cm="1">
        <f t="array" ref="L960">IFERROR(
  INDEX('Golf Log'!$E$2:$V$72,
    MATCH(1,
      ('Golf Log'!$A$2:$A$72=$A960)*
      ('Golf Log'!$B$2:$B$72=$B960)*
      ('Golf Log'!$C$2:$C$72=$C960),
    0),
    MATCH($G960,'Golf Log'!$E$1:$V$1,0)
  ),
"")</f>
        <v>4</v>
      </c>
      <c r="M960">
        <f t="shared" si="64"/>
        <v>1</v>
      </c>
      <c r="N960" t="str">
        <f t="shared" si="65"/>
        <v>Bogey</v>
      </c>
      <c r="O960" cm="1">
        <f t="array" ref="O960">IFERROR(
  INDEX('Putt Log'!$E$2:$V$72,
    MATCH(1,
      ('Putt Log'!$A$2:$A$72=$A960)*
      ('Putt Log'!$B$2:$B$72=$B960)*
      ('Putt Log'!$C$2:$C$72=$C960),
    0),
    MATCH($G960,'Putt Log'!$E$1:$V$1,0)
  ),
"")</f>
        <v>2</v>
      </c>
      <c r="P960" t="str" cm="1">
        <f t="array" ref="P960">IF(K960=3,"",
  IFERROR(
    INDEX('Fairway Log'!$E$2:$V$72,
      MATCH(1,
        ('Fairway Log'!$A$2:$A$72=$A960)*
        ('Fairway Log'!$B$2:$B$72=$B960)*
        ('Fairway Log'!$C$2:$C1031=$C960),
      0),
      MATCH($G960,'Fairway Log'!$E$1:$V$1,0)
    ),
  "")
)</f>
        <v/>
      </c>
      <c r="Q960" t="str" cm="1">
        <f t="array" ref="Q960">IFERROR(
  INDEX('GIR Log'!$E$2:$V$72,
    MATCH(1,
      ('GIR Log'!$A$2:$A$72=$A960)*
      ('GIR Log'!$B$2:$B$72=$B960)*
      ('GIR Log'!$C$2:$C$72=$C960),
    0),
    MATCH($G960,'GIR Log'!$E$1:$V$1,0)
  ),
"")</f>
        <v>←</v>
      </c>
    </row>
    <row r="961" spans="1:17" x14ac:dyDescent="0.25">
      <c r="A961" s="51" t="s">
        <v>130</v>
      </c>
      <c r="B961" s="2">
        <v>45829</v>
      </c>
      <c r="C961" t="s">
        <v>6</v>
      </c>
      <c r="D961" s="51" t="s">
        <v>75</v>
      </c>
      <c r="E961" s="51" t="s">
        <v>36</v>
      </c>
      <c r="F961">
        <v>83</v>
      </c>
      <c r="G961" t="s">
        <v>52</v>
      </c>
      <c r="H961" s="9">
        <f t="shared" si="63"/>
        <v>6</v>
      </c>
      <c r="I961" cm="1">
        <f t="array" ref="I961">IFERROR(INDEX(CourseYardages[[Hole 1]:[Hole 18]],
  MATCH(1, (CourseYardages[Course]=C961)*(CourseYardages[Tees]=E961), 0),
  MATCH(G961, CourseYardages[[#Headers],[Hole 1]:[Hole 18]], 0)
),"")</f>
        <v>375</v>
      </c>
      <c r="J961" cm="1">
        <f t="array" ref="J961">IFERROR(INDEX(CourseHandicap[[Hole 1]:[Hole 18]],
  MATCH(1, (CourseHandicap[Course]=C961)*(CourseHandicap[Tees]=E961), 0),
  MATCH(G961, CourseHandicap[[#Headers],[Hole 1]:[Hole 18]], 0)
),"")</f>
        <v>4</v>
      </c>
      <c r="K961" cm="1">
        <f t="array" ref="K961">IFERROR(INDEX(CourseRatings[[Hole 1]:[Hole 18]],
  MATCH(1, (CourseRatings[Course]=C961)*(CourseRatings[Tees]=E961), 0),
  MATCH(G961, CourseRatings[[#Headers],[Hole 1]:[Hole 18]], 0)
),"")</f>
        <v>4</v>
      </c>
      <c r="L961" cm="1">
        <f t="array" ref="L961">IFERROR(
  INDEX('Golf Log'!$E$2:$V$72,
    MATCH(1,
      ('Golf Log'!$A$2:$A$72=$A961)*
      ('Golf Log'!$B$2:$B$72=$B961)*
      ('Golf Log'!$C$2:$C$72=$C961),
    0),
    MATCH($G961,'Golf Log'!$E$1:$V$1,0)
  ),
"")</f>
        <v>5</v>
      </c>
      <c r="M961">
        <f t="shared" si="64"/>
        <v>1</v>
      </c>
      <c r="N961" t="str">
        <f t="shared" si="65"/>
        <v>Bogey</v>
      </c>
      <c r="O961" cm="1">
        <f t="array" ref="O961">IFERROR(
  INDEX('Putt Log'!$E$2:$V$72,
    MATCH(1,
      ('Putt Log'!$A$2:$A$72=$A961)*
      ('Putt Log'!$B$2:$B$72=$B961)*
      ('Putt Log'!$C$2:$C$72=$C961),
    0),
    MATCH($G961,'Putt Log'!$E$1:$V$1,0)
  ),
"")</f>
        <v>2</v>
      </c>
      <c r="P961" t="str" cm="1">
        <f t="array" ref="P961">IF(K961=3,"",
  IFERROR(
    INDEX('Fairway Log'!$E$2:$V$72,
      MATCH(1,
        ('Fairway Log'!$A$2:$A$72=$A961)*
        ('Fairway Log'!$B$2:$B$72=$B961)*
        ('Fairway Log'!$C$2:$C1032=$C961),
      0),
      MATCH($G961,'Fairway Log'!$E$1:$V$1,0)
    ),
  "")
)</f>
        <v>←</v>
      </c>
      <c r="Q961" t="str" cm="1">
        <f t="array" ref="Q961">IFERROR(
  INDEX('GIR Log'!$E$2:$V$72,
    MATCH(1,
      ('GIR Log'!$A$2:$A$72=$A961)*
      ('GIR Log'!$B$2:$B$72=$B961)*
      ('GIR Log'!$C$2:$C$72=$C961),
    0),
    MATCH($G961,'GIR Log'!$E$1:$V$1,0)
  ),
"")</f>
        <v>↓</v>
      </c>
    </row>
    <row r="962" spans="1:17" x14ac:dyDescent="0.25">
      <c r="A962" s="51" t="s">
        <v>130</v>
      </c>
      <c r="B962" s="2">
        <v>45829</v>
      </c>
      <c r="C962" t="s">
        <v>6</v>
      </c>
      <c r="D962" s="51" t="s">
        <v>75</v>
      </c>
      <c r="E962" s="51" t="s">
        <v>36</v>
      </c>
      <c r="F962">
        <v>83</v>
      </c>
      <c r="G962" t="s">
        <v>53</v>
      </c>
      <c r="H962" s="9">
        <f t="shared" si="63"/>
        <v>7</v>
      </c>
      <c r="I962" cm="1">
        <f t="array" ref="I962">IFERROR(INDEX(CourseYardages[[Hole 1]:[Hole 18]],
  MATCH(1, (CourseYardages[Course]=C962)*(CourseYardages[Tees]=E962), 0),
  MATCH(G962, CourseYardages[[#Headers],[Hole 1]:[Hole 18]], 0)
),"")</f>
        <v>350</v>
      </c>
      <c r="J962" cm="1">
        <f t="array" ref="J962">IFERROR(INDEX(CourseHandicap[[Hole 1]:[Hole 18]],
  MATCH(1, (CourseHandicap[Course]=C962)*(CourseHandicap[Tees]=E962), 0),
  MATCH(G962, CourseHandicap[[#Headers],[Hole 1]:[Hole 18]], 0)
),"")</f>
        <v>10</v>
      </c>
      <c r="K962" cm="1">
        <f t="array" ref="K962">IFERROR(INDEX(CourseRatings[[Hole 1]:[Hole 18]],
  MATCH(1, (CourseRatings[Course]=C962)*(CourseRatings[Tees]=E962), 0),
  MATCH(G962, CourseRatings[[#Headers],[Hole 1]:[Hole 18]], 0)
),"")</f>
        <v>4</v>
      </c>
      <c r="L962" cm="1">
        <f t="array" ref="L962">IFERROR(
  INDEX('Golf Log'!$E$2:$V$72,
    MATCH(1,
      ('Golf Log'!$A$2:$A$72=$A962)*
      ('Golf Log'!$B$2:$B$72=$B962)*
      ('Golf Log'!$C$2:$C$72=$C962),
    0),
    MATCH($G962,'Golf Log'!$E$1:$V$1,0)
  ),
"")</f>
        <v>5</v>
      </c>
      <c r="M962">
        <f t="shared" si="64"/>
        <v>1</v>
      </c>
      <c r="N962" t="str">
        <f t="shared" si="65"/>
        <v>Bogey</v>
      </c>
      <c r="O962" cm="1">
        <f t="array" ref="O962">IFERROR(
  INDEX('Putt Log'!$E$2:$V$72,
    MATCH(1,
      ('Putt Log'!$A$2:$A$72=$A962)*
      ('Putt Log'!$B$2:$B$72=$B962)*
      ('Putt Log'!$C$2:$C$72=$C962),
    0),
    MATCH($G962,'Putt Log'!$E$1:$V$1,0)
  ),
"")</f>
        <v>2</v>
      </c>
      <c r="P962" t="str" cm="1">
        <f t="array" ref="P962">IF(K962=3,"",
  IFERROR(
    INDEX('Fairway Log'!$E$2:$V$72,
      MATCH(1,
        ('Fairway Log'!$A$2:$A$72=$A962)*
        ('Fairway Log'!$B$2:$B$72=$B962)*
        ('Fairway Log'!$C$2:$C1033=$C962),
      0),
      MATCH($G962,'Fairway Log'!$E$1:$V$1,0)
    ),
  "")
)</f>
        <v>←</v>
      </c>
      <c r="Q962" t="str" cm="1">
        <f t="array" ref="Q962">IFERROR(
  INDEX('GIR Log'!$E$2:$V$72,
    MATCH(1,
      ('GIR Log'!$A$2:$A$72=$A962)*
      ('GIR Log'!$B$2:$B$72=$B962)*
      ('GIR Log'!$C$2:$C$72=$C962),
    0),
    MATCH($G962,'GIR Log'!$E$1:$V$1,0)
  ),
"")</f>
        <v>↓</v>
      </c>
    </row>
    <row r="963" spans="1:17" x14ac:dyDescent="0.25">
      <c r="A963" s="51" t="s">
        <v>130</v>
      </c>
      <c r="B963" s="2">
        <v>45829</v>
      </c>
      <c r="C963" t="s">
        <v>6</v>
      </c>
      <c r="D963" s="51" t="s">
        <v>75</v>
      </c>
      <c r="E963" s="51" t="s">
        <v>36</v>
      </c>
      <c r="F963">
        <v>83</v>
      </c>
      <c r="G963" t="s">
        <v>54</v>
      </c>
      <c r="H963" s="9">
        <f t="shared" si="63"/>
        <v>8</v>
      </c>
      <c r="I963" cm="1">
        <f t="array" ref="I963">IFERROR(INDEX(CourseYardages[[Hole 1]:[Hole 18]],
  MATCH(1, (CourseYardages[Course]=C963)*(CourseYardages[Tees]=E963), 0),
  MATCH(G963, CourseYardages[[#Headers],[Hole 1]:[Hole 18]], 0)
),"")</f>
        <v>285</v>
      </c>
      <c r="J963" cm="1">
        <f t="array" ref="J963">IFERROR(INDEX(CourseHandicap[[Hole 1]:[Hole 18]],
  MATCH(1, (CourseHandicap[Course]=C963)*(CourseHandicap[Tees]=E963), 0),
  MATCH(G963, CourseHandicap[[#Headers],[Hole 1]:[Hole 18]], 0)
),"")</f>
        <v>18</v>
      </c>
      <c r="K963" cm="1">
        <f t="array" ref="K963">IFERROR(INDEX(CourseRatings[[Hole 1]:[Hole 18]],
  MATCH(1, (CourseRatings[Course]=C963)*(CourseRatings[Tees]=E963), 0),
  MATCH(G963, CourseRatings[[#Headers],[Hole 1]:[Hole 18]], 0)
),"")</f>
        <v>4</v>
      </c>
      <c r="L963" cm="1">
        <f t="array" ref="L963">IFERROR(
  INDEX('Golf Log'!$E$2:$V$72,
    MATCH(1,
      ('Golf Log'!$A$2:$A$72=$A963)*
      ('Golf Log'!$B$2:$B$72=$B963)*
      ('Golf Log'!$C$2:$C$72=$C963),
    0),
    MATCH($G963,'Golf Log'!$E$1:$V$1,0)
  ),
"")</f>
        <v>6</v>
      </c>
      <c r="M963">
        <f t="shared" si="64"/>
        <v>2</v>
      </c>
      <c r="N963" t="str">
        <f t="shared" si="65"/>
        <v>Double Bogey</v>
      </c>
      <c r="O963" cm="1">
        <f t="array" ref="O963">IFERROR(
  INDEX('Putt Log'!$E$2:$V$72,
    MATCH(1,
      ('Putt Log'!$A$2:$A$72=$A963)*
      ('Putt Log'!$B$2:$B$72=$B963)*
      ('Putt Log'!$C$2:$C$72=$C963),
    0),
    MATCH($G963,'Putt Log'!$E$1:$V$1,0)
  ),
"")</f>
        <v>2</v>
      </c>
      <c r="P963" t="str" cm="1">
        <f t="array" ref="P963">IF(K963=3,"",
  IFERROR(
    INDEX('Fairway Log'!$E$2:$V$72,
      MATCH(1,
        ('Fairway Log'!$A$2:$A$72=$A963)*
        ('Fairway Log'!$B$2:$B$72=$B963)*
        ('Fairway Log'!$C$2:$C1034=$C963),
      0),
      MATCH($G963,'Fairway Log'!$E$1:$V$1,0)
    ),
  "")
)</f>
        <v>←</v>
      </c>
      <c r="Q963" t="str" cm="1">
        <f t="array" ref="Q963">IFERROR(
  INDEX('GIR Log'!$E$2:$V$72,
    MATCH(1,
      ('GIR Log'!$A$2:$A$72=$A963)*
      ('GIR Log'!$B$2:$B$72=$B963)*
      ('GIR Log'!$C$2:$C$72=$C963),
    0),
    MATCH($G963,'GIR Log'!$E$1:$V$1,0)
  ),
"")</f>
        <v>←</v>
      </c>
    </row>
    <row r="964" spans="1:17" x14ac:dyDescent="0.25">
      <c r="A964" s="51" t="s">
        <v>130</v>
      </c>
      <c r="B964" s="2">
        <v>45829</v>
      </c>
      <c r="C964" t="s">
        <v>6</v>
      </c>
      <c r="D964" s="51" t="s">
        <v>75</v>
      </c>
      <c r="E964" s="51" t="s">
        <v>36</v>
      </c>
      <c r="F964">
        <v>83</v>
      </c>
      <c r="G964" t="s">
        <v>55</v>
      </c>
      <c r="H964" s="9">
        <f t="shared" si="63"/>
        <v>9</v>
      </c>
      <c r="I964" cm="1">
        <f t="array" ref="I964">IFERROR(INDEX(CourseYardages[[Hole 1]:[Hole 18]],
  MATCH(1, (CourseYardages[Course]=C964)*(CourseYardages[Tees]=E964), 0),
  MATCH(G964, CourseYardages[[#Headers],[Hole 1]:[Hole 18]], 0)
),"")</f>
        <v>303</v>
      </c>
      <c r="J964" cm="1">
        <f t="array" ref="J964">IFERROR(INDEX(CourseHandicap[[Hole 1]:[Hole 18]],
  MATCH(1, (CourseHandicap[Course]=C964)*(CourseHandicap[Tees]=E964), 0),
  MATCH(G964, CourseHandicap[[#Headers],[Hole 1]:[Hole 18]], 0)
),"")</f>
        <v>12</v>
      </c>
      <c r="K964" cm="1">
        <f t="array" ref="K964">IFERROR(INDEX(CourseRatings[[Hole 1]:[Hole 18]],
  MATCH(1, (CourseRatings[Course]=C964)*(CourseRatings[Tees]=E964), 0),
  MATCH(G964, CourseRatings[[#Headers],[Hole 1]:[Hole 18]], 0)
),"")</f>
        <v>4</v>
      </c>
      <c r="L964" cm="1">
        <f t="array" ref="L964">IFERROR(
  INDEX('Golf Log'!$E$2:$V$72,
    MATCH(1,
      ('Golf Log'!$A$2:$A$72=$A964)*
      ('Golf Log'!$B$2:$B$72=$B964)*
      ('Golf Log'!$C$2:$C$72=$C964),
    0),
    MATCH($G964,'Golf Log'!$E$1:$V$1,0)
  ),
"")</f>
        <v>4</v>
      </c>
      <c r="M964">
        <f t="shared" si="64"/>
        <v>0</v>
      </c>
      <c r="N964" t="str">
        <f t="shared" si="65"/>
        <v>Par</v>
      </c>
      <c r="O964" cm="1">
        <f t="array" ref="O964">IFERROR(
  INDEX('Putt Log'!$E$2:$V$72,
    MATCH(1,
      ('Putt Log'!$A$2:$A$72=$A964)*
      ('Putt Log'!$B$2:$B$72=$B964)*
      ('Putt Log'!$C$2:$C$72=$C964),
    0),
    MATCH($G964,'Putt Log'!$E$1:$V$1,0)
  ),
"")</f>
        <v>2</v>
      </c>
      <c r="P964" t="str" cm="1">
        <f t="array" ref="P964">IF(K964=3,"",
  IFERROR(
    INDEX('Fairway Log'!$E$2:$V$72,
      MATCH(1,
        ('Fairway Log'!$A$2:$A$72=$A964)*
        ('Fairway Log'!$B$2:$B$72=$B964)*
        ('Fairway Log'!$C$2:$C1035=$C964),
      0),
      MATCH($G964,'Fairway Log'!$E$1:$V$1,0)
    ),
  "")
)</f>
        <v>←</v>
      </c>
      <c r="Q964" cm="1">
        <f t="array" ref="Q964">IFERROR(
  INDEX('GIR Log'!$E$2:$V$72,
    MATCH(1,
      ('GIR Log'!$A$2:$A$72=$A964)*
      ('GIR Log'!$B$2:$B$72=$B964)*
      ('GIR Log'!$C$2:$C$72=$C964),
    0),
    MATCH($G964,'GIR Log'!$E$1:$V$1,0)
  ),
"")</f>
        <v>1</v>
      </c>
    </row>
    <row r="965" spans="1:17" x14ac:dyDescent="0.25">
      <c r="A965" s="51" t="s">
        <v>130</v>
      </c>
      <c r="B965" s="2">
        <v>45829</v>
      </c>
      <c r="C965" t="s">
        <v>6</v>
      </c>
      <c r="D965" s="51" t="s">
        <v>75</v>
      </c>
      <c r="E965" s="51" t="s">
        <v>36</v>
      </c>
      <c r="F965">
        <v>83</v>
      </c>
      <c r="G965" t="s">
        <v>56</v>
      </c>
      <c r="H965" s="9">
        <f t="shared" si="63"/>
        <v>10</v>
      </c>
      <c r="I965" cm="1">
        <f t="array" ref="I965">IFERROR(INDEX(CourseYardages[[Hole 1]:[Hole 18]],
  MATCH(1, (CourseYardages[Course]=C965)*(CourseYardages[Tees]=E965), 0),
  MATCH(G965, CourseYardages[[#Headers],[Hole 1]:[Hole 18]], 0)
),"")</f>
        <v>308</v>
      </c>
      <c r="J965" cm="1">
        <f t="array" ref="J965">IFERROR(INDEX(CourseHandicap[[Hole 1]:[Hole 18]],
  MATCH(1, (CourseHandicap[Course]=C965)*(CourseHandicap[Tees]=E965), 0),
  MATCH(G965, CourseHandicap[[#Headers],[Hole 1]:[Hole 18]], 0)
),"")</f>
        <v>13</v>
      </c>
      <c r="K965" cm="1">
        <f t="array" ref="K965">IFERROR(INDEX(CourseRatings[[Hole 1]:[Hole 18]],
  MATCH(1, (CourseRatings[Course]=C965)*(CourseRatings[Tees]=E965), 0),
  MATCH(G965, CourseRatings[[#Headers],[Hole 1]:[Hole 18]], 0)
),"")</f>
        <v>4</v>
      </c>
      <c r="L965" cm="1">
        <f t="array" ref="L965">IFERROR(
  INDEX('Golf Log'!$E$2:$V$72,
    MATCH(1,
      ('Golf Log'!$A$2:$A$72=$A965)*
      ('Golf Log'!$B$2:$B$72=$B965)*
      ('Golf Log'!$C$2:$C$72=$C965),
    0),
    MATCH($G965,'Golf Log'!$E$1:$V$1,0)
  ),
"")</f>
        <v>5</v>
      </c>
      <c r="M965">
        <f t="shared" si="64"/>
        <v>1</v>
      </c>
      <c r="N965" t="str">
        <f t="shared" si="65"/>
        <v>Bogey</v>
      </c>
      <c r="O965" cm="1">
        <f t="array" ref="O965">IFERROR(
  INDEX('Putt Log'!$E$2:$V$72,
    MATCH(1,
      ('Putt Log'!$A$2:$A$72=$A965)*
      ('Putt Log'!$B$2:$B$72=$B965)*
      ('Putt Log'!$C$2:$C$72=$C965),
    0),
    MATCH($G965,'Putt Log'!$E$1:$V$1,0)
  ),
"")</f>
        <v>2</v>
      </c>
      <c r="P965" t="str" cm="1">
        <f t="array" ref="P965">IF(K965=3,"",
  IFERROR(
    INDEX('Fairway Log'!$E$2:$V$72,
      MATCH(1,
        ('Fairway Log'!$A$2:$A$72=$A965)*
        ('Fairway Log'!$B$2:$B$72=$B965)*
        ('Fairway Log'!$C$2:$C1036=$C965),
      0),
      MATCH($G965,'Fairway Log'!$E$1:$V$1,0)
    ),
  "")
)</f>
        <v>←</v>
      </c>
      <c r="Q965" t="str" cm="1">
        <f t="array" ref="Q965">IFERROR(
  INDEX('GIR Log'!$E$2:$V$72,
    MATCH(1,
      ('GIR Log'!$A$2:$A$72=$A965)*
      ('GIR Log'!$B$2:$B$72=$B965)*
      ('GIR Log'!$C$2:$C$72=$C965),
    0),
    MATCH($G965,'GIR Log'!$E$1:$V$1,0)
  ),
"")</f>
        <v>↓</v>
      </c>
    </row>
    <row r="966" spans="1:17" x14ac:dyDescent="0.25">
      <c r="A966" s="51" t="s">
        <v>130</v>
      </c>
      <c r="B966" s="2">
        <v>45829</v>
      </c>
      <c r="C966" t="s">
        <v>6</v>
      </c>
      <c r="D966" s="51" t="s">
        <v>75</v>
      </c>
      <c r="E966" s="51" t="s">
        <v>36</v>
      </c>
      <c r="F966">
        <v>83</v>
      </c>
      <c r="G966" t="s">
        <v>57</v>
      </c>
      <c r="H966" s="9">
        <f t="shared" si="63"/>
        <v>11</v>
      </c>
      <c r="I966" cm="1">
        <f t="array" ref="I966">IFERROR(INDEX(CourseYardages[[Hole 1]:[Hole 18]],
  MATCH(1, (CourseYardages[Course]=C966)*(CourseYardages[Tees]=E966), 0),
  MATCH(G966, CourseYardages[[#Headers],[Hole 1]:[Hole 18]], 0)
),"")</f>
        <v>284</v>
      </c>
      <c r="J966" cm="1">
        <f t="array" ref="J966">IFERROR(INDEX(CourseHandicap[[Hole 1]:[Hole 18]],
  MATCH(1, (CourseHandicap[Course]=C966)*(CourseHandicap[Tees]=E966), 0),
  MATCH(G966, CourseHandicap[[#Headers],[Hole 1]:[Hole 18]], 0)
),"")</f>
        <v>11</v>
      </c>
      <c r="K966" cm="1">
        <f t="array" ref="K966">IFERROR(INDEX(CourseRatings[[Hole 1]:[Hole 18]],
  MATCH(1, (CourseRatings[Course]=C966)*(CourseRatings[Tees]=E966), 0),
  MATCH(G966, CourseRatings[[#Headers],[Hole 1]:[Hole 18]], 0)
),"")</f>
        <v>4</v>
      </c>
      <c r="L966" cm="1">
        <f t="array" ref="L966">IFERROR(
  INDEX('Golf Log'!$E$2:$V$72,
    MATCH(1,
      ('Golf Log'!$A$2:$A$72=$A966)*
      ('Golf Log'!$B$2:$B$72=$B966)*
      ('Golf Log'!$C$2:$C$72=$C966),
    0),
    MATCH($G966,'Golf Log'!$E$1:$V$1,0)
  ),
"")</f>
        <v>4</v>
      </c>
      <c r="M966">
        <f t="shared" si="64"/>
        <v>0</v>
      </c>
      <c r="N966" t="str">
        <f t="shared" si="65"/>
        <v>Par</v>
      </c>
      <c r="O966" cm="1">
        <f t="array" ref="O966">IFERROR(
  INDEX('Putt Log'!$E$2:$V$72,
    MATCH(1,
      ('Putt Log'!$A$2:$A$72=$A966)*
      ('Putt Log'!$B$2:$B$72=$B966)*
      ('Putt Log'!$C$2:$C$72=$C966),
    0),
    MATCH($G966,'Putt Log'!$E$1:$V$1,0)
  ),
"")</f>
        <v>2</v>
      </c>
      <c r="P966" t="str" cm="1">
        <f t="array" ref="P966">IF(K966=3,"",
  IFERROR(
    INDEX('Fairway Log'!$E$2:$V$72,
      MATCH(1,
        ('Fairway Log'!$A$2:$A$72=$A966)*
        ('Fairway Log'!$B$2:$B$72=$B966)*
        ('Fairway Log'!$C$2:$C1037=$C966),
      0),
      MATCH($G966,'Fairway Log'!$E$1:$V$1,0)
    ),
  "")
)</f>
        <v>←</v>
      </c>
      <c r="Q966" t="str" cm="1">
        <f t="array" ref="Q966">IFERROR(
  INDEX('GIR Log'!$E$2:$V$72,
    MATCH(1,
      ('GIR Log'!$A$2:$A$72=$A966)*
      ('GIR Log'!$B$2:$B$72=$B966)*
      ('GIR Log'!$C$2:$C$72=$C966),
    0),
    MATCH($G966,'GIR Log'!$E$1:$V$1,0)
  ),
"")</f>
        <v>↑</v>
      </c>
    </row>
    <row r="967" spans="1:17" x14ac:dyDescent="0.25">
      <c r="A967" s="51" t="s">
        <v>130</v>
      </c>
      <c r="B967" s="2">
        <v>45829</v>
      </c>
      <c r="C967" t="s">
        <v>6</v>
      </c>
      <c r="D967" s="51" t="s">
        <v>75</v>
      </c>
      <c r="E967" s="51" t="s">
        <v>36</v>
      </c>
      <c r="F967">
        <v>83</v>
      </c>
      <c r="G967" t="s">
        <v>58</v>
      </c>
      <c r="H967" s="9">
        <f t="shared" si="63"/>
        <v>12</v>
      </c>
      <c r="I967" cm="1">
        <f t="array" ref="I967">IFERROR(INDEX(CourseYardages[[Hole 1]:[Hole 18]],
  MATCH(1, (CourseYardages[Course]=C967)*(CourseYardages[Tees]=E967), 0),
  MATCH(G967, CourseYardages[[#Headers],[Hole 1]:[Hole 18]], 0)
),"")</f>
        <v>370</v>
      </c>
      <c r="J967" cm="1">
        <f t="array" ref="J967">IFERROR(INDEX(CourseHandicap[[Hole 1]:[Hole 18]],
  MATCH(1, (CourseHandicap[Course]=C967)*(CourseHandicap[Tees]=E967), 0),
  MATCH(G967, CourseHandicap[[#Headers],[Hole 1]:[Hole 18]], 0)
),"")</f>
        <v>5</v>
      </c>
      <c r="K967" cm="1">
        <f t="array" ref="K967">IFERROR(INDEX(CourseRatings[[Hole 1]:[Hole 18]],
  MATCH(1, (CourseRatings[Course]=C967)*(CourseRatings[Tees]=E967), 0),
  MATCH(G967, CourseRatings[[#Headers],[Hole 1]:[Hole 18]], 0)
),"")</f>
        <v>4</v>
      </c>
      <c r="L967" cm="1">
        <f t="array" ref="L967">IFERROR(
  INDEX('Golf Log'!$E$2:$V$72,
    MATCH(1,
      ('Golf Log'!$A$2:$A$72=$A967)*
      ('Golf Log'!$B$2:$B$72=$B967)*
      ('Golf Log'!$C$2:$C$72=$C967),
    0),
    MATCH($G967,'Golf Log'!$E$1:$V$1,0)
  ),
"")</f>
        <v>4</v>
      </c>
      <c r="M967">
        <f t="shared" si="64"/>
        <v>0</v>
      </c>
      <c r="N967" t="str">
        <f t="shared" si="65"/>
        <v>Par</v>
      </c>
      <c r="O967" cm="1">
        <f t="array" ref="O967">IFERROR(
  INDEX('Putt Log'!$E$2:$V$72,
    MATCH(1,
      ('Putt Log'!$A$2:$A$72=$A967)*
      ('Putt Log'!$B$2:$B$72=$B967)*
      ('Putt Log'!$C$2:$C$72=$C967),
    0),
    MATCH($G967,'Putt Log'!$E$1:$V$1,0)
  ),
"")</f>
        <v>2</v>
      </c>
      <c r="P967" t="str" cm="1">
        <f t="array" ref="P967">IF(K967=3,"",
  IFERROR(
    INDEX('Fairway Log'!$E$2:$V$72,
      MATCH(1,
        ('Fairway Log'!$A$2:$A$72=$A967)*
        ('Fairway Log'!$B$2:$B$72=$B967)*
        ('Fairway Log'!$C$2:$C1038=$C967),
      0),
      MATCH($G967,'Fairway Log'!$E$1:$V$1,0)
    ),
  "")
)</f>
        <v>↑</v>
      </c>
      <c r="Q967" cm="1">
        <f t="array" ref="Q967">IFERROR(
  INDEX('GIR Log'!$E$2:$V$72,
    MATCH(1,
      ('GIR Log'!$A$2:$A$72=$A967)*
      ('GIR Log'!$B$2:$B$72=$B967)*
      ('GIR Log'!$C$2:$C$72=$C967),
    0),
    MATCH($G967,'GIR Log'!$E$1:$V$1,0)
  ),
"")</f>
        <v>1</v>
      </c>
    </row>
    <row r="968" spans="1:17" x14ac:dyDescent="0.25">
      <c r="A968" s="51" t="s">
        <v>130</v>
      </c>
      <c r="B968" s="2">
        <v>45829</v>
      </c>
      <c r="C968" t="s">
        <v>6</v>
      </c>
      <c r="D968" s="51" t="s">
        <v>75</v>
      </c>
      <c r="E968" s="51" t="s">
        <v>36</v>
      </c>
      <c r="F968">
        <v>83</v>
      </c>
      <c r="G968" t="s">
        <v>59</v>
      </c>
      <c r="H968" s="9">
        <f t="shared" si="63"/>
        <v>13</v>
      </c>
      <c r="I968" cm="1">
        <f t="array" ref="I968">IFERROR(INDEX(CourseYardages[[Hole 1]:[Hole 18]],
  MATCH(1, (CourseYardages[Course]=C968)*(CourseYardages[Tees]=E968), 0),
  MATCH(G968, CourseYardages[[#Headers],[Hole 1]:[Hole 18]], 0)
),"")</f>
        <v>297</v>
      </c>
      <c r="J968" cm="1">
        <f t="array" ref="J968">IFERROR(INDEX(CourseHandicap[[Hole 1]:[Hole 18]],
  MATCH(1, (CourseHandicap[Course]=C968)*(CourseHandicap[Tees]=E968), 0),
  MATCH(G968, CourseHandicap[[#Headers],[Hole 1]:[Hole 18]], 0)
),"")</f>
        <v>9</v>
      </c>
      <c r="K968" cm="1">
        <f t="array" ref="K968">IFERROR(INDEX(CourseRatings[[Hole 1]:[Hole 18]],
  MATCH(1, (CourseRatings[Course]=C968)*(CourseRatings[Tees]=E968), 0),
  MATCH(G968, CourseRatings[[#Headers],[Hole 1]:[Hole 18]], 0)
),"")</f>
        <v>4</v>
      </c>
      <c r="L968" cm="1">
        <f t="array" ref="L968">IFERROR(
  INDEX('Golf Log'!$E$2:$V$72,
    MATCH(1,
      ('Golf Log'!$A$2:$A$72=$A968)*
      ('Golf Log'!$B$2:$B$72=$B968)*
      ('Golf Log'!$C$2:$C$72=$C968),
    0),
    MATCH($G968,'Golf Log'!$E$1:$V$1,0)
  ),
"")</f>
        <v>4</v>
      </c>
      <c r="M968">
        <f t="shared" si="64"/>
        <v>0</v>
      </c>
      <c r="N968" t="str">
        <f t="shared" si="65"/>
        <v>Par</v>
      </c>
      <c r="O968" cm="1">
        <f t="array" ref="O968">IFERROR(
  INDEX('Putt Log'!$E$2:$V$72,
    MATCH(1,
      ('Putt Log'!$A$2:$A$72=$A968)*
      ('Putt Log'!$B$2:$B$72=$B968)*
      ('Putt Log'!$C$2:$C$72=$C968),
    0),
    MATCH($G968,'Putt Log'!$E$1:$V$1,0)
  ),
"")</f>
        <v>2</v>
      </c>
      <c r="P968" t="str" cm="1">
        <f t="array" ref="P968">IF(K968=3,"",
  IFERROR(
    INDEX('Fairway Log'!$E$2:$V$72,
      MATCH(1,
        ('Fairway Log'!$A$2:$A$72=$A968)*
        ('Fairway Log'!$B$2:$B$72=$B968)*
        ('Fairway Log'!$C$2:$C1039=$C968),
      0),
      MATCH($G968,'Fairway Log'!$E$1:$V$1,0)
    ),
  "")
)</f>
        <v>↑</v>
      </c>
      <c r="Q968" cm="1">
        <f t="array" ref="Q968">IFERROR(
  INDEX('GIR Log'!$E$2:$V$72,
    MATCH(1,
      ('GIR Log'!$A$2:$A$72=$A968)*
      ('GIR Log'!$B$2:$B$72=$B968)*
      ('GIR Log'!$C$2:$C$72=$C968),
    0),
    MATCH($G968,'GIR Log'!$E$1:$V$1,0)
  ),
"")</f>
        <v>1</v>
      </c>
    </row>
    <row r="969" spans="1:17" x14ac:dyDescent="0.25">
      <c r="A969" s="51" t="s">
        <v>130</v>
      </c>
      <c r="B969" s="2">
        <v>45829</v>
      </c>
      <c r="C969" t="s">
        <v>6</v>
      </c>
      <c r="D969" s="51" t="s">
        <v>75</v>
      </c>
      <c r="E969" s="51" t="s">
        <v>36</v>
      </c>
      <c r="F969">
        <v>83</v>
      </c>
      <c r="G969" t="s">
        <v>60</v>
      </c>
      <c r="H969" s="9">
        <f t="shared" si="63"/>
        <v>14</v>
      </c>
      <c r="I969" cm="1">
        <f t="array" ref="I969">IFERROR(INDEX(CourseYardages[[Hole 1]:[Hole 18]],
  MATCH(1, (CourseYardages[Course]=C969)*(CourseYardages[Tees]=E969), 0),
  MATCH(G969, CourseYardages[[#Headers],[Hole 1]:[Hole 18]], 0)
),"")</f>
        <v>158</v>
      </c>
      <c r="J969" cm="1">
        <f t="array" ref="J969">IFERROR(INDEX(CourseHandicap[[Hole 1]:[Hole 18]],
  MATCH(1, (CourseHandicap[Course]=C969)*(CourseHandicap[Tees]=E969), 0),
  MATCH(G969, CourseHandicap[[#Headers],[Hole 1]:[Hole 18]], 0)
),"")</f>
        <v>15</v>
      </c>
      <c r="K969" cm="1">
        <f t="array" ref="K969">IFERROR(INDEX(CourseRatings[[Hole 1]:[Hole 18]],
  MATCH(1, (CourseRatings[Course]=C969)*(CourseRatings[Tees]=E969), 0),
  MATCH(G969, CourseRatings[[#Headers],[Hole 1]:[Hole 18]], 0)
),"")</f>
        <v>3</v>
      </c>
      <c r="L969" cm="1">
        <f t="array" ref="L969">IFERROR(
  INDEX('Golf Log'!$E$2:$V$72,
    MATCH(1,
      ('Golf Log'!$A$2:$A$72=$A969)*
      ('Golf Log'!$B$2:$B$72=$B969)*
      ('Golf Log'!$C$2:$C$72=$C969),
    0),
    MATCH($G969,'Golf Log'!$E$1:$V$1,0)
  ),
"")</f>
        <v>3</v>
      </c>
      <c r="M969">
        <f t="shared" si="64"/>
        <v>0</v>
      </c>
      <c r="N969" t="str">
        <f t="shared" si="65"/>
        <v>Par</v>
      </c>
      <c r="O969" cm="1">
        <f t="array" ref="O969">IFERROR(
  INDEX('Putt Log'!$E$2:$V$72,
    MATCH(1,
      ('Putt Log'!$A$2:$A$72=$A969)*
      ('Putt Log'!$B$2:$B$72=$B969)*
      ('Putt Log'!$C$2:$C$72=$C969),
    0),
    MATCH($G969,'Putt Log'!$E$1:$V$1,0)
  ),
"")</f>
        <v>1</v>
      </c>
      <c r="P969" t="str" cm="1">
        <f t="array" ref="P969">IF(K969=3,"",
  IFERROR(
    INDEX('Fairway Log'!$E$2:$V$72,
      MATCH(1,
        ('Fairway Log'!$A$2:$A$72=$A969)*
        ('Fairway Log'!$B$2:$B$72=$B969)*
        ('Fairway Log'!$C$2:$C1040=$C969),
      0),
      MATCH($G969,'Fairway Log'!$E$1:$V$1,0)
    ),
  "")
)</f>
        <v/>
      </c>
      <c r="Q969" t="str" cm="1">
        <f t="array" ref="Q969">IFERROR(
  INDEX('GIR Log'!$E$2:$V$72,
    MATCH(1,
      ('GIR Log'!$A$2:$A$72=$A969)*
      ('GIR Log'!$B$2:$B$72=$B969)*
      ('GIR Log'!$C$2:$C$72=$C969),
    0),
    MATCH($G969,'GIR Log'!$E$1:$V$1,0)
  ),
"")</f>
        <v>←</v>
      </c>
    </row>
    <row r="970" spans="1:17" x14ac:dyDescent="0.25">
      <c r="A970" s="51" t="s">
        <v>130</v>
      </c>
      <c r="B970" s="2">
        <v>45829</v>
      </c>
      <c r="C970" t="s">
        <v>6</v>
      </c>
      <c r="D970" s="51" t="s">
        <v>75</v>
      </c>
      <c r="E970" s="51" t="s">
        <v>36</v>
      </c>
      <c r="F970">
        <v>83</v>
      </c>
      <c r="G970" t="s">
        <v>61</v>
      </c>
      <c r="H970" s="9">
        <f t="shared" si="63"/>
        <v>15</v>
      </c>
      <c r="I970" cm="1">
        <f t="array" ref="I970">IFERROR(INDEX(CourseYardages[[Hole 1]:[Hole 18]],
  MATCH(1, (CourseYardages[Course]=C970)*(CourseYardages[Tees]=E970), 0),
  MATCH(G970, CourseYardages[[#Headers],[Hole 1]:[Hole 18]], 0)
),"")</f>
        <v>404</v>
      </c>
      <c r="J970" cm="1">
        <f t="array" ref="J970">IFERROR(INDEX(CourseHandicap[[Hole 1]:[Hole 18]],
  MATCH(1, (CourseHandicap[Course]=C970)*(CourseHandicap[Tees]=E970), 0),
  MATCH(G970, CourseHandicap[[#Headers],[Hole 1]:[Hole 18]], 0)
),"")</f>
        <v>1</v>
      </c>
      <c r="K970" cm="1">
        <f t="array" ref="K970">IFERROR(INDEX(CourseRatings[[Hole 1]:[Hole 18]],
  MATCH(1, (CourseRatings[Course]=C970)*(CourseRatings[Tees]=E970), 0),
  MATCH(G970, CourseRatings[[#Headers],[Hole 1]:[Hole 18]], 0)
),"")</f>
        <v>4</v>
      </c>
      <c r="L970" cm="1">
        <f t="array" ref="L970">IFERROR(
  INDEX('Golf Log'!$E$2:$V$72,
    MATCH(1,
      ('Golf Log'!$A$2:$A$72=$A970)*
      ('Golf Log'!$B$2:$B$72=$B970)*
      ('Golf Log'!$C$2:$C$72=$C970),
    0),
    MATCH($G970,'Golf Log'!$E$1:$V$1,0)
  ),
"")</f>
        <v>4</v>
      </c>
      <c r="M970">
        <f t="shared" si="64"/>
        <v>0</v>
      </c>
      <c r="N970" t="str">
        <f t="shared" si="65"/>
        <v>Par</v>
      </c>
      <c r="O970" cm="1">
        <f t="array" ref="O970">IFERROR(
  INDEX('Putt Log'!$E$2:$V$72,
    MATCH(1,
      ('Putt Log'!$A$2:$A$72=$A970)*
      ('Putt Log'!$B$2:$B$72=$B970)*
      ('Putt Log'!$C$2:$C$72=$C970),
    0),
    MATCH($G970,'Putt Log'!$E$1:$V$1,0)
  ),
"")</f>
        <v>2</v>
      </c>
      <c r="P970" t="str" cm="1">
        <f t="array" ref="P970">IF(K970=3,"",
  IFERROR(
    INDEX('Fairway Log'!$E$2:$V$72,
      MATCH(1,
        ('Fairway Log'!$A$2:$A$72=$A970)*
        ('Fairway Log'!$B$2:$B$72=$B970)*
        ('Fairway Log'!$C$2:$C1041=$C970),
      0),
      MATCH($G970,'Fairway Log'!$E$1:$V$1,0)
    ),
  "")
)</f>
        <v>←</v>
      </c>
      <c r="Q970" cm="1">
        <f t="array" ref="Q970">IFERROR(
  INDEX('GIR Log'!$E$2:$V$72,
    MATCH(1,
      ('GIR Log'!$A$2:$A$72=$A970)*
      ('GIR Log'!$B$2:$B$72=$B970)*
      ('GIR Log'!$C$2:$C$72=$C970),
    0),
    MATCH($G970,'GIR Log'!$E$1:$V$1,0)
  ),
"")</f>
        <v>1</v>
      </c>
    </row>
    <row r="971" spans="1:17" x14ac:dyDescent="0.25">
      <c r="A971" s="51" t="s">
        <v>130</v>
      </c>
      <c r="B971" s="2">
        <v>45829</v>
      </c>
      <c r="C971" t="s">
        <v>6</v>
      </c>
      <c r="D971" s="51" t="s">
        <v>75</v>
      </c>
      <c r="E971" s="51" t="s">
        <v>36</v>
      </c>
      <c r="F971">
        <v>83</v>
      </c>
      <c r="G971" t="s">
        <v>62</v>
      </c>
      <c r="H971" s="9">
        <f t="shared" si="63"/>
        <v>16</v>
      </c>
      <c r="I971" cm="1">
        <f t="array" ref="I971">IFERROR(INDEX(CourseYardages[[Hole 1]:[Hole 18]],
  MATCH(1, (CourseYardages[Course]=C971)*(CourseYardages[Tees]=E971), 0),
  MATCH(G971, CourseYardages[[#Headers],[Hole 1]:[Hole 18]], 0)
),"")</f>
        <v>262</v>
      </c>
      <c r="J971" cm="1">
        <f t="array" ref="J971">IFERROR(INDEX(CourseHandicap[[Hole 1]:[Hole 18]],
  MATCH(1, (CourseHandicap[Course]=C971)*(CourseHandicap[Tees]=E971), 0),
  MATCH(G971, CourseHandicap[[#Headers],[Hole 1]:[Hole 18]], 0)
),"")</f>
        <v>17</v>
      </c>
      <c r="K971" cm="1">
        <f t="array" ref="K971">IFERROR(INDEX(CourseRatings[[Hole 1]:[Hole 18]],
  MATCH(1, (CourseRatings[Course]=C971)*(CourseRatings[Tees]=E971), 0),
  MATCH(G971, CourseRatings[[#Headers],[Hole 1]:[Hole 18]], 0)
),"")</f>
        <v>4</v>
      </c>
      <c r="L971" cm="1">
        <f t="array" ref="L971">IFERROR(
  INDEX('Golf Log'!$E$2:$V$72,
    MATCH(1,
      ('Golf Log'!$A$2:$A$72=$A971)*
      ('Golf Log'!$B$2:$B$72=$B971)*
      ('Golf Log'!$C$2:$C$72=$C971),
    0),
    MATCH($G971,'Golf Log'!$E$1:$V$1,0)
  ),
"")</f>
        <v>4</v>
      </c>
      <c r="M971">
        <f t="shared" si="64"/>
        <v>0</v>
      </c>
      <c r="N971" t="str">
        <f t="shared" si="65"/>
        <v>Par</v>
      </c>
      <c r="O971" cm="1">
        <f t="array" ref="O971">IFERROR(
  INDEX('Putt Log'!$E$2:$V$72,
    MATCH(1,
      ('Putt Log'!$A$2:$A$72=$A971)*
      ('Putt Log'!$B$2:$B$72=$B971)*
      ('Putt Log'!$C$2:$C$72=$C971),
    0),
    MATCH($G971,'Putt Log'!$E$1:$V$1,0)
  ),
"")</f>
        <v>2</v>
      </c>
      <c r="P971" cm="1">
        <f t="array" ref="P971">IF(K971=3,"",
  IFERROR(
    INDEX('Fairway Log'!$E$2:$V$72,
      MATCH(1,
        ('Fairway Log'!$A$2:$A$72=$A971)*
        ('Fairway Log'!$B$2:$B$72=$B971)*
        ('Fairway Log'!$C$2:$C1042=$C971),
      0),
      MATCH($G971,'Fairway Log'!$E$1:$V$1,0)
    ),
  "")
)</f>
        <v>1</v>
      </c>
      <c r="Q971" cm="1">
        <f t="array" ref="Q971">IFERROR(
  INDEX('GIR Log'!$E$2:$V$72,
    MATCH(1,
      ('GIR Log'!$A$2:$A$72=$A971)*
      ('GIR Log'!$B$2:$B$72=$B971)*
      ('GIR Log'!$C$2:$C$72=$C971),
    0),
    MATCH($G971,'GIR Log'!$E$1:$V$1,0)
  ),
"")</f>
        <v>1</v>
      </c>
    </row>
    <row r="972" spans="1:17" x14ac:dyDescent="0.25">
      <c r="A972" s="51" t="s">
        <v>130</v>
      </c>
      <c r="B972" s="2">
        <v>45829</v>
      </c>
      <c r="C972" t="s">
        <v>6</v>
      </c>
      <c r="D972" s="51" t="s">
        <v>75</v>
      </c>
      <c r="E972" s="51" t="s">
        <v>36</v>
      </c>
      <c r="F972">
        <v>83</v>
      </c>
      <c r="G972" t="s">
        <v>63</v>
      </c>
      <c r="H972" s="9">
        <f t="shared" si="63"/>
        <v>17</v>
      </c>
      <c r="I972" cm="1">
        <f t="array" ref="I972">IFERROR(INDEX(CourseYardages[[Hole 1]:[Hole 18]],
  MATCH(1, (CourseYardages[Course]=C972)*(CourseYardages[Tees]=E972), 0),
  MATCH(G972, CourseYardages[[#Headers],[Hole 1]:[Hole 18]], 0)
),"")</f>
        <v>467</v>
      </c>
      <c r="J972" cm="1">
        <f t="array" ref="J972">IFERROR(INDEX(CourseHandicap[[Hole 1]:[Hole 18]],
  MATCH(1, (CourseHandicap[Course]=C972)*(CourseHandicap[Tees]=E972), 0),
  MATCH(G972, CourseHandicap[[#Headers],[Hole 1]:[Hole 18]], 0)
),"")</f>
        <v>3</v>
      </c>
      <c r="K972" cm="1">
        <f t="array" ref="K972">IFERROR(INDEX(CourseRatings[[Hole 1]:[Hole 18]],
  MATCH(1, (CourseRatings[Course]=C972)*(CourseRatings[Tees]=E972), 0),
  MATCH(G972, CourseRatings[[#Headers],[Hole 1]:[Hole 18]], 0)
),"")</f>
        <v>5</v>
      </c>
      <c r="L972" cm="1">
        <f t="array" ref="L972">IFERROR(
  INDEX('Golf Log'!$E$2:$V$72,
    MATCH(1,
      ('Golf Log'!$A$2:$A$72=$A972)*
      ('Golf Log'!$B$2:$B$72=$B972)*
      ('Golf Log'!$C$2:$C$72=$C972),
    0),
    MATCH($G972,'Golf Log'!$E$1:$V$1,0)
  ),
"")</f>
        <v>5</v>
      </c>
      <c r="M972">
        <f t="shared" si="64"/>
        <v>0</v>
      </c>
      <c r="N972" t="str">
        <f t="shared" si="65"/>
        <v>Par</v>
      </c>
      <c r="O972" cm="1">
        <f t="array" ref="O972">IFERROR(
  INDEX('Putt Log'!$E$2:$V$72,
    MATCH(1,
      ('Putt Log'!$A$2:$A$72=$A972)*
      ('Putt Log'!$B$2:$B$72=$B972)*
      ('Putt Log'!$C$2:$C$72=$C972),
    0),
    MATCH($G972,'Putt Log'!$E$1:$V$1,0)
  ),
"")</f>
        <v>2</v>
      </c>
      <c r="P972" t="str" cm="1">
        <f t="array" ref="P972">IF(K972=3,"",
  IFERROR(
    INDEX('Fairway Log'!$E$2:$V$72,
      MATCH(1,
        ('Fairway Log'!$A$2:$A$72=$A972)*
        ('Fairway Log'!$B$2:$B$72=$B972)*
        ('Fairway Log'!$C$2:$C1043=$C972),
      0),
      MATCH($G972,'Fairway Log'!$E$1:$V$1,0)
    ),
  "")
)</f>
        <v>←</v>
      </c>
      <c r="Q972" cm="1">
        <f t="array" ref="Q972">IFERROR(
  INDEX('GIR Log'!$E$2:$V$72,
    MATCH(1,
      ('GIR Log'!$A$2:$A$72=$A972)*
      ('GIR Log'!$B$2:$B$72=$B972)*
      ('GIR Log'!$C$2:$C$72=$C972),
    0),
    MATCH($G972,'GIR Log'!$E$1:$V$1,0)
  ),
"")</f>
        <v>1</v>
      </c>
    </row>
    <row r="973" spans="1:17" x14ac:dyDescent="0.25">
      <c r="A973" s="51" t="s">
        <v>130</v>
      </c>
      <c r="B973" s="2">
        <v>45829</v>
      </c>
      <c r="C973" t="s">
        <v>6</v>
      </c>
      <c r="D973" s="51" t="s">
        <v>75</v>
      </c>
      <c r="E973" s="51" t="s">
        <v>36</v>
      </c>
      <c r="F973">
        <v>83</v>
      </c>
      <c r="G973" t="s">
        <v>64</v>
      </c>
      <c r="H973" s="9">
        <f t="shared" si="63"/>
        <v>18</v>
      </c>
      <c r="I973" cm="1">
        <f t="array" ref="I973">IFERROR(INDEX(CourseYardages[[Hole 1]:[Hole 18]],
  MATCH(1, (CourseYardages[Course]=C973)*(CourseYardages[Tees]=E973), 0),
  MATCH(G973, CourseYardages[[#Headers],[Hole 1]:[Hole 18]], 0)
),"")</f>
        <v>355</v>
      </c>
      <c r="J973" cm="1">
        <f t="array" ref="J973">IFERROR(INDEX(CourseHandicap[[Hole 1]:[Hole 18]],
  MATCH(1, (CourseHandicap[Course]=C973)*(CourseHandicap[Tees]=E973), 0),
  MATCH(G973, CourseHandicap[[#Headers],[Hole 1]:[Hole 18]], 0)
),"")</f>
        <v>7</v>
      </c>
      <c r="K973" cm="1">
        <f t="array" ref="K973">IFERROR(INDEX(CourseRatings[[Hole 1]:[Hole 18]],
  MATCH(1, (CourseRatings[Course]=C973)*(CourseRatings[Tees]=E973), 0),
  MATCH(G973, CourseRatings[[#Headers],[Hole 1]:[Hole 18]], 0)
),"")</f>
        <v>4</v>
      </c>
      <c r="L973" cm="1">
        <f t="array" ref="L973">IFERROR(
  INDEX('Golf Log'!$E$2:$V$72,
    MATCH(1,
      ('Golf Log'!$A$2:$A$72=$A973)*
      ('Golf Log'!$B$2:$B$72=$B973)*
      ('Golf Log'!$C$2:$C$72=$C973),
    0),
    MATCH($G973,'Golf Log'!$E$1:$V$1,0)
  ),
"")</f>
        <v>5</v>
      </c>
      <c r="M973">
        <f t="shared" si="64"/>
        <v>1</v>
      </c>
      <c r="N973" t="str">
        <f t="shared" si="65"/>
        <v>Bogey</v>
      </c>
      <c r="O973" cm="1">
        <f t="array" ref="O973">IFERROR(
  INDEX('Putt Log'!$E$2:$V$72,
    MATCH(1,
      ('Putt Log'!$A$2:$A$72=$A973)*
      ('Putt Log'!$B$2:$B$72=$B973)*
      ('Putt Log'!$C$2:$C$72=$C973),
    0),
    MATCH($G973,'Putt Log'!$E$1:$V$1,0)
  ),
"")</f>
        <v>2</v>
      </c>
      <c r="P973" t="str" cm="1">
        <f t="array" ref="P973">IF(K973=3,"",
  IFERROR(
    INDEX('Fairway Log'!$E$2:$V$72,
      MATCH(1,
        ('Fairway Log'!$A$2:$A$72=$A973)*
        ('Fairway Log'!$B$2:$B$72=$B973)*
        ('Fairway Log'!$C$2:$C1044=$C973),
      0),
      MATCH($G973,'Fairway Log'!$E$1:$V$1,0)
    ),
  "")
)</f>
        <v>←</v>
      </c>
      <c r="Q973" t="str" cm="1">
        <f t="array" ref="Q973">IFERROR(
  INDEX('GIR Log'!$E$2:$V$72,
    MATCH(1,
      ('GIR Log'!$A$2:$A$72=$A973)*
      ('GIR Log'!$B$2:$B$72=$B973)*
      ('GIR Log'!$C$2:$C$72=$C973),
    0),
    MATCH($G973,'GIR Log'!$E$1:$V$1,0)
  ),
"")</f>
        <v>↓</v>
      </c>
    </row>
    <row r="974" spans="1:17" x14ac:dyDescent="0.25">
      <c r="A974" s="51" t="s">
        <v>130</v>
      </c>
      <c r="B974" s="2">
        <v>45857</v>
      </c>
      <c r="C974" t="s">
        <v>3</v>
      </c>
      <c r="D974" s="51" t="s">
        <v>3</v>
      </c>
      <c r="E974" s="51" t="s">
        <v>36</v>
      </c>
      <c r="F974">
        <v>84</v>
      </c>
      <c r="G974" s="12" t="s">
        <v>47</v>
      </c>
      <c r="H974" s="9">
        <f t="shared" si="63"/>
        <v>1</v>
      </c>
      <c r="I974" cm="1">
        <f t="array" ref="I974">IFERROR(INDEX(CourseYardages[[Hole 1]:[Hole 18]],
  MATCH(1, (CourseYardages[Course]=C974)*(CourseYardages[Tees]=E974), 0),
  MATCH(G974, CourseYardages[[#Headers],[Hole 1]:[Hole 18]], 0)
),"")</f>
        <v>345</v>
      </c>
      <c r="J974" cm="1">
        <f t="array" ref="J974">IFERROR(INDEX(CourseHandicap[[Hole 1]:[Hole 18]],
  MATCH(1, (CourseHandicap[Course]=C974)*(CourseHandicap[Tees]=E974), 0),
  MATCH(G974, CourseHandicap[[#Headers],[Hole 1]:[Hole 18]], 0)
),"")</f>
        <v>15</v>
      </c>
      <c r="K974" cm="1">
        <f t="array" ref="K974">IFERROR(INDEX(CourseRatings[[Hole 1]:[Hole 18]],
  MATCH(1, (CourseRatings[Course]=C974)*(CourseRatings[Tees]=E974), 0),
  MATCH(G974, CourseRatings[[#Headers],[Hole 1]:[Hole 18]], 0)
),"")</f>
        <v>4</v>
      </c>
      <c r="L974" cm="1">
        <f t="array" ref="L974">IFERROR(
  INDEX('Golf Log'!$E$2:$V$72,
    MATCH(1,
      ('Golf Log'!$A$2:$A$72=$A974)*
      ('Golf Log'!$B$2:$B$72=$B974)*
      ('Golf Log'!$C$2:$C$72=$C974),
    0),
    MATCH($G974,'Golf Log'!$E$1:$V$1,0)
  ),
"")</f>
        <v>4</v>
      </c>
      <c r="M974">
        <f t="shared" si="64"/>
        <v>0</v>
      </c>
      <c r="N974" t="str">
        <f t="shared" si="65"/>
        <v>Par</v>
      </c>
      <c r="O974" cm="1">
        <f t="array" ref="O974">IFERROR(
  INDEX('Putt Log'!$E$2:$V$72,
    MATCH(1,
      ('Putt Log'!$A$2:$A$72=$A974)*
      ('Putt Log'!$B$2:$B$72=$B974)*
      ('Putt Log'!$C$2:$C$72=$C974),
    0),
    MATCH($G974,'Putt Log'!$E$1:$V$1,0)
  ),
"")</f>
        <v>2</v>
      </c>
      <c r="P974" cm="1">
        <f t="array" ref="P974">IF(K974=3,"",
  IFERROR(
    INDEX('Fairway Log'!$E$2:$V$72,
      MATCH(1,
        ('Fairway Log'!$A$2:$A$72=$A974)*
        ('Fairway Log'!$B$2:$B$72=$B974)*
        ('Fairway Log'!$C$2:$C1045=$C974),
      0),
      MATCH($G974,'Fairway Log'!$E$1:$V$1,0)
    ),
  "")
)</f>
        <v>1</v>
      </c>
      <c r="Q974" cm="1">
        <f t="array" ref="Q974">IFERROR(
  INDEX('GIR Log'!$E$2:$V$72,
    MATCH(1,
      ('GIR Log'!$A$2:$A$72=$A974)*
      ('GIR Log'!$B$2:$B$72=$B974)*
      ('GIR Log'!$C$2:$C$72=$C974),
    0),
    MATCH($G974,'GIR Log'!$E$1:$V$1,0)
  ),
"")</f>
        <v>1</v>
      </c>
    </row>
    <row r="975" spans="1:17" x14ac:dyDescent="0.25">
      <c r="A975" s="51" t="s">
        <v>130</v>
      </c>
      <c r="B975" s="2">
        <v>45857</v>
      </c>
      <c r="C975" t="s">
        <v>3</v>
      </c>
      <c r="D975" s="51" t="s">
        <v>3</v>
      </c>
      <c r="E975" s="51" t="s">
        <v>36</v>
      </c>
      <c r="F975">
        <v>84</v>
      </c>
      <c r="G975" s="12" t="s">
        <v>48</v>
      </c>
      <c r="H975" s="9">
        <f t="shared" si="63"/>
        <v>2</v>
      </c>
      <c r="I975" cm="1">
        <f t="array" ref="I975">IFERROR(INDEX(CourseYardages[[Hole 1]:[Hole 18]],
  MATCH(1, (CourseYardages[Course]=C975)*(CourseYardages[Tees]=E975), 0),
  MATCH(G975, CourseYardages[[#Headers],[Hole 1]:[Hole 18]], 0)
),"")</f>
        <v>367</v>
      </c>
      <c r="J975" cm="1">
        <f t="array" ref="J975">IFERROR(INDEX(CourseHandicap[[Hole 1]:[Hole 18]],
  MATCH(1, (CourseHandicap[Course]=C975)*(CourseHandicap[Tees]=E975), 0),
  MATCH(G975, CourseHandicap[[#Headers],[Hole 1]:[Hole 18]], 0)
),"")</f>
        <v>3</v>
      </c>
      <c r="K975" cm="1">
        <f t="array" ref="K975">IFERROR(INDEX(CourseRatings[[Hole 1]:[Hole 18]],
  MATCH(1, (CourseRatings[Course]=C975)*(CourseRatings[Tees]=E975), 0),
  MATCH(G975, CourseRatings[[#Headers],[Hole 1]:[Hole 18]], 0)
),"")</f>
        <v>4</v>
      </c>
      <c r="L975" cm="1">
        <f t="array" ref="L975">IFERROR(
  INDEX('Golf Log'!$E$2:$V$72,
    MATCH(1,
      ('Golf Log'!$A$2:$A$72=$A975)*
      ('Golf Log'!$B$2:$B$72=$B975)*
      ('Golf Log'!$C$2:$C$72=$C975),
    0),
    MATCH($G975,'Golf Log'!$E$1:$V$1,0)
  ),
"")</f>
        <v>6</v>
      </c>
      <c r="M975">
        <f t="shared" si="64"/>
        <v>2</v>
      </c>
      <c r="N975" t="str">
        <f t="shared" si="65"/>
        <v>Double Bogey</v>
      </c>
      <c r="O975" cm="1">
        <f t="array" ref="O975">IFERROR(
  INDEX('Putt Log'!$E$2:$V$72,
    MATCH(1,
      ('Putt Log'!$A$2:$A$72=$A975)*
      ('Putt Log'!$B$2:$B$72=$B975)*
      ('Putt Log'!$C$2:$C$72=$C975),
    0),
    MATCH($G975,'Putt Log'!$E$1:$V$1,0)
  ),
"")</f>
        <v>2</v>
      </c>
      <c r="P975" t="str" cm="1">
        <f t="array" ref="P975">IF(K975=3,"",
  IFERROR(
    INDEX('Fairway Log'!$E$2:$V$72,
      MATCH(1,
        ('Fairway Log'!$A$2:$A$72=$A975)*
        ('Fairway Log'!$B$2:$B$72=$B975)*
        ('Fairway Log'!$C$2:$C1046=$C975),
      0),
      MATCH($G975,'Fairway Log'!$E$1:$V$1,0)
    ),
  "")
)</f>
        <v>↓</v>
      </c>
      <c r="Q975" t="str" cm="1">
        <f t="array" ref="Q975">IFERROR(
  INDEX('GIR Log'!$E$2:$V$72,
    MATCH(1,
      ('GIR Log'!$A$2:$A$72=$A975)*
      ('GIR Log'!$B$2:$B$72=$B975)*
      ('GIR Log'!$C$2:$C$72=$C975),
    0),
    MATCH($G975,'GIR Log'!$E$1:$V$1,0)
  ),
"")</f>
        <v>↓</v>
      </c>
    </row>
    <row r="976" spans="1:17" x14ac:dyDescent="0.25">
      <c r="A976" s="51" t="s">
        <v>130</v>
      </c>
      <c r="B976" s="2">
        <v>45857</v>
      </c>
      <c r="C976" t="s">
        <v>3</v>
      </c>
      <c r="D976" s="51" t="s">
        <v>3</v>
      </c>
      <c r="E976" s="51" t="s">
        <v>36</v>
      </c>
      <c r="F976">
        <v>84</v>
      </c>
      <c r="G976" s="12" t="s">
        <v>49</v>
      </c>
      <c r="H976" s="9">
        <f t="shared" ref="H976:H1039" si="66">VALUE(RIGHT(G976, LEN(G976) - 5))</f>
        <v>3</v>
      </c>
      <c r="I976" cm="1">
        <f t="array" ref="I976">IFERROR(INDEX(CourseYardages[[Hole 1]:[Hole 18]],
  MATCH(1, (CourseYardages[Course]=C976)*(CourseYardages[Tees]=E976), 0),
  MATCH(G976, CourseYardages[[#Headers],[Hole 1]:[Hole 18]], 0)
),"")</f>
        <v>133</v>
      </c>
      <c r="J976" cm="1">
        <f t="array" ref="J976">IFERROR(INDEX(CourseHandicap[[Hole 1]:[Hole 18]],
  MATCH(1, (CourseHandicap[Course]=C976)*(CourseHandicap[Tees]=E976), 0),
  MATCH(G976, CourseHandicap[[#Headers],[Hole 1]:[Hole 18]], 0)
),"")</f>
        <v>17</v>
      </c>
      <c r="K976" cm="1">
        <f t="array" ref="K976">IFERROR(INDEX(CourseRatings[[Hole 1]:[Hole 18]],
  MATCH(1, (CourseRatings[Course]=C976)*(CourseRatings[Tees]=E976), 0),
  MATCH(G976, CourseRatings[[#Headers],[Hole 1]:[Hole 18]], 0)
),"")</f>
        <v>3</v>
      </c>
      <c r="L976" cm="1">
        <f t="array" ref="L976">IFERROR(
  INDEX('Golf Log'!$E$2:$V$72,
    MATCH(1,
      ('Golf Log'!$A$2:$A$72=$A976)*
      ('Golf Log'!$B$2:$B$72=$B976)*
      ('Golf Log'!$C$2:$C$72=$C976),
    0),
    MATCH($G976,'Golf Log'!$E$1:$V$1,0)
  ),
"")</f>
        <v>5</v>
      </c>
      <c r="M976">
        <f t="shared" ref="M976:M1039" si="67">IFERROR(L976-K976,"")</f>
        <v>2</v>
      </c>
      <c r="N976" t="str">
        <f t="shared" ref="N976:N1039" si="68">IF(M976="","",(IF(M976=-2,"Eagle",IF(M976=-1,"Birdie",IF(M976=0,"Par",IF(M976=1,"Bogey",IF(M976=2,"Double Bogey",IF(M976=3,"Triple Bogey",IF(M976&gt;3,"Quad Bogey+")))))))))</f>
        <v>Double Bogey</v>
      </c>
      <c r="O976" cm="1">
        <f t="array" ref="O976">IFERROR(
  INDEX('Putt Log'!$E$2:$V$72,
    MATCH(1,
      ('Putt Log'!$A$2:$A$72=$A976)*
      ('Putt Log'!$B$2:$B$72=$B976)*
      ('Putt Log'!$C$2:$C$72=$C976),
    0),
    MATCH($G976,'Putt Log'!$E$1:$V$1,0)
  ),
"")</f>
        <v>2</v>
      </c>
      <c r="P976" t="str" cm="1">
        <f t="array" ref="P976">IF(K976=3,"",
  IFERROR(
    INDEX('Fairway Log'!$E$2:$V$72,
      MATCH(1,
        ('Fairway Log'!$A$2:$A$72=$A976)*
        ('Fairway Log'!$B$2:$B$72=$B976)*
        ('Fairway Log'!$C$2:$C1047=$C976),
      0),
      MATCH($G976,'Fairway Log'!$E$1:$V$1,0)
    ),
  "")
)</f>
        <v/>
      </c>
      <c r="Q976" t="str" cm="1">
        <f t="array" ref="Q976">IFERROR(
  INDEX('GIR Log'!$E$2:$V$72,
    MATCH(1,
      ('GIR Log'!$A$2:$A$72=$A976)*
      ('GIR Log'!$B$2:$B$72=$B976)*
      ('GIR Log'!$C$2:$C$72=$C976),
    0),
    MATCH($G976,'GIR Log'!$E$1:$V$1,0)
  ),
"")</f>
        <v>↑</v>
      </c>
    </row>
    <row r="977" spans="1:17" x14ac:dyDescent="0.25">
      <c r="A977" s="51" t="s">
        <v>130</v>
      </c>
      <c r="B977" s="2">
        <v>45857</v>
      </c>
      <c r="C977" t="s">
        <v>3</v>
      </c>
      <c r="D977" s="51" t="s">
        <v>3</v>
      </c>
      <c r="E977" s="51" t="s">
        <v>36</v>
      </c>
      <c r="F977">
        <v>84</v>
      </c>
      <c r="G977" s="12" t="s">
        <v>50</v>
      </c>
      <c r="H977" s="9">
        <f t="shared" si="66"/>
        <v>4</v>
      </c>
      <c r="I977" cm="1">
        <f t="array" ref="I977">IFERROR(INDEX(CourseYardages[[Hole 1]:[Hole 18]],
  MATCH(1, (CourseYardages[Course]=C977)*(CourseYardages[Tees]=E977), 0),
  MATCH(G977, CourseYardages[[#Headers],[Hole 1]:[Hole 18]], 0)
),"")</f>
        <v>344</v>
      </c>
      <c r="J977" cm="1">
        <f t="array" ref="J977">IFERROR(INDEX(CourseHandicap[[Hole 1]:[Hole 18]],
  MATCH(1, (CourseHandicap[Course]=C977)*(CourseHandicap[Tees]=E977), 0),
  MATCH(G977, CourseHandicap[[#Headers],[Hole 1]:[Hole 18]], 0)
),"")</f>
        <v>11</v>
      </c>
      <c r="K977" cm="1">
        <f t="array" ref="K977">IFERROR(INDEX(CourseRatings[[Hole 1]:[Hole 18]],
  MATCH(1, (CourseRatings[Course]=C977)*(CourseRatings[Tees]=E977), 0),
  MATCH(G977, CourseRatings[[#Headers],[Hole 1]:[Hole 18]], 0)
),"")</f>
        <v>4</v>
      </c>
      <c r="L977" cm="1">
        <f t="array" ref="L977">IFERROR(
  INDEX('Golf Log'!$E$2:$V$72,
    MATCH(1,
      ('Golf Log'!$A$2:$A$72=$A977)*
      ('Golf Log'!$B$2:$B$72=$B977)*
      ('Golf Log'!$C$2:$C$72=$C977),
    0),
    MATCH($G977,'Golf Log'!$E$1:$V$1,0)
  ),
"")</f>
        <v>5</v>
      </c>
      <c r="M977">
        <f t="shared" si="67"/>
        <v>1</v>
      </c>
      <c r="N977" t="str">
        <f t="shared" si="68"/>
        <v>Bogey</v>
      </c>
      <c r="O977" cm="1">
        <f t="array" ref="O977">IFERROR(
  INDEX('Putt Log'!$E$2:$V$72,
    MATCH(1,
      ('Putt Log'!$A$2:$A$72=$A977)*
      ('Putt Log'!$B$2:$B$72=$B977)*
      ('Putt Log'!$C$2:$C$72=$C977),
    0),
    MATCH($G977,'Putt Log'!$E$1:$V$1,0)
  ),
"")</f>
        <v>2</v>
      </c>
      <c r="P977" cm="1">
        <f t="array" ref="P977">IF(K977=3,"",
  IFERROR(
    INDEX('Fairway Log'!$E$2:$V$72,
      MATCH(1,
        ('Fairway Log'!$A$2:$A$72=$A977)*
        ('Fairway Log'!$B$2:$B$72=$B977)*
        ('Fairway Log'!$C$2:$C1048=$C977),
      0),
      MATCH($G977,'Fairway Log'!$E$1:$V$1,0)
    ),
  "")
)</f>
        <v>1</v>
      </c>
      <c r="Q977" t="str" cm="1">
        <f t="array" ref="Q977">IFERROR(
  INDEX('GIR Log'!$E$2:$V$72,
    MATCH(1,
      ('GIR Log'!$A$2:$A$72=$A977)*
      ('GIR Log'!$B$2:$B$72=$B977)*
      ('GIR Log'!$C$2:$C$72=$C977),
    0),
    MATCH($G977,'GIR Log'!$E$1:$V$1,0)
  ),
"")</f>
        <v>↑</v>
      </c>
    </row>
    <row r="978" spans="1:17" x14ac:dyDescent="0.25">
      <c r="A978" s="51" t="s">
        <v>130</v>
      </c>
      <c r="B978" s="2">
        <v>45857</v>
      </c>
      <c r="C978" t="s">
        <v>3</v>
      </c>
      <c r="D978" s="51" t="s">
        <v>3</v>
      </c>
      <c r="E978" s="51" t="s">
        <v>36</v>
      </c>
      <c r="F978">
        <v>84</v>
      </c>
      <c r="G978" s="12" t="s">
        <v>51</v>
      </c>
      <c r="H978" s="9">
        <f t="shared" si="66"/>
        <v>5</v>
      </c>
      <c r="I978" cm="1">
        <f t="array" ref="I978">IFERROR(INDEX(CourseYardages[[Hole 1]:[Hole 18]],
  MATCH(1, (CourseYardages[Course]=C978)*(CourseYardages[Tees]=E978), 0),
  MATCH(G978, CourseYardages[[#Headers],[Hole 1]:[Hole 18]], 0)
),"")</f>
        <v>387</v>
      </c>
      <c r="J978" cm="1">
        <f t="array" ref="J978">IFERROR(INDEX(CourseHandicap[[Hole 1]:[Hole 18]],
  MATCH(1, (CourseHandicap[Course]=C978)*(CourseHandicap[Tees]=E978), 0),
  MATCH(G978, CourseHandicap[[#Headers],[Hole 1]:[Hole 18]], 0)
),"")</f>
        <v>7</v>
      </c>
      <c r="K978" cm="1">
        <f t="array" ref="K978">IFERROR(INDEX(CourseRatings[[Hole 1]:[Hole 18]],
  MATCH(1, (CourseRatings[Course]=C978)*(CourseRatings[Tees]=E978), 0),
  MATCH(G978, CourseRatings[[#Headers],[Hole 1]:[Hole 18]], 0)
),"")</f>
        <v>4</v>
      </c>
      <c r="L978" cm="1">
        <f t="array" ref="L978">IFERROR(
  INDEX('Golf Log'!$E$2:$V$72,
    MATCH(1,
      ('Golf Log'!$A$2:$A$72=$A978)*
      ('Golf Log'!$B$2:$B$72=$B978)*
      ('Golf Log'!$C$2:$C$72=$C978),
    0),
    MATCH($G978,'Golf Log'!$E$1:$V$1,0)
  ),
"")</f>
        <v>5</v>
      </c>
      <c r="M978">
        <f t="shared" si="67"/>
        <v>1</v>
      </c>
      <c r="N978" t="str">
        <f t="shared" si="68"/>
        <v>Bogey</v>
      </c>
      <c r="O978" cm="1">
        <f t="array" ref="O978">IFERROR(
  INDEX('Putt Log'!$E$2:$V$72,
    MATCH(1,
      ('Putt Log'!$A$2:$A$72=$A978)*
      ('Putt Log'!$B$2:$B$72=$B978)*
      ('Putt Log'!$C$2:$C$72=$C978),
    0),
    MATCH($G978,'Putt Log'!$E$1:$V$1,0)
  ),
"")</f>
        <v>2</v>
      </c>
      <c r="P978" t="str" cm="1">
        <f t="array" ref="P978">IF(K978=3,"",
  IFERROR(
    INDEX('Fairway Log'!$E$2:$V$72,
      MATCH(1,
        ('Fairway Log'!$A$2:$A$72=$A978)*
        ('Fairway Log'!$B$2:$B$72=$B978)*
        ('Fairway Log'!$C$2:$C1049=$C978),
      0),
      MATCH($G978,'Fairway Log'!$E$1:$V$1,0)
    ),
  "")
)</f>
        <v>↓</v>
      </c>
      <c r="Q978" t="str" cm="1">
        <f t="array" ref="Q978">IFERROR(
  INDEX('GIR Log'!$E$2:$V$72,
    MATCH(1,
      ('GIR Log'!$A$2:$A$72=$A978)*
      ('GIR Log'!$B$2:$B$72=$B978)*
      ('GIR Log'!$C$2:$C$72=$C978),
    0),
    MATCH($G978,'GIR Log'!$E$1:$V$1,0)
  ),
"")</f>
        <v>↓</v>
      </c>
    </row>
    <row r="979" spans="1:17" x14ac:dyDescent="0.25">
      <c r="A979" s="51" t="s">
        <v>130</v>
      </c>
      <c r="B979" s="2">
        <v>45857</v>
      </c>
      <c r="C979" t="s">
        <v>3</v>
      </c>
      <c r="D979" s="51" t="s">
        <v>3</v>
      </c>
      <c r="E979" s="51" t="s">
        <v>36</v>
      </c>
      <c r="F979">
        <v>84</v>
      </c>
      <c r="G979" s="12" t="s">
        <v>52</v>
      </c>
      <c r="H979" s="9">
        <f t="shared" si="66"/>
        <v>6</v>
      </c>
      <c r="I979" cm="1">
        <f t="array" ref="I979">IFERROR(INDEX(CourseYardages[[Hole 1]:[Hole 18]],
  MATCH(1, (CourseYardages[Course]=C979)*(CourseYardages[Tees]=E979), 0),
  MATCH(G979, CourseYardages[[#Headers],[Hole 1]:[Hole 18]], 0)
),"")</f>
        <v>178</v>
      </c>
      <c r="J979" cm="1">
        <f t="array" ref="J979">IFERROR(INDEX(CourseHandicap[[Hole 1]:[Hole 18]],
  MATCH(1, (CourseHandicap[Course]=C979)*(CourseHandicap[Tees]=E979), 0),
  MATCH(G979, CourseHandicap[[#Headers],[Hole 1]:[Hole 18]], 0)
),"")</f>
        <v>5</v>
      </c>
      <c r="K979" cm="1">
        <f t="array" ref="K979">IFERROR(INDEX(CourseRatings[[Hole 1]:[Hole 18]],
  MATCH(1, (CourseRatings[Course]=C979)*(CourseRatings[Tees]=E979), 0),
  MATCH(G979, CourseRatings[[#Headers],[Hole 1]:[Hole 18]], 0)
),"")</f>
        <v>3</v>
      </c>
      <c r="L979" cm="1">
        <f t="array" ref="L979">IFERROR(
  INDEX('Golf Log'!$E$2:$V$72,
    MATCH(1,
      ('Golf Log'!$A$2:$A$72=$A979)*
      ('Golf Log'!$B$2:$B$72=$B979)*
      ('Golf Log'!$C$2:$C$72=$C979),
    0),
    MATCH($G979,'Golf Log'!$E$1:$V$1,0)
  ),
"")</f>
        <v>4</v>
      </c>
      <c r="M979">
        <f t="shared" si="67"/>
        <v>1</v>
      </c>
      <c r="N979" t="str">
        <f t="shared" si="68"/>
        <v>Bogey</v>
      </c>
      <c r="O979" cm="1">
        <f t="array" ref="O979">IFERROR(
  INDEX('Putt Log'!$E$2:$V$72,
    MATCH(1,
      ('Putt Log'!$A$2:$A$72=$A979)*
      ('Putt Log'!$B$2:$B$72=$B979)*
      ('Putt Log'!$C$2:$C$72=$C979),
    0),
    MATCH($G979,'Putt Log'!$E$1:$V$1,0)
  ),
"")</f>
        <v>2</v>
      </c>
      <c r="P979" t="str" cm="1">
        <f t="array" ref="P979">IF(K979=3,"",
  IFERROR(
    INDEX('Fairway Log'!$E$2:$V$72,
      MATCH(1,
        ('Fairway Log'!$A$2:$A$72=$A979)*
        ('Fairway Log'!$B$2:$B$72=$B979)*
        ('Fairway Log'!$C$2:$C1050=$C979),
      0),
      MATCH($G979,'Fairway Log'!$E$1:$V$1,0)
    ),
  "")
)</f>
        <v/>
      </c>
      <c r="Q979" t="str" cm="1">
        <f t="array" ref="Q979">IFERROR(
  INDEX('GIR Log'!$E$2:$V$72,
    MATCH(1,
      ('GIR Log'!$A$2:$A$72=$A979)*
      ('GIR Log'!$B$2:$B$72=$B979)*
      ('GIR Log'!$C$2:$C$72=$C979),
    0),
    MATCH($G979,'GIR Log'!$E$1:$V$1,0)
  ),
"")</f>
        <v>←</v>
      </c>
    </row>
    <row r="980" spans="1:17" x14ac:dyDescent="0.25">
      <c r="A980" s="51" t="s">
        <v>130</v>
      </c>
      <c r="B980" s="2">
        <v>45857</v>
      </c>
      <c r="C980" t="s">
        <v>3</v>
      </c>
      <c r="D980" s="51" t="s">
        <v>3</v>
      </c>
      <c r="E980" s="51" t="s">
        <v>36</v>
      </c>
      <c r="F980">
        <v>84</v>
      </c>
      <c r="G980" s="12" t="s">
        <v>53</v>
      </c>
      <c r="H980" s="9">
        <f t="shared" si="66"/>
        <v>7</v>
      </c>
      <c r="I980" cm="1">
        <f t="array" ref="I980">IFERROR(INDEX(CourseYardages[[Hole 1]:[Hole 18]],
  MATCH(1, (CourseYardages[Course]=C980)*(CourseYardages[Tees]=E980), 0),
  MATCH(G980, CourseYardages[[#Headers],[Hole 1]:[Hole 18]], 0)
),"")</f>
        <v>500</v>
      </c>
      <c r="J980" cm="1">
        <f t="array" ref="J980">IFERROR(INDEX(CourseHandicap[[Hole 1]:[Hole 18]],
  MATCH(1, (CourseHandicap[Course]=C980)*(CourseHandicap[Tees]=E980), 0),
  MATCH(G980, CourseHandicap[[#Headers],[Hole 1]:[Hole 18]], 0)
),"")</f>
        <v>9</v>
      </c>
      <c r="K980" cm="1">
        <f t="array" ref="K980">IFERROR(INDEX(CourseRatings[[Hole 1]:[Hole 18]],
  MATCH(1, (CourseRatings[Course]=C980)*(CourseRatings[Tees]=E980), 0),
  MATCH(G980, CourseRatings[[#Headers],[Hole 1]:[Hole 18]], 0)
),"")</f>
        <v>5</v>
      </c>
      <c r="L980" cm="1">
        <f t="array" ref="L980">IFERROR(
  INDEX('Golf Log'!$E$2:$V$72,
    MATCH(1,
      ('Golf Log'!$A$2:$A$72=$A980)*
      ('Golf Log'!$B$2:$B$72=$B980)*
      ('Golf Log'!$C$2:$C$72=$C980),
    0),
    MATCH($G980,'Golf Log'!$E$1:$V$1,0)
  ),
"")</f>
        <v>5</v>
      </c>
      <c r="M980">
        <f t="shared" si="67"/>
        <v>0</v>
      </c>
      <c r="N980" t="str">
        <f t="shared" si="68"/>
        <v>Par</v>
      </c>
      <c r="O980" cm="1">
        <f t="array" ref="O980">IFERROR(
  INDEX('Putt Log'!$E$2:$V$72,
    MATCH(1,
      ('Putt Log'!$A$2:$A$72=$A980)*
      ('Putt Log'!$B$2:$B$72=$B980)*
      ('Putt Log'!$C$2:$C$72=$C980),
    0),
    MATCH($G980,'Putt Log'!$E$1:$V$1,0)
  ),
"")</f>
        <v>2</v>
      </c>
      <c r="P980" t="str" cm="1">
        <f t="array" ref="P980">IF(K980=3,"",
  IFERROR(
    INDEX('Fairway Log'!$E$2:$V$72,
      MATCH(1,
        ('Fairway Log'!$A$2:$A$72=$A980)*
        ('Fairway Log'!$B$2:$B$72=$B980)*
        ('Fairway Log'!$C$2:$C1051=$C980),
      0),
      MATCH($G980,'Fairway Log'!$E$1:$V$1,0)
    ),
  "")
)</f>
        <v>→</v>
      </c>
      <c r="Q980" cm="1">
        <f t="array" ref="Q980">IFERROR(
  INDEX('GIR Log'!$E$2:$V$72,
    MATCH(1,
      ('GIR Log'!$A$2:$A$72=$A980)*
      ('GIR Log'!$B$2:$B$72=$B980)*
      ('GIR Log'!$C$2:$C$72=$C980),
    0),
    MATCH($G980,'GIR Log'!$E$1:$V$1,0)
  ),
"")</f>
        <v>1</v>
      </c>
    </row>
    <row r="981" spans="1:17" x14ac:dyDescent="0.25">
      <c r="A981" s="51" t="s">
        <v>130</v>
      </c>
      <c r="B981" s="2">
        <v>45857</v>
      </c>
      <c r="C981" t="s">
        <v>3</v>
      </c>
      <c r="D981" s="51" t="s">
        <v>3</v>
      </c>
      <c r="E981" s="51" t="s">
        <v>36</v>
      </c>
      <c r="F981">
        <v>84</v>
      </c>
      <c r="G981" s="12" t="s">
        <v>54</v>
      </c>
      <c r="H981" s="9">
        <f t="shared" si="66"/>
        <v>8</v>
      </c>
      <c r="I981" cm="1">
        <f t="array" ref="I981">IFERROR(INDEX(CourseYardages[[Hole 1]:[Hole 18]],
  MATCH(1, (CourseYardages[Course]=C981)*(CourseYardages[Tees]=E981), 0),
  MATCH(G981, CourseYardages[[#Headers],[Hole 1]:[Hole 18]], 0)
),"")</f>
        <v>337</v>
      </c>
      <c r="J981" cm="1">
        <f t="array" ref="J981">IFERROR(INDEX(CourseHandicap[[Hole 1]:[Hole 18]],
  MATCH(1, (CourseHandicap[Course]=C981)*(CourseHandicap[Tees]=E981), 0),
  MATCH(G981, CourseHandicap[[#Headers],[Hole 1]:[Hole 18]], 0)
),"")</f>
        <v>13</v>
      </c>
      <c r="K981" cm="1">
        <f t="array" ref="K981">IFERROR(INDEX(CourseRatings[[Hole 1]:[Hole 18]],
  MATCH(1, (CourseRatings[Course]=C981)*(CourseRatings[Tees]=E981), 0),
  MATCH(G981, CourseRatings[[#Headers],[Hole 1]:[Hole 18]], 0)
),"")</f>
        <v>4</v>
      </c>
      <c r="L981" cm="1">
        <f t="array" ref="L981">IFERROR(
  INDEX('Golf Log'!$E$2:$V$72,
    MATCH(1,
      ('Golf Log'!$A$2:$A$72=$A981)*
      ('Golf Log'!$B$2:$B$72=$B981)*
      ('Golf Log'!$C$2:$C$72=$C981),
    0),
    MATCH($G981,'Golf Log'!$E$1:$V$1,0)
  ),
"")</f>
        <v>3</v>
      </c>
      <c r="M981">
        <f t="shared" si="67"/>
        <v>-1</v>
      </c>
      <c r="N981" t="str">
        <f t="shared" si="68"/>
        <v>Birdie</v>
      </c>
      <c r="O981" cm="1">
        <f t="array" ref="O981">IFERROR(
  INDEX('Putt Log'!$E$2:$V$72,
    MATCH(1,
      ('Putt Log'!$A$2:$A$72=$A981)*
      ('Putt Log'!$B$2:$B$72=$B981)*
      ('Putt Log'!$C$2:$C$72=$C981),
    0),
    MATCH($G981,'Putt Log'!$E$1:$V$1,0)
  ),
"")</f>
        <v>1</v>
      </c>
      <c r="P981" t="str" cm="1">
        <f t="array" ref="P981">IF(K981=3,"",
  IFERROR(
    INDEX('Fairway Log'!$E$2:$V$72,
      MATCH(1,
        ('Fairway Log'!$A$2:$A$72=$A981)*
        ('Fairway Log'!$B$2:$B$72=$B981)*
        ('Fairway Log'!$C$2:$C1052=$C981),
      0),
      MATCH($G981,'Fairway Log'!$E$1:$V$1,0)
    ),
  "")
)</f>
        <v>←</v>
      </c>
      <c r="Q981" cm="1">
        <f t="array" ref="Q981">IFERROR(
  INDEX('GIR Log'!$E$2:$V$72,
    MATCH(1,
      ('GIR Log'!$A$2:$A$72=$A981)*
      ('GIR Log'!$B$2:$B$72=$B981)*
      ('GIR Log'!$C$2:$C$72=$C981),
    0),
    MATCH($G981,'GIR Log'!$E$1:$V$1,0)
  ),
"")</f>
        <v>1</v>
      </c>
    </row>
    <row r="982" spans="1:17" x14ac:dyDescent="0.25">
      <c r="A982" s="51" t="s">
        <v>130</v>
      </c>
      <c r="B982" s="2">
        <v>45857</v>
      </c>
      <c r="C982" t="s">
        <v>3</v>
      </c>
      <c r="D982" s="51" t="s">
        <v>3</v>
      </c>
      <c r="E982" s="51" t="s">
        <v>36</v>
      </c>
      <c r="F982">
        <v>84</v>
      </c>
      <c r="G982" s="12" t="s">
        <v>55</v>
      </c>
      <c r="H982" s="9">
        <f t="shared" si="66"/>
        <v>9</v>
      </c>
      <c r="I982" cm="1">
        <f t="array" ref="I982">IFERROR(INDEX(CourseYardages[[Hole 1]:[Hole 18]],
  MATCH(1, (CourseYardages[Course]=C982)*(CourseYardages[Tees]=E982), 0),
  MATCH(G982, CourseYardages[[#Headers],[Hole 1]:[Hole 18]], 0)
),"")</f>
        <v>532</v>
      </c>
      <c r="J982" cm="1">
        <f t="array" ref="J982">IFERROR(INDEX(CourseHandicap[[Hole 1]:[Hole 18]],
  MATCH(1, (CourseHandicap[Course]=C982)*(CourseHandicap[Tees]=E982), 0),
  MATCH(G982, CourseHandicap[[#Headers],[Hole 1]:[Hole 18]], 0)
),"")</f>
        <v>1</v>
      </c>
      <c r="K982" cm="1">
        <f t="array" ref="K982">IFERROR(INDEX(CourseRatings[[Hole 1]:[Hole 18]],
  MATCH(1, (CourseRatings[Course]=C982)*(CourseRatings[Tees]=E982), 0),
  MATCH(G982, CourseRatings[[#Headers],[Hole 1]:[Hole 18]], 0)
),"")</f>
        <v>5</v>
      </c>
      <c r="L982" cm="1">
        <f t="array" ref="L982">IFERROR(
  INDEX('Golf Log'!$E$2:$V$72,
    MATCH(1,
      ('Golf Log'!$A$2:$A$72=$A982)*
      ('Golf Log'!$B$2:$B$72=$B982)*
      ('Golf Log'!$C$2:$C$72=$C982),
    0),
    MATCH($G982,'Golf Log'!$E$1:$V$1,0)
  ),
"")</f>
        <v>6</v>
      </c>
      <c r="M982">
        <f t="shared" si="67"/>
        <v>1</v>
      </c>
      <c r="N982" t="str">
        <f t="shared" si="68"/>
        <v>Bogey</v>
      </c>
      <c r="O982" cm="1">
        <f t="array" ref="O982">IFERROR(
  INDEX('Putt Log'!$E$2:$V$72,
    MATCH(1,
      ('Putt Log'!$A$2:$A$72=$A982)*
      ('Putt Log'!$B$2:$B$72=$B982)*
      ('Putt Log'!$C$2:$C$72=$C982),
    0),
    MATCH($G982,'Putt Log'!$E$1:$V$1,0)
  ),
"")</f>
        <v>2</v>
      </c>
      <c r="P982" t="str" cm="1">
        <f t="array" ref="P982">IF(K982=3,"",
  IFERROR(
    INDEX('Fairway Log'!$E$2:$V$72,
      MATCH(1,
        ('Fairway Log'!$A$2:$A$72=$A982)*
        ('Fairway Log'!$B$2:$B$72=$B982)*
        ('Fairway Log'!$C$2:$C1053=$C982),
      0),
      MATCH($G982,'Fairway Log'!$E$1:$V$1,0)
    ),
  "")
)</f>
        <v>←</v>
      </c>
      <c r="Q982" t="str" cm="1">
        <f t="array" ref="Q982">IFERROR(
  INDEX('GIR Log'!$E$2:$V$72,
    MATCH(1,
      ('GIR Log'!$A$2:$A$72=$A982)*
      ('GIR Log'!$B$2:$B$72=$B982)*
      ('GIR Log'!$C$2:$C$72=$C982),
    0),
    MATCH($G982,'GIR Log'!$E$1:$V$1,0)
  ),
"")</f>
        <v>↓</v>
      </c>
    </row>
    <row r="983" spans="1:17" x14ac:dyDescent="0.25">
      <c r="A983" s="51" t="s">
        <v>130</v>
      </c>
      <c r="B983" s="2">
        <v>45857</v>
      </c>
      <c r="C983" t="s">
        <v>3</v>
      </c>
      <c r="D983" s="51" t="s">
        <v>3</v>
      </c>
      <c r="E983" s="51" t="s">
        <v>36</v>
      </c>
      <c r="F983">
        <v>84</v>
      </c>
      <c r="G983" s="12" t="s">
        <v>56</v>
      </c>
      <c r="H983" s="9">
        <f t="shared" si="66"/>
        <v>10</v>
      </c>
      <c r="I983" cm="1">
        <f t="array" ref="I983">IFERROR(INDEX(CourseYardages[[Hole 1]:[Hole 18]],
  MATCH(1, (CourseYardages[Course]=C983)*(CourseYardages[Tees]=E983), 0),
  MATCH(G983, CourseYardages[[#Headers],[Hole 1]:[Hole 18]], 0)
),"")</f>
        <v>328</v>
      </c>
      <c r="J983" cm="1">
        <f t="array" ref="J983">IFERROR(INDEX(CourseHandicap[[Hole 1]:[Hole 18]],
  MATCH(1, (CourseHandicap[Course]=C983)*(CourseHandicap[Tees]=E983), 0),
  MATCH(G983, CourseHandicap[[#Headers],[Hole 1]:[Hole 18]], 0)
),"")</f>
        <v>12</v>
      </c>
      <c r="K983" cm="1">
        <f t="array" ref="K983">IFERROR(INDEX(CourseRatings[[Hole 1]:[Hole 18]],
  MATCH(1, (CourseRatings[Course]=C983)*(CourseRatings[Tees]=E983), 0),
  MATCH(G983, CourseRatings[[#Headers],[Hole 1]:[Hole 18]], 0)
),"")</f>
        <v>4</v>
      </c>
      <c r="L983" cm="1">
        <f t="array" ref="L983">IFERROR(
  INDEX('Golf Log'!$E$2:$V$72,
    MATCH(1,
      ('Golf Log'!$A$2:$A$72=$A983)*
      ('Golf Log'!$B$2:$B$72=$B983)*
      ('Golf Log'!$C$2:$C$72=$C983),
    0),
    MATCH($G983,'Golf Log'!$E$1:$V$1,0)
  ),
"")</f>
        <v>5</v>
      </c>
      <c r="M983">
        <f t="shared" si="67"/>
        <v>1</v>
      </c>
      <c r="N983" t="str">
        <f t="shared" si="68"/>
        <v>Bogey</v>
      </c>
      <c r="O983" cm="1">
        <f t="array" ref="O983">IFERROR(
  INDEX('Putt Log'!$E$2:$V$72,
    MATCH(1,
      ('Putt Log'!$A$2:$A$72=$A983)*
      ('Putt Log'!$B$2:$B$72=$B983)*
      ('Putt Log'!$C$2:$C$72=$C983),
    0),
    MATCH($G983,'Putt Log'!$E$1:$V$1,0)
  ),
"")</f>
        <v>2</v>
      </c>
      <c r="P983" t="str" cm="1">
        <f t="array" ref="P983">IF(K983=3,"",
  IFERROR(
    INDEX('Fairway Log'!$E$2:$V$72,
      MATCH(1,
        ('Fairway Log'!$A$2:$A$72=$A983)*
        ('Fairway Log'!$B$2:$B$72=$B983)*
        ('Fairway Log'!$C$2:$C1054=$C983),
      0),
      MATCH($G983,'Fairway Log'!$E$1:$V$1,0)
    ),
  "")
)</f>
        <v>←</v>
      </c>
      <c r="Q983" t="str" cm="1">
        <f t="array" ref="Q983">IFERROR(
  INDEX('GIR Log'!$E$2:$V$72,
    MATCH(1,
      ('GIR Log'!$A$2:$A$72=$A983)*
      ('GIR Log'!$B$2:$B$72=$B983)*
      ('GIR Log'!$C$2:$C$72=$C983),
    0),
    MATCH($G983,'GIR Log'!$E$1:$V$1,0)
  ),
"")</f>
        <v>↓</v>
      </c>
    </row>
    <row r="984" spans="1:17" x14ac:dyDescent="0.25">
      <c r="A984" s="51" t="s">
        <v>130</v>
      </c>
      <c r="B984" s="2">
        <v>45857</v>
      </c>
      <c r="C984" t="s">
        <v>3</v>
      </c>
      <c r="D984" s="51" t="s">
        <v>3</v>
      </c>
      <c r="E984" s="51" t="s">
        <v>36</v>
      </c>
      <c r="F984">
        <v>84</v>
      </c>
      <c r="G984" s="12" t="s">
        <v>57</v>
      </c>
      <c r="H984" s="9">
        <f t="shared" si="66"/>
        <v>11</v>
      </c>
      <c r="I984" cm="1">
        <f t="array" ref="I984">IFERROR(INDEX(CourseYardages[[Hole 1]:[Hole 18]],
  MATCH(1, (CourseYardages[Course]=C984)*(CourseYardages[Tees]=E984), 0),
  MATCH(G984, CourseYardages[[#Headers],[Hole 1]:[Hole 18]], 0)
),"")</f>
        <v>159</v>
      </c>
      <c r="J984" cm="1">
        <f t="array" ref="J984">IFERROR(INDEX(CourseHandicap[[Hole 1]:[Hole 18]],
  MATCH(1, (CourseHandicap[Course]=C984)*(CourseHandicap[Tees]=E984), 0),
  MATCH(G984, CourseHandicap[[#Headers],[Hole 1]:[Hole 18]], 0)
),"")</f>
        <v>16</v>
      </c>
      <c r="K984" cm="1">
        <f t="array" ref="K984">IFERROR(INDEX(CourseRatings[[Hole 1]:[Hole 18]],
  MATCH(1, (CourseRatings[Course]=C984)*(CourseRatings[Tees]=E984), 0),
  MATCH(G984, CourseRatings[[#Headers],[Hole 1]:[Hole 18]], 0)
),"")</f>
        <v>3</v>
      </c>
      <c r="L984" cm="1">
        <f t="array" ref="L984">IFERROR(
  INDEX('Golf Log'!$E$2:$V$72,
    MATCH(1,
      ('Golf Log'!$A$2:$A$72=$A984)*
      ('Golf Log'!$B$2:$B$72=$B984)*
      ('Golf Log'!$C$2:$C$72=$C984),
    0),
    MATCH($G984,'Golf Log'!$E$1:$V$1,0)
  ),
"")</f>
        <v>5</v>
      </c>
      <c r="M984">
        <f t="shared" si="67"/>
        <v>2</v>
      </c>
      <c r="N984" t="str">
        <f t="shared" si="68"/>
        <v>Double Bogey</v>
      </c>
      <c r="O984" cm="1">
        <f t="array" ref="O984">IFERROR(
  INDEX('Putt Log'!$E$2:$V$72,
    MATCH(1,
      ('Putt Log'!$A$2:$A$72=$A984)*
      ('Putt Log'!$B$2:$B$72=$B984)*
      ('Putt Log'!$C$2:$C$72=$C984),
    0),
    MATCH($G984,'Putt Log'!$E$1:$V$1,0)
  ),
"")</f>
        <v>2</v>
      </c>
      <c r="P984" t="str" cm="1">
        <f t="array" ref="P984">IF(K984=3,"",
  IFERROR(
    INDEX('Fairway Log'!$E$2:$V$72,
      MATCH(1,
        ('Fairway Log'!$A$2:$A$72=$A984)*
        ('Fairway Log'!$B$2:$B$72=$B984)*
        ('Fairway Log'!$C$2:$C1055=$C984),
      0),
      MATCH($G984,'Fairway Log'!$E$1:$V$1,0)
    ),
  "")
)</f>
        <v/>
      </c>
      <c r="Q984" cm="1">
        <f t="array" ref="Q984">IFERROR(
  INDEX('GIR Log'!$E$2:$V$72,
    MATCH(1,
      ('GIR Log'!$A$2:$A$72=$A984)*
      ('GIR Log'!$B$2:$B$72=$B984)*
      ('GIR Log'!$C$2:$C$72=$C984),
    0),
    MATCH($G984,'GIR Log'!$E$1:$V$1,0)
  ),
"")</f>
        <v>1</v>
      </c>
    </row>
    <row r="985" spans="1:17" x14ac:dyDescent="0.25">
      <c r="A985" s="51" t="s">
        <v>130</v>
      </c>
      <c r="B985" s="2">
        <v>45857</v>
      </c>
      <c r="C985" t="s">
        <v>3</v>
      </c>
      <c r="D985" s="51" t="s">
        <v>3</v>
      </c>
      <c r="E985" s="51" t="s">
        <v>36</v>
      </c>
      <c r="F985">
        <v>84</v>
      </c>
      <c r="G985" s="12" t="s">
        <v>58</v>
      </c>
      <c r="H985" s="9">
        <f t="shared" si="66"/>
        <v>12</v>
      </c>
      <c r="I985" cm="1">
        <f t="array" ref="I985">IFERROR(INDEX(CourseYardages[[Hole 1]:[Hole 18]],
  MATCH(1, (CourseYardages[Course]=C985)*(CourseYardages[Tees]=E985), 0),
  MATCH(G985, CourseYardages[[#Headers],[Hole 1]:[Hole 18]], 0)
),"")</f>
        <v>279</v>
      </c>
      <c r="J985" cm="1">
        <f t="array" ref="J985">IFERROR(INDEX(CourseHandicap[[Hole 1]:[Hole 18]],
  MATCH(1, (CourseHandicap[Course]=C985)*(CourseHandicap[Tees]=E985), 0),
  MATCH(G985, CourseHandicap[[#Headers],[Hole 1]:[Hole 18]], 0)
),"")</f>
        <v>18</v>
      </c>
      <c r="K985" cm="1">
        <f t="array" ref="K985">IFERROR(INDEX(CourseRatings[[Hole 1]:[Hole 18]],
  MATCH(1, (CourseRatings[Course]=C985)*(CourseRatings[Tees]=E985), 0),
  MATCH(G985, CourseRatings[[#Headers],[Hole 1]:[Hole 18]], 0)
),"")</f>
        <v>4</v>
      </c>
      <c r="L985" cm="1">
        <f t="array" ref="L985">IFERROR(
  INDEX('Golf Log'!$E$2:$V$72,
    MATCH(1,
      ('Golf Log'!$A$2:$A$72=$A985)*
      ('Golf Log'!$B$2:$B$72=$B985)*
      ('Golf Log'!$C$2:$C$72=$C985),
    0),
    MATCH($G985,'Golf Log'!$E$1:$V$1,0)
  ),
"")</f>
        <v>4</v>
      </c>
      <c r="M985">
        <f t="shared" si="67"/>
        <v>0</v>
      </c>
      <c r="N985" t="str">
        <f t="shared" si="68"/>
        <v>Par</v>
      </c>
      <c r="O985" cm="1">
        <f t="array" ref="O985">IFERROR(
  INDEX('Putt Log'!$E$2:$V$72,
    MATCH(1,
      ('Putt Log'!$A$2:$A$72=$A985)*
      ('Putt Log'!$B$2:$B$72=$B985)*
      ('Putt Log'!$C$2:$C$72=$C985),
    0),
    MATCH($G985,'Putt Log'!$E$1:$V$1,0)
  ),
"")</f>
        <v>2</v>
      </c>
      <c r="P985" cm="1">
        <f t="array" ref="P985">IF(K985=3,"",
  IFERROR(
    INDEX('Fairway Log'!$E$2:$V$72,
      MATCH(1,
        ('Fairway Log'!$A$2:$A$72=$A985)*
        ('Fairway Log'!$B$2:$B$72=$B985)*
        ('Fairway Log'!$C$2:$C1056=$C985),
      0),
      MATCH($G985,'Fairway Log'!$E$1:$V$1,0)
    ),
  "")
)</f>
        <v>1</v>
      </c>
      <c r="Q985" cm="1">
        <f t="array" ref="Q985">IFERROR(
  INDEX('GIR Log'!$E$2:$V$72,
    MATCH(1,
      ('GIR Log'!$A$2:$A$72=$A985)*
      ('GIR Log'!$B$2:$B$72=$B985)*
      ('GIR Log'!$C$2:$C$72=$C985),
    0),
    MATCH($G985,'GIR Log'!$E$1:$V$1,0)
  ),
"")</f>
        <v>1</v>
      </c>
    </row>
    <row r="986" spans="1:17" x14ac:dyDescent="0.25">
      <c r="A986" s="51" t="s">
        <v>130</v>
      </c>
      <c r="B986" s="2">
        <v>45857</v>
      </c>
      <c r="C986" t="s">
        <v>3</v>
      </c>
      <c r="D986" s="51" t="s">
        <v>3</v>
      </c>
      <c r="E986" s="51" t="s">
        <v>36</v>
      </c>
      <c r="F986">
        <v>84</v>
      </c>
      <c r="G986" s="12" t="s">
        <v>59</v>
      </c>
      <c r="H986" s="9">
        <f t="shared" si="66"/>
        <v>13</v>
      </c>
      <c r="I986" cm="1">
        <f t="array" ref="I986">IFERROR(INDEX(CourseYardages[[Hole 1]:[Hole 18]],
  MATCH(1, (CourseYardages[Course]=C986)*(CourseYardages[Tees]=E986), 0),
  MATCH(G986, CourseYardages[[#Headers],[Hole 1]:[Hole 18]], 0)
),"")</f>
        <v>553</v>
      </c>
      <c r="J986" cm="1">
        <f t="array" ref="J986">IFERROR(INDEX(CourseHandicap[[Hole 1]:[Hole 18]],
  MATCH(1, (CourseHandicap[Course]=C986)*(CourseHandicap[Tees]=E986), 0),
  MATCH(G986, CourseHandicap[[#Headers],[Hole 1]:[Hole 18]], 0)
),"")</f>
        <v>2</v>
      </c>
      <c r="K986" cm="1">
        <f t="array" ref="K986">IFERROR(INDEX(CourseRatings[[Hole 1]:[Hole 18]],
  MATCH(1, (CourseRatings[Course]=C986)*(CourseRatings[Tees]=E986), 0),
  MATCH(G986, CourseRatings[[#Headers],[Hole 1]:[Hole 18]], 0)
),"")</f>
        <v>5</v>
      </c>
      <c r="L986" cm="1">
        <f t="array" ref="L986">IFERROR(
  INDEX('Golf Log'!$E$2:$V$72,
    MATCH(1,
      ('Golf Log'!$A$2:$A$72=$A986)*
      ('Golf Log'!$B$2:$B$72=$B986)*
      ('Golf Log'!$C$2:$C$72=$C986),
    0),
    MATCH($G986,'Golf Log'!$E$1:$V$1,0)
  ),
"")</f>
        <v>5</v>
      </c>
      <c r="M986">
        <f t="shared" si="67"/>
        <v>0</v>
      </c>
      <c r="N986" t="str">
        <f t="shared" si="68"/>
        <v>Par</v>
      </c>
      <c r="O986" cm="1">
        <f t="array" ref="O986">IFERROR(
  INDEX('Putt Log'!$E$2:$V$72,
    MATCH(1,
      ('Putt Log'!$A$2:$A$72=$A986)*
      ('Putt Log'!$B$2:$B$72=$B986)*
      ('Putt Log'!$C$2:$C$72=$C986),
    0),
    MATCH($G986,'Putt Log'!$E$1:$V$1,0)
  ),
"")</f>
        <v>2</v>
      </c>
      <c r="P986" cm="1">
        <f t="array" ref="P986">IF(K986=3,"",
  IFERROR(
    INDEX('Fairway Log'!$E$2:$V$72,
      MATCH(1,
        ('Fairway Log'!$A$2:$A$72=$A986)*
        ('Fairway Log'!$B$2:$B$72=$B986)*
        ('Fairway Log'!$C$2:$C1057=$C986),
      0),
      MATCH($G986,'Fairway Log'!$E$1:$V$1,0)
    ),
  "")
)</f>
        <v>1</v>
      </c>
      <c r="Q986" cm="1">
        <f t="array" ref="Q986">IFERROR(
  INDEX('GIR Log'!$E$2:$V$72,
    MATCH(1,
      ('GIR Log'!$A$2:$A$72=$A986)*
      ('GIR Log'!$B$2:$B$72=$B986)*
      ('GIR Log'!$C$2:$C$72=$C986),
    0),
    MATCH($G986,'GIR Log'!$E$1:$V$1,0)
  ),
"")</f>
        <v>1</v>
      </c>
    </row>
    <row r="987" spans="1:17" x14ac:dyDescent="0.25">
      <c r="A987" s="51" t="s">
        <v>130</v>
      </c>
      <c r="B987" s="2">
        <v>45857</v>
      </c>
      <c r="C987" t="s">
        <v>3</v>
      </c>
      <c r="D987" s="51" t="s">
        <v>3</v>
      </c>
      <c r="E987" s="51" t="s">
        <v>36</v>
      </c>
      <c r="F987">
        <v>84</v>
      </c>
      <c r="G987" s="12" t="s">
        <v>60</v>
      </c>
      <c r="H987" s="9">
        <f t="shared" si="66"/>
        <v>14</v>
      </c>
      <c r="I987" cm="1">
        <f t="array" ref="I987">IFERROR(INDEX(CourseYardages[[Hole 1]:[Hole 18]],
  MATCH(1, (CourseYardages[Course]=C987)*(CourseYardages[Tees]=E987), 0),
  MATCH(G987, CourseYardages[[#Headers],[Hole 1]:[Hole 18]], 0)
),"")</f>
        <v>352</v>
      </c>
      <c r="J987" cm="1">
        <f t="array" ref="J987">IFERROR(INDEX(CourseHandicap[[Hole 1]:[Hole 18]],
  MATCH(1, (CourseHandicap[Course]=C987)*(CourseHandicap[Tees]=E987), 0),
  MATCH(G987, CourseHandicap[[#Headers],[Hole 1]:[Hole 18]], 0)
),"")</f>
        <v>14</v>
      </c>
      <c r="K987" cm="1">
        <f t="array" ref="K987">IFERROR(INDEX(CourseRatings[[Hole 1]:[Hole 18]],
  MATCH(1, (CourseRatings[Course]=C987)*(CourseRatings[Tees]=E987), 0),
  MATCH(G987, CourseRatings[[#Headers],[Hole 1]:[Hole 18]], 0)
),"")</f>
        <v>4</v>
      </c>
      <c r="L987" cm="1">
        <f t="array" ref="L987">IFERROR(
  INDEX('Golf Log'!$E$2:$V$72,
    MATCH(1,
      ('Golf Log'!$A$2:$A$72=$A987)*
      ('Golf Log'!$B$2:$B$72=$B987)*
      ('Golf Log'!$C$2:$C$72=$C987),
    0),
    MATCH($G987,'Golf Log'!$E$1:$V$1,0)
  ),
"")</f>
        <v>4</v>
      </c>
      <c r="M987">
        <f t="shared" si="67"/>
        <v>0</v>
      </c>
      <c r="N987" t="str">
        <f t="shared" si="68"/>
        <v>Par</v>
      </c>
      <c r="O987" cm="1">
        <f t="array" ref="O987">IFERROR(
  INDEX('Putt Log'!$E$2:$V$72,
    MATCH(1,
      ('Putt Log'!$A$2:$A$72=$A987)*
      ('Putt Log'!$B$2:$B$72=$B987)*
      ('Putt Log'!$C$2:$C$72=$C987),
    0),
    MATCH($G987,'Putt Log'!$E$1:$V$1,0)
  ),
"")</f>
        <v>2</v>
      </c>
      <c r="P987" t="str" cm="1">
        <f t="array" ref="P987">IF(K987=3,"",
  IFERROR(
    INDEX('Fairway Log'!$E$2:$V$72,
      MATCH(1,
        ('Fairway Log'!$A$2:$A$72=$A987)*
        ('Fairway Log'!$B$2:$B$72=$B987)*
        ('Fairway Log'!$C$2:$C1058=$C987),
      0),
      MATCH($G987,'Fairway Log'!$E$1:$V$1,0)
    ),
  "")
)</f>
        <v>←</v>
      </c>
      <c r="Q987" cm="1">
        <f t="array" ref="Q987">IFERROR(
  INDEX('GIR Log'!$E$2:$V$72,
    MATCH(1,
      ('GIR Log'!$A$2:$A$72=$A987)*
      ('GIR Log'!$B$2:$B$72=$B987)*
      ('GIR Log'!$C$2:$C$72=$C987),
    0),
    MATCH($G987,'GIR Log'!$E$1:$V$1,0)
  ),
"")</f>
        <v>1</v>
      </c>
    </row>
    <row r="988" spans="1:17" x14ac:dyDescent="0.25">
      <c r="A988" s="51" t="s">
        <v>130</v>
      </c>
      <c r="B988" s="2">
        <v>45857</v>
      </c>
      <c r="C988" t="s">
        <v>3</v>
      </c>
      <c r="D988" s="51" t="s">
        <v>3</v>
      </c>
      <c r="E988" s="51" t="s">
        <v>36</v>
      </c>
      <c r="F988">
        <v>84</v>
      </c>
      <c r="G988" s="12" t="s">
        <v>61</v>
      </c>
      <c r="H988" s="9">
        <f t="shared" si="66"/>
        <v>15</v>
      </c>
      <c r="I988" cm="1">
        <f t="array" ref="I988">IFERROR(INDEX(CourseYardages[[Hole 1]:[Hole 18]],
  MATCH(1, (CourseYardages[Course]=C988)*(CourseYardages[Tees]=E988), 0),
  MATCH(G988, CourseYardages[[#Headers],[Hole 1]:[Hole 18]], 0)
),"")</f>
        <v>165</v>
      </c>
      <c r="J988" cm="1">
        <f t="array" ref="J988">IFERROR(INDEX(CourseHandicap[[Hole 1]:[Hole 18]],
  MATCH(1, (CourseHandicap[Course]=C988)*(CourseHandicap[Tees]=E988), 0),
  MATCH(G988, CourseHandicap[[#Headers],[Hole 1]:[Hole 18]], 0)
),"")</f>
        <v>8</v>
      </c>
      <c r="K988" cm="1">
        <f t="array" ref="K988">IFERROR(INDEX(CourseRatings[[Hole 1]:[Hole 18]],
  MATCH(1, (CourseRatings[Course]=C988)*(CourseRatings[Tees]=E988), 0),
  MATCH(G988, CourseRatings[[#Headers],[Hole 1]:[Hole 18]], 0)
),"")</f>
        <v>3</v>
      </c>
      <c r="L988" cm="1">
        <f t="array" ref="L988">IFERROR(
  INDEX('Golf Log'!$E$2:$V$72,
    MATCH(1,
      ('Golf Log'!$A$2:$A$72=$A988)*
      ('Golf Log'!$B$2:$B$72=$B988)*
      ('Golf Log'!$C$2:$C$72=$C988),
    0),
    MATCH($G988,'Golf Log'!$E$1:$V$1,0)
  ),
"")</f>
        <v>4</v>
      </c>
      <c r="M988">
        <f t="shared" si="67"/>
        <v>1</v>
      </c>
      <c r="N988" t="str">
        <f t="shared" si="68"/>
        <v>Bogey</v>
      </c>
      <c r="O988" cm="1">
        <f t="array" ref="O988">IFERROR(
  INDEX('Putt Log'!$E$2:$V$72,
    MATCH(1,
      ('Putt Log'!$A$2:$A$72=$A988)*
      ('Putt Log'!$B$2:$B$72=$B988)*
      ('Putt Log'!$C$2:$C$72=$C988),
    0),
    MATCH($G988,'Putt Log'!$E$1:$V$1,0)
  ),
"")</f>
        <v>2</v>
      </c>
      <c r="P988" t="str" cm="1">
        <f t="array" ref="P988">IF(K988=3,"",
  IFERROR(
    INDEX('Fairway Log'!$E$2:$V$72,
      MATCH(1,
        ('Fairway Log'!$A$2:$A$72=$A988)*
        ('Fairway Log'!$B$2:$B$72=$B988)*
        ('Fairway Log'!$C$2:$C1059=$C988),
      0),
      MATCH($G988,'Fairway Log'!$E$1:$V$1,0)
    ),
  "")
)</f>
        <v/>
      </c>
      <c r="Q988" t="str" cm="1">
        <f t="array" ref="Q988">IFERROR(
  INDEX('GIR Log'!$E$2:$V$72,
    MATCH(1,
      ('GIR Log'!$A$2:$A$72=$A988)*
      ('GIR Log'!$B$2:$B$72=$B988)*
      ('GIR Log'!$C$2:$C$72=$C988),
    0),
    MATCH($G988,'GIR Log'!$E$1:$V$1,0)
  ),
"")</f>
        <v>←</v>
      </c>
    </row>
    <row r="989" spans="1:17" x14ac:dyDescent="0.25">
      <c r="A989" s="51" t="s">
        <v>130</v>
      </c>
      <c r="B989" s="2">
        <v>45857</v>
      </c>
      <c r="C989" t="s">
        <v>3</v>
      </c>
      <c r="D989" s="51" t="s">
        <v>3</v>
      </c>
      <c r="E989" s="51" t="s">
        <v>36</v>
      </c>
      <c r="F989">
        <v>84</v>
      </c>
      <c r="G989" s="12" t="s">
        <v>62</v>
      </c>
      <c r="H989" s="9">
        <f t="shared" si="66"/>
        <v>16</v>
      </c>
      <c r="I989" cm="1">
        <f t="array" ref="I989">IFERROR(INDEX(CourseYardages[[Hole 1]:[Hole 18]],
  MATCH(1, (CourseYardages[Course]=C989)*(CourseYardages[Tees]=E989), 0),
  MATCH(G989, CourseYardages[[#Headers],[Hole 1]:[Hole 18]], 0)
),"")</f>
        <v>343</v>
      </c>
      <c r="J989" cm="1">
        <f t="array" ref="J989">IFERROR(INDEX(CourseHandicap[[Hole 1]:[Hole 18]],
  MATCH(1, (CourseHandicap[Course]=C989)*(CourseHandicap[Tees]=E989), 0),
  MATCH(G989, CourseHandicap[[#Headers],[Hole 1]:[Hole 18]], 0)
),"")</f>
        <v>10</v>
      </c>
      <c r="K989" cm="1">
        <f t="array" ref="K989">IFERROR(INDEX(CourseRatings[[Hole 1]:[Hole 18]],
  MATCH(1, (CourseRatings[Course]=C989)*(CourseRatings[Tees]=E989), 0),
  MATCH(G989, CourseRatings[[#Headers],[Hole 1]:[Hole 18]], 0)
),"")</f>
        <v>4</v>
      </c>
      <c r="L989" cm="1">
        <f t="array" ref="L989">IFERROR(
  INDEX('Golf Log'!$E$2:$V$72,
    MATCH(1,
      ('Golf Log'!$A$2:$A$72=$A989)*
      ('Golf Log'!$B$2:$B$72=$B989)*
      ('Golf Log'!$C$2:$C$72=$C989),
    0),
    MATCH($G989,'Golf Log'!$E$1:$V$1,0)
  ),
"")</f>
        <v>4</v>
      </c>
      <c r="M989">
        <f t="shared" si="67"/>
        <v>0</v>
      </c>
      <c r="N989" t="str">
        <f t="shared" si="68"/>
        <v>Par</v>
      </c>
      <c r="O989" cm="1">
        <f t="array" ref="O989">IFERROR(
  INDEX('Putt Log'!$E$2:$V$72,
    MATCH(1,
      ('Putt Log'!$A$2:$A$72=$A989)*
      ('Putt Log'!$B$2:$B$72=$B989)*
      ('Putt Log'!$C$2:$C$72=$C989),
    0),
    MATCH($G989,'Putt Log'!$E$1:$V$1,0)
  ),
"")</f>
        <v>1</v>
      </c>
      <c r="P989" cm="1">
        <f t="array" ref="P989">IF(K989=3,"",
  IFERROR(
    INDEX('Fairway Log'!$E$2:$V$72,
      MATCH(1,
        ('Fairway Log'!$A$2:$A$72=$A989)*
        ('Fairway Log'!$B$2:$B$72=$B989)*
        ('Fairway Log'!$C$2:$C1060=$C989),
      0),
      MATCH($G989,'Fairway Log'!$E$1:$V$1,0)
    ),
  "")
)</f>
        <v>1</v>
      </c>
      <c r="Q989" t="str" cm="1">
        <f t="array" ref="Q989">IFERROR(
  INDEX('GIR Log'!$E$2:$V$72,
    MATCH(1,
      ('GIR Log'!$A$2:$A$72=$A989)*
      ('GIR Log'!$B$2:$B$72=$B989)*
      ('GIR Log'!$C$2:$C$72=$C989),
    0),
    MATCH($G989,'GIR Log'!$E$1:$V$1,0)
  ),
"")</f>
        <v>↓</v>
      </c>
    </row>
    <row r="990" spans="1:17" x14ac:dyDescent="0.25">
      <c r="A990" s="51" t="s">
        <v>130</v>
      </c>
      <c r="B990" s="2">
        <v>45857</v>
      </c>
      <c r="C990" t="s">
        <v>3</v>
      </c>
      <c r="D990" s="51" t="s">
        <v>3</v>
      </c>
      <c r="E990" s="51" t="s">
        <v>36</v>
      </c>
      <c r="F990">
        <v>84</v>
      </c>
      <c r="G990" s="12" t="s">
        <v>63</v>
      </c>
      <c r="H990" s="9">
        <f t="shared" si="66"/>
        <v>17</v>
      </c>
      <c r="I990" cm="1">
        <f t="array" ref="I990">IFERROR(INDEX(CourseYardages[[Hole 1]:[Hole 18]],
  MATCH(1, (CourseYardages[Course]=C990)*(CourseYardages[Tees]=E990), 0),
  MATCH(G990, CourseYardages[[#Headers],[Hole 1]:[Hole 18]], 0)
),"")</f>
        <v>408</v>
      </c>
      <c r="J990" cm="1">
        <f t="array" ref="J990">IFERROR(INDEX(CourseHandicap[[Hole 1]:[Hole 18]],
  MATCH(1, (CourseHandicap[Course]=C990)*(CourseHandicap[Tees]=E990), 0),
  MATCH(G990, CourseHandicap[[#Headers],[Hole 1]:[Hole 18]], 0)
),"")</f>
        <v>4</v>
      </c>
      <c r="K990" cm="1">
        <f t="array" ref="K990">IFERROR(INDEX(CourseRatings[[Hole 1]:[Hole 18]],
  MATCH(1, (CourseRatings[Course]=C990)*(CourseRatings[Tees]=E990), 0),
  MATCH(G990, CourseRatings[[#Headers],[Hole 1]:[Hole 18]], 0)
),"")</f>
        <v>4</v>
      </c>
      <c r="L990" cm="1">
        <f t="array" ref="L990">IFERROR(
  INDEX('Golf Log'!$E$2:$V$72,
    MATCH(1,
      ('Golf Log'!$A$2:$A$72=$A990)*
      ('Golf Log'!$B$2:$B$72=$B990)*
      ('Golf Log'!$C$2:$C$72=$C990),
    0),
    MATCH($G990,'Golf Log'!$E$1:$V$1,0)
  ),
"")</f>
        <v>6</v>
      </c>
      <c r="M990">
        <f t="shared" si="67"/>
        <v>2</v>
      </c>
      <c r="N990" t="str">
        <f t="shared" si="68"/>
        <v>Double Bogey</v>
      </c>
      <c r="O990" cm="1">
        <f t="array" ref="O990">IFERROR(
  INDEX('Putt Log'!$E$2:$V$72,
    MATCH(1,
      ('Putt Log'!$A$2:$A$72=$A990)*
      ('Putt Log'!$B$2:$B$72=$B990)*
      ('Putt Log'!$C$2:$C$72=$C990),
    0),
    MATCH($G990,'Putt Log'!$E$1:$V$1,0)
  ),
"")</f>
        <v>3</v>
      </c>
      <c r="P990" t="str" cm="1">
        <f t="array" ref="P990">IF(K990=3,"",
  IFERROR(
    INDEX('Fairway Log'!$E$2:$V$72,
      MATCH(1,
        ('Fairway Log'!$A$2:$A$72=$A990)*
        ('Fairway Log'!$B$2:$B$72=$B990)*
        ('Fairway Log'!$C$2:$C1061=$C990),
      0),
      MATCH($G990,'Fairway Log'!$E$1:$V$1,0)
    ),
  "")
)</f>
        <v>↓</v>
      </c>
      <c r="Q990" t="str" cm="1">
        <f t="array" ref="Q990">IFERROR(
  INDEX('GIR Log'!$E$2:$V$72,
    MATCH(1,
      ('GIR Log'!$A$2:$A$72=$A990)*
      ('GIR Log'!$B$2:$B$72=$B990)*
      ('GIR Log'!$C$2:$C$72=$C990),
    0),
    MATCH($G990,'GIR Log'!$E$1:$V$1,0)
  ),
"")</f>
        <v>↓</v>
      </c>
    </row>
    <row r="991" spans="1:17" x14ac:dyDescent="0.25">
      <c r="A991" s="51" t="s">
        <v>130</v>
      </c>
      <c r="B991" s="2">
        <v>45857</v>
      </c>
      <c r="C991" t="s">
        <v>3</v>
      </c>
      <c r="D991" s="51" t="s">
        <v>3</v>
      </c>
      <c r="E991" s="51" t="s">
        <v>36</v>
      </c>
      <c r="F991">
        <v>84</v>
      </c>
      <c r="G991" s="12" t="s">
        <v>64</v>
      </c>
      <c r="H991" s="9">
        <f t="shared" si="66"/>
        <v>18</v>
      </c>
      <c r="I991" cm="1">
        <f t="array" ref="I991">IFERROR(INDEX(CourseYardages[[Hole 1]:[Hole 18]],
  MATCH(1, (CourseYardages[Course]=C991)*(CourseYardages[Tees]=E991), 0),
  MATCH(G991, CourseYardages[[#Headers],[Hole 1]:[Hole 18]], 0)
),"")</f>
        <v>386</v>
      </c>
      <c r="J991" cm="1">
        <f t="array" ref="J991">IFERROR(INDEX(CourseHandicap[[Hole 1]:[Hole 18]],
  MATCH(1, (CourseHandicap[Course]=C991)*(CourseHandicap[Tees]=E991), 0),
  MATCH(G991, CourseHandicap[[#Headers],[Hole 1]:[Hole 18]], 0)
),"")</f>
        <v>6</v>
      </c>
      <c r="K991" cm="1">
        <f t="array" ref="K991">IFERROR(INDEX(CourseRatings[[Hole 1]:[Hole 18]],
  MATCH(1, (CourseRatings[Course]=C991)*(CourseRatings[Tees]=E991), 0),
  MATCH(G991, CourseRatings[[#Headers],[Hole 1]:[Hole 18]], 0)
),"")</f>
        <v>4</v>
      </c>
      <c r="L991" cm="1">
        <f t="array" ref="L991">IFERROR(
  INDEX('Golf Log'!$E$2:$V$72,
    MATCH(1,
      ('Golf Log'!$A$2:$A$72=$A991)*
      ('Golf Log'!$B$2:$B$72=$B991)*
      ('Golf Log'!$C$2:$C$72=$C991),
    0),
    MATCH($G991,'Golf Log'!$E$1:$V$1,0)
  ),
"")</f>
        <v>4</v>
      </c>
      <c r="M991">
        <f t="shared" si="67"/>
        <v>0</v>
      </c>
      <c r="N991" t="str">
        <f t="shared" si="68"/>
        <v>Par</v>
      </c>
      <c r="O991" cm="1">
        <f t="array" ref="O991">IFERROR(
  INDEX('Putt Log'!$E$2:$V$72,
    MATCH(1,
      ('Putt Log'!$A$2:$A$72=$A991)*
      ('Putt Log'!$B$2:$B$72=$B991)*
      ('Putt Log'!$C$2:$C$72=$C991),
    0),
    MATCH($G991,'Putt Log'!$E$1:$V$1,0)
  ),
"")</f>
        <v>2</v>
      </c>
      <c r="P991" cm="1">
        <f t="array" ref="P991">IF(K991=3,"",
  IFERROR(
    INDEX('Fairway Log'!$E$2:$V$72,
      MATCH(1,
        ('Fairway Log'!$A$2:$A$72=$A991)*
        ('Fairway Log'!$B$2:$B$72=$B991)*
        ('Fairway Log'!$C$2:$C1062=$C991),
      0),
      MATCH($G991,'Fairway Log'!$E$1:$V$1,0)
    ),
  "")
)</f>
        <v>1</v>
      </c>
      <c r="Q991" cm="1">
        <f t="array" ref="Q991">IFERROR(
  INDEX('GIR Log'!$E$2:$V$72,
    MATCH(1,
      ('GIR Log'!$A$2:$A$72=$A991)*
      ('GIR Log'!$B$2:$B$72=$B991)*
      ('GIR Log'!$C$2:$C$72=$C991),
    0),
    MATCH($G991,'GIR Log'!$E$1:$V$1,0)
  ),
"")</f>
        <v>1</v>
      </c>
    </row>
    <row r="992" spans="1:17" x14ac:dyDescent="0.25">
      <c r="A992" s="51" t="s">
        <v>130</v>
      </c>
      <c r="B992" s="2">
        <v>45844</v>
      </c>
      <c r="C992" t="s">
        <v>3</v>
      </c>
      <c r="D992" s="51" t="s">
        <v>3</v>
      </c>
      <c r="E992" s="51" t="s">
        <v>36</v>
      </c>
      <c r="F992">
        <v>86</v>
      </c>
      <c r="G992" t="s">
        <v>47</v>
      </c>
      <c r="H992" s="9">
        <f t="shared" si="66"/>
        <v>1</v>
      </c>
      <c r="I992" cm="1">
        <f t="array" ref="I992">IFERROR(INDEX(CourseYardages[[Hole 1]:[Hole 18]],
  MATCH(1, (CourseYardages[Course]=C992)*(CourseYardages[Tees]=E992), 0),
  MATCH(G992, CourseYardages[[#Headers],[Hole 1]:[Hole 18]], 0)
),"")</f>
        <v>345</v>
      </c>
      <c r="J992" cm="1">
        <f t="array" ref="J992">IFERROR(INDEX(CourseHandicap[[Hole 1]:[Hole 18]],
  MATCH(1, (CourseHandicap[Course]=C992)*(CourseHandicap[Tees]=E992), 0),
  MATCH(G992, CourseHandicap[[#Headers],[Hole 1]:[Hole 18]], 0)
),"")</f>
        <v>15</v>
      </c>
      <c r="K992" cm="1">
        <f t="array" ref="K992">IFERROR(INDEX(CourseRatings[[Hole 1]:[Hole 18]],
  MATCH(1, (CourseRatings[Course]=C992)*(CourseRatings[Tees]=E992), 0),
  MATCH(G992, CourseRatings[[#Headers],[Hole 1]:[Hole 18]], 0)
),"")</f>
        <v>4</v>
      </c>
      <c r="L992" cm="1">
        <f t="array" ref="L992">IFERROR(
  INDEX('Golf Log'!$E$2:$V$72,
    MATCH(1,
      ('Golf Log'!$A$2:$A$72=$A992)*
      ('Golf Log'!$B$2:$B$72=$B992)*
      ('Golf Log'!$C$2:$C$72=$C992),
    0),
    MATCH($G992,'Golf Log'!$E$1:$V$1,0)
  ),
"")</f>
        <v>4</v>
      </c>
      <c r="M992">
        <f t="shared" si="67"/>
        <v>0</v>
      </c>
      <c r="N992" t="str">
        <f t="shared" si="68"/>
        <v>Par</v>
      </c>
      <c r="O992" cm="1">
        <f t="array" ref="O992">IFERROR(
  INDEX('Putt Log'!$E$2:$V$72,
    MATCH(1,
      ('Putt Log'!$A$2:$A$72=$A992)*
      ('Putt Log'!$B$2:$B$72=$B992)*
      ('Putt Log'!$C$2:$C$72=$C992),
    0),
    MATCH($G992,'Putt Log'!$E$1:$V$1,0)
  ),
"")</f>
        <v>2</v>
      </c>
      <c r="P992" cm="1">
        <f t="array" ref="P992">IF(K992=3,"",
  IFERROR(
    INDEX('Fairway Log'!$E$2:$V$72,
      MATCH(1,
        ('Fairway Log'!$A$2:$A$72=$A992)*
        ('Fairway Log'!$B$2:$B$72=$B992)*
        ('Fairway Log'!$C$2:$C1063=$C992),
      0),
      MATCH($G992,'Fairway Log'!$E$1:$V$1,0)
    ),
  "")
)</f>
        <v>1</v>
      </c>
      <c r="Q992" cm="1">
        <f t="array" ref="Q992">IFERROR(
  INDEX('GIR Log'!$E$2:$V$72,
    MATCH(1,
      ('GIR Log'!$A$2:$A$72=$A992)*
      ('GIR Log'!$B$2:$B$72=$B992)*
      ('GIR Log'!$C$2:$C$72=$C992),
    0),
    MATCH($G992,'GIR Log'!$E$1:$V$1,0)
  ),
"")</f>
        <v>1</v>
      </c>
    </row>
    <row r="993" spans="1:17" x14ac:dyDescent="0.25">
      <c r="A993" s="51" t="s">
        <v>130</v>
      </c>
      <c r="B993" s="2">
        <v>45844</v>
      </c>
      <c r="C993" t="s">
        <v>3</v>
      </c>
      <c r="D993" s="51" t="s">
        <v>3</v>
      </c>
      <c r="E993" s="51" t="s">
        <v>36</v>
      </c>
      <c r="F993">
        <v>86</v>
      </c>
      <c r="G993" t="s">
        <v>48</v>
      </c>
      <c r="H993" s="9">
        <f t="shared" si="66"/>
        <v>2</v>
      </c>
      <c r="I993" cm="1">
        <f t="array" ref="I993">IFERROR(INDEX(CourseYardages[[Hole 1]:[Hole 18]],
  MATCH(1, (CourseYardages[Course]=C993)*(CourseYardages[Tees]=E993), 0),
  MATCH(G993, CourseYardages[[#Headers],[Hole 1]:[Hole 18]], 0)
),"")</f>
        <v>367</v>
      </c>
      <c r="J993" cm="1">
        <f t="array" ref="J993">IFERROR(INDEX(CourseHandicap[[Hole 1]:[Hole 18]],
  MATCH(1, (CourseHandicap[Course]=C993)*(CourseHandicap[Tees]=E993), 0),
  MATCH(G993, CourseHandicap[[#Headers],[Hole 1]:[Hole 18]], 0)
),"")</f>
        <v>3</v>
      </c>
      <c r="K993" cm="1">
        <f t="array" ref="K993">IFERROR(INDEX(CourseRatings[[Hole 1]:[Hole 18]],
  MATCH(1, (CourseRatings[Course]=C993)*(CourseRatings[Tees]=E993), 0),
  MATCH(G993, CourseRatings[[#Headers],[Hole 1]:[Hole 18]], 0)
),"")</f>
        <v>4</v>
      </c>
      <c r="L993" cm="1">
        <f t="array" ref="L993">IFERROR(
  INDEX('Golf Log'!$E$2:$V$72,
    MATCH(1,
      ('Golf Log'!$A$2:$A$72=$A993)*
      ('Golf Log'!$B$2:$B$72=$B993)*
      ('Golf Log'!$C$2:$C$72=$C993),
    0),
    MATCH($G993,'Golf Log'!$E$1:$V$1,0)
  ),
"")</f>
        <v>6</v>
      </c>
      <c r="M993">
        <f t="shared" si="67"/>
        <v>2</v>
      </c>
      <c r="N993" t="str">
        <f t="shared" si="68"/>
        <v>Double Bogey</v>
      </c>
      <c r="O993" cm="1">
        <f t="array" ref="O993">IFERROR(
  INDEX('Putt Log'!$E$2:$V$72,
    MATCH(1,
      ('Putt Log'!$A$2:$A$72=$A993)*
      ('Putt Log'!$B$2:$B$72=$B993)*
      ('Putt Log'!$C$2:$C$72=$C993),
    0),
    MATCH($G993,'Putt Log'!$E$1:$V$1,0)
  ),
"")</f>
        <v>2</v>
      </c>
      <c r="P993" t="str" cm="1">
        <f t="array" ref="P993">IF(K993=3,"",
  IFERROR(
    INDEX('Fairway Log'!$E$2:$V$72,
      MATCH(1,
        ('Fairway Log'!$A$2:$A$72=$A993)*
        ('Fairway Log'!$B$2:$B$72=$B993)*
        ('Fairway Log'!$C$2:$C1064=$C993),
      0),
      MATCH($G993,'Fairway Log'!$E$1:$V$1,0)
    ),
  "")
)</f>
        <v>←</v>
      </c>
      <c r="Q993" t="str" cm="1">
        <f t="array" ref="Q993">IFERROR(
  INDEX('GIR Log'!$E$2:$V$72,
    MATCH(1,
      ('GIR Log'!$A$2:$A$72=$A993)*
      ('GIR Log'!$B$2:$B$72=$B993)*
      ('GIR Log'!$C$2:$C$72=$C993),
    0),
    MATCH($G993,'GIR Log'!$E$1:$V$1,0)
  ),
"")</f>
        <v>←</v>
      </c>
    </row>
    <row r="994" spans="1:17" x14ac:dyDescent="0.25">
      <c r="A994" s="51" t="s">
        <v>130</v>
      </c>
      <c r="B994" s="2">
        <v>45844</v>
      </c>
      <c r="C994" t="s">
        <v>3</v>
      </c>
      <c r="D994" s="51" t="s">
        <v>3</v>
      </c>
      <c r="E994" s="51" t="s">
        <v>36</v>
      </c>
      <c r="F994">
        <v>86</v>
      </c>
      <c r="G994" t="s">
        <v>49</v>
      </c>
      <c r="H994" s="9">
        <f t="shared" si="66"/>
        <v>3</v>
      </c>
      <c r="I994" cm="1">
        <f t="array" ref="I994">IFERROR(INDEX(CourseYardages[[Hole 1]:[Hole 18]],
  MATCH(1, (CourseYardages[Course]=C994)*(CourseYardages[Tees]=E994), 0),
  MATCH(G994, CourseYardages[[#Headers],[Hole 1]:[Hole 18]], 0)
),"")</f>
        <v>133</v>
      </c>
      <c r="J994" cm="1">
        <f t="array" ref="J994">IFERROR(INDEX(CourseHandicap[[Hole 1]:[Hole 18]],
  MATCH(1, (CourseHandicap[Course]=C994)*(CourseHandicap[Tees]=E994), 0),
  MATCH(G994, CourseHandicap[[#Headers],[Hole 1]:[Hole 18]], 0)
),"")</f>
        <v>17</v>
      </c>
      <c r="K994" cm="1">
        <f t="array" ref="K994">IFERROR(INDEX(CourseRatings[[Hole 1]:[Hole 18]],
  MATCH(1, (CourseRatings[Course]=C994)*(CourseRatings[Tees]=E994), 0),
  MATCH(G994, CourseRatings[[#Headers],[Hole 1]:[Hole 18]], 0)
),"")</f>
        <v>3</v>
      </c>
      <c r="L994" cm="1">
        <f t="array" ref="L994">IFERROR(
  INDEX('Golf Log'!$E$2:$V$72,
    MATCH(1,
      ('Golf Log'!$A$2:$A$72=$A994)*
      ('Golf Log'!$B$2:$B$72=$B994)*
      ('Golf Log'!$C$2:$C$72=$C994),
    0),
    MATCH($G994,'Golf Log'!$E$1:$V$1,0)
  ),
"")</f>
        <v>4</v>
      </c>
      <c r="M994">
        <f t="shared" si="67"/>
        <v>1</v>
      </c>
      <c r="N994" t="str">
        <f t="shared" si="68"/>
        <v>Bogey</v>
      </c>
      <c r="O994" cm="1">
        <f t="array" ref="O994">IFERROR(
  INDEX('Putt Log'!$E$2:$V$72,
    MATCH(1,
      ('Putt Log'!$A$2:$A$72=$A994)*
      ('Putt Log'!$B$2:$B$72=$B994)*
      ('Putt Log'!$C$2:$C$72=$C994),
    0),
    MATCH($G994,'Putt Log'!$E$1:$V$1,0)
  ),
"")</f>
        <v>2</v>
      </c>
      <c r="P994" t="str" cm="1">
        <f t="array" ref="P994">IF(K994=3,"",
  IFERROR(
    INDEX('Fairway Log'!$E$2:$V$72,
      MATCH(1,
        ('Fairway Log'!$A$2:$A$72=$A994)*
        ('Fairway Log'!$B$2:$B$72=$B994)*
        ('Fairway Log'!$C$2:$C1065=$C994),
      0),
      MATCH($G994,'Fairway Log'!$E$1:$V$1,0)
    ),
  "")
)</f>
        <v/>
      </c>
      <c r="Q994" t="str" cm="1">
        <f t="array" ref="Q994">IFERROR(
  INDEX('GIR Log'!$E$2:$V$72,
    MATCH(1,
      ('GIR Log'!$A$2:$A$72=$A994)*
      ('GIR Log'!$B$2:$B$72=$B994)*
      ('GIR Log'!$C$2:$C$72=$C994),
    0),
    MATCH($G994,'GIR Log'!$E$1:$V$1,0)
  ),
"")</f>
        <v>→</v>
      </c>
    </row>
    <row r="995" spans="1:17" x14ac:dyDescent="0.25">
      <c r="A995" s="51" t="s">
        <v>130</v>
      </c>
      <c r="B995" s="2">
        <v>45844</v>
      </c>
      <c r="C995" t="s">
        <v>3</v>
      </c>
      <c r="D995" s="51" t="s">
        <v>3</v>
      </c>
      <c r="E995" s="51" t="s">
        <v>36</v>
      </c>
      <c r="F995">
        <v>86</v>
      </c>
      <c r="G995" t="s">
        <v>50</v>
      </c>
      <c r="H995" s="9">
        <f t="shared" si="66"/>
        <v>4</v>
      </c>
      <c r="I995" cm="1">
        <f t="array" ref="I995">IFERROR(INDEX(CourseYardages[[Hole 1]:[Hole 18]],
  MATCH(1, (CourseYardages[Course]=C995)*(CourseYardages[Tees]=E995), 0),
  MATCH(G995, CourseYardages[[#Headers],[Hole 1]:[Hole 18]], 0)
),"")</f>
        <v>344</v>
      </c>
      <c r="J995" cm="1">
        <f t="array" ref="J995">IFERROR(INDEX(CourseHandicap[[Hole 1]:[Hole 18]],
  MATCH(1, (CourseHandicap[Course]=C995)*(CourseHandicap[Tees]=E995), 0),
  MATCH(G995, CourseHandicap[[#Headers],[Hole 1]:[Hole 18]], 0)
),"")</f>
        <v>11</v>
      </c>
      <c r="K995" cm="1">
        <f t="array" ref="K995">IFERROR(INDEX(CourseRatings[[Hole 1]:[Hole 18]],
  MATCH(1, (CourseRatings[Course]=C995)*(CourseRatings[Tees]=E995), 0),
  MATCH(G995, CourseRatings[[#Headers],[Hole 1]:[Hole 18]], 0)
),"")</f>
        <v>4</v>
      </c>
      <c r="L995" cm="1">
        <f t="array" ref="L995">IFERROR(
  INDEX('Golf Log'!$E$2:$V$72,
    MATCH(1,
      ('Golf Log'!$A$2:$A$72=$A995)*
      ('Golf Log'!$B$2:$B$72=$B995)*
      ('Golf Log'!$C$2:$C$72=$C995),
    0),
    MATCH($G995,'Golf Log'!$E$1:$V$1,0)
  ),
"")</f>
        <v>6</v>
      </c>
      <c r="M995">
        <f t="shared" si="67"/>
        <v>2</v>
      </c>
      <c r="N995" t="str">
        <f t="shared" si="68"/>
        <v>Double Bogey</v>
      </c>
      <c r="O995" cm="1">
        <f t="array" ref="O995">IFERROR(
  INDEX('Putt Log'!$E$2:$V$72,
    MATCH(1,
      ('Putt Log'!$A$2:$A$72=$A995)*
      ('Putt Log'!$B$2:$B$72=$B995)*
      ('Putt Log'!$C$2:$C$72=$C995),
    0),
    MATCH($G995,'Putt Log'!$E$1:$V$1,0)
  ),
"")</f>
        <v>2</v>
      </c>
      <c r="P995" t="str" cm="1">
        <f t="array" ref="P995">IF(K995=3,"",
  IFERROR(
    INDEX('Fairway Log'!$E$2:$V$72,
      MATCH(1,
        ('Fairway Log'!$A$2:$A$72=$A995)*
        ('Fairway Log'!$B$2:$B$72=$B995)*
        ('Fairway Log'!$C$2:$C1066=$C995),
      0),
      MATCH($G995,'Fairway Log'!$E$1:$V$1,0)
    ),
  "")
)</f>
        <v>←</v>
      </c>
      <c r="Q995" t="str" cm="1">
        <f t="array" ref="Q995">IFERROR(
  INDEX('GIR Log'!$E$2:$V$72,
    MATCH(1,
      ('GIR Log'!$A$2:$A$72=$A995)*
      ('GIR Log'!$B$2:$B$72=$B995)*
      ('GIR Log'!$C$2:$C$72=$C995),
    0),
    MATCH($G995,'GIR Log'!$E$1:$V$1,0)
  ),
"")</f>
        <v>↓</v>
      </c>
    </row>
    <row r="996" spans="1:17" x14ac:dyDescent="0.25">
      <c r="A996" s="51" t="s">
        <v>130</v>
      </c>
      <c r="B996" s="2">
        <v>45844</v>
      </c>
      <c r="C996" t="s">
        <v>3</v>
      </c>
      <c r="D996" s="51" t="s">
        <v>3</v>
      </c>
      <c r="E996" s="51" t="s">
        <v>36</v>
      </c>
      <c r="F996">
        <v>86</v>
      </c>
      <c r="G996" t="s">
        <v>51</v>
      </c>
      <c r="H996" s="9">
        <f t="shared" si="66"/>
        <v>5</v>
      </c>
      <c r="I996" cm="1">
        <f t="array" ref="I996">IFERROR(INDEX(CourseYardages[[Hole 1]:[Hole 18]],
  MATCH(1, (CourseYardages[Course]=C996)*(CourseYardages[Tees]=E996), 0),
  MATCH(G996, CourseYardages[[#Headers],[Hole 1]:[Hole 18]], 0)
),"")</f>
        <v>387</v>
      </c>
      <c r="J996" cm="1">
        <f t="array" ref="J996">IFERROR(INDEX(CourseHandicap[[Hole 1]:[Hole 18]],
  MATCH(1, (CourseHandicap[Course]=C996)*(CourseHandicap[Tees]=E996), 0),
  MATCH(G996, CourseHandicap[[#Headers],[Hole 1]:[Hole 18]], 0)
),"")</f>
        <v>7</v>
      </c>
      <c r="K996" cm="1">
        <f t="array" ref="K996">IFERROR(INDEX(CourseRatings[[Hole 1]:[Hole 18]],
  MATCH(1, (CourseRatings[Course]=C996)*(CourseRatings[Tees]=E996), 0),
  MATCH(G996, CourseRatings[[#Headers],[Hole 1]:[Hole 18]], 0)
),"")</f>
        <v>4</v>
      </c>
      <c r="L996" cm="1">
        <f t="array" ref="L996">IFERROR(
  INDEX('Golf Log'!$E$2:$V$72,
    MATCH(1,
      ('Golf Log'!$A$2:$A$72=$A996)*
      ('Golf Log'!$B$2:$B$72=$B996)*
      ('Golf Log'!$C$2:$C$72=$C996),
    0),
    MATCH($G996,'Golf Log'!$E$1:$V$1,0)
  ),
"")</f>
        <v>4</v>
      </c>
      <c r="M996">
        <f t="shared" si="67"/>
        <v>0</v>
      </c>
      <c r="N996" t="str">
        <f t="shared" si="68"/>
        <v>Par</v>
      </c>
      <c r="O996" cm="1">
        <f t="array" ref="O996">IFERROR(
  INDEX('Putt Log'!$E$2:$V$72,
    MATCH(1,
      ('Putt Log'!$A$2:$A$72=$A996)*
      ('Putt Log'!$B$2:$B$72=$B996)*
      ('Putt Log'!$C$2:$C$72=$C996),
    0),
    MATCH($G996,'Putt Log'!$E$1:$V$1,0)
  ),
"")</f>
        <v>2</v>
      </c>
      <c r="P996" cm="1">
        <f t="array" ref="P996">IF(K996=3,"",
  IFERROR(
    INDEX('Fairway Log'!$E$2:$V$72,
      MATCH(1,
        ('Fairway Log'!$A$2:$A$72=$A996)*
        ('Fairway Log'!$B$2:$B$72=$B996)*
        ('Fairway Log'!$C$2:$C1067=$C996),
      0),
      MATCH($G996,'Fairway Log'!$E$1:$V$1,0)
    ),
  "")
)</f>
        <v>1</v>
      </c>
      <c r="Q996" cm="1">
        <f t="array" ref="Q996">IFERROR(
  INDEX('GIR Log'!$E$2:$V$72,
    MATCH(1,
      ('GIR Log'!$A$2:$A$72=$A996)*
      ('GIR Log'!$B$2:$B$72=$B996)*
      ('GIR Log'!$C$2:$C$72=$C996),
    0),
    MATCH($G996,'GIR Log'!$E$1:$V$1,0)
  ),
"")</f>
        <v>1</v>
      </c>
    </row>
    <row r="997" spans="1:17" x14ac:dyDescent="0.25">
      <c r="A997" s="51" t="s">
        <v>130</v>
      </c>
      <c r="B997" s="2">
        <v>45844</v>
      </c>
      <c r="C997" t="s">
        <v>3</v>
      </c>
      <c r="D997" s="51" t="s">
        <v>3</v>
      </c>
      <c r="E997" s="51" t="s">
        <v>36</v>
      </c>
      <c r="F997">
        <v>86</v>
      </c>
      <c r="G997" t="s">
        <v>52</v>
      </c>
      <c r="H997" s="9">
        <f t="shared" si="66"/>
        <v>6</v>
      </c>
      <c r="I997" cm="1">
        <f t="array" ref="I997">IFERROR(INDEX(CourseYardages[[Hole 1]:[Hole 18]],
  MATCH(1, (CourseYardages[Course]=C997)*(CourseYardages[Tees]=E997), 0),
  MATCH(G997, CourseYardages[[#Headers],[Hole 1]:[Hole 18]], 0)
),"")</f>
        <v>178</v>
      </c>
      <c r="J997" cm="1">
        <f t="array" ref="J997">IFERROR(INDEX(CourseHandicap[[Hole 1]:[Hole 18]],
  MATCH(1, (CourseHandicap[Course]=C997)*(CourseHandicap[Tees]=E997), 0),
  MATCH(G997, CourseHandicap[[#Headers],[Hole 1]:[Hole 18]], 0)
),"")</f>
        <v>5</v>
      </c>
      <c r="K997" cm="1">
        <f t="array" ref="K997">IFERROR(INDEX(CourseRatings[[Hole 1]:[Hole 18]],
  MATCH(1, (CourseRatings[Course]=C997)*(CourseRatings[Tees]=E997), 0),
  MATCH(G997, CourseRatings[[#Headers],[Hole 1]:[Hole 18]], 0)
),"")</f>
        <v>3</v>
      </c>
      <c r="L997" cm="1">
        <f t="array" ref="L997">IFERROR(
  INDEX('Golf Log'!$E$2:$V$72,
    MATCH(1,
      ('Golf Log'!$A$2:$A$72=$A997)*
      ('Golf Log'!$B$2:$B$72=$B997)*
      ('Golf Log'!$C$2:$C$72=$C997),
    0),
    MATCH($G997,'Golf Log'!$E$1:$V$1,0)
  ),
"")</f>
        <v>3</v>
      </c>
      <c r="M997">
        <f t="shared" si="67"/>
        <v>0</v>
      </c>
      <c r="N997" t="str">
        <f t="shared" si="68"/>
        <v>Par</v>
      </c>
      <c r="O997" cm="1">
        <f t="array" ref="O997">IFERROR(
  INDEX('Putt Log'!$E$2:$V$72,
    MATCH(1,
      ('Putt Log'!$A$2:$A$72=$A997)*
      ('Putt Log'!$B$2:$B$72=$B997)*
      ('Putt Log'!$C$2:$C$72=$C997),
    0),
    MATCH($G997,'Putt Log'!$E$1:$V$1,0)
  ),
"")</f>
        <v>1</v>
      </c>
      <c r="P997" t="str" cm="1">
        <f t="array" ref="P997">IF(K997=3,"",
  IFERROR(
    INDEX('Fairway Log'!$E$2:$V$72,
      MATCH(1,
        ('Fairway Log'!$A$2:$A$72=$A997)*
        ('Fairway Log'!$B$2:$B$72=$B997)*
        ('Fairway Log'!$C$2:$C1068=$C997),
      0),
      MATCH($G997,'Fairway Log'!$E$1:$V$1,0)
    ),
  "")
)</f>
        <v/>
      </c>
      <c r="Q997" t="str" cm="1">
        <f t="array" ref="Q997">IFERROR(
  INDEX('GIR Log'!$E$2:$V$72,
    MATCH(1,
      ('GIR Log'!$A$2:$A$72=$A997)*
      ('GIR Log'!$B$2:$B$72=$B997)*
      ('GIR Log'!$C$2:$C$72=$C997),
    0),
    MATCH($G997,'GIR Log'!$E$1:$V$1,0)
  ),
"")</f>
        <v>→</v>
      </c>
    </row>
    <row r="998" spans="1:17" x14ac:dyDescent="0.25">
      <c r="A998" s="51" t="s">
        <v>130</v>
      </c>
      <c r="B998" s="2">
        <v>45844</v>
      </c>
      <c r="C998" t="s">
        <v>3</v>
      </c>
      <c r="D998" s="51" t="s">
        <v>3</v>
      </c>
      <c r="E998" s="51" t="s">
        <v>36</v>
      </c>
      <c r="F998">
        <v>86</v>
      </c>
      <c r="G998" t="s">
        <v>53</v>
      </c>
      <c r="H998" s="9">
        <f t="shared" si="66"/>
        <v>7</v>
      </c>
      <c r="I998" cm="1">
        <f t="array" ref="I998">IFERROR(INDEX(CourseYardages[[Hole 1]:[Hole 18]],
  MATCH(1, (CourseYardages[Course]=C998)*(CourseYardages[Tees]=E998), 0),
  MATCH(G998, CourseYardages[[#Headers],[Hole 1]:[Hole 18]], 0)
),"")</f>
        <v>500</v>
      </c>
      <c r="J998" cm="1">
        <f t="array" ref="J998">IFERROR(INDEX(CourseHandicap[[Hole 1]:[Hole 18]],
  MATCH(1, (CourseHandicap[Course]=C998)*(CourseHandicap[Tees]=E998), 0),
  MATCH(G998, CourseHandicap[[#Headers],[Hole 1]:[Hole 18]], 0)
),"")</f>
        <v>9</v>
      </c>
      <c r="K998" cm="1">
        <f t="array" ref="K998">IFERROR(INDEX(CourseRatings[[Hole 1]:[Hole 18]],
  MATCH(1, (CourseRatings[Course]=C998)*(CourseRatings[Tees]=E998), 0),
  MATCH(G998, CourseRatings[[#Headers],[Hole 1]:[Hole 18]], 0)
),"")</f>
        <v>5</v>
      </c>
      <c r="L998" cm="1">
        <f t="array" ref="L998">IFERROR(
  INDEX('Golf Log'!$E$2:$V$72,
    MATCH(1,
      ('Golf Log'!$A$2:$A$72=$A998)*
      ('Golf Log'!$B$2:$B$72=$B998)*
      ('Golf Log'!$C$2:$C$72=$C998),
    0),
    MATCH($G998,'Golf Log'!$E$1:$V$1,0)
  ),
"")</f>
        <v>6</v>
      </c>
      <c r="M998">
        <f t="shared" si="67"/>
        <v>1</v>
      </c>
      <c r="N998" t="str">
        <f t="shared" si="68"/>
        <v>Bogey</v>
      </c>
      <c r="O998" cm="1">
        <f t="array" ref="O998">IFERROR(
  INDEX('Putt Log'!$E$2:$V$72,
    MATCH(1,
      ('Putt Log'!$A$2:$A$72=$A998)*
      ('Putt Log'!$B$2:$B$72=$B998)*
      ('Putt Log'!$C$2:$C$72=$C998),
    0),
    MATCH($G998,'Putt Log'!$E$1:$V$1,0)
  ),
"")</f>
        <v>1</v>
      </c>
      <c r="P998" cm="1">
        <f t="array" ref="P998">IF(K998=3,"",
  IFERROR(
    INDEX('Fairway Log'!$E$2:$V$72,
      MATCH(1,
        ('Fairway Log'!$A$2:$A$72=$A998)*
        ('Fairway Log'!$B$2:$B$72=$B998)*
        ('Fairway Log'!$C$2:$C1069=$C998),
      0),
      MATCH($G998,'Fairway Log'!$E$1:$V$1,0)
    ),
  "")
)</f>
        <v>1</v>
      </c>
      <c r="Q998" t="str" cm="1">
        <f t="array" ref="Q998">IFERROR(
  INDEX('GIR Log'!$E$2:$V$72,
    MATCH(1,
      ('GIR Log'!$A$2:$A$72=$A998)*
      ('GIR Log'!$B$2:$B$72=$B998)*
      ('GIR Log'!$C$2:$C$72=$C998),
    0),
    MATCH($G998,'GIR Log'!$E$1:$V$1,0)
  ),
"")</f>
        <v>↓</v>
      </c>
    </row>
    <row r="999" spans="1:17" x14ac:dyDescent="0.25">
      <c r="A999" s="51" t="s">
        <v>130</v>
      </c>
      <c r="B999" s="2">
        <v>45844</v>
      </c>
      <c r="C999" t="s">
        <v>3</v>
      </c>
      <c r="D999" s="51" t="s">
        <v>3</v>
      </c>
      <c r="E999" s="51" t="s">
        <v>36</v>
      </c>
      <c r="F999">
        <v>86</v>
      </c>
      <c r="G999" t="s">
        <v>54</v>
      </c>
      <c r="H999" s="9">
        <f t="shared" si="66"/>
        <v>8</v>
      </c>
      <c r="I999" cm="1">
        <f t="array" ref="I999">IFERROR(INDEX(CourseYardages[[Hole 1]:[Hole 18]],
  MATCH(1, (CourseYardages[Course]=C999)*(CourseYardages[Tees]=E999), 0),
  MATCH(G999, CourseYardages[[#Headers],[Hole 1]:[Hole 18]], 0)
),"")</f>
        <v>337</v>
      </c>
      <c r="J999" cm="1">
        <f t="array" ref="J999">IFERROR(INDEX(CourseHandicap[[Hole 1]:[Hole 18]],
  MATCH(1, (CourseHandicap[Course]=C999)*(CourseHandicap[Tees]=E999), 0),
  MATCH(G999, CourseHandicap[[#Headers],[Hole 1]:[Hole 18]], 0)
),"")</f>
        <v>13</v>
      </c>
      <c r="K999" cm="1">
        <f t="array" ref="K999">IFERROR(INDEX(CourseRatings[[Hole 1]:[Hole 18]],
  MATCH(1, (CourseRatings[Course]=C999)*(CourseRatings[Tees]=E999), 0),
  MATCH(G999, CourseRatings[[#Headers],[Hole 1]:[Hole 18]], 0)
),"")</f>
        <v>4</v>
      </c>
      <c r="L999" cm="1">
        <f t="array" ref="L999">IFERROR(
  INDEX('Golf Log'!$E$2:$V$72,
    MATCH(1,
      ('Golf Log'!$A$2:$A$72=$A999)*
      ('Golf Log'!$B$2:$B$72=$B999)*
      ('Golf Log'!$C$2:$C$72=$C999),
    0),
    MATCH($G999,'Golf Log'!$E$1:$V$1,0)
  ),
"")</f>
        <v>4</v>
      </c>
      <c r="M999">
        <f t="shared" si="67"/>
        <v>0</v>
      </c>
      <c r="N999" t="str">
        <f t="shared" si="68"/>
        <v>Par</v>
      </c>
      <c r="O999" cm="1">
        <f t="array" ref="O999">IFERROR(
  INDEX('Putt Log'!$E$2:$V$72,
    MATCH(1,
      ('Putt Log'!$A$2:$A$72=$A999)*
      ('Putt Log'!$B$2:$B$72=$B999)*
      ('Putt Log'!$C$2:$C$72=$C999),
    0),
    MATCH($G999,'Putt Log'!$E$1:$V$1,0)
  ),
"")</f>
        <v>1</v>
      </c>
      <c r="P999" cm="1">
        <f t="array" ref="P999">IF(K999=3,"",
  IFERROR(
    INDEX('Fairway Log'!$E$2:$V$72,
      MATCH(1,
        ('Fairway Log'!$A$2:$A$72=$A999)*
        ('Fairway Log'!$B$2:$B$72=$B999)*
        ('Fairway Log'!$C$2:$C1070=$C999),
      0),
      MATCH($G999,'Fairway Log'!$E$1:$V$1,0)
    ),
  "")
)</f>
        <v>1</v>
      </c>
      <c r="Q999" t="str" cm="1">
        <f t="array" ref="Q999">IFERROR(
  INDEX('GIR Log'!$E$2:$V$72,
    MATCH(1,
      ('GIR Log'!$A$2:$A$72=$A999)*
      ('GIR Log'!$B$2:$B$72=$B999)*
      ('GIR Log'!$C$2:$C$72=$C999),
    0),
    MATCH($G999,'GIR Log'!$E$1:$V$1,0)
  ),
"")</f>
        <v>↑</v>
      </c>
    </row>
    <row r="1000" spans="1:17" x14ac:dyDescent="0.25">
      <c r="A1000" s="51" t="s">
        <v>130</v>
      </c>
      <c r="B1000" s="2">
        <v>45844</v>
      </c>
      <c r="C1000" t="s">
        <v>3</v>
      </c>
      <c r="D1000" s="51" t="s">
        <v>3</v>
      </c>
      <c r="E1000" s="51" t="s">
        <v>36</v>
      </c>
      <c r="F1000">
        <v>86</v>
      </c>
      <c r="G1000" t="s">
        <v>55</v>
      </c>
      <c r="H1000" s="9">
        <f t="shared" si="66"/>
        <v>9</v>
      </c>
      <c r="I1000" cm="1">
        <f t="array" ref="I1000">IFERROR(INDEX(CourseYardages[[Hole 1]:[Hole 18]],
  MATCH(1, (CourseYardages[Course]=C1000)*(CourseYardages[Tees]=E1000), 0),
  MATCH(G1000, CourseYardages[[#Headers],[Hole 1]:[Hole 18]], 0)
),"")</f>
        <v>532</v>
      </c>
      <c r="J1000" cm="1">
        <f t="array" ref="J1000">IFERROR(INDEX(CourseHandicap[[Hole 1]:[Hole 18]],
  MATCH(1, (CourseHandicap[Course]=C1000)*(CourseHandicap[Tees]=E1000), 0),
  MATCH(G1000, CourseHandicap[[#Headers],[Hole 1]:[Hole 18]], 0)
),"")</f>
        <v>1</v>
      </c>
      <c r="K1000" cm="1">
        <f t="array" ref="K1000">IFERROR(INDEX(CourseRatings[[Hole 1]:[Hole 18]],
  MATCH(1, (CourseRatings[Course]=C1000)*(CourseRatings[Tees]=E1000), 0),
  MATCH(G1000, CourseRatings[[#Headers],[Hole 1]:[Hole 18]], 0)
),"")</f>
        <v>5</v>
      </c>
      <c r="L1000" cm="1">
        <f t="array" ref="L1000">IFERROR(
  INDEX('Golf Log'!$E$2:$V$72,
    MATCH(1,
      ('Golf Log'!$A$2:$A$72=$A1000)*
      ('Golf Log'!$B$2:$B$72=$B1000)*
      ('Golf Log'!$C$2:$C$72=$C1000),
    0),
    MATCH($G1000,'Golf Log'!$E$1:$V$1,0)
  ),
"")</f>
        <v>7</v>
      </c>
      <c r="M1000">
        <f t="shared" si="67"/>
        <v>2</v>
      </c>
      <c r="N1000" t="str">
        <f t="shared" si="68"/>
        <v>Double Bogey</v>
      </c>
      <c r="O1000" cm="1">
        <f t="array" ref="O1000">IFERROR(
  INDEX('Putt Log'!$E$2:$V$72,
    MATCH(1,
      ('Putt Log'!$A$2:$A$72=$A1000)*
      ('Putt Log'!$B$2:$B$72=$B1000)*
      ('Putt Log'!$C$2:$C$72=$C1000),
    0),
    MATCH($G1000,'Putt Log'!$E$1:$V$1,0)
  ),
"")</f>
        <v>2</v>
      </c>
      <c r="P1000" t="str" cm="1">
        <f t="array" ref="P1000">IF(K1000=3,"",
  IFERROR(
    INDEX('Fairway Log'!$E$2:$V$72,
      MATCH(1,
        ('Fairway Log'!$A$2:$A$72=$A1000)*
        ('Fairway Log'!$B$2:$B$72=$B1000)*
        ('Fairway Log'!$C$2:$C1071=$C1000),
      0),
      MATCH($G1000,'Fairway Log'!$E$1:$V$1,0)
    ),
  "")
)</f>
        <v>←</v>
      </c>
      <c r="Q1000" t="str" cm="1">
        <f t="array" ref="Q1000">IFERROR(
  INDEX('GIR Log'!$E$2:$V$72,
    MATCH(1,
      ('GIR Log'!$A$2:$A$72=$A1000)*
      ('GIR Log'!$B$2:$B$72=$B1000)*
      ('GIR Log'!$C$2:$C$72=$C1000),
    0),
    MATCH($G1000,'GIR Log'!$E$1:$V$1,0)
  ),
"")</f>
        <v>↓</v>
      </c>
    </row>
    <row r="1001" spans="1:17" x14ac:dyDescent="0.25">
      <c r="A1001" s="51" t="s">
        <v>130</v>
      </c>
      <c r="B1001" s="2">
        <v>45844</v>
      </c>
      <c r="C1001" t="s">
        <v>3</v>
      </c>
      <c r="D1001" s="51" t="s">
        <v>3</v>
      </c>
      <c r="E1001" s="51" t="s">
        <v>36</v>
      </c>
      <c r="F1001">
        <v>86</v>
      </c>
      <c r="G1001" t="s">
        <v>56</v>
      </c>
      <c r="H1001" s="9">
        <f t="shared" si="66"/>
        <v>10</v>
      </c>
      <c r="I1001" cm="1">
        <f t="array" ref="I1001">IFERROR(INDEX(CourseYardages[[Hole 1]:[Hole 18]],
  MATCH(1, (CourseYardages[Course]=C1001)*(CourseYardages[Tees]=E1001), 0),
  MATCH(G1001, CourseYardages[[#Headers],[Hole 1]:[Hole 18]], 0)
),"")</f>
        <v>328</v>
      </c>
      <c r="J1001" cm="1">
        <f t="array" ref="J1001">IFERROR(INDEX(CourseHandicap[[Hole 1]:[Hole 18]],
  MATCH(1, (CourseHandicap[Course]=C1001)*(CourseHandicap[Tees]=E1001), 0),
  MATCH(G1001, CourseHandicap[[#Headers],[Hole 1]:[Hole 18]], 0)
),"")</f>
        <v>12</v>
      </c>
      <c r="K1001" cm="1">
        <f t="array" ref="K1001">IFERROR(INDEX(CourseRatings[[Hole 1]:[Hole 18]],
  MATCH(1, (CourseRatings[Course]=C1001)*(CourseRatings[Tees]=E1001), 0),
  MATCH(G1001, CourseRatings[[#Headers],[Hole 1]:[Hole 18]], 0)
),"")</f>
        <v>4</v>
      </c>
      <c r="L1001" cm="1">
        <f t="array" ref="L1001">IFERROR(
  INDEX('Golf Log'!$E$2:$V$72,
    MATCH(1,
      ('Golf Log'!$A$2:$A$72=$A1001)*
      ('Golf Log'!$B$2:$B$72=$B1001)*
      ('Golf Log'!$C$2:$C$72=$C1001),
    0),
    MATCH($G1001,'Golf Log'!$E$1:$V$1,0)
  ),
"")</f>
        <v>4</v>
      </c>
      <c r="M1001">
        <f t="shared" si="67"/>
        <v>0</v>
      </c>
      <c r="N1001" t="str">
        <f t="shared" si="68"/>
        <v>Par</v>
      </c>
      <c r="O1001" cm="1">
        <f t="array" ref="O1001">IFERROR(
  INDEX('Putt Log'!$E$2:$V$72,
    MATCH(1,
      ('Putt Log'!$A$2:$A$72=$A1001)*
      ('Putt Log'!$B$2:$B$72=$B1001)*
      ('Putt Log'!$C$2:$C$72=$C1001),
    0),
    MATCH($G1001,'Putt Log'!$E$1:$V$1,0)
  ),
"")</f>
        <v>1</v>
      </c>
      <c r="P1001" t="str" cm="1">
        <f t="array" ref="P1001">IF(K1001=3,"",
  IFERROR(
    INDEX('Fairway Log'!$E$2:$V$72,
      MATCH(1,
        ('Fairway Log'!$A$2:$A$72=$A1001)*
        ('Fairway Log'!$B$2:$B$72=$B1001)*
        ('Fairway Log'!$C$2:$C1072=$C1001),
      0),
      MATCH($G1001,'Fairway Log'!$E$1:$V$1,0)
    ),
  "")
)</f>
        <v>→</v>
      </c>
      <c r="Q1001" t="str" cm="1">
        <f t="array" ref="Q1001">IFERROR(
  INDEX('GIR Log'!$E$2:$V$72,
    MATCH(1,
      ('GIR Log'!$A$2:$A$72=$A1001)*
      ('GIR Log'!$B$2:$B$72=$B1001)*
      ('GIR Log'!$C$2:$C$72=$C1001),
    0),
    MATCH($G1001,'GIR Log'!$E$1:$V$1,0)
  ),
"")</f>
        <v>↓</v>
      </c>
    </row>
    <row r="1002" spans="1:17" x14ac:dyDescent="0.25">
      <c r="A1002" s="51" t="s">
        <v>130</v>
      </c>
      <c r="B1002" s="2">
        <v>45844</v>
      </c>
      <c r="C1002" t="s">
        <v>3</v>
      </c>
      <c r="D1002" s="51" t="s">
        <v>3</v>
      </c>
      <c r="E1002" s="51" t="s">
        <v>36</v>
      </c>
      <c r="F1002">
        <v>86</v>
      </c>
      <c r="G1002" t="s">
        <v>57</v>
      </c>
      <c r="H1002" s="9">
        <f t="shared" si="66"/>
        <v>11</v>
      </c>
      <c r="I1002" cm="1">
        <f t="array" ref="I1002">IFERROR(INDEX(CourseYardages[[Hole 1]:[Hole 18]],
  MATCH(1, (CourseYardages[Course]=C1002)*(CourseYardages[Tees]=E1002), 0),
  MATCH(G1002, CourseYardages[[#Headers],[Hole 1]:[Hole 18]], 0)
),"")</f>
        <v>159</v>
      </c>
      <c r="J1002" cm="1">
        <f t="array" ref="J1002">IFERROR(INDEX(CourseHandicap[[Hole 1]:[Hole 18]],
  MATCH(1, (CourseHandicap[Course]=C1002)*(CourseHandicap[Tees]=E1002), 0),
  MATCH(G1002, CourseHandicap[[#Headers],[Hole 1]:[Hole 18]], 0)
),"")</f>
        <v>16</v>
      </c>
      <c r="K1002" cm="1">
        <f t="array" ref="K1002">IFERROR(INDEX(CourseRatings[[Hole 1]:[Hole 18]],
  MATCH(1, (CourseRatings[Course]=C1002)*(CourseRatings[Tees]=E1002), 0),
  MATCH(G1002, CourseRatings[[#Headers],[Hole 1]:[Hole 18]], 0)
),"")</f>
        <v>3</v>
      </c>
      <c r="L1002" cm="1">
        <f t="array" ref="L1002">IFERROR(
  INDEX('Golf Log'!$E$2:$V$72,
    MATCH(1,
      ('Golf Log'!$A$2:$A$72=$A1002)*
      ('Golf Log'!$B$2:$B$72=$B1002)*
      ('Golf Log'!$C$2:$C$72=$C1002),
    0),
    MATCH($G1002,'Golf Log'!$E$1:$V$1,0)
  ),
"")</f>
        <v>4</v>
      </c>
      <c r="M1002">
        <f t="shared" si="67"/>
        <v>1</v>
      </c>
      <c r="N1002" t="str">
        <f t="shared" si="68"/>
        <v>Bogey</v>
      </c>
      <c r="O1002" cm="1">
        <f t="array" ref="O1002">IFERROR(
  INDEX('Putt Log'!$E$2:$V$72,
    MATCH(1,
      ('Putt Log'!$A$2:$A$72=$A1002)*
      ('Putt Log'!$B$2:$B$72=$B1002)*
      ('Putt Log'!$C$2:$C$72=$C1002),
    0),
    MATCH($G1002,'Putt Log'!$E$1:$V$1,0)
  ),
"")</f>
        <v>2</v>
      </c>
      <c r="P1002" t="str" cm="1">
        <f t="array" ref="P1002">IF(K1002=3,"",
  IFERROR(
    INDEX('Fairway Log'!$E$2:$V$72,
      MATCH(1,
        ('Fairway Log'!$A$2:$A$72=$A1002)*
        ('Fairway Log'!$B$2:$B$72=$B1002)*
        ('Fairway Log'!$C$2:$C1073=$C1002),
      0),
      MATCH($G1002,'Fairway Log'!$E$1:$V$1,0)
    ),
  "")
)</f>
        <v/>
      </c>
      <c r="Q1002" t="str" cm="1">
        <f t="array" ref="Q1002">IFERROR(
  INDEX('GIR Log'!$E$2:$V$72,
    MATCH(1,
      ('GIR Log'!$A$2:$A$72=$A1002)*
      ('GIR Log'!$B$2:$B$72=$B1002)*
      ('GIR Log'!$C$2:$C$72=$C1002),
    0),
    MATCH($G1002,'GIR Log'!$E$1:$V$1,0)
  ),
"")</f>
        <v>←</v>
      </c>
    </row>
    <row r="1003" spans="1:17" x14ac:dyDescent="0.25">
      <c r="A1003" s="51" t="s">
        <v>130</v>
      </c>
      <c r="B1003" s="2">
        <v>45844</v>
      </c>
      <c r="C1003" t="s">
        <v>3</v>
      </c>
      <c r="D1003" s="51" t="s">
        <v>3</v>
      </c>
      <c r="E1003" s="51" t="s">
        <v>36</v>
      </c>
      <c r="F1003">
        <v>86</v>
      </c>
      <c r="G1003" t="s">
        <v>58</v>
      </c>
      <c r="H1003" s="9">
        <f t="shared" si="66"/>
        <v>12</v>
      </c>
      <c r="I1003" cm="1">
        <f t="array" ref="I1003">IFERROR(INDEX(CourseYardages[[Hole 1]:[Hole 18]],
  MATCH(1, (CourseYardages[Course]=C1003)*(CourseYardages[Tees]=E1003), 0),
  MATCH(G1003, CourseYardages[[#Headers],[Hole 1]:[Hole 18]], 0)
),"")</f>
        <v>279</v>
      </c>
      <c r="J1003" cm="1">
        <f t="array" ref="J1003">IFERROR(INDEX(CourseHandicap[[Hole 1]:[Hole 18]],
  MATCH(1, (CourseHandicap[Course]=C1003)*(CourseHandicap[Tees]=E1003), 0),
  MATCH(G1003, CourseHandicap[[#Headers],[Hole 1]:[Hole 18]], 0)
),"")</f>
        <v>18</v>
      </c>
      <c r="K1003" cm="1">
        <f t="array" ref="K1003">IFERROR(INDEX(CourseRatings[[Hole 1]:[Hole 18]],
  MATCH(1, (CourseRatings[Course]=C1003)*(CourseRatings[Tees]=E1003), 0),
  MATCH(G1003, CourseRatings[[#Headers],[Hole 1]:[Hole 18]], 0)
),"")</f>
        <v>4</v>
      </c>
      <c r="L1003" cm="1">
        <f t="array" ref="L1003">IFERROR(
  INDEX('Golf Log'!$E$2:$V$72,
    MATCH(1,
      ('Golf Log'!$A$2:$A$72=$A1003)*
      ('Golf Log'!$B$2:$B$72=$B1003)*
      ('Golf Log'!$C$2:$C$72=$C1003),
    0),
    MATCH($G1003,'Golf Log'!$E$1:$V$1,0)
  ),
"")</f>
        <v>5</v>
      </c>
      <c r="M1003">
        <f t="shared" si="67"/>
        <v>1</v>
      </c>
      <c r="N1003" t="str">
        <f t="shared" si="68"/>
        <v>Bogey</v>
      </c>
      <c r="O1003" cm="1">
        <f t="array" ref="O1003">IFERROR(
  INDEX('Putt Log'!$E$2:$V$72,
    MATCH(1,
      ('Putt Log'!$A$2:$A$72=$A1003)*
      ('Putt Log'!$B$2:$B$72=$B1003)*
      ('Putt Log'!$C$2:$C$72=$C1003),
    0),
    MATCH($G1003,'Putt Log'!$E$1:$V$1,0)
  ),
"")</f>
        <v>2</v>
      </c>
      <c r="P1003" cm="1">
        <f t="array" ref="P1003">IF(K1003=3,"",
  IFERROR(
    INDEX('Fairway Log'!$E$2:$V$72,
      MATCH(1,
        ('Fairway Log'!$A$2:$A$72=$A1003)*
        ('Fairway Log'!$B$2:$B$72=$B1003)*
        ('Fairway Log'!$C$2:$C1074=$C1003),
      0),
      MATCH($G1003,'Fairway Log'!$E$1:$V$1,0)
    ),
  "")
)</f>
        <v>1</v>
      </c>
      <c r="Q1003" t="str" cm="1">
        <f t="array" ref="Q1003">IFERROR(
  INDEX('GIR Log'!$E$2:$V$72,
    MATCH(1,
      ('GIR Log'!$A$2:$A$72=$A1003)*
      ('GIR Log'!$B$2:$B$72=$B1003)*
      ('GIR Log'!$C$2:$C$72=$C1003),
    0),
    MATCH($G1003,'GIR Log'!$E$1:$V$1,0)
  ),
"")</f>
        <v>↓</v>
      </c>
    </row>
    <row r="1004" spans="1:17" x14ac:dyDescent="0.25">
      <c r="A1004" s="51" t="s">
        <v>130</v>
      </c>
      <c r="B1004" s="2">
        <v>45844</v>
      </c>
      <c r="C1004" t="s">
        <v>3</v>
      </c>
      <c r="D1004" s="51" t="s">
        <v>3</v>
      </c>
      <c r="E1004" s="51" t="s">
        <v>36</v>
      </c>
      <c r="F1004">
        <v>86</v>
      </c>
      <c r="G1004" t="s">
        <v>59</v>
      </c>
      <c r="H1004" s="9">
        <f t="shared" si="66"/>
        <v>13</v>
      </c>
      <c r="I1004" cm="1">
        <f t="array" ref="I1004">IFERROR(INDEX(CourseYardages[[Hole 1]:[Hole 18]],
  MATCH(1, (CourseYardages[Course]=C1004)*(CourseYardages[Tees]=E1004), 0),
  MATCH(G1004, CourseYardages[[#Headers],[Hole 1]:[Hole 18]], 0)
),"")</f>
        <v>553</v>
      </c>
      <c r="J1004" cm="1">
        <f t="array" ref="J1004">IFERROR(INDEX(CourseHandicap[[Hole 1]:[Hole 18]],
  MATCH(1, (CourseHandicap[Course]=C1004)*(CourseHandicap[Tees]=E1004), 0),
  MATCH(G1004, CourseHandicap[[#Headers],[Hole 1]:[Hole 18]], 0)
),"")</f>
        <v>2</v>
      </c>
      <c r="K1004" cm="1">
        <f t="array" ref="K1004">IFERROR(INDEX(CourseRatings[[Hole 1]:[Hole 18]],
  MATCH(1, (CourseRatings[Course]=C1004)*(CourseRatings[Tees]=E1004), 0),
  MATCH(G1004, CourseRatings[[#Headers],[Hole 1]:[Hole 18]], 0)
),"")</f>
        <v>5</v>
      </c>
      <c r="L1004" cm="1">
        <f t="array" ref="L1004">IFERROR(
  INDEX('Golf Log'!$E$2:$V$72,
    MATCH(1,
      ('Golf Log'!$A$2:$A$72=$A1004)*
      ('Golf Log'!$B$2:$B$72=$B1004)*
      ('Golf Log'!$C$2:$C$72=$C1004),
    0),
    MATCH($G1004,'Golf Log'!$E$1:$V$1,0)
  ),
"")</f>
        <v>6</v>
      </c>
      <c r="M1004">
        <f t="shared" si="67"/>
        <v>1</v>
      </c>
      <c r="N1004" t="str">
        <f t="shared" si="68"/>
        <v>Bogey</v>
      </c>
      <c r="O1004" cm="1">
        <f t="array" ref="O1004">IFERROR(
  INDEX('Putt Log'!$E$2:$V$72,
    MATCH(1,
      ('Putt Log'!$A$2:$A$72=$A1004)*
      ('Putt Log'!$B$2:$B$72=$B1004)*
      ('Putt Log'!$C$2:$C$72=$C1004),
    0),
    MATCH($G1004,'Putt Log'!$E$1:$V$1,0)
  ),
"")</f>
        <v>2</v>
      </c>
      <c r="P1004" t="str" cm="1">
        <f t="array" ref="P1004">IF(K1004=3,"",
  IFERROR(
    INDEX('Fairway Log'!$E$2:$V$72,
      MATCH(1,
        ('Fairway Log'!$A$2:$A$72=$A1004)*
        ('Fairway Log'!$B$2:$B$72=$B1004)*
        ('Fairway Log'!$C$2:$C1075=$C1004),
      0),
      MATCH($G1004,'Fairway Log'!$E$1:$V$1,0)
    ),
  "")
)</f>
        <v>←</v>
      </c>
      <c r="Q1004" t="str" cm="1">
        <f t="array" ref="Q1004">IFERROR(
  INDEX('GIR Log'!$E$2:$V$72,
    MATCH(1,
      ('GIR Log'!$A$2:$A$72=$A1004)*
      ('GIR Log'!$B$2:$B$72=$B1004)*
      ('GIR Log'!$C$2:$C$72=$C1004),
    0),
    MATCH($G1004,'GIR Log'!$E$1:$V$1,0)
  ),
"")</f>
        <v>↓</v>
      </c>
    </row>
    <row r="1005" spans="1:17" x14ac:dyDescent="0.25">
      <c r="A1005" s="51" t="s">
        <v>130</v>
      </c>
      <c r="B1005" s="2">
        <v>45844</v>
      </c>
      <c r="C1005" t="s">
        <v>3</v>
      </c>
      <c r="D1005" s="51" t="s">
        <v>3</v>
      </c>
      <c r="E1005" s="51" t="s">
        <v>36</v>
      </c>
      <c r="F1005">
        <v>86</v>
      </c>
      <c r="G1005" t="s">
        <v>60</v>
      </c>
      <c r="H1005" s="9">
        <f t="shared" si="66"/>
        <v>14</v>
      </c>
      <c r="I1005" cm="1">
        <f t="array" ref="I1005">IFERROR(INDEX(CourseYardages[[Hole 1]:[Hole 18]],
  MATCH(1, (CourseYardages[Course]=C1005)*(CourseYardages[Tees]=E1005), 0),
  MATCH(G1005, CourseYardages[[#Headers],[Hole 1]:[Hole 18]], 0)
),"")</f>
        <v>352</v>
      </c>
      <c r="J1005" cm="1">
        <f t="array" ref="J1005">IFERROR(INDEX(CourseHandicap[[Hole 1]:[Hole 18]],
  MATCH(1, (CourseHandicap[Course]=C1005)*(CourseHandicap[Tees]=E1005), 0),
  MATCH(G1005, CourseHandicap[[#Headers],[Hole 1]:[Hole 18]], 0)
),"")</f>
        <v>14</v>
      </c>
      <c r="K1005" cm="1">
        <f t="array" ref="K1005">IFERROR(INDEX(CourseRatings[[Hole 1]:[Hole 18]],
  MATCH(1, (CourseRatings[Course]=C1005)*(CourseRatings[Tees]=E1005), 0),
  MATCH(G1005, CourseRatings[[#Headers],[Hole 1]:[Hole 18]], 0)
),"")</f>
        <v>4</v>
      </c>
      <c r="L1005" cm="1">
        <f t="array" ref="L1005">IFERROR(
  INDEX('Golf Log'!$E$2:$V$72,
    MATCH(1,
      ('Golf Log'!$A$2:$A$72=$A1005)*
      ('Golf Log'!$B$2:$B$72=$B1005)*
      ('Golf Log'!$C$2:$C$72=$C1005),
    0),
    MATCH($G1005,'Golf Log'!$E$1:$V$1,0)
  ),
"")</f>
        <v>5</v>
      </c>
      <c r="M1005">
        <f t="shared" si="67"/>
        <v>1</v>
      </c>
      <c r="N1005" t="str">
        <f t="shared" si="68"/>
        <v>Bogey</v>
      </c>
      <c r="O1005" cm="1">
        <f t="array" ref="O1005">IFERROR(
  INDEX('Putt Log'!$E$2:$V$72,
    MATCH(1,
      ('Putt Log'!$A$2:$A$72=$A1005)*
      ('Putt Log'!$B$2:$B$72=$B1005)*
      ('Putt Log'!$C$2:$C$72=$C1005),
    0),
    MATCH($G1005,'Putt Log'!$E$1:$V$1,0)
  ),
"")</f>
        <v>2</v>
      </c>
      <c r="P1005" t="str" cm="1">
        <f t="array" ref="P1005">IF(K1005=3,"",
  IFERROR(
    INDEX('Fairway Log'!$E$2:$V$72,
      MATCH(1,
        ('Fairway Log'!$A$2:$A$72=$A1005)*
        ('Fairway Log'!$B$2:$B$72=$B1005)*
        ('Fairway Log'!$C$2:$C1076=$C1005),
      0),
      MATCH($G1005,'Fairway Log'!$E$1:$V$1,0)
    ),
  "")
)</f>
        <v>←</v>
      </c>
      <c r="Q1005" t="str" cm="1">
        <f t="array" ref="Q1005">IFERROR(
  INDEX('GIR Log'!$E$2:$V$72,
    MATCH(1,
      ('GIR Log'!$A$2:$A$72=$A1005)*
      ('GIR Log'!$B$2:$B$72=$B1005)*
      ('GIR Log'!$C$2:$C$72=$C1005),
    0),
    MATCH($G1005,'GIR Log'!$E$1:$V$1,0)
  ),
"")</f>
        <v>↓</v>
      </c>
    </row>
    <row r="1006" spans="1:17" x14ac:dyDescent="0.25">
      <c r="A1006" s="51" t="s">
        <v>130</v>
      </c>
      <c r="B1006" s="2">
        <v>45844</v>
      </c>
      <c r="C1006" t="s">
        <v>3</v>
      </c>
      <c r="D1006" s="51" t="s">
        <v>3</v>
      </c>
      <c r="E1006" s="51" t="s">
        <v>36</v>
      </c>
      <c r="F1006">
        <v>86</v>
      </c>
      <c r="G1006" t="s">
        <v>61</v>
      </c>
      <c r="H1006" s="9">
        <f t="shared" si="66"/>
        <v>15</v>
      </c>
      <c r="I1006" cm="1">
        <f t="array" ref="I1006">IFERROR(INDEX(CourseYardages[[Hole 1]:[Hole 18]],
  MATCH(1, (CourseYardages[Course]=C1006)*(CourseYardages[Tees]=E1006), 0),
  MATCH(G1006, CourseYardages[[#Headers],[Hole 1]:[Hole 18]], 0)
),"")</f>
        <v>165</v>
      </c>
      <c r="J1006" cm="1">
        <f t="array" ref="J1006">IFERROR(INDEX(CourseHandicap[[Hole 1]:[Hole 18]],
  MATCH(1, (CourseHandicap[Course]=C1006)*(CourseHandicap[Tees]=E1006), 0),
  MATCH(G1006, CourseHandicap[[#Headers],[Hole 1]:[Hole 18]], 0)
),"")</f>
        <v>8</v>
      </c>
      <c r="K1006" cm="1">
        <f t="array" ref="K1006">IFERROR(INDEX(CourseRatings[[Hole 1]:[Hole 18]],
  MATCH(1, (CourseRatings[Course]=C1006)*(CourseRatings[Tees]=E1006), 0),
  MATCH(G1006, CourseRatings[[#Headers],[Hole 1]:[Hole 18]], 0)
),"")</f>
        <v>3</v>
      </c>
      <c r="L1006" cm="1">
        <f t="array" ref="L1006">IFERROR(
  INDEX('Golf Log'!$E$2:$V$72,
    MATCH(1,
      ('Golf Log'!$A$2:$A$72=$A1006)*
      ('Golf Log'!$B$2:$B$72=$B1006)*
      ('Golf Log'!$C$2:$C$72=$C1006),
    0),
    MATCH($G1006,'Golf Log'!$E$1:$V$1,0)
  ),
"")</f>
        <v>4</v>
      </c>
      <c r="M1006">
        <f t="shared" si="67"/>
        <v>1</v>
      </c>
      <c r="N1006" t="str">
        <f t="shared" si="68"/>
        <v>Bogey</v>
      </c>
      <c r="O1006" cm="1">
        <f t="array" ref="O1006">IFERROR(
  INDEX('Putt Log'!$E$2:$V$72,
    MATCH(1,
      ('Putt Log'!$A$2:$A$72=$A1006)*
      ('Putt Log'!$B$2:$B$72=$B1006)*
      ('Putt Log'!$C$2:$C$72=$C1006),
    0),
    MATCH($G1006,'Putt Log'!$E$1:$V$1,0)
  ),
"")</f>
        <v>1</v>
      </c>
      <c r="P1006" t="str" cm="1">
        <f t="array" ref="P1006">IF(K1006=3,"",
  IFERROR(
    INDEX('Fairway Log'!$E$2:$V$72,
      MATCH(1,
        ('Fairway Log'!$A$2:$A$72=$A1006)*
        ('Fairway Log'!$B$2:$B$72=$B1006)*
        ('Fairway Log'!$C$2:$C1077=$C1006),
      0),
      MATCH($G1006,'Fairway Log'!$E$1:$V$1,0)
    ),
  "")
)</f>
        <v/>
      </c>
      <c r="Q1006" t="str" cm="1">
        <f t="array" ref="Q1006">IFERROR(
  INDEX('GIR Log'!$E$2:$V$72,
    MATCH(1,
      ('GIR Log'!$A$2:$A$72=$A1006)*
      ('GIR Log'!$B$2:$B$72=$B1006)*
      ('GIR Log'!$C$2:$C$72=$C1006),
    0),
    MATCH($G1006,'GIR Log'!$E$1:$V$1,0)
  ),
"")</f>
        <v>↓</v>
      </c>
    </row>
    <row r="1007" spans="1:17" x14ac:dyDescent="0.25">
      <c r="A1007" s="51" t="s">
        <v>130</v>
      </c>
      <c r="B1007" s="2">
        <v>45844</v>
      </c>
      <c r="C1007" t="s">
        <v>3</v>
      </c>
      <c r="D1007" s="51" t="s">
        <v>3</v>
      </c>
      <c r="E1007" s="51" t="s">
        <v>36</v>
      </c>
      <c r="F1007">
        <v>86</v>
      </c>
      <c r="G1007" t="s">
        <v>62</v>
      </c>
      <c r="H1007" s="9">
        <f t="shared" si="66"/>
        <v>16</v>
      </c>
      <c r="I1007" cm="1">
        <f t="array" ref="I1007">IFERROR(INDEX(CourseYardages[[Hole 1]:[Hole 18]],
  MATCH(1, (CourseYardages[Course]=C1007)*(CourseYardages[Tees]=E1007), 0),
  MATCH(G1007, CourseYardages[[#Headers],[Hole 1]:[Hole 18]], 0)
),"")</f>
        <v>343</v>
      </c>
      <c r="J1007" cm="1">
        <f t="array" ref="J1007">IFERROR(INDEX(CourseHandicap[[Hole 1]:[Hole 18]],
  MATCH(1, (CourseHandicap[Course]=C1007)*(CourseHandicap[Tees]=E1007), 0),
  MATCH(G1007, CourseHandicap[[#Headers],[Hole 1]:[Hole 18]], 0)
),"")</f>
        <v>10</v>
      </c>
      <c r="K1007" cm="1">
        <f t="array" ref="K1007">IFERROR(INDEX(CourseRatings[[Hole 1]:[Hole 18]],
  MATCH(1, (CourseRatings[Course]=C1007)*(CourseRatings[Tees]=E1007), 0),
  MATCH(G1007, CourseRatings[[#Headers],[Hole 1]:[Hole 18]], 0)
),"")</f>
        <v>4</v>
      </c>
      <c r="L1007" cm="1">
        <f t="array" ref="L1007">IFERROR(
  INDEX('Golf Log'!$E$2:$V$72,
    MATCH(1,
      ('Golf Log'!$A$2:$A$72=$A1007)*
      ('Golf Log'!$B$2:$B$72=$B1007)*
      ('Golf Log'!$C$2:$C$72=$C1007),
    0),
    MATCH($G1007,'Golf Log'!$E$1:$V$1,0)
  ),
"")</f>
        <v>5</v>
      </c>
      <c r="M1007">
        <f t="shared" si="67"/>
        <v>1</v>
      </c>
      <c r="N1007" t="str">
        <f t="shared" si="68"/>
        <v>Bogey</v>
      </c>
      <c r="O1007" cm="1">
        <f t="array" ref="O1007">IFERROR(
  INDEX('Putt Log'!$E$2:$V$72,
    MATCH(1,
      ('Putt Log'!$A$2:$A$72=$A1007)*
      ('Putt Log'!$B$2:$B$72=$B1007)*
      ('Putt Log'!$C$2:$C$72=$C1007),
    0),
    MATCH($G1007,'Putt Log'!$E$1:$V$1,0)
  ),
"")</f>
        <v>2</v>
      </c>
      <c r="P1007" t="str" cm="1">
        <f t="array" ref="P1007">IF(K1007=3,"",
  IFERROR(
    INDEX('Fairway Log'!$E$2:$V$72,
      MATCH(1,
        ('Fairway Log'!$A$2:$A$72=$A1007)*
        ('Fairway Log'!$B$2:$B$72=$B1007)*
        ('Fairway Log'!$C$2:$C1078=$C1007),
      0),
      MATCH($G1007,'Fairway Log'!$E$1:$V$1,0)
    ),
  "")
)</f>
        <v>←</v>
      </c>
      <c r="Q1007" t="str" cm="1">
        <f t="array" ref="Q1007">IFERROR(
  INDEX('GIR Log'!$E$2:$V$72,
    MATCH(1,
      ('GIR Log'!$A$2:$A$72=$A1007)*
      ('GIR Log'!$B$2:$B$72=$B1007)*
      ('GIR Log'!$C$2:$C$72=$C1007),
    0),
    MATCH($G1007,'GIR Log'!$E$1:$V$1,0)
  ),
"")</f>
        <v>↓</v>
      </c>
    </row>
    <row r="1008" spans="1:17" x14ac:dyDescent="0.25">
      <c r="A1008" s="51" t="s">
        <v>130</v>
      </c>
      <c r="B1008" s="2">
        <v>45844</v>
      </c>
      <c r="C1008" t="s">
        <v>3</v>
      </c>
      <c r="D1008" s="51" t="s">
        <v>3</v>
      </c>
      <c r="E1008" s="51" t="s">
        <v>36</v>
      </c>
      <c r="F1008">
        <v>86</v>
      </c>
      <c r="G1008" t="s">
        <v>63</v>
      </c>
      <c r="H1008" s="9">
        <f t="shared" si="66"/>
        <v>17</v>
      </c>
      <c r="I1008" cm="1">
        <f t="array" ref="I1008">IFERROR(INDEX(CourseYardages[[Hole 1]:[Hole 18]],
  MATCH(1, (CourseYardages[Course]=C1008)*(CourseYardages[Tees]=E1008), 0),
  MATCH(G1008, CourseYardages[[#Headers],[Hole 1]:[Hole 18]], 0)
),"")</f>
        <v>408</v>
      </c>
      <c r="J1008" cm="1">
        <f t="array" ref="J1008">IFERROR(INDEX(CourseHandicap[[Hole 1]:[Hole 18]],
  MATCH(1, (CourseHandicap[Course]=C1008)*(CourseHandicap[Tees]=E1008), 0),
  MATCH(G1008, CourseHandicap[[#Headers],[Hole 1]:[Hole 18]], 0)
),"")</f>
        <v>4</v>
      </c>
      <c r="K1008" cm="1">
        <f t="array" ref="K1008">IFERROR(INDEX(CourseRatings[[Hole 1]:[Hole 18]],
  MATCH(1, (CourseRatings[Course]=C1008)*(CourseRatings[Tees]=E1008), 0),
  MATCH(G1008, CourseRatings[[#Headers],[Hole 1]:[Hole 18]], 0)
),"")</f>
        <v>4</v>
      </c>
      <c r="L1008" cm="1">
        <f t="array" ref="L1008">IFERROR(
  INDEX('Golf Log'!$E$2:$V$72,
    MATCH(1,
      ('Golf Log'!$A$2:$A$72=$A1008)*
      ('Golf Log'!$B$2:$B$72=$B1008)*
      ('Golf Log'!$C$2:$C$72=$C1008),
    0),
    MATCH($G1008,'Golf Log'!$E$1:$V$1,0)
  ),
"")</f>
        <v>5</v>
      </c>
      <c r="M1008">
        <f t="shared" si="67"/>
        <v>1</v>
      </c>
      <c r="N1008" t="str">
        <f t="shared" si="68"/>
        <v>Bogey</v>
      </c>
      <c r="O1008" cm="1">
        <f t="array" ref="O1008">IFERROR(
  INDEX('Putt Log'!$E$2:$V$72,
    MATCH(1,
      ('Putt Log'!$A$2:$A$72=$A1008)*
      ('Putt Log'!$B$2:$B$72=$B1008)*
      ('Putt Log'!$C$2:$C$72=$C1008),
    0),
    MATCH($G1008,'Putt Log'!$E$1:$V$1,0)
  ),
"")</f>
        <v>2</v>
      </c>
      <c r="P1008" t="str" cm="1">
        <f t="array" ref="P1008">IF(K1008=3,"",
  IFERROR(
    INDEX('Fairway Log'!$E$2:$V$72,
      MATCH(1,
        ('Fairway Log'!$A$2:$A$72=$A1008)*
        ('Fairway Log'!$B$2:$B$72=$B1008)*
        ('Fairway Log'!$C$2:$C1079=$C1008),
      0),
      MATCH($G1008,'Fairway Log'!$E$1:$V$1,0)
    ),
  "")
)</f>
        <v>→</v>
      </c>
      <c r="Q1008" t="str" cm="1">
        <f t="array" ref="Q1008">IFERROR(
  INDEX('GIR Log'!$E$2:$V$72,
    MATCH(1,
      ('GIR Log'!$A$2:$A$72=$A1008)*
      ('GIR Log'!$B$2:$B$72=$B1008)*
      ('GIR Log'!$C$2:$C$72=$C1008),
    0),
    MATCH($G1008,'GIR Log'!$E$1:$V$1,0)
  ),
"")</f>
        <v>↓</v>
      </c>
    </row>
    <row r="1009" spans="1:17" x14ac:dyDescent="0.25">
      <c r="A1009" s="51" t="s">
        <v>130</v>
      </c>
      <c r="B1009" s="2">
        <v>45844</v>
      </c>
      <c r="C1009" t="s">
        <v>3</v>
      </c>
      <c r="D1009" s="51" t="s">
        <v>3</v>
      </c>
      <c r="E1009" s="51" t="s">
        <v>36</v>
      </c>
      <c r="F1009">
        <v>86</v>
      </c>
      <c r="G1009" t="s">
        <v>64</v>
      </c>
      <c r="H1009" s="9">
        <f t="shared" si="66"/>
        <v>18</v>
      </c>
      <c r="I1009" cm="1">
        <f t="array" ref="I1009">IFERROR(INDEX(CourseYardages[[Hole 1]:[Hole 18]],
  MATCH(1, (CourseYardages[Course]=C1009)*(CourseYardages[Tees]=E1009), 0),
  MATCH(G1009, CourseYardages[[#Headers],[Hole 1]:[Hole 18]], 0)
),"")</f>
        <v>386</v>
      </c>
      <c r="J1009" cm="1">
        <f t="array" ref="J1009">IFERROR(INDEX(CourseHandicap[[Hole 1]:[Hole 18]],
  MATCH(1, (CourseHandicap[Course]=C1009)*(CourseHandicap[Tees]=E1009), 0),
  MATCH(G1009, CourseHandicap[[#Headers],[Hole 1]:[Hole 18]], 0)
),"")</f>
        <v>6</v>
      </c>
      <c r="K1009" cm="1">
        <f t="array" ref="K1009">IFERROR(INDEX(CourseRatings[[Hole 1]:[Hole 18]],
  MATCH(1, (CourseRatings[Course]=C1009)*(CourseRatings[Tees]=E1009), 0),
  MATCH(G1009, CourseRatings[[#Headers],[Hole 1]:[Hole 18]], 0)
),"")</f>
        <v>4</v>
      </c>
      <c r="L1009" cm="1">
        <f t="array" ref="L1009">IFERROR(
  INDEX('Golf Log'!$E$2:$V$72,
    MATCH(1,
      ('Golf Log'!$A$2:$A$72=$A1009)*
      ('Golf Log'!$B$2:$B$72=$B1009)*
      ('Golf Log'!$C$2:$C$72=$C1009),
    0),
    MATCH($G1009,'Golf Log'!$E$1:$V$1,0)
  ),
"")</f>
        <v>4</v>
      </c>
      <c r="M1009">
        <f t="shared" si="67"/>
        <v>0</v>
      </c>
      <c r="N1009" t="str">
        <f t="shared" si="68"/>
        <v>Par</v>
      </c>
      <c r="O1009" cm="1">
        <f t="array" ref="O1009">IFERROR(
  INDEX('Putt Log'!$E$2:$V$72,
    MATCH(1,
      ('Putt Log'!$A$2:$A$72=$A1009)*
      ('Putt Log'!$B$2:$B$72=$B1009)*
      ('Putt Log'!$C$2:$C$72=$C1009),
    0),
    MATCH($G1009,'Putt Log'!$E$1:$V$1,0)
  ),
"")</f>
        <v>2</v>
      </c>
      <c r="P1009" cm="1">
        <f t="array" ref="P1009">IF(K1009=3,"",
  IFERROR(
    INDEX('Fairway Log'!$E$2:$V$72,
      MATCH(1,
        ('Fairway Log'!$A$2:$A$72=$A1009)*
        ('Fairway Log'!$B$2:$B$72=$B1009)*
        ('Fairway Log'!$C$2:$C1080=$C1009),
      0),
      MATCH($G1009,'Fairway Log'!$E$1:$V$1,0)
    ),
  "")
)</f>
        <v>1</v>
      </c>
      <c r="Q1009" cm="1">
        <f t="array" ref="Q1009">IFERROR(
  INDEX('GIR Log'!$E$2:$V$72,
    MATCH(1,
      ('GIR Log'!$A$2:$A$72=$A1009)*
      ('GIR Log'!$B$2:$B$72=$B1009)*
      ('GIR Log'!$C$2:$C$72=$C1009),
    0),
    MATCH($G1009,'GIR Log'!$E$1:$V$1,0)
  ),
"")</f>
        <v>1</v>
      </c>
    </row>
    <row r="1010" spans="1:17" x14ac:dyDescent="0.25">
      <c r="A1010" s="51" t="s">
        <v>130</v>
      </c>
      <c r="B1010" s="2">
        <v>45653</v>
      </c>
      <c r="C1010" t="s">
        <v>2</v>
      </c>
      <c r="D1010" t="s">
        <v>72</v>
      </c>
      <c r="E1010" s="12" t="s">
        <v>34</v>
      </c>
      <c r="F1010">
        <v>92</v>
      </c>
      <c r="G1010" s="12" t="s">
        <v>47</v>
      </c>
      <c r="H1010" s="9">
        <f t="shared" si="66"/>
        <v>1</v>
      </c>
      <c r="I1010" cm="1">
        <f t="array" ref="I1010">IFERROR(INDEX(CourseYardages[[Hole 1]:[Hole 18]],
  MATCH(1, (CourseYardages[Course]=C1010)*(CourseYardages[Tees]=E1010), 0),
  MATCH(G1010, CourseYardages[[#Headers],[Hole 1]:[Hole 18]], 0)
),"")</f>
        <v>400</v>
      </c>
      <c r="J1010" cm="1">
        <f t="array" ref="J1010">IFERROR(INDEX(CourseHandicap[[Hole 1]:[Hole 18]],
  MATCH(1, (CourseHandicap[Course]=C1010)*(CourseHandicap[Tees]=E1010), 0),
  MATCH(G1010, CourseHandicap[[#Headers],[Hole 1]:[Hole 18]], 0)
),"")</f>
        <v>11</v>
      </c>
      <c r="K1010" cm="1">
        <f t="array" ref="K1010">IFERROR(INDEX(CourseRatings[[Hole 1]:[Hole 18]],
  MATCH(1, (CourseRatings[Course]=C1010)*(CourseRatings[Tees]=E1010), 0),
  MATCH(G1010, CourseRatings[[#Headers],[Hole 1]:[Hole 18]], 0)
),"")</f>
        <v>4</v>
      </c>
      <c r="L1010" cm="1">
        <f t="array" ref="L1010">IFERROR(
  INDEX('Golf Log'!$E$2:$V$72,
    MATCH(1,
      ('Golf Log'!$A$2:$A$72=$A1010)*
      ('Golf Log'!$B$2:$B$72=$B1010)*
      ('Golf Log'!$C$2:$C$72=$C1010),
    0),
    MATCH($G1010,'Golf Log'!$E$1:$V$1,0)
  ),
"")</f>
        <v>5</v>
      </c>
      <c r="M1010">
        <f t="shared" si="67"/>
        <v>1</v>
      </c>
      <c r="N1010" t="str">
        <f t="shared" si="68"/>
        <v>Bogey</v>
      </c>
      <c r="O1010" cm="1">
        <f t="array" ref="O1010">IFERROR(
  INDEX('Putt Log'!$E$2:$V$72,
    MATCH(1,
      ('Putt Log'!$A$2:$A$72=$A1010)*
      ('Putt Log'!$B$2:$B$72=$B1010)*
      ('Putt Log'!$C$2:$C$72=$C1010),
    0),
    MATCH($G1010,'Putt Log'!$E$1:$V$1,0)
  ),
"")</f>
        <v>2</v>
      </c>
      <c r="P1010" t="str" cm="1">
        <f t="array" ref="P1010">IF(K1010=3,"",
  IFERROR(
    INDEX('Fairway Log'!$E$2:$V$72,
      MATCH(1,
        ('Fairway Log'!$A$2:$A$72=$A1010)*
        ('Fairway Log'!$B$2:$B$72=$B1010)*
        ('Fairway Log'!$C$2:$C1081=$C1010),
      0),
      MATCH($G1010,'Fairway Log'!$E$1:$V$1,0)
    ),
  "")
)</f>
        <v>←</v>
      </c>
      <c r="Q1010" t="str" cm="1">
        <f t="array" ref="Q1010">IFERROR(
  INDEX('GIR Log'!$E$2:$V$72,
    MATCH(1,
      ('GIR Log'!$A$2:$A$72=$A1010)*
      ('GIR Log'!$B$2:$B$72=$B1010)*
      ('GIR Log'!$C$2:$C$72=$C1010),
    0),
    MATCH($G1010,'GIR Log'!$E$1:$V$1,0)
  ),
"")</f>
        <v>↑</v>
      </c>
    </row>
    <row r="1011" spans="1:17" x14ac:dyDescent="0.25">
      <c r="A1011" s="51" t="s">
        <v>130</v>
      </c>
      <c r="B1011" s="2">
        <v>45653</v>
      </c>
      <c r="C1011" t="s">
        <v>2</v>
      </c>
      <c r="D1011" t="s">
        <v>72</v>
      </c>
      <c r="E1011" s="12" t="s">
        <v>34</v>
      </c>
      <c r="F1011">
        <v>92</v>
      </c>
      <c r="G1011" s="12" t="s">
        <v>48</v>
      </c>
      <c r="H1011" s="9">
        <f t="shared" si="66"/>
        <v>2</v>
      </c>
      <c r="I1011" cm="1">
        <f t="array" ref="I1011">IFERROR(INDEX(CourseYardages[[Hole 1]:[Hole 18]],
  MATCH(1, (CourseYardages[Course]=C1011)*(CourseYardages[Tees]=E1011), 0),
  MATCH(G1011, CourseYardages[[#Headers],[Hole 1]:[Hole 18]], 0)
),"")</f>
        <v>500</v>
      </c>
      <c r="J1011" cm="1">
        <f t="array" ref="J1011">IFERROR(INDEX(CourseHandicap[[Hole 1]:[Hole 18]],
  MATCH(1, (CourseHandicap[Course]=C1011)*(CourseHandicap[Tees]=E1011), 0),
  MATCH(G1011, CourseHandicap[[#Headers],[Hole 1]:[Hole 18]], 0)
),"")</f>
        <v>9</v>
      </c>
      <c r="K1011" cm="1">
        <f t="array" ref="K1011">IFERROR(INDEX(CourseRatings[[Hole 1]:[Hole 18]],
  MATCH(1, (CourseRatings[Course]=C1011)*(CourseRatings[Tees]=E1011), 0),
  MATCH(G1011, CourseRatings[[#Headers],[Hole 1]:[Hole 18]], 0)
),"")</f>
        <v>5</v>
      </c>
      <c r="L1011" cm="1">
        <f t="array" ref="L1011">IFERROR(
  INDEX('Golf Log'!$E$2:$V$72,
    MATCH(1,
      ('Golf Log'!$A$2:$A$72=$A1011)*
      ('Golf Log'!$B$2:$B$72=$B1011)*
      ('Golf Log'!$C$2:$C$72=$C1011),
    0),
    MATCH($G1011,'Golf Log'!$E$1:$V$1,0)
  ),
"")</f>
        <v>6</v>
      </c>
      <c r="M1011">
        <f t="shared" si="67"/>
        <v>1</v>
      </c>
      <c r="N1011" t="str">
        <f t="shared" si="68"/>
        <v>Bogey</v>
      </c>
      <c r="O1011" cm="1">
        <f t="array" ref="O1011">IFERROR(
  INDEX('Putt Log'!$E$2:$V$72,
    MATCH(1,
      ('Putt Log'!$A$2:$A$72=$A1011)*
      ('Putt Log'!$B$2:$B$72=$B1011)*
      ('Putt Log'!$C$2:$C$72=$C1011),
    0),
    MATCH($G1011,'Putt Log'!$E$1:$V$1,0)
  ),
"")</f>
        <v>2</v>
      </c>
      <c r="P1011" t="str" cm="1">
        <f t="array" ref="P1011">IF(K1011=3,"",
  IFERROR(
    INDEX('Fairway Log'!$E$2:$V$72,
      MATCH(1,
        ('Fairway Log'!$A$2:$A$72=$A1011)*
        ('Fairway Log'!$B$2:$B$72=$B1011)*
        ('Fairway Log'!$C$2:$C1082=$C1011),
      0),
      MATCH($G1011,'Fairway Log'!$E$1:$V$1,0)
    ),
  "")
)</f>
        <v>←</v>
      </c>
      <c r="Q1011" t="str" cm="1">
        <f t="array" ref="Q1011">IFERROR(
  INDEX('GIR Log'!$E$2:$V$72,
    MATCH(1,
      ('GIR Log'!$A$2:$A$72=$A1011)*
      ('GIR Log'!$B$2:$B$72=$B1011)*
      ('GIR Log'!$C$2:$C$72=$C1011),
    0),
    MATCH($G1011,'GIR Log'!$E$1:$V$1,0)
  ),
"")</f>
        <v>↑</v>
      </c>
    </row>
    <row r="1012" spans="1:17" x14ac:dyDescent="0.25">
      <c r="A1012" s="51" t="s">
        <v>130</v>
      </c>
      <c r="B1012" s="2">
        <v>45653</v>
      </c>
      <c r="C1012" t="s">
        <v>2</v>
      </c>
      <c r="D1012" t="s">
        <v>72</v>
      </c>
      <c r="E1012" s="12" t="s">
        <v>34</v>
      </c>
      <c r="F1012">
        <v>92</v>
      </c>
      <c r="G1012" s="12" t="s">
        <v>49</v>
      </c>
      <c r="H1012" s="9">
        <f t="shared" si="66"/>
        <v>3</v>
      </c>
      <c r="I1012" cm="1">
        <f t="array" ref="I1012">IFERROR(INDEX(CourseYardages[[Hole 1]:[Hole 18]],
  MATCH(1, (CourseYardages[Course]=C1012)*(CourseYardages[Tees]=E1012), 0),
  MATCH(G1012, CourseYardages[[#Headers],[Hole 1]:[Hole 18]], 0)
),"")</f>
        <v>176</v>
      </c>
      <c r="J1012" cm="1">
        <f t="array" ref="J1012">IFERROR(INDEX(CourseHandicap[[Hole 1]:[Hole 18]],
  MATCH(1, (CourseHandicap[Course]=C1012)*(CourseHandicap[Tees]=E1012), 0),
  MATCH(G1012, CourseHandicap[[#Headers],[Hole 1]:[Hole 18]], 0)
),"")</f>
        <v>15</v>
      </c>
      <c r="K1012" cm="1">
        <f t="array" ref="K1012">IFERROR(INDEX(CourseRatings[[Hole 1]:[Hole 18]],
  MATCH(1, (CourseRatings[Course]=C1012)*(CourseRatings[Tees]=E1012), 0),
  MATCH(G1012, CourseRatings[[#Headers],[Hole 1]:[Hole 18]], 0)
),"")</f>
        <v>3</v>
      </c>
      <c r="L1012" cm="1">
        <f t="array" ref="L1012">IFERROR(
  INDEX('Golf Log'!$E$2:$V$72,
    MATCH(1,
      ('Golf Log'!$A$2:$A$72=$A1012)*
      ('Golf Log'!$B$2:$B$72=$B1012)*
      ('Golf Log'!$C$2:$C$72=$C1012),
    0),
    MATCH($G1012,'Golf Log'!$E$1:$V$1,0)
  ),
"")</f>
        <v>5</v>
      </c>
      <c r="M1012">
        <f t="shared" si="67"/>
        <v>2</v>
      </c>
      <c r="N1012" t="str">
        <f t="shared" si="68"/>
        <v>Double Bogey</v>
      </c>
      <c r="O1012" cm="1">
        <f t="array" ref="O1012">IFERROR(
  INDEX('Putt Log'!$E$2:$V$72,
    MATCH(1,
      ('Putt Log'!$A$2:$A$72=$A1012)*
      ('Putt Log'!$B$2:$B$72=$B1012)*
      ('Putt Log'!$C$2:$C$72=$C1012),
    0),
    MATCH($G1012,'Putt Log'!$E$1:$V$1,0)
  ),
"")</f>
        <v>2</v>
      </c>
      <c r="P1012" t="str" cm="1">
        <f t="array" ref="P1012">IF(K1012=3,"",
  IFERROR(
    INDEX('Fairway Log'!$E$2:$V$72,
      MATCH(1,
        ('Fairway Log'!$A$2:$A$72=$A1012)*
        ('Fairway Log'!$B$2:$B$72=$B1012)*
        ('Fairway Log'!$C$2:$C1083=$C1012),
      0),
      MATCH($G1012,'Fairway Log'!$E$1:$V$1,0)
    ),
  "")
)</f>
        <v/>
      </c>
      <c r="Q1012" t="str" cm="1">
        <f t="array" ref="Q1012">IFERROR(
  INDEX('GIR Log'!$E$2:$V$72,
    MATCH(1,
      ('GIR Log'!$A$2:$A$72=$A1012)*
      ('GIR Log'!$B$2:$B$72=$B1012)*
      ('GIR Log'!$C$2:$C$72=$C1012),
    0),
    MATCH($G1012,'GIR Log'!$E$1:$V$1,0)
  ),
"")</f>
        <v>←</v>
      </c>
    </row>
    <row r="1013" spans="1:17" x14ac:dyDescent="0.25">
      <c r="A1013" s="51" t="s">
        <v>130</v>
      </c>
      <c r="B1013" s="2">
        <v>45653</v>
      </c>
      <c r="C1013" t="s">
        <v>2</v>
      </c>
      <c r="D1013" t="s">
        <v>72</v>
      </c>
      <c r="E1013" s="12" t="s">
        <v>34</v>
      </c>
      <c r="F1013">
        <v>92</v>
      </c>
      <c r="G1013" s="12" t="s">
        <v>50</v>
      </c>
      <c r="H1013" s="9">
        <f t="shared" si="66"/>
        <v>4</v>
      </c>
      <c r="I1013" cm="1">
        <f t="array" ref="I1013">IFERROR(INDEX(CourseYardages[[Hole 1]:[Hole 18]],
  MATCH(1, (CourseYardages[Course]=C1013)*(CourseYardages[Tees]=E1013), 0),
  MATCH(G1013, CourseYardages[[#Headers],[Hole 1]:[Hole 18]], 0)
),"")</f>
        <v>393</v>
      </c>
      <c r="J1013" cm="1">
        <f t="array" ref="J1013">IFERROR(INDEX(CourseHandicap[[Hole 1]:[Hole 18]],
  MATCH(1, (CourseHandicap[Course]=C1013)*(CourseHandicap[Tees]=E1013), 0),
  MATCH(G1013, CourseHandicap[[#Headers],[Hole 1]:[Hole 18]], 0)
),"")</f>
        <v>5</v>
      </c>
      <c r="K1013" cm="1">
        <f t="array" ref="K1013">IFERROR(INDEX(CourseRatings[[Hole 1]:[Hole 18]],
  MATCH(1, (CourseRatings[Course]=C1013)*(CourseRatings[Tees]=E1013), 0),
  MATCH(G1013, CourseRatings[[#Headers],[Hole 1]:[Hole 18]], 0)
),"")</f>
        <v>4</v>
      </c>
      <c r="L1013" cm="1">
        <f t="array" ref="L1013">IFERROR(
  INDEX('Golf Log'!$E$2:$V$72,
    MATCH(1,
      ('Golf Log'!$A$2:$A$72=$A1013)*
      ('Golf Log'!$B$2:$B$72=$B1013)*
      ('Golf Log'!$C$2:$C$72=$C1013),
    0),
    MATCH($G1013,'Golf Log'!$E$1:$V$1,0)
  ),
"")</f>
        <v>6</v>
      </c>
      <c r="M1013">
        <f t="shared" si="67"/>
        <v>2</v>
      </c>
      <c r="N1013" t="str">
        <f t="shared" si="68"/>
        <v>Double Bogey</v>
      </c>
      <c r="O1013" cm="1">
        <f t="array" ref="O1013">IFERROR(
  INDEX('Putt Log'!$E$2:$V$72,
    MATCH(1,
      ('Putt Log'!$A$2:$A$72=$A1013)*
      ('Putt Log'!$B$2:$B$72=$B1013)*
      ('Putt Log'!$C$2:$C$72=$C1013),
    0),
    MATCH($G1013,'Putt Log'!$E$1:$V$1,0)
  ),
"")</f>
        <v>2</v>
      </c>
      <c r="P1013" cm="1">
        <f t="array" ref="P1013">IF(K1013=3,"",
  IFERROR(
    INDEX('Fairway Log'!$E$2:$V$72,
      MATCH(1,
        ('Fairway Log'!$A$2:$A$72=$A1013)*
        ('Fairway Log'!$B$2:$B$72=$B1013)*
        ('Fairway Log'!$C$2:$C1084=$C1013),
      0),
      MATCH($G1013,'Fairway Log'!$E$1:$V$1,0)
    ),
  "")
)</f>
        <v>1</v>
      </c>
      <c r="Q1013" t="str" cm="1">
        <f t="array" ref="Q1013">IFERROR(
  INDEX('GIR Log'!$E$2:$V$72,
    MATCH(1,
      ('GIR Log'!$A$2:$A$72=$A1013)*
      ('GIR Log'!$B$2:$B$72=$B1013)*
      ('GIR Log'!$C$2:$C$72=$C1013),
    0),
    MATCH($G1013,'GIR Log'!$E$1:$V$1,0)
  ),
"")</f>
        <v>↓</v>
      </c>
    </row>
    <row r="1014" spans="1:17" x14ac:dyDescent="0.25">
      <c r="A1014" s="51" t="s">
        <v>130</v>
      </c>
      <c r="B1014" s="2">
        <v>45653</v>
      </c>
      <c r="C1014" t="s">
        <v>2</v>
      </c>
      <c r="D1014" t="s">
        <v>72</v>
      </c>
      <c r="E1014" s="12" t="s">
        <v>34</v>
      </c>
      <c r="F1014">
        <v>92</v>
      </c>
      <c r="G1014" s="12" t="s">
        <v>51</v>
      </c>
      <c r="H1014" s="9">
        <f t="shared" si="66"/>
        <v>5</v>
      </c>
      <c r="I1014" cm="1">
        <f t="array" ref="I1014">IFERROR(INDEX(CourseYardages[[Hole 1]:[Hole 18]],
  MATCH(1, (CourseYardages[Course]=C1014)*(CourseYardages[Tees]=E1014), 0),
  MATCH(G1014, CourseYardages[[#Headers],[Hole 1]:[Hole 18]], 0)
),"")</f>
        <v>428</v>
      </c>
      <c r="J1014" cm="1">
        <f t="array" ref="J1014">IFERROR(INDEX(CourseHandicap[[Hole 1]:[Hole 18]],
  MATCH(1, (CourseHandicap[Course]=C1014)*(CourseHandicap[Tees]=E1014), 0),
  MATCH(G1014, CourseHandicap[[#Headers],[Hole 1]:[Hole 18]], 0)
),"")</f>
        <v>3</v>
      </c>
      <c r="K1014" cm="1">
        <f t="array" ref="K1014">IFERROR(INDEX(CourseRatings[[Hole 1]:[Hole 18]],
  MATCH(1, (CourseRatings[Course]=C1014)*(CourseRatings[Tees]=E1014), 0),
  MATCH(G1014, CourseRatings[[#Headers],[Hole 1]:[Hole 18]], 0)
),"")</f>
        <v>4</v>
      </c>
      <c r="L1014" cm="1">
        <f t="array" ref="L1014">IFERROR(
  INDEX('Golf Log'!$E$2:$V$72,
    MATCH(1,
      ('Golf Log'!$A$2:$A$72=$A1014)*
      ('Golf Log'!$B$2:$B$72=$B1014)*
      ('Golf Log'!$C$2:$C$72=$C1014),
    0),
    MATCH($G1014,'Golf Log'!$E$1:$V$1,0)
  ),
"")</f>
        <v>5</v>
      </c>
      <c r="M1014">
        <f t="shared" si="67"/>
        <v>1</v>
      </c>
      <c r="N1014" t="str">
        <f t="shared" si="68"/>
        <v>Bogey</v>
      </c>
      <c r="O1014" cm="1">
        <f t="array" ref="O1014">IFERROR(
  INDEX('Putt Log'!$E$2:$V$72,
    MATCH(1,
      ('Putt Log'!$A$2:$A$72=$A1014)*
      ('Putt Log'!$B$2:$B$72=$B1014)*
      ('Putt Log'!$C$2:$C$72=$C1014),
    0),
    MATCH($G1014,'Putt Log'!$E$1:$V$1,0)
  ),
"")</f>
        <v>2</v>
      </c>
      <c r="P1014" t="str" cm="1">
        <f t="array" ref="P1014">IF(K1014=3,"",
  IFERROR(
    INDEX('Fairway Log'!$E$2:$V$72,
      MATCH(1,
        ('Fairway Log'!$A$2:$A$72=$A1014)*
        ('Fairway Log'!$B$2:$B$72=$B1014)*
        ('Fairway Log'!$C$2:$C1085=$C1014),
      0),
      MATCH($G1014,'Fairway Log'!$E$1:$V$1,0)
    ),
  "")
)</f>
        <v>←</v>
      </c>
      <c r="Q1014" t="str" cm="1">
        <f t="array" ref="Q1014">IFERROR(
  INDEX('GIR Log'!$E$2:$V$72,
    MATCH(1,
      ('GIR Log'!$A$2:$A$72=$A1014)*
      ('GIR Log'!$B$2:$B$72=$B1014)*
      ('GIR Log'!$C$2:$C$72=$C1014),
    0),
    MATCH($G1014,'GIR Log'!$E$1:$V$1,0)
  ),
"")</f>
        <v>↓</v>
      </c>
    </row>
    <row r="1015" spans="1:17" x14ac:dyDescent="0.25">
      <c r="A1015" s="51" t="s">
        <v>130</v>
      </c>
      <c r="B1015" s="2">
        <v>45653</v>
      </c>
      <c r="C1015" t="s">
        <v>2</v>
      </c>
      <c r="D1015" t="s">
        <v>72</v>
      </c>
      <c r="E1015" s="12" t="s">
        <v>34</v>
      </c>
      <c r="F1015">
        <v>92</v>
      </c>
      <c r="G1015" s="12" t="s">
        <v>52</v>
      </c>
      <c r="H1015" s="9">
        <f t="shared" si="66"/>
        <v>6</v>
      </c>
      <c r="I1015" cm="1">
        <f t="array" ref="I1015">IFERROR(INDEX(CourseYardages[[Hole 1]:[Hole 18]],
  MATCH(1, (CourseYardages[Course]=C1015)*(CourseYardages[Tees]=E1015), 0),
  MATCH(G1015, CourseYardages[[#Headers],[Hole 1]:[Hole 18]], 0)
),"")</f>
        <v>264</v>
      </c>
      <c r="J1015" cm="1">
        <f t="array" ref="J1015">IFERROR(INDEX(CourseHandicap[[Hole 1]:[Hole 18]],
  MATCH(1, (CourseHandicap[Course]=C1015)*(CourseHandicap[Tees]=E1015), 0),
  MATCH(G1015, CourseHandicap[[#Headers],[Hole 1]:[Hole 18]], 0)
),"")</f>
        <v>17</v>
      </c>
      <c r="K1015" cm="1">
        <f t="array" ref="K1015">IFERROR(INDEX(CourseRatings[[Hole 1]:[Hole 18]],
  MATCH(1, (CourseRatings[Course]=C1015)*(CourseRatings[Tees]=E1015), 0),
  MATCH(G1015, CourseRatings[[#Headers],[Hole 1]:[Hole 18]], 0)
),"")</f>
        <v>4</v>
      </c>
      <c r="L1015" cm="1">
        <f t="array" ref="L1015">IFERROR(
  INDEX('Golf Log'!$E$2:$V$72,
    MATCH(1,
      ('Golf Log'!$A$2:$A$72=$A1015)*
      ('Golf Log'!$B$2:$B$72=$B1015)*
      ('Golf Log'!$C$2:$C$72=$C1015),
    0),
    MATCH($G1015,'Golf Log'!$E$1:$V$1,0)
  ),
"")</f>
        <v>4</v>
      </c>
      <c r="M1015">
        <f t="shared" si="67"/>
        <v>0</v>
      </c>
      <c r="N1015" t="str">
        <f t="shared" si="68"/>
        <v>Par</v>
      </c>
      <c r="O1015" cm="1">
        <f t="array" ref="O1015">IFERROR(
  INDEX('Putt Log'!$E$2:$V$72,
    MATCH(1,
      ('Putt Log'!$A$2:$A$72=$A1015)*
      ('Putt Log'!$B$2:$B$72=$B1015)*
      ('Putt Log'!$C$2:$C$72=$C1015),
    0),
    MATCH($G1015,'Putt Log'!$E$1:$V$1,0)
  ),
"")</f>
        <v>2</v>
      </c>
      <c r="P1015" t="str" cm="1">
        <f t="array" ref="P1015">IF(K1015=3,"",
  IFERROR(
    INDEX('Fairway Log'!$E$2:$V$72,
      MATCH(1,
        ('Fairway Log'!$A$2:$A$72=$A1015)*
        ('Fairway Log'!$B$2:$B$72=$B1015)*
        ('Fairway Log'!$C$2:$C1086=$C1015),
      0),
      MATCH($G1015,'Fairway Log'!$E$1:$V$1,0)
    ),
  "")
)</f>
        <v>←</v>
      </c>
      <c r="Q1015" cm="1">
        <f t="array" ref="Q1015">IFERROR(
  INDEX('GIR Log'!$E$2:$V$72,
    MATCH(1,
      ('GIR Log'!$A$2:$A$72=$A1015)*
      ('GIR Log'!$B$2:$B$72=$B1015)*
      ('GIR Log'!$C$2:$C$72=$C1015),
    0),
    MATCH($G1015,'GIR Log'!$E$1:$V$1,0)
  ),
"")</f>
        <v>1</v>
      </c>
    </row>
    <row r="1016" spans="1:17" x14ac:dyDescent="0.25">
      <c r="A1016" s="51" t="s">
        <v>130</v>
      </c>
      <c r="B1016" s="2">
        <v>45653</v>
      </c>
      <c r="C1016" t="s">
        <v>2</v>
      </c>
      <c r="D1016" t="s">
        <v>72</v>
      </c>
      <c r="E1016" s="12" t="s">
        <v>34</v>
      </c>
      <c r="F1016">
        <v>92</v>
      </c>
      <c r="G1016" s="12" t="s">
        <v>53</v>
      </c>
      <c r="H1016" s="9">
        <f t="shared" si="66"/>
        <v>7</v>
      </c>
      <c r="I1016" cm="1">
        <f t="array" ref="I1016">IFERROR(INDEX(CourseYardages[[Hole 1]:[Hole 18]],
  MATCH(1, (CourseYardages[Course]=C1016)*(CourseYardages[Tees]=E1016), 0),
  MATCH(G1016, CourseYardages[[#Headers],[Hole 1]:[Hole 18]], 0)
),"")</f>
        <v>567</v>
      </c>
      <c r="J1016" cm="1">
        <f t="array" ref="J1016">IFERROR(INDEX(CourseHandicap[[Hole 1]:[Hole 18]],
  MATCH(1, (CourseHandicap[Course]=C1016)*(CourseHandicap[Tees]=E1016), 0),
  MATCH(G1016, CourseHandicap[[#Headers],[Hole 1]:[Hole 18]], 0)
),"")</f>
        <v>1</v>
      </c>
      <c r="K1016" cm="1">
        <f t="array" ref="K1016">IFERROR(INDEX(CourseRatings[[Hole 1]:[Hole 18]],
  MATCH(1, (CourseRatings[Course]=C1016)*(CourseRatings[Tees]=E1016), 0),
  MATCH(G1016, CourseRatings[[#Headers],[Hole 1]:[Hole 18]], 0)
),"")</f>
        <v>5</v>
      </c>
      <c r="L1016" cm="1">
        <f t="array" ref="L1016">IFERROR(
  INDEX('Golf Log'!$E$2:$V$72,
    MATCH(1,
      ('Golf Log'!$A$2:$A$72=$A1016)*
      ('Golf Log'!$B$2:$B$72=$B1016)*
      ('Golf Log'!$C$2:$C$72=$C1016),
    0),
    MATCH($G1016,'Golf Log'!$E$1:$V$1,0)
  ),
"")</f>
        <v>6</v>
      </c>
      <c r="M1016">
        <f t="shared" si="67"/>
        <v>1</v>
      </c>
      <c r="N1016" t="str">
        <f t="shared" si="68"/>
        <v>Bogey</v>
      </c>
      <c r="O1016" cm="1">
        <f t="array" ref="O1016">IFERROR(
  INDEX('Putt Log'!$E$2:$V$72,
    MATCH(1,
      ('Putt Log'!$A$2:$A$72=$A1016)*
      ('Putt Log'!$B$2:$B$72=$B1016)*
      ('Putt Log'!$C$2:$C$72=$C1016),
    0),
    MATCH($G1016,'Putt Log'!$E$1:$V$1,0)
  ),
"")</f>
        <v>2</v>
      </c>
      <c r="P1016" t="str" cm="1">
        <f t="array" ref="P1016">IF(K1016=3,"",
  IFERROR(
    INDEX('Fairway Log'!$E$2:$V$72,
      MATCH(1,
        ('Fairway Log'!$A$2:$A$72=$A1016)*
        ('Fairway Log'!$B$2:$B$72=$B1016)*
        ('Fairway Log'!$C$2:$C1087=$C1016),
      0),
      MATCH($G1016,'Fairway Log'!$E$1:$V$1,0)
    ),
  "")
)</f>
        <v>↓</v>
      </c>
      <c r="Q1016" t="str" cm="1">
        <f t="array" ref="Q1016">IFERROR(
  INDEX('GIR Log'!$E$2:$V$72,
    MATCH(1,
      ('GIR Log'!$A$2:$A$72=$A1016)*
      ('GIR Log'!$B$2:$B$72=$B1016)*
      ('GIR Log'!$C$2:$C$72=$C1016),
    0),
    MATCH($G1016,'GIR Log'!$E$1:$V$1,0)
  ),
"")</f>
        <v>↓</v>
      </c>
    </row>
    <row r="1017" spans="1:17" x14ac:dyDescent="0.25">
      <c r="A1017" s="51" t="s">
        <v>130</v>
      </c>
      <c r="B1017" s="2">
        <v>45653</v>
      </c>
      <c r="C1017" t="s">
        <v>2</v>
      </c>
      <c r="D1017" t="s">
        <v>72</v>
      </c>
      <c r="E1017" s="12" t="s">
        <v>34</v>
      </c>
      <c r="F1017">
        <v>92</v>
      </c>
      <c r="G1017" s="12" t="s">
        <v>54</v>
      </c>
      <c r="H1017" s="9">
        <f t="shared" si="66"/>
        <v>8</v>
      </c>
      <c r="I1017" cm="1">
        <f t="array" ref="I1017">IFERROR(INDEX(CourseYardages[[Hole 1]:[Hole 18]],
  MATCH(1, (CourseYardages[Course]=C1017)*(CourseYardages[Tees]=E1017), 0),
  MATCH(G1017, CourseYardages[[#Headers],[Hole 1]:[Hole 18]], 0)
),"")</f>
        <v>188</v>
      </c>
      <c r="J1017" cm="1">
        <f t="array" ref="J1017">IFERROR(INDEX(CourseHandicap[[Hole 1]:[Hole 18]],
  MATCH(1, (CourseHandicap[Course]=C1017)*(CourseHandicap[Tees]=E1017), 0),
  MATCH(G1017, CourseHandicap[[#Headers],[Hole 1]:[Hole 18]], 0)
),"")</f>
        <v>13</v>
      </c>
      <c r="K1017" cm="1">
        <f t="array" ref="K1017">IFERROR(INDEX(CourseRatings[[Hole 1]:[Hole 18]],
  MATCH(1, (CourseRatings[Course]=C1017)*(CourseRatings[Tees]=E1017), 0),
  MATCH(G1017, CourseRatings[[#Headers],[Hole 1]:[Hole 18]], 0)
),"")</f>
        <v>3</v>
      </c>
      <c r="L1017" cm="1">
        <f t="array" ref="L1017">IFERROR(
  INDEX('Golf Log'!$E$2:$V$72,
    MATCH(1,
      ('Golf Log'!$A$2:$A$72=$A1017)*
      ('Golf Log'!$B$2:$B$72=$B1017)*
      ('Golf Log'!$C$2:$C$72=$C1017),
    0),
    MATCH($G1017,'Golf Log'!$E$1:$V$1,0)
  ),
"")</f>
        <v>4</v>
      </c>
      <c r="M1017">
        <f t="shared" si="67"/>
        <v>1</v>
      </c>
      <c r="N1017" t="str">
        <f t="shared" si="68"/>
        <v>Bogey</v>
      </c>
      <c r="O1017" cm="1">
        <f t="array" ref="O1017">IFERROR(
  INDEX('Putt Log'!$E$2:$V$72,
    MATCH(1,
      ('Putt Log'!$A$2:$A$72=$A1017)*
      ('Putt Log'!$B$2:$B$72=$B1017)*
      ('Putt Log'!$C$2:$C$72=$C1017),
    0),
    MATCH($G1017,'Putt Log'!$E$1:$V$1,0)
  ),
"")</f>
        <v>2</v>
      </c>
      <c r="P1017" t="str" cm="1">
        <f t="array" ref="P1017">IF(K1017=3,"",
  IFERROR(
    INDEX('Fairway Log'!$E$2:$V$72,
      MATCH(1,
        ('Fairway Log'!$A$2:$A$72=$A1017)*
        ('Fairway Log'!$B$2:$B$72=$B1017)*
        ('Fairway Log'!$C$2:$C1088=$C1017),
      0),
      MATCH($G1017,'Fairway Log'!$E$1:$V$1,0)
    ),
  "")
)</f>
        <v/>
      </c>
      <c r="Q1017" t="str" cm="1">
        <f t="array" ref="Q1017">IFERROR(
  INDEX('GIR Log'!$E$2:$V$72,
    MATCH(1,
      ('GIR Log'!$A$2:$A$72=$A1017)*
      ('GIR Log'!$B$2:$B$72=$B1017)*
      ('GIR Log'!$C$2:$C$72=$C1017),
    0),
    MATCH($G1017,'GIR Log'!$E$1:$V$1,0)
  ),
"")</f>
        <v>←</v>
      </c>
    </row>
    <row r="1018" spans="1:17" x14ac:dyDescent="0.25">
      <c r="A1018" s="51" t="s">
        <v>130</v>
      </c>
      <c r="B1018" s="2">
        <v>45653</v>
      </c>
      <c r="C1018" t="s">
        <v>2</v>
      </c>
      <c r="D1018" t="s">
        <v>72</v>
      </c>
      <c r="E1018" s="12" t="s">
        <v>34</v>
      </c>
      <c r="F1018">
        <v>92</v>
      </c>
      <c r="G1018" s="12" t="s">
        <v>55</v>
      </c>
      <c r="H1018" s="9">
        <f t="shared" si="66"/>
        <v>9</v>
      </c>
      <c r="I1018" cm="1">
        <f t="array" ref="I1018">IFERROR(INDEX(CourseYardages[[Hole 1]:[Hole 18]],
  MATCH(1, (CourseYardages[Course]=C1018)*(CourseYardages[Tees]=E1018), 0),
  MATCH(G1018, CourseYardages[[#Headers],[Hole 1]:[Hole 18]], 0)
),"")</f>
        <v>333</v>
      </c>
      <c r="J1018" cm="1">
        <f t="array" ref="J1018">IFERROR(INDEX(CourseHandicap[[Hole 1]:[Hole 18]],
  MATCH(1, (CourseHandicap[Course]=C1018)*(CourseHandicap[Tees]=E1018), 0),
  MATCH(G1018, CourseHandicap[[#Headers],[Hole 1]:[Hole 18]], 0)
),"")</f>
        <v>7</v>
      </c>
      <c r="K1018" cm="1">
        <f t="array" ref="K1018">IFERROR(INDEX(CourseRatings[[Hole 1]:[Hole 18]],
  MATCH(1, (CourseRatings[Course]=C1018)*(CourseRatings[Tees]=E1018), 0),
  MATCH(G1018, CourseRatings[[#Headers],[Hole 1]:[Hole 18]], 0)
),"")</f>
        <v>4</v>
      </c>
      <c r="L1018" cm="1">
        <f t="array" ref="L1018">IFERROR(
  INDEX('Golf Log'!$E$2:$V$72,
    MATCH(1,
      ('Golf Log'!$A$2:$A$72=$A1018)*
      ('Golf Log'!$B$2:$B$72=$B1018)*
      ('Golf Log'!$C$2:$C$72=$C1018),
    0),
    MATCH($G1018,'Golf Log'!$E$1:$V$1,0)
  ),
"")</f>
        <v>5</v>
      </c>
      <c r="M1018">
        <f t="shared" si="67"/>
        <v>1</v>
      </c>
      <c r="N1018" t="str">
        <f t="shared" si="68"/>
        <v>Bogey</v>
      </c>
      <c r="O1018" cm="1">
        <f t="array" ref="O1018">IFERROR(
  INDEX('Putt Log'!$E$2:$V$72,
    MATCH(1,
      ('Putt Log'!$A$2:$A$72=$A1018)*
      ('Putt Log'!$B$2:$B$72=$B1018)*
      ('Putt Log'!$C$2:$C$72=$C1018),
    0),
    MATCH($G1018,'Putt Log'!$E$1:$V$1,0)
  ),
"")</f>
        <v>2</v>
      </c>
      <c r="P1018" cm="1">
        <f t="array" ref="P1018">IF(K1018=3,"",
  IFERROR(
    INDEX('Fairway Log'!$E$2:$V$72,
      MATCH(1,
        ('Fairway Log'!$A$2:$A$72=$A1018)*
        ('Fairway Log'!$B$2:$B$72=$B1018)*
        ('Fairway Log'!$C$2:$C1089=$C1018),
      0),
      MATCH($G1018,'Fairway Log'!$E$1:$V$1,0)
    ),
  "")
)</f>
        <v>1</v>
      </c>
      <c r="Q1018" t="str" cm="1">
        <f t="array" ref="Q1018">IFERROR(
  INDEX('GIR Log'!$E$2:$V$72,
    MATCH(1,
      ('GIR Log'!$A$2:$A$72=$A1018)*
      ('GIR Log'!$B$2:$B$72=$B1018)*
      ('GIR Log'!$C$2:$C$72=$C1018),
    0),
    MATCH($G1018,'GIR Log'!$E$1:$V$1,0)
  ),
"")</f>
        <v>↑</v>
      </c>
    </row>
    <row r="1019" spans="1:17" x14ac:dyDescent="0.25">
      <c r="A1019" s="51" t="s">
        <v>130</v>
      </c>
      <c r="B1019" s="2">
        <v>45653</v>
      </c>
      <c r="C1019" t="s">
        <v>2</v>
      </c>
      <c r="D1019" t="s">
        <v>72</v>
      </c>
      <c r="E1019" s="12" t="s">
        <v>34</v>
      </c>
      <c r="F1019">
        <v>92</v>
      </c>
      <c r="G1019" s="12" t="s">
        <v>56</v>
      </c>
      <c r="H1019" s="9">
        <f t="shared" si="66"/>
        <v>10</v>
      </c>
      <c r="I1019" cm="1">
        <f t="array" ref="I1019">IFERROR(INDEX(CourseYardages[[Hole 1]:[Hole 18]],
  MATCH(1, (CourseYardages[Course]=C1019)*(CourseYardages[Tees]=E1019), 0),
  MATCH(G1019, CourseYardages[[#Headers],[Hole 1]:[Hole 18]], 0)
),"")</f>
        <v>397</v>
      </c>
      <c r="J1019" cm="1">
        <f t="array" ref="J1019">IFERROR(INDEX(CourseHandicap[[Hole 1]:[Hole 18]],
  MATCH(1, (CourseHandicap[Course]=C1019)*(CourseHandicap[Tees]=E1019), 0),
  MATCH(G1019, CourseHandicap[[#Headers],[Hole 1]:[Hole 18]], 0)
),"")</f>
        <v>12</v>
      </c>
      <c r="K1019" cm="1">
        <f t="array" ref="K1019">IFERROR(INDEX(CourseRatings[[Hole 1]:[Hole 18]],
  MATCH(1, (CourseRatings[Course]=C1019)*(CourseRatings[Tees]=E1019), 0),
  MATCH(G1019, CourseRatings[[#Headers],[Hole 1]:[Hole 18]], 0)
),"")</f>
        <v>4</v>
      </c>
      <c r="L1019" cm="1">
        <f t="array" ref="L1019">IFERROR(
  INDEX('Golf Log'!$E$2:$V$72,
    MATCH(1,
      ('Golf Log'!$A$2:$A$72=$A1019)*
      ('Golf Log'!$B$2:$B$72=$B1019)*
      ('Golf Log'!$C$2:$C$72=$C1019),
    0),
    MATCH($G1019,'Golf Log'!$E$1:$V$1,0)
  ),
"")</f>
        <v>5</v>
      </c>
      <c r="M1019">
        <f t="shared" si="67"/>
        <v>1</v>
      </c>
      <c r="N1019" t="str">
        <f t="shared" si="68"/>
        <v>Bogey</v>
      </c>
      <c r="O1019" cm="1">
        <f t="array" ref="O1019">IFERROR(
  INDEX('Putt Log'!$E$2:$V$72,
    MATCH(1,
      ('Putt Log'!$A$2:$A$72=$A1019)*
      ('Putt Log'!$B$2:$B$72=$B1019)*
      ('Putt Log'!$C$2:$C$72=$C1019),
    0),
    MATCH($G1019,'Putt Log'!$E$1:$V$1,0)
  ),
"")</f>
        <v>2</v>
      </c>
      <c r="P1019" cm="1">
        <f t="array" ref="P1019">IF(K1019=3,"",
  IFERROR(
    INDEX('Fairway Log'!$E$2:$V$72,
      MATCH(1,
        ('Fairway Log'!$A$2:$A$72=$A1019)*
        ('Fairway Log'!$B$2:$B$72=$B1019)*
        ('Fairway Log'!$C$2:$C1090=$C1019),
      0),
      MATCH($G1019,'Fairway Log'!$E$1:$V$1,0)
    ),
  "")
)</f>
        <v>1</v>
      </c>
      <c r="Q1019" t="str" cm="1">
        <f t="array" ref="Q1019">IFERROR(
  INDEX('GIR Log'!$E$2:$V$72,
    MATCH(1,
      ('GIR Log'!$A$2:$A$72=$A1019)*
      ('GIR Log'!$B$2:$B$72=$B1019)*
      ('GIR Log'!$C$2:$C$72=$C1019),
    0),
    MATCH($G1019,'GIR Log'!$E$1:$V$1,0)
  ),
"")</f>
        <v>↓</v>
      </c>
    </row>
    <row r="1020" spans="1:17" x14ac:dyDescent="0.25">
      <c r="A1020" s="51" t="s">
        <v>130</v>
      </c>
      <c r="B1020" s="2">
        <v>45653</v>
      </c>
      <c r="C1020" t="s">
        <v>2</v>
      </c>
      <c r="D1020" t="s">
        <v>72</v>
      </c>
      <c r="E1020" s="12" t="s">
        <v>34</v>
      </c>
      <c r="F1020">
        <v>92</v>
      </c>
      <c r="G1020" s="12" t="s">
        <v>57</v>
      </c>
      <c r="H1020" s="9">
        <f t="shared" si="66"/>
        <v>11</v>
      </c>
      <c r="I1020" cm="1">
        <f t="array" ref="I1020">IFERROR(INDEX(CourseYardages[[Hole 1]:[Hole 18]],
  MATCH(1, (CourseYardages[Course]=C1020)*(CourseYardages[Tees]=E1020), 0),
  MATCH(G1020, CourseYardages[[#Headers],[Hole 1]:[Hole 18]], 0)
),"")</f>
        <v>159</v>
      </c>
      <c r="J1020" cm="1">
        <f t="array" ref="J1020">IFERROR(INDEX(CourseHandicap[[Hole 1]:[Hole 18]],
  MATCH(1, (CourseHandicap[Course]=C1020)*(CourseHandicap[Tees]=E1020), 0),
  MATCH(G1020, CourseHandicap[[#Headers],[Hole 1]:[Hole 18]], 0)
),"")</f>
        <v>16</v>
      </c>
      <c r="K1020" cm="1">
        <f t="array" ref="K1020">IFERROR(INDEX(CourseRatings[[Hole 1]:[Hole 18]],
  MATCH(1, (CourseRatings[Course]=C1020)*(CourseRatings[Tees]=E1020), 0),
  MATCH(G1020, CourseRatings[[#Headers],[Hole 1]:[Hole 18]], 0)
),"")</f>
        <v>3</v>
      </c>
      <c r="L1020" cm="1">
        <f t="array" ref="L1020">IFERROR(
  INDEX('Golf Log'!$E$2:$V$72,
    MATCH(1,
      ('Golf Log'!$A$2:$A$72=$A1020)*
      ('Golf Log'!$B$2:$B$72=$B1020)*
      ('Golf Log'!$C$2:$C$72=$C1020),
    0),
    MATCH($G1020,'Golf Log'!$E$1:$V$1,0)
  ),
"")</f>
        <v>4</v>
      </c>
      <c r="M1020">
        <f t="shared" si="67"/>
        <v>1</v>
      </c>
      <c r="N1020" t="str">
        <f t="shared" si="68"/>
        <v>Bogey</v>
      </c>
      <c r="O1020" cm="1">
        <f t="array" ref="O1020">IFERROR(
  INDEX('Putt Log'!$E$2:$V$72,
    MATCH(1,
      ('Putt Log'!$A$2:$A$72=$A1020)*
      ('Putt Log'!$B$2:$B$72=$B1020)*
      ('Putt Log'!$C$2:$C$72=$C1020),
    0),
    MATCH($G1020,'Putt Log'!$E$1:$V$1,0)
  ),
"")</f>
        <v>2</v>
      </c>
      <c r="P1020" t="str" cm="1">
        <f t="array" ref="P1020">IF(K1020=3,"",
  IFERROR(
    INDEX('Fairway Log'!$E$2:$V$72,
      MATCH(1,
        ('Fairway Log'!$A$2:$A$72=$A1020)*
        ('Fairway Log'!$B$2:$B$72=$B1020)*
        ('Fairway Log'!$C$2:$C1091=$C1020),
      0),
      MATCH($G1020,'Fairway Log'!$E$1:$V$1,0)
    ),
  "")
)</f>
        <v/>
      </c>
      <c r="Q1020" t="str" cm="1">
        <f t="array" ref="Q1020">IFERROR(
  INDEX('GIR Log'!$E$2:$V$72,
    MATCH(1,
      ('GIR Log'!$A$2:$A$72=$A1020)*
      ('GIR Log'!$B$2:$B$72=$B1020)*
      ('GIR Log'!$C$2:$C$72=$C1020),
    0),
    MATCH($G1020,'GIR Log'!$E$1:$V$1,0)
  ),
"")</f>
        <v>↑</v>
      </c>
    </row>
    <row r="1021" spans="1:17" x14ac:dyDescent="0.25">
      <c r="A1021" s="51" t="s">
        <v>130</v>
      </c>
      <c r="B1021" s="2">
        <v>45653</v>
      </c>
      <c r="C1021" t="s">
        <v>2</v>
      </c>
      <c r="D1021" t="s">
        <v>72</v>
      </c>
      <c r="E1021" s="12" t="s">
        <v>34</v>
      </c>
      <c r="F1021">
        <v>92</v>
      </c>
      <c r="G1021" s="12" t="s">
        <v>58</v>
      </c>
      <c r="H1021" s="9">
        <f t="shared" si="66"/>
        <v>12</v>
      </c>
      <c r="I1021" cm="1">
        <f t="array" ref="I1021">IFERROR(INDEX(CourseYardages[[Hole 1]:[Hole 18]],
  MATCH(1, (CourseYardages[Course]=C1021)*(CourseYardages[Tees]=E1021), 0),
  MATCH(G1021, CourseYardages[[#Headers],[Hole 1]:[Hole 18]], 0)
),"")</f>
        <v>470</v>
      </c>
      <c r="J1021" cm="1">
        <f t="array" ref="J1021">IFERROR(INDEX(CourseHandicap[[Hole 1]:[Hole 18]],
  MATCH(1, (CourseHandicap[Course]=C1021)*(CourseHandicap[Tees]=E1021), 0),
  MATCH(G1021, CourseHandicap[[#Headers],[Hole 1]:[Hole 18]], 0)
),"")</f>
        <v>2</v>
      </c>
      <c r="K1021" cm="1">
        <f t="array" ref="K1021">IFERROR(INDEX(CourseRatings[[Hole 1]:[Hole 18]],
  MATCH(1, (CourseRatings[Course]=C1021)*(CourseRatings[Tees]=E1021), 0),
  MATCH(G1021, CourseRatings[[#Headers],[Hole 1]:[Hole 18]], 0)
),"")</f>
        <v>4</v>
      </c>
      <c r="L1021" cm="1">
        <f t="array" ref="L1021">IFERROR(
  INDEX('Golf Log'!$E$2:$V$72,
    MATCH(1,
      ('Golf Log'!$A$2:$A$72=$A1021)*
      ('Golf Log'!$B$2:$B$72=$B1021)*
      ('Golf Log'!$C$2:$C$72=$C1021),
    0),
    MATCH($G1021,'Golf Log'!$E$1:$V$1,0)
  ),
"")</f>
        <v>4</v>
      </c>
      <c r="M1021">
        <f t="shared" si="67"/>
        <v>0</v>
      </c>
      <c r="N1021" t="str">
        <f t="shared" si="68"/>
        <v>Par</v>
      </c>
      <c r="O1021" cm="1">
        <f t="array" ref="O1021">IFERROR(
  INDEX('Putt Log'!$E$2:$V$72,
    MATCH(1,
      ('Putt Log'!$A$2:$A$72=$A1021)*
      ('Putt Log'!$B$2:$B$72=$B1021)*
      ('Putt Log'!$C$2:$C$72=$C1021),
    0),
    MATCH($G1021,'Putt Log'!$E$1:$V$1,0)
  ),
"")</f>
        <v>2</v>
      </c>
      <c r="P1021" t="str" cm="1">
        <f t="array" ref="P1021">IF(K1021=3,"",
  IFERROR(
    INDEX('Fairway Log'!$E$2:$V$72,
      MATCH(1,
        ('Fairway Log'!$A$2:$A$72=$A1021)*
        ('Fairway Log'!$B$2:$B$72=$B1021)*
        ('Fairway Log'!$C$2:$C1092=$C1021),
      0),
      MATCH($G1021,'Fairway Log'!$E$1:$V$1,0)
    ),
  "")
)</f>
        <v>←</v>
      </c>
      <c r="Q1021" cm="1">
        <f t="array" ref="Q1021">IFERROR(
  INDEX('GIR Log'!$E$2:$V$72,
    MATCH(1,
      ('GIR Log'!$A$2:$A$72=$A1021)*
      ('GIR Log'!$B$2:$B$72=$B1021)*
      ('GIR Log'!$C$2:$C$72=$C1021),
    0),
    MATCH($G1021,'GIR Log'!$E$1:$V$1,0)
  ),
"")</f>
        <v>1</v>
      </c>
    </row>
    <row r="1022" spans="1:17" x14ac:dyDescent="0.25">
      <c r="A1022" s="51" t="s">
        <v>130</v>
      </c>
      <c r="B1022" s="2">
        <v>45653</v>
      </c>
      <c r="C1022" t="s">
        <v>2</v>
      </c>
      <c r="D1022" t="s">
        <v>72</v>
      </c>
      <c r="E1022" s="12" t="s">
        <v>34</v>
      </c>
      <c r="F1022">
        <v>92</v>
      </c>
      <c r="G1022" s="12" t="s">
        <v>59</v>
      </c>
      <c r="H1022" s="9">
        <f t="shared" si="66"/>
        <v>13</v>
      </c>
      <c r="I1022" cm="1">
        <f t="array" ref="I1022">IFERROR(INDEX(CourseYardages[[Hole 1]:[Hole 18]],
  MATCH(1, (CourseYardages[Course]=C1022)*(CourseYardages[Tees]=E1022), 0),
  MATCH(G1022, CourseYardages[[#Headers],[Hole 1]:[Hole 18]], 0)
),"")</f>
        <v>514</v>
      </c>
      <c r="J1022" cm="1">
        <f t="array" ref="J1022">IFERROR(INDEX(CourseHandicap[[Hole 1]:[Hole 18]],
  MATCH(1, (CourseHandicap[Course]=C1022)*(CourseHandicap[Tees]=E1022), 0),
  MATCH(G1022, CourseHandicap[[#Headers],[Hole 1]:[Hole 18]], 0)
),"")</f>
        <v>8</v>
      </c>
      <c r="K1022" cm="1">
        <f t="array" ref="K1022">IFERROR(INDEX(CourseRatings[[Hole 1]:[Hole 18]],
  MATCH(1, (CourseRatings[Course]=C1022)*(CourseRatings[Tees]=E1022), 0),
  MATCH(G1022, CourseRatings[[#Headers],[Hole 1]:[Hole 18]], 0)
),"")</f>
        <v>5</v>
      </c>
      <c r="L1022" cm="1">
        <f t="array" ref="L1022">IFERROR(
  INDEX('Golf Log'!$E$2:$V$72,
    MATCH(1,
      ('Golf Log'!$A$2:$A$72=$A1022)*
      ('Golf Log'!$B$2:$B$72=$B1022)*
      ('Golf Log'!$C$2:$C$72=$C1022),
    0),
    MATCH($G1022,'Golf Log'!$E$1:$V$1,0)
  ),
"")</f>
        <v>7</v>
      </c>
      <c r="M1022">
        <f t="shared" si="67"/>
        <v>2</v>
      </c>
      <c r="N1022" t="str">
        <f t="shared" si="68"/>
        <v>Double Bogey</v>
      </c>
      <c r="O1022" cm="1">
        <f t="array" ref="O1022">IFERROR(
  INDEX('Putt Log'!$E$2:$V$72,
    MATCH(1,
      ('Putt Log'!$A$2:$A$72=$A1022)*
      ('Putt Log'!$B$2:$B$72=$B1022)*
      ('Putt Log'!$C$2:$C$72=$C1022),
    0),
    MATCH($G1022,'Putt Log'!$E$1:$V$1,0)
  ),
"")</f>
        <v>2</v>
      </c>
      <c r="P1022" t="str" cm="1">
        <f t="array" ref="P1022">IF(K1022=3,"",
  IFERROR(
    INDEX('Fairway Log'!$E$2:$V$72,
      MATCH(1,
        ('Fairway Log'!$A$2:$A$72=$A1022)*
        ('Fairway Log'!$B$2:$B$72=$B1022)*
        ('Fairway Log'!$C$2:$C1093=$C1022),
      0),
      MATCH($G1022,'Fairway Log'!$E$1:$V$1,0)
    ),
  "")
)</f>
        <v>←</v>
      </c>
      <c r="Q1022" t="str" cm="1">
        <f t="array" ref="Q1022">IFERROR(
  INDEX('GIR Log'!$E$2:$V$72,
    MATCH(1,
      ('GIR Log'!$A$2:$A$72=$A1022)*
      ('GIR Log'!$B$2:$B$72=$B1022)*
      ('GIR Log'!$C$2:$C$72=$C1022),
    0),
    MATCH($G1022,'GIR Log'!$E$1:$V$1,0)
  ),
"")</f>
        <v>↓</v>
      </c>
    </row>
    <row r="1023" spans="1:17" x14ac:dyDescent="0.25">
      <c r="A1023" s="51" t="s">
        <v>130</v>
      </c>
      <c r="B1023" s="2">
        <v>45653</v>
      </c>
      <c r="C1023" t="s">
        <v>2</v>
      </c>
      <c r="D1023" t="s">
        <v>72</v>
      </c>
      <c r="E1023" s="12" t="s">
        <v>34</v>
      </c>
      <c r="F1023">
        <v>92</v>
      </c>
      <c r="G1023" s="12" t="s">
        <v>60</v>
      </c>
      <c r="H1023" s="9">
        <f t="shared" si="66"/>
        <v>14</v>
      </c>
      <c r="I1023" cm="1">
        <f t="array" ref="I1023">IFERROR(INDEX(CourseYardages[[Hole 1]:[Hole 18]],
  MATCH(1, (CourseYardages[Course]=C1023)*(CourseYardages[Tees]=E1023), 0),
  MATCH(G1023, CourseYardages[[#Headers],[Hole 1]:[Hole 18]], 0)
),"")</f>
        <v>420</v>
      </c>
      <c r="J1023" cm="1">
        <f t="array" ref="J1023">IFERROR(INDEX(CourseHandicap[[Hole 1]:[Hole 18]],
  MATCH(1, (CourseHandicap[Course]=C1023)*(CourseHandicap[Tees]=E1023), 0),
  MATCH(G1023, CourseHandicap[[#Headers],[Hole 1]:[Hole 18]], 0)
),"")</f>
        <v>4</v>
      </c>
      <c r="K1023" cm="1">
        <f t="array" ref="K1023">IFERROR(INDEX(CourseRatings[[Hole 1]:[Hole 18]],
  MATCH(1, (CourseRatings[Course]=C1023)*(CourseRatings[Tees]=E1023), 0),
  MATCH(G1023, CourseRatings[[#Headers],[Hole 1]:[Hole 18]], 0)
),"")</f>
        <v>4</v>
      </c>
      <c r="L1023" cm="1">
        <f t="array" ref="L1023">IFERROR(
  INDEX('Golf Log'!$E$2:$V$72,
    MATCH(1,
      ('Golf Log'!$A$2:$A$72=$A1023)*
      ('Golf Log'!$B$2:$B$72=$B1023)*
      ('Golf Log'!$C$2:$C$72=$C1023),
    0),
    MATCH($G1023,'Golf Log'!$E$1:$V$1,0)
  ),
"")</f>
        <v>5</v>
      </c>
      <c r="M1023">
        <f t="shared" si="67"/>
        <v>1</v>
      </c>
      <c r="N1023" t="str">
        <f t="shared" si="68"/>
        <v>Bogey</v>
      </c>
      <c r="O1023" cm="1">
        <f t="array" ref="O1023">IFERROR(
  INDEX('Putt Log'!$E$2:$V$72,
    MATCH(1,
      ('Putt Log'!$A$2:$A$72=$A1023)*
      ('Putt Log'!$B$2:$B$72=$B1023)*
      ('Putt Log'!$C$2:$C$72=$C1023),
    0),
    MATCH($G1023,'Putt Log'!$E$1:$V$1,0)
  ),
"")</f>
        <v>2</v>
      </c>
      <c r="P1023" t="str" cm="1">
        <f t="array" ref="P1023">IF(K1023=3,"",
  IFERROR(
    INDEX('Fairway Log'!$E$2:$V$72,
      MATCH(1,
        ('Fairway Log'!$A$2:$A$72=$A1023)*
        ('Fairway Log'!$B$2:$B$72=$B1023)*
        ('Fairway Log'!$C$2:$C1094=$C1023),
      0),
      MATCH($G1023,'Fairway Log'!$E$1:$V$1,0)
    ),
  "")
)</f>
        <v>←</v>
      </c>
      <c r="Q1023" t="str" cm="1">
        <f t="array" ref="Q1023">IFERROR(
  INDEX('GIR Log'!$E$2:$V$72,
    MATCH(1,
      ('GIR Log'!$A$2:$A$72=$A1023)*
      ('GIR Log'!$B$2:$B$72=$B1023)*
      ('GIR Log'!$C$2:$C$72=$C1023),
    0),
    MATCH($G1023,'GIR Log'!$E$1:$V$1,0)
  ),
"")</f>
        <v>↓</v>
      </c>
    </row>
    <row r="1024" spans="1:17" x14ac:dyDescent="0.25">
      <c r="A1024" s="51" t="s">
        <v>130</v>
      </c>
      <c r="B1024" s="2">
        <v>45653</v>
      </c>
      <c r="C1024" t="s">
        <v>2</v>
      </c>
      <c r="D1024" t="s">
        <v>72</v>
      </c>
      <c r="E1024" s="12" t="s">
        <v>34</v>
      </c>
      <c r="F1024">
        <v>92</v>
      </c>
      <c r="G1024" s="12" t="s">
        <v>61</v>
      </c>
      <c r="H1024" s="9">
        <f t="shared" si="66"/>
        <v>15</v>
      </c>
      <c r="I1024" cm="1">
        <f t="array" ref="I1024">IFERROR(INDEX(CourseYardages[[Hole 1]:[Hole 18]],
  MATCH(1, (CourseYardages[Course]=C1024)*(CourseYardages[Tees]=E1024), 0),
  MATCH(G1024, CourseYardages[[#Headers],[Hole 1]:[Hole 18]], 0)
),"")</f>
        <v>507</v>
      </c>
      <c r="J1024" cm="1">
        <f t="array" ref="J1024">IFERROR(INDEX(CourseHandicap[[Hole 1]:[Hole 18]],
  MATCH(1, (CourseHandicap[Course]=C1024)*(CourseHandicap[Tees]=E1024), 0),
  MATCH(G1024, CourseHandicap[[#Headers],[Hole 1]:[Hole 18]], 0)
),"")</f>
        <v>14</v>
      </c>
      <c r="K1024" cm="1">
        <f t="array" ref="K1024">IFERROR(INDEX(CourseRatings[[Hole 1]:[Hole 18]],
  MATCH(1, (CourseRatings[Course]=C1024)*(CourseRatings[Tees]=E1024), 0),
  MATCH(G1024, CourseRatings[[#Headers],[Hole 1]:[Hole 18]], 0)
),"")</f>
        <v>5</v>
      </c>
      <c r="L1024" cm="1">
        <f t="array" ref="L1024">IFERROR(
  INDEX('Golf Log'!$E$2:$V$72,
    MATCH(1,
      ('Golf Log'!$A$2:$A$72=$A1024)*
      ('Golf Log'!$B$2:$B$72=$B1024)*
      ('Golf Log'!$C$2:$C$72=$C1024),
    0),
    MATCH($G1024,'Golf Log'!$E$1:$V$1,0)
  ),
"")</f>
        <v>6</v>
      </c>
      <c r="M1024">
        <f t="shared" si="67"/>
        <v>1</v>
      </c>
      <c r="N1024" t="str">
        <f t="shared" si="68"/>
        <v>Bogey</v>
      </c>
      <c r="O1024" cm="1">
        <f t="array" ref="O1024">IFERROR(
  INDEX('Putt Log'!$E$2:$V$72,
    MATCH(1,
      ('Putt Log'!$A$2:$A$72=$A1024)*
      ('Putt Log'!$B$2:$B$72=$B1024)*
      ('Putt Log'!$C$2:$C$72=$C1024),
    0),
    MATCH($G1024,'Putt Log'!$E$1:$V$1,0)
  ),
"")</f>
        <v>2</v>
      </c>
      <c r="P1024" t="str" cm="1">
        <f t="array" ref="P1024">IF(K1024=3,"",
  IFERROR(
    INDEX('Fairway Log'!$E$2:$V$72,
      MATCH(1,
        ('Fairway Log'!$A$2:$A$72=$A1024)*
        ('Fairway Log'!$B$2:$B$72=$B1024)*
        ('Fairway Log'!$C$2:$C1095=$C1024),
      0),
      MATCH($G1024,'Fairway Log'!$E$1:$V$1,0)
    ),
  "")
)</f>
        <v>→</v>
      </c>
      <c r="Q1024" t="str" cm="1">
        <f t="array" ref="Q1024">IFERROR(
  INDEX('GIR Log'!$E$2:$V$72,
    MATCH(1,
      ('GIR Log'!$A$2:$A$72=$A1024)*
      ('GIR Log'!$B$2:$B$72=$B1024)*
      ('GIR Log'!$C$2:$C$72=$C1024),
    0),
    MATCH($G1024,'GIR Log'!$E$1:$V$1,0)
  ),
"")</f>
        <v>↓</v>
      </c>
    </row>
    <row r="1025" spans="1:17" x14ac:dyDescent="0.25">
      <c r="A1025" s="51" t="s">
        <v>130</v>
      </c>
      <c r="B1025" s="2">
        <v>45653</v>
      </c>
      <c r="C1025" t="s">
        <v>2</v>
      </c>
      <c r="D1025" t="s">
        <v>72</v>
      </c>
      <c r="E1025" s="12" t="s">
        <v>34</v>
      </c>
      <c r="F1025">
        <v>92</v>
      </c>
      <c r="G1025" s="12" t="s">
        <v>62</v>
      </c>
      <c r="H1025" s="9">
        <f t="shared" si="66"/>
        <v>16</v>
      </c>
      <c r="I1025" cm="1">
        <f t="array" ref="I1025">IFERROR(INDEX(CourseYardages[[Hole 1]:[Hole 18]],
  MATCH(1, (CourseYardages[Course]=C1025)*(CourseYardages[Tees]=E1025), 0),
  MATCH(G1025, CourseYardages[[#Headers],[Hole 1]:[Hole 18]], 0)
),"")</f>
        <v>180</v>
      </c>
      <c r="J1025" cm="1">
        <f t="array" ref="J1025">IFERROR(INDEX(CourseHandicap[[Hole 1]:[Hole 18]],
  MATCH(1, (CourseHandicap[Course]=C1025)*(CourseHandicap[Tees]=E1025), 0),
  MATCH(G1025, CourseHandicap[[#Headers],[Hole 1]:[Hole 18]], 0)
),"")</f>
        <v>18</v>
      </c>
      <c r="K1025" cm="1">
        <f t="array" ref="K1025">IFERROR(INDEX(CourseRatings[[Hole 1]:[Hole 18]],
  MATCH(1, (CourseRatings[Course]=C1025)*(CourseRatings[Tees]=E1025), 0),
  MATCH(G1025, CourseRatings[[#Headers],[Hole 1]:[Hole 18]], 0)
),"")</f>
        <v>3</v>
      </c>
      <c r="L1025" cm="1">
        <f t="array" ref="L1025">IFERROR(
  INDEX('Golf Log'!$E$2:$V$72,
    MATCH(1,
      ('Golf Log'!$A$2:$A$72=$A1025)*
      ('Golf Log'!$B$2:$B$72=$B1025)*
      ('Golf Log'!$C$2:$C$72=$C1025),
    0),
    MATCH($G1025,'Golf Log'!$E$1:$V$1,0)
  ),
"")</f>
        <v>4</v>
      </c>
      <c r="M1025">
        <f t="shared" si="67"/>
        <v>1</v>
      </c>
      <c r="N1025" t="str">
        <f t="shared" si="68"/>
        <v>Bogey</v>
      </c>
      <c r="O1025" cm="1">
        <f t="array" ref="O1025">IFERROR(
  INDEX('Putt Log'!$E$2:$V$72,
    MATCH(1,
      ('Putt Log'!$A$2:$A$72=$A1025)*
      ('Putt Log'!$B$2:$B$72=$B1025)*
      ('Putt Log'!$C$2:$C$72=$C1025),
    0),
    MATCH($G1025,'Putt Log'!$E$1:$V$1,0)
  ),
"")</f>
        <v>2</v>
      </c>
      <c r="P1025" t="str" cm="1">
        <f t="array" ref="P1025">IF(K1025=3,"",
  IFERROR(
    INDEX('Fairway Log'!$E$2:$V$72,
      MATCH(1,
        ('Fairway Log'!$A$2:$A$72=$A1025)*
        ('Fairway Log'!$B$2:$B$72=$B1025)*
        ('Fairway Log'!$C$2:$C1096=$C1025),
      0),
      MATCH($G1025,'Fairway Log'!$E$1:$V$1,0)
    ),
  "")
)</f>
        <v/>
      </c>
      <c r="Q1025" t="str" cm="1">
        <f t="array" ref="Q1025">IFERROR(
  INDEX('GIR Log'!$E$2:$V$72,
    MATCH(1,
      ('GIR Log'!$A$2:$A$72=$A1025)*
      ('GIR Log'!$B$2:$B$72=$B1025)*
      ('GIR Log'!$C$2:$C$72=$C1025),
    0),
    MATCH($G1025,'GIR Log'!$E$1:$V$1,0)
  ),
"")</f>
        <v>←</v>
      </c>
    </row>
    <row r="1026" spans="1:17" x14ac:dyDescent="0.25">
      <c r="A1026" s="51" t="s">
        <v>130</v>
      </c>
      <c r="B1026" s="2">
        <v>45653</v>
      </c>
      <c r="C1026" t="s">
        <v>2</v>
      </c>
      <c r="D1026" t="s">
        <v>72</v>
      </c>
      <c r="E1026" s="12" t="s">
        <v>34</v>
      </c>
      <c r="F1026">
        <v>92</v>
      </c>
      <c r="G1026" s="12" t="s">
        <v>63</v>
      </c>
      <c r="H1026" s="9">
        <f t="shared" si="66"/>
        <v>17</v>
      </c>
      <c r="I1026" cm="1">
        <f t="array" ref="I1026">IFERROR(INDEX(CourseYardages[[Hole 1]:[Hole 18]],
  MATCH(1, (CourseYardages[Course]=C1026)*(CourseYardages[Tees]=E1026), 0),
  MATCH(G1026, CourseYardages[[#Headers],[Hole 1]:[Hole 18]], 0)
),"")</f>
        <v>348</v>
      </c>
      <c r="J1026" cm="1">
        <f t="array" ref="J1026">IFERROR(INDEX(CourseHandicap[[Hole 1]:[Hole 18]],
  MATCH(1, (CourseHandicap[Course]=C1026)*(CourseHandicap[Tees]=E1026), 0),
  MATCH(G1026, CourseHandicap[[#Headers],[Hole 1]:[Hole 18]], 0)
),"")</f>
        <v>6</v>
      </c>
      <c r="K1026" cm="1">
        <f t="array" ref="K1026">IFERROR(INDEX(CourseRatings[[Hole 1]:[Hole 18]],
  MATCH(1, (CourseRatings[Course]=C1026)*(CourseRatings[Tees]=E1026), 0),
  MATCH(G1026, CourseRatings[[#Headers],[Hole 1]:[Hole 18]], 0)
),"")</f>
        <v>4</v>
      </c>
      <c r="L1026" cm="1">
        <f t="array" ref="L1026">IFERROR(
  INDEX('Golf Log'!$E$2:$V$72,
    MATCH(1,
      ('Golf Log'!$A$2:$A$72=$A1026)*
      ('Golf Log'!$B$2:$B$72=$B1026)*
      ('Golf Log'!$C$2:$C$72=$C1026),
    0),
    MATCH($G1026,'Golf Log'!$E$1:$V$1,0)
  ),
"")</f>
        <v>5</v>
      </c>
      <c r="M1026">
        <f t="shared" si="67"/>
        <v>1</v>
      </c>
      <c r="N1026" t="str">
        <f t="shared" si="68"/>
        <v>Bogey</v>
      </c>
      <c r="O1026" cm="1">
        <f t="array" ref="O1026">IFERROR(
  INDEX('Putt Log'!$E$2:$V$72,
    MATCH(1,
      ('Putt Log'!$A$2:$A$72=$A1026)*
      ('Putt Log'!$B$2:$B$72=$B1026)*
      ('Putt Log'!$C$2:$C$72=$C1026),
    0),
    MATCH($G1026,'Putt Log'!$E$1:$V$1,0)
  ),
"")</f>
        <v>2</v>
      </c>
      <c r="P1026" t="str" cm="1">
        <f t="array" ref="P1026">IF(K1026=3,"",
  IFERROR(
    INDEX('Fairway Log'!$E$2:$V$72,
      MATCH(1,
        ('Fairway Log'!$A$2:$A$72=$A1026)*
        ('Fairway Log'!$B$2:$B$72=$B1026)*
        ('Fairway Log'!$C$2:$C1097=$C1026),
      0),
      MATCH($G1026,'Fairway Log'!$E$1:$V$1,0)
    ),
  "")
)</f>
        <v>←</v>
      </c>
      <c r="Q1026" t="str" cm="1">
        <f t="array" ref="Q1026">IFERROR(
  INDEX('GIR Log'!$E$2:$V$72,
    MATCH(1,
      ('GIR Log'!$A$2:$A$72=$A1026)*
      ('GIR Log'!$B$2:$B$72=$B1026)*
      ('GIR Log'!$C$2:$C$72=$C1026),
    0),
    MATCH($G1026,'GIR Log'!$E$1:$V$1,0)
  ),
"")</f>
        <v>↓</v>
      </c>
    </row>
    <row r="1027" spans="1:17" x14ac:dyDescent="0.25">
      <c r="A1027" s="51" t="s">
        <v>130</v>
      </c>
      <c r="B1027" s="2">
        <v>45653</v>
      </c>
      <c r="C1027" t="s">
        <v>2</v>
      </c>
      <c r="D1027" t="s">
        <v>72</v>
      </c>
      <c r="E1027" s="12" t="s">
        <v>34</v>
      </c>
      <c r="F1027">
        <v>92</v>
      </c>
      <c r="G1027" s="12" t="s">
        <v>64</v>
      </c>
      <c r="H1027" s="9">
        <f t="shared" si="66"/>
        <v>18</v>
      </c>
      <c r="I1027" cm="1">
        <f t="array" ref="I1027">IFERROR(INDEX(CourseYardages[[Hole 1]:[Hole 18]],
  MATCH(1, (CourseYardages[Course]=C1027)*(CourseYardages[Tees]=E1027), 0),
  MATCH(G1027, CourseYardages[[#Headers],[Hole 1]:[Hole 18]], 0)
),"")</f>
        <v>409</v>
      </c>
      <c r="J1027" cm="1">
        <f t="array" ref="J1027">IFERROR(INDEX(CourseHandicap[[Hole 1]:[Hole 18]],
  MATCH(1, (CourseHandicap[Course]=C1027)*(CourseHandicap[Tees]=E1027), 0),
  MATCH(G1027, CourseHandicap[[#Headers],[Hole 1]:[Hole 18]], 0)
),"")</f>
        <v>10</v>
      </c>
      <c r="K1027" cm="1">
        <f t="array" ref="K1027">IFERROR(INDEX(CourseRatings[[Hole 1]:[Hole 18]],
  MATCH(1, (CourseRatings[Course]=C1027)*(CourseRatings[Tees]=E1027), 0),
  MATCH(G1027, CourseRatings[[#Headers],[Hole 1]:[Hole 18]], 0)
),"")</f>
        <v>4</v>
      </c>
      <c r="L1027" cm="1">
        <f t="array" ref="L1027">IFERROR(
  INDEX('Golf Log'!$E$2:$V$72,
    MATCH(1,
      ('Golf Log'!$A$2:$A$72=$A1027)*
      ('Golf Log'!$B$2:$B$72=$B1027)*
      ('Golf Log'!$C$2:$C$72=$C1027),
    0),
    MATCH($G1027,'Golf Log'!$E$1:$V$1,0)
  ),
"")</f>
        <v>6</v>
      </c>
      <c r="M1027">
        <f t="shared" si="67"/>
        <v>2</v>
      </c>
      <c r="N1027" t="str">
        <f t="shared" si="68"/>
        <v>Double Bogey</v>
      </c>
      <c r="O1027" cm="1">
        <f t="array" ref="O1027">IFERROR(
  INDEX('Putt Log'!$E$2:$V$72,
    MATCH(1,
      ('Putt Log'!$A$2:$A$72=$A1027)*
      ('Putt Log'!$B$2:$B$72=$B1027)*
      ('Putt Log'!$C$2:$C$72=$C1027),
    0),
    MATCH($G1027,'Putt Log'!$E$1:$V$1,0)
  ),
"")</f>
        <v>2</v>
      </c>
      <c r="P1027" t="str" cm="1">
        <f t="array" ref="P1027">IF(K1027=3,"",
  IFERROR(
    INDEX('Fairway Log'!$E$2:$V$72,
      MATCH(1,
        ('Fairway Log'!$A$2:$A$72=$A1027)*
        ('Fairway Log'!$B$2:$B$72=$B1027)*
        ('Fairway Log'!$C$2:$C1098=$C1027),
      0),
      MATCH($G1027,'Fairway Log'!$E$1:$V$1,0)
    ),
  "")
)</f>
        <v>→</v>
      </c>
      <c r="Q1027" t="str" cm="1">
        <f t="array" ref="Q1027">IFERROR(
  INDEX('GIR Log'!$E$2:$V$72,
    MATCH(1,
      ('GIR Log'!$A$2:$A$72=$A1027)*
      ('GIR Log'!$B$2:$B$72=$B1027)*
      ('GIR Log'!$C$2:$C$72=$C1027),
    0),
    MATCH($G1027,'GIR Log'!$E$1:$V$1,0)
  ),
"")</f>
        <v>↓</v>
      </c>
    </row>
    <row r="1028" spans="1:17" x14ac:dyDescent="0.25">
      <c r="A1028" s="51" t="s">
        <v>130</v>
      </c>
      <c r="B1028" s="2">
        <v>45655</v>
      </c>
      <c r="C1028" t="s">
        <v>4</v>
      </c>
      <c r="D1028" t="s">
        <v>71</v>
      </c>
      <c r="E1028" s="51" t="s">
        <v>34</v>
      </c>
      <c r="F1028">
        <v>91</v>
      </c>
      <c r="G1028" t="s">
        <v>47</v>
      </c>
      <c r="H1028" s="9">
        <f t="shared" si="66"/>
        <v>1</v>
      </c>
      <c r="I1028" cm="1">
        <f t="array" ref="I1028">IFERROR(INDEX(CourseYardages[[Hole 1]:[Hole 18]],
  MATCH(1, (CourseYardages[Course]=C1028)*(CourseYardages[Tees]=E1028), 0),
  MATCH(G1028, CourseYardages[[#Headers],[Hole 1]:[Hole 18]], 0)
),"")</f>
        <v>354</v>
      </c>
      <c r="J1028" cm="1">
        <f t="array" ref="J1028">IFERROR(INDEX(CourseHandicap[[Hole 1]:[Hole 18]],
  MATCH(1, (CourseHandicap[Course]=C1028)*(CourseHandicap[Tees]=E1028), 0),
  MATCH(G1028, CourseHandicap[[#Headers],[Hole 1]:[Hole 18]], 0)
),"")</f>
        <v>17</v>
      </c>
      <c r="K1028" cm="1">
        <f t="array" ref="K1028">IFERROR(INDEX(CourseRatings[[Hole 1]:[Hole 18]],
  MATCH(1, (CourseRatings[Course]=C1028)*(CourseRatings[Tees]=E1028), 0),
  MATCH(G1028, CourseRatings[[#Headers],[Hole 1]:[Hole 18]], 0)
),"")</f>
        <v>4</v>
      </c>
      <c r="L1028" cm="1">
        <f t="array" ref="L1028">IFERROR(
  INDEX('Golf Log'!$E$2:$V$72,
    MATCH(1,
      ('Golf Log'!$A$2:$A$72=$A1028)*
      ('Golf Log'!$B$2:$B$72=$B1028)*
      ('Golf Log'!$C$2:$C$72=$C1028),
    0),
    MATCH($G1028,'Golf Log'!$E$1:$V$1,0)
  ),
"")</f>
        <v>4</v>
      </c>
      <c r="M1028">
        <f t="shared" si="67"/>
        <v>0</v>
      </c>
      <c r="N1028" t="str">
        <f t="shared" si="68"/>
        <v>Par</v>
      </c>
      <c r="O1028" cm="1">
        <f t="array" ref="O1028">IFERROR(
  INDEX('Putt Log'!$E$2:$V$72,
    MATCH(1,
      ('Putt Log'!$A$2:$A$72=$A1028)*
      ('Putt Log'!$B$2:$B$72=$B1028)*
      ('Putt Log'!$C$2:$C$72=$C1028),
    0),
    MATCH($G1028,'Putt Log'!$E$1:$V$1,0)
  ),
"")</f>
        <v>2</v>
      </c>
      <c r="P1028" cm="1">
        <f t="array" ref="P1028">IF(K1028=3,"",
  IFERROR(
    INDEX('Fairway Log'!$E$2:$V$72,
      MATCH(1,
        ('Fairway Log'!$A$2:$A$72=$A1028)*
        ('Fairway Log'!$B$2:$B$72=$B1028)*
        ('Fairway Log'!$C$2:$C1099=$C1028),
      0),
      MATCH($G1028,'Fairway Log'!$E$1:$V$1,0)
    ),
  "")
)</f>
        <v>1</v>
      </c>
      <c r="Q1028" cm="1">
        <f t="array" ref="Q1028">IFERROR(
  INDEX('GIR Log'!$E$2:$V$72,
    MATCH(1,
      ('GIR Log'!$A$2:$A$72=$A1028)*
      ('GIR Log'!$B$2:$B$72=$B1028)*
      ('GIR Log'!$C$2:$C$72=$C1028),
    0),
    MATCH($G1028,'GIR Log'!$E$1:$V$1,0)
  ),
"")</f>
        <v>1</v>
      </c>
    </row>
    <row r="1029" spans="1:17" x14ac:dyDescent="0.25">
      <c r="A1029" s="51" t="s">
        <v>130</v>
      </c>
      <c r="B1029" s="2">
        <v>45655</v>
      </c>
      <c r="C1029" t="s">
        <v>4</v>
      </c>
      <c r="D1029" t="s">
        <v>71</v>
      </c>
      <c r="E1029" s="51" t="s">
        <v>34</v>
      </c>
      <c r="F1029">
        <v>91</v>
      </c>
      <c r="G1029" t="s">
        <v>48</v>
      </c>
      <c r="H1029" s="9">
        <f t="shared" si="66"/>
        <v>2</v>
      </c>
      <c r="I1029" cm="1">
        <f t="array" ref="I1029">IFERROR(INDEX(CourseYardages[[Hole 1]:[Hole 18]],
  MATCH(1, (CourseYardages[Course]=C1029)*(CourseYardages[Tees]=E1029), 0),
  MATCH(G1029, CourseYardages[[#Headers],[Hole 1]:[Hole 18]], 0)
),"")</f>
        <v>484</v>
      </c>
      <c r="J1029" cm="1">
        <f t="array" ref="J1029">IFERROR(INDEX(CourseHandicap[[Hole 1]:[Hole 18]],
  MATCH(1, (CourseHandicap[Course]=C1029)*(CourseHandicap[Tees]=E1029), 0),
  MATCH(G1029, CourseHandicap[[#Headers],[Hole 1]:[Hole 18]], 0)
),"")</f>
        <v>5</v>
      </c>
      <c r="K1029" cm="1">
        <f t="array" ref="K1029">IFERROR(INDEX(CourseRatings[[Hole 1]:[Hole 18]],
  MATCH(1, (CourseRatings[Course]=C1029)*(CourseRatings[Tees]=E1029), 0),
  MATCH(G1029, CourseRatings[[#Headers],[Hole 1]:[Hole 18]], 0)
),"")</f>
        <v>5</v>
      </c>
      <c r="L1029" cm="1">
        <f t="array" ref="L1029">IFERROR(
  INDEX('Golf Log'!$E$2:$V$72,
    MATCH(1,
      ('Golf Log'!$A$2:$A$72=$A1029)*
      ('Golf Log'!$B$2:$B$72=$B1029)*
      ('Golf Log'!$C$2:$C$72=$C1029),
    0),
    MATCH($G1029,'Golf Log'!$E$1:$V$1,0)
  ),
"")</f>
        <v>6</v>
      </c>
      <c r="M1029">
        <f t="shared" si="67"/>
        <v>1</v>
      </c>
      <c r="N1029" t="str">
        <f t="shared" si="68"/>
        <v>Bogey</v>
      </c>
      <c r="O1029" cm="1">
        <f t="array" ref="O1029">IFERROR(
  INDEX('Putt Log'!$E$2:$V$72,
    MATCH(1,
      ('Putt Log'!$A$2:$A$72=$A1029)*
      ('Putt Log'!$B$2:$B$72=$B1029)*
      ('Putt Log'!$C$2:$C$72=$C1029),
    0),
    MATCH($G1029,'Putt Log'!$E$1:$V$1,0)
  ),
"")</f>
        <v>3</v>
      </c>
      <c r="P1029" t="str" cm="1">
        <f t="array" ref="P1029">IF(K1029=3,"",
  IFERROR(
    INDEX('Fairway Log'!$E$2:$V$72,
      MATCH(1,
        ('Fairway Log'!$A$2:$A$72=$A1029)*
        ('Fairway Log'!$B$2:$B$72=$B1029)*
        ('Fairway Log'!$C$2:$C1100=$C1029),
      0),
      MATCH($G1029,'Fairway Log'!$E$1:$V$1,0)
    ),
  "")
)</f>
        <v>←</v>
      </c>
      <c r="Q1029" cm="1">
        <f t="array" ref="Q1029">IFERROR(
  INDEX('GIR Log'!$E$2:$V$72,
    MATCH(1,
      ('GIR Log'!$A$2:$A$72=$A1029)*
      ('GIR Log'!$B$2:$B$72=$B1029)*
      ('GIR Log'!$C$2:$C$72=$C1029),
    0),
    MATCH($G1029,'GIR Log'!$E$1:$V$1,0)
  ),
"")</f>
        <v>1</v>
      </c>
    </row>
    <row r="1030" spans="1:17" x14ac:dyDescent="0.25">
      <c r="A1030" s="51" t="s">
        <v>130</v>
      </c>
      <c r="B1030" s="2">
        <v>45655</v>
      </c>
      <c r="C1030" t="s">
        <v>4</v>
      </c>
      <c r="D1030" t="s">
        <v>71</v>
      </c>
      <c r="E1030" s="51" t="s">
        <v>34</v>
      </c>
      <c r="F1030">
        <v>91</v>
      </c>
      <c r="G1030" t="s">
        <v>49</v>
      </c>
      <c r="H1030" s="9">
        <f t="shared" si="66"/>
        <v>3</v>
      </c>
      <c r="I1030" cm="1">
        <f t="array" ref="I1030">IFERROR(INDEX(CourseYardages[[Hole 1]:[Hole 18]],
  MATCH(1, (CourseYardages[Course]=C1030)*(CourseYardages[Tees]=E1030), 0),
  MATCH(G1030, CourseYardages[[#Headers],[Hole 1]:[Hole 18]], 0)
),"")</f>
        <v>174</v>
      </c>
      <c r="J1030" cm="1">
        <f t="array" ref="J1030">IFERROR(INDEX(CourseHandicap[[Hole 1]:[Hole 18]],
  MATCH(1, (CourseHandicap[Course]=C1030)*(CourseHandicap[Tees]=E1030), 0),
  MATCH(G1030, CourseHandicap[[#Headers],[Hole 1]:[Hole 18]], 0)
),"")</f>
        <v>9</v>
      </c>
      <c r="K1030" cm="1">
        <f t="array" ref="K1030">IFERROR(INDEX(CourseRatings[[Hole 1]:[Hole 18]],
  MATCH(1, (CourseRatings[Course]=C1030)*(CourseRatings[Tees]=E1030), 0),
  MATCH(G1030, CourseRatings[[#Headers],[Hole 1]:[Hole 18]], 0)
),"")</f>
        <v>3</v>
      </c>
      <c r="L1030" cm="1">
        <f t="array" ref="L1030">IFERROR(
  INDEX('Golf Log'!$E$2:$V$72,
    MATCH(1,
      ('Golf Log'!$A$2:$A$72=$A1030)*
      ('Golf Log'!$B$2:$B$72=$B1030)*
      ('Golf Log'!$C$2:$C$72=$C1030),
    0),
    MATCH($G1030,'Golf Log'!$E$1:$V$1,0)
  ),
"")</f>
        <v>3</v>
      </c>
      <c r="M1030">
        <f t="shared" si="67"/>
        <v>0</v>
      </c>
      <c r="N1030" t="str">
        <f t="shared" si="68"/>
        <v>Par</v>
      </c>
      <c r="O1030" cm="1">
        <f t="array" ref="O1030">IFERROR(
  INDEX('Putt Log'!$E$2:$V$72,
    MATCH(1,
      ('Putt Log'!$A$2:$A$72=$A1030)*
      ('Putt Log'!$B$2:$B$72=$B1030)*
      ('Putt Log'!$C$2:$C$72=$C1030),
    0),
    MATCH($G1030,'Putt Log'!$E$1:$V$1,0)
  ),
"")</f>
        <v>1</v>
      </c>
      <c r="P1030" t="str" cm="1">
        <f t="array" ref="P1030">IF(K1030=3,"",
  IFERROR(
    INDEX('Fairway Log'!$E$2:$V$72,
      MATCH(1,
        ('Fairway Log'!$A$2:$A$72=$A1030)*
        ('Fairway Log'!$B$2:$B$72=$B1030)*
        ('Fairway Log'!$C$2:$C1101=$C1030),
      0),
      MATCH($G1030,'Fairway Log'!$E$1:$V$1,0)
    ),
  "")
)</f>
        <v/>
      </c>
      <c r="Q1030" t="str" cm="1">
        <f t="array" ref="Q1030">IFERROR(
  INDEX('GIR Log'!$E$2:$V$72,
    MATCH(1,
      ('GIR Log'!$A$2:$A$72=$A1030)*
      ('GIR Log'!$B$2:$B$72=$B1030)*
      ('GIR Log'!$C$2:$C$72=$C1030),
    0),
    MATCH($G1030,'GIR Log'!$E$1:$V$1,0)
  ),
"")</f>
        <v>←</v>
      </c>
    </row>
    <row r="1031" spans="1:17" x14ac:dyDescent="0.25">
      <c r="A1031" s="51" t="s">
        <v>130</v>
      </c>
      <c r="B1031" s="2">
        <v>45655</v>
      </c>
      <c r="C1031" t="s">
        <v>4</v>
      </c>
      <c r="D1031" t="s">
        <v>71</v>
      </c>
      <c r="E1031" s="51" t="s">
        <v>34</v>
      </c>
      <c r="F1031">
        <v>91</v>
      </c>
      <c r="G1031" t="s">
        <v>50</v>
      </c>
      <c r="H1031" s="9">
        <f t="shared" si="66"/>
        <v>4</v>
      </c>
      <c r="I1031" cm="1">
        <f t="array" ref="I1031">IFERROR(INDEX(CourseYardages[[Hole 1]:[Hole 18]],
  MATCH(1, (CourseYardages[Course]=C1031)*(CourseYardages[Tees]=E1031), 0),
  MATCH(G1031, CourseYardages[[#Headers],[Hole 1]:[Hole 18]], 0)
),"")</f>
        <v>344</v>
      </c>
      <c r="J1031" cm="1">
        <f t="array" ref="J1031">IFERROR(INDEX(CourseHandicap[[Hole 1]:[Hole 18]],
  MATCH(1, (CourseHandicap[Course]=C1031)*(CourseHandicap[Tees]=E1031), 0),
  MATCH(G1031, CourseHandicap[[#Headers],[Hole 1]:[Hole 18]], 0)
),"")</f>
        <v>13</v>
      </c>
      <c r="K1031" cm="1">
        <f t="array" ref="K1031">IFERROR(INDEX(CourseRatings[[Hole 1]:[Hole 18]],
  MATCH(1, (CourseRatings[Course]=C1031)*(CourseRatings[Tees]=E1031), 0),
  MATCH(G1031, CourseRatings[[#Headers],[Hole 1]:[Hole 18]], 0)
),"")</f>
        <v>4</v>
      </c>
      <c r="L1031" cm="1">
        <f t="array" ref="L1031">IFERROR(
  INDEX('Golf Log'!$E$2:$V$72,
    MATCH(1,
      ('Golf Log'!$A$2:$A$72=$A1031)*
      ('Golf Log'!$B$2:$B$72=$B1031)*
      ('Golf Log'!$C$2:$C$72=$C1031),
    0),
    MATCH($G1031,'Golf Log'!$E$1:$V$1,0)
  ),
"")</f>
        <v>4</v>
      </c>
      <c r="M1031">
        <f t="shared" si="67"/>
        <v>0</v>
      </c>
      <c r="N1031" t="str">
        <f t="shared" si="68"/>
        <v>Par</v>
      </c>
      <c r="O1031" cm="1">
        <f t="array" ref="O1031">IFERROR(
  INDEX('Putt Log'!$E$2:$V$72,
    MATCH(1,
      ('Putt Log'!$A$2:$A$72=$A1031)*
      ('Putt Log'!$B$2:$B$72=$B1031)*
      ('Putt Log'!$C$2:$C$72=$C1031),
    0),
    MATCH($G1031,'Putt Log'!$E$1:$V$1,0)
  ),
"")</f>
        <v>1</v>
      </c>
      <c r="P1031" t="str" cm="1">
        <f t="array" ref="P1031">IF(K1031=3,"",
  IFERROR(
    INDEX('Fairway Log'!$E$2:$V$72,
      MATCH(1,
        ('Fairway Log'!$A$2:$A$72=$A1031)*
        ('Fairway Log'!$B$2:$B$72=$B1031)*
        ('Fairway Log'!$C$2:$C1102=$C1031),
      0),
      MATCH($G1031,'Fairway Log'!$E$1:$V$1,0)
    ),
  "")
)</f>
        <v>←</v>
      </c>
      <c r="Q1031" cm="1">
        <f t="array" ref="Q1031">IFERROR(
  INDEX('GIR Log'!$E$2:$V$72,
    MATCH(1,
      ('GIR Log'!$A$2:$A$72=$A1031)*
      ('GIR Log'!$B$2:$B$72=$B1031)*
      ('GIR Log'!$C$2:$C$72=$C1031),
    0),
    MATCH($G1031,'GIR Log'!$E$1:$V$1,0)
  ),
"")</f>
        <v>1</v>
      </c>
    </row>
    <row r="1032" spans="1:17" x14ac:dyDescent="0.25">
      <c r="A1032" s="51" t="s">
        <v>130</v>
      </c>
      <c r="B1032" s="2">
        <v>45655</v>
      </c>
      <c r="C1032" t="s">
        <v>4</v>
      </c>
      <c r="D1032" t="s">
        <v>71</v>
      </c>
      <c r="E1032" s="51" t="s">
        <v>34</v>
      </c>
      <c r="F1032">
        <v>91</v>
      </c>
      <c r="G1032" t="s">
        <v>51</v>
      </c>
      <c r="H1032" s="9">
        <f t="shared" si="66"/>
        <v>5</v>
      </c>
      <c r="I1032" cm="1">
        <f t="array" ref="I1032">IFERROR(INDEX(CourseYardages[[Hole 1]:[Hole 18]],
  MATCH(1, (CourseYardages[Course]=C1032)*(CourseYardages[Tees]=E1032), 0),
  MATCH(G1032, CourseYardages[[#Headers],[Hole 1]:[Hole 18]], 0)
),"")</f>
        <v>352</v>
      </c>
      <c r="J1032" cm="1">
        <f t="array" ref="J1032">IFERROR(INDEX(CourseHandicap[[Hole 1]:[Hole 18]],
  MATCH(1, (CourseHandicap[Course]=C1032)*(CourseHandicap[Tees]=E1032), 0),
  MATCH(G1032, CourseHandicap[[#Headers],[Hole 1]:[Hole 18]], 0)
),"")</f>
        <v>1</v>
      </c>
      <c r="K1032" cm="1">
        <f t="array" ref="K1032">IFERROR(INDEX(CourseRatings[[Hole 1]:[Hole 18]],
  MATCH(1, (CourseRatings[Course]=C1032)*(CourseRatings[Tees]=E1032), 0),
  MATCH(G1032, CourseRatings[[#Headers],[Hole 1]:[Hole 18]], 0)
),"")</f>
        <v>4</v>
      </c>
      <c r="L1032" cm="1">
        <f t="array" ref="L1032">IFERROR(
  INDEX('Golf Log'!$E$2:$V$72,
    MATCH(1,
      ('Golf Log'!$A$2:$A$72=$A1032)*
      ('Golf Log'!$B$2:$B$72=$B1032)*
      ('Golf Log'!$C$2:$C$72=$C1032),
    0),
    MATCH($G1032,'Golf Log'!$E$1:$V$1,0)
  ),
"")</f>
        <v>5</v>
      </c>
      <c r="M1032">
        <f t="shared" si="67"/>
        <v>1</v>
      </c>
      <c r="N1032" t="str">
        <f t="shared" si="68"/>
        <v>Bogey</v>
      </c>
      <c r="O1032" cm="1">
        <f t="array" ref="O1032">IFERROR(
  INDEX('Putt Log'!$E$2:$V$72,
    MATCH(1,
      ('Putt Log'!$A$2:$A$72=$A1032)*
      ('Putt Log'!$B$2:$B$72=$B1032)*
      ('Putt Log'!$C$2:$C$72=$C1032),
    0),
    MATCH($G1032,'Putt Log'!$E$1:$V$1,0)
  ),
"")</f>
        <v>2</v>
      </c>
      <c r="P1032" cm="1">
        <f t="array" ref="P1032">IF(K1032=3,"",
  IFERROR(
    INDEX('Fairway Log'!$E$2:$V$72,
      MATCH(1,
        ('Fairway Log'!$A$2:$A$72=$A1032)*
        ('Fairway Log'!$B$2:$B$72=$B1032)*
        ('Fairway Log'!$C$2:$C1103=$C1032),
      0),
      MATCH($G1032,'Fairway Log'!$E$1:$V$1,0)
    ),
  "")
)</f>
        <v>0</v>
      </c>
      <c r="Q1032" t="str" cm="1">
        <f t="array" ref="Q1032">IFERROR(
  INDEX('GIR Log'!$E$2:$V$72,
    MATCH(1,
      ('GIR Log'!$A$2:$A$72=$A1032)*
      ('GIR Log'!$B$2:$B$72=$B1032)*
      ('GIR Log'!$C$2:$C$72=$C1032),
    0),
    MATCH($G1032,'GIR Log'!$E$1:$V$1,0)
  ),
"")</f>
        <v>↓</v>
      </c>
    </row>
    <row r="1033" spans="1:17" x14ac:dyDescent="0.25">
      <c r="A1033" s="51" t="s">
        <v>130</v>
      </c>
      <c r="B1033" s="2">
        <v>45655</v>
      </c>
      <c r="C1033" t="s">
        <v>4</v>
      </c>
      <c r="D1033" t="s">
        <v>71</v>
      </c>
      <c r="E1033" s="51" t="s">
        <v>34</v>
      </c>
      <c r="F1033">
        <v>91</v>
      </c>
      <c r="G1033" t="s">
        <v>52</v>
      </c>
      <c r="H1033" s="9">
        <f t="shared" si="66"/>
        <v>6</v>
      </c>
      <c r="I1033" cm="1">
        <f t="array" ref="I1033">IFERROR(INDEX(CourseYardages[[Hole 1]:[Hole 18]],
  MATCH(1, (CourseYardages[Course]=C1033)*(CourseYardages[Tees]=E1033), 0),
  MATCH(G1033, CourseYardages[[#Headers],[Hole 1]:[Hole 18]], 0)
),"")</f>
        <v>438</v>
      </c>
      <c r="J1033" cm="1">
        <f t="array" ref="J1033">IFERROR(INDEX(CourseHandicap[[Hole 1]:[Hole 18]],
  MATCH(1, (CourseHandicap[Course]=C1033)*(CourseHandicap[Tees]=E1033), 0),
  MATCH(G1033, CourseHandicap[[#Headers],[Hole 1]:[Hole 18]], 0)
),"")</f>
        <v>3</v>
      </c>
      <c r="K1033" cm="1">
        <f t="array" ref="K1033">IFERROR(INDEX(CourseRatings[[Hole 1]:[Hole 18]],
  MATCH(1, (CourseRatings[Course]=C1033)*(CourseRatings[Tees]=E1033), 0),
  MATCH(G1033, CourseRatings[[#Headers],[Hole 1]:[Hole 18]], 0)
),"")</f>
        <v>4</v>
      </c>
      <c r="L1033" cm="1">
        <f t="array" ref="L1033">IFERROR(
  INDEX('Golf Log'!$E$2:$V$72,
    MATCH(1,
      ('Golf Log'!$A$2:$A$72=$A1033)*
      ('Golf Log'!$B$2:$B$72=$B1033)*
      ('Golf Log'!$C$2:$C$72=$C1033),
    0),
    MATCH($G1033,'Golf Log'!$E$1:$V$1,0)
  ),
"")</f>
        <v>4</v>
      </c>
      <c r="M1033">
        <f t="shared" si="67"/>
        <v>0</v>
      </c>
      <c r="N1033" t="str">
        <f t="shared" si="68"/>
        <v>Par</v>
      </c>
      <c r="O1033" cm="1">
        <f t="array" ref="O1033">IFERROR(
  INDEX('Putt Log'!$E$2:$V$72,
    MATCH(1,
      ('Putt Log'!$A$2:$A$72=$A1033)*
      ('Putt Log'!$B$2:$B$72=$B1033)*
      ('Putt Log'!$C$2:$C$72=$C1033),
    0),
    MATCH($G1033,'Putt Log'!$E$1:$V$1,0)
  ),
"")</f>
        <v>2</v>
      </c>
      <c r="P1033" t="str" cm="1">
        <f t="array" ref="P1033">IF(K1033=3,"",
  IFERROR(
    INDEX('Fairway Log'!$E$2:$V$72,
      MATCH(1,
        ('Fairway Log'!$A$2:$A$72=$A1033)*
        ('Fairway Log'!$B$2:$B$72=$B1033)*
        ('Fairway Log'!$C$2:$C1104=$C1033),
      0),
      MATCH($G1033,'Fairway Log'!$E$1:$V$1,0)
    ),
  "")
)</f>
        <v>→</v>
      </c>
      <c r="Q1033" cm="1">
        <f t="array" ref="Q1033">IFERROR(
  INDEX('GIR Log'!$E$2:$V$72,
    MATCH(1,
      ('GIR Log'!$A$2:$A$72=$A1033)*
      ('GIR Log'!$B$2:$B$72=$B1033)*
      ('GIR Log'!$C$2:$C$72=$C1033),
    0),
    MATCH($G1033,'GIR Log'!$E$1:$V$1,0)
  ),
"")</f>
        <v>1</v>
      </c>
    </row>
    <row r="1034" spans="1:17" x14ac:dyDescent="0.25">
      <c r="A1034" s="51" t="s">
        <v>130</v>
      </c>
      <c r="B1034" s="2">
        <v>45655</v>
      </c>
      <c r="C1034" t="s">
        <v>4</v>
      </c>
      <c r="D1034" t="s">
        <v>71</v>
      </c>
      <c r="E1034" s="51" t="s">
        <v>34</v>
      </c>
      <c r="F1034">
        <v>91</v>
      </c>
      <c r="G1034" t="s">
        <v>53</v>
      </c>
      <c r="H1034" s="9">
        <f t="shared" si="66"/>
        <v>7</v>
      </c>
      <c r="I1034" cm="1">
        <f t="array" ref="I1034">IFERROR(INDEX(CourseYardages[[Hole 1]:[Hole 18]],
  MATCH(1, (CourseYardages[Course]=C1034)*(CourseYardages[Tees]=E1034), 0),
  MATCH(G1034, CourseYardages[[#Headers],[Hole 1]:[Hole 18]], 0)
),"")</f>
        <v>378</v>
      </c>
      <c r="J1034" cm="1">
        <f t="array" ref="J1034">IFERROR(INDEX(CourseHandicap[[Hole 1]:[Hole 18]],
  MATCH(1, (CourseHandicap[Course]=C1034)*(CourseHandicap[Tees]=E1034), 0),
  MATCH(G1034, CourseHandicap[[#Headers],[Hole 1]:[Hole 18]], 0)
),"")</f>
        <v>7</v>
      </c>
      <c r="K1034" cm="1">
        <f t="array" ref="K1034">IFERROR(INDEX(CourseRatings[[Hole 1]:[Hole 18]],
  MATCH(1, (CourseRatings[Course]=C1034)*(CourseRatings[Tees]=E1034), 0),
  MATCH(G1034, CourseRatings[[#Headers],[Hole 1]:[Hole 18]], 0)
),"")</f>
        <v>4</v>
      </c>
      <c r="L1034" cm="1">
        <f t="array" ref="L1034">IFERROR(
  INDEX('Golf Log'!$E$2:$V$72,
    MATCH(1,
      ('Golf Log'!$A$2:$A$72=$A1034)*
      ('Golf Log'!$B$2:$B$72=$B1034)*
      ('Golf Log'!$C$2:$C$72=$C1034),
    0),
    MATCH($G1034,'Golf Log'!$E$1:$V$1,0)
  ),
"")</f>
        <v>5</v>
      </c>
      <c r="M1034">
        <f t="shared" si="67"/>
        <v>1</v>
      </c>
      <c r="N1034" t="str">
        <f t="shared" si="68"/>
        <v>Bogey</v>
      </c>
      <c r="O1034" cm="1">
        <f t="array" ref="O1034">IFERROR(
  INDEX('Putt Log'!$E$2:$V$72,
    MATCH(1,
      ('Putt Log'!$A$2:$A$72=$A1034)*
      ('Putt Log'!$B$2:$B$72=$B1034)*
      ('Putt Log'!$C$2:$C$72=$C1034),
    0),
    MATCH($G1034,'Putt Log'!$E$1:$V$1,0)
  ),
"")</f>
        <v>2</v>
      </c>
      <c r="P1034" t="str" cm="1">
        <f t="array" ref="P1034">IF(K1034=3,"",
  IFERROR(
    INDEX('Fairway Log'!$E$2:$V$72,
      MATCH(1,
        ('Fairway Log'!$A$2:$A$72=$A1034)*
        ('Fairway Log'!$B$2:$B$72=$B1034)*
        ('Fairway Log'!$C$2:$C1105=$C1034),
      0),
      MATCH($G1034,'Fairway Log'!$E$1:$V$1,0)
    ),
  "")
)</f>
        <v>↓</v>
      </c>
      <c r="Q1034" t="str" cm="1">
        <f t="array" ref="Q1034">IFERROR(
  INDEX('GIR Log'!$E$2:$V$72,
    MATCH(1,
      ('GIR Log'!$A$2:$A$72=$A1034)*
      ('GIR Log'!$B$2:$B$72=$B1034)*
      ('GIR Log'!$C$2:$C$72=$C1034),
    0),
    MATCH($G1034,'GIR Log'!$E$1:$V$1,0)
  ),
"")</f>
        <v>↓</v>
      </c>
    </row>
    <row r="1035" spans="1:17" x14ac:dyDescent="0.25">
      <c r="A1035" s="51" t="s">
        <v>130</v>
      </c>
      <c r="B1035" s="2">
        <v>45655</v>
      </c>
      <c r="C1035" t="s">
        <v>4</v>
      </c>
      <c r="D1035" t="s">
        <v>71</v>
      </c>
      <c r="E1035" s="51" t="s">
        <v>34</v>
      </c>
      <c r="F1035">
        <v>91</v>
      </c>
      <c r="G1035" t="s">
        <v>54</v>
      </c>
      <c r="H1035" s="9">
        <f t="shared" si="66"/>
        <v>8</v>
      </c>
      <c r="I1035" cm="1">
        <f t="array" ref="I1035">IFERROR(INDEX(CourseYardages[[Hole 1]:[Hole 18]],
  MATCH(1, (CourseYardages[Course]=C1035)*(CourseYardages[Tees]=E1035), 0),
  MATCH(G1035, CourseYardages[[#Headers],[Hole 1]:[Hole 18]], 0)
),"")</f>
        <v>135</v>
      </c>
      <c r="J1035" cm="1">
        <f t="array" ref="J1035">IFERROR(INDEX(CourseHandicap[[Hole 1]:[Hole 18]],
  MATCH(1, (CourseHandicap[Course]=C1035)*(CourseHandicap[Tees]=E1035), 0),
  MATCH(G1035, CourseHandicap[[#Headers],[Hole 1]:[Hole 18]], 0)
),"")</f>
        <v>15</v>
      </c>
      <c r="K1035" cm="1">
        <f t="array" ref="K1035">IFERROR(INDEX(CourseRatings[[Hole 1]:[Hole 18]],
  MATCH(1, (CourseRatings[Course]=C1035)*(CourseRatings[Tees]=E1035), 0),
  MATCH(G1035, CourseRatings[[#Headers],[Hole 1]:[Hole 18]], 0)
),"")</f>
        <v>3</v>
      </c>
      <c r="L1035" cm="1">
        <f t="array" ref="L1035">IFERROR(
  INDEX('Golf Log'!$E$2:$V$72,
    MATCH(1,
      ('Golf Log'!$A$2:$A$72=$A1035)*
      ('Golf Log'!$B$2:$B$72=$B1035)*
      ('Golf Log'!$C$2:$C$72=$C1035),
    0),
    MATCH($G1035,'Golf Log'!$E$1:$V$1,0)
  ),
"")</f>
        <v>4</v>
      </c>
      <c r="M1035">
        <f t="shared" si="67"/>
        <v>1</v>
      </c>
      <c r="N1035" t="str">
        <f t="shared" si="68"/>
        <v>Bogey</v>
      </c>
      <c r="O1035" cm="1">
        <f t="array" ref="O1035">IFERROR(
  INDEX('Putt Log'!$E$2:$V$72,
    MATCH(1,
      ('Putt Log'!$A$2:$A$72=$A1035)*
      ('Putt Log'!$B$2:$B$72=$B1035)*
      ('Putt Log'!$C$2:$C$72=$C1035),
    0),
    MATCH($G1035,'Putt Log'!$E$1:$V$1,0)
  ),
"")</f>
        <v>2</v>
      </c>
      <c r="P1035" t="str" cm="1">
        <f t="array" ref="P1035">IF(K1035=3,"",
  IFERROR(
    INDEX('Fairway Log'!$E$2:$V$72,
      MATCH(1,
        ('Fairway Log'!$A$2:$A$72=$A1035)*
        ('Fairway Log'!$B$2:$B$72=$B1035)*
        ('Fairway Log'!$C$2:$C1106=$C1035),
      0),
      MATCH($G1035,'Fairway Log'!$E$1:$V$1,0)
    ),
  "")
)</f>
        <v/>
      </c>
      <c r="Q1035" t="str" cm="1">
        <f t="array" ref="Q1035">IFERROR(
  INDEX('GIR Log'!$E$2:$V$72,
    MATCH(1,
      ('GIR Log'!$A$2:$A$72=$A1035)*
      ('GIR Log'!$B$2:$B$72=$B1035)*
      ('GIR Log'!$C$2:$C$72=$C1035),
    0),
    MATCH($G1035,'GIR Log'!$E$1:$V$1,0)
  ),
"")</f>
        <v>↑</v>
      </c>
    </row>
    <row r="1036" spans="1:17" x14ac:dyDescent="0.25">
      <c r="A1036" s="51" t="s">
        <v>130</v>
      </c>
      <c r="B1036" s="2">
        <v>45655</v>
      </c>
      <c r="C1036" t="s">
        <v>4</v>
      </c>
      <c r="D1036" t="s">
        <v>71</v>
      </c>
      <c r="E1036" s="51" t="s">
        <v>34</v>
      </c>
      <c r="F1036">
        <v>91</v>
      </c>
      <c r="G1036" t="s">
        <v>55</v>
      </c>
      <c r="H1036" s="9">
        <f t="shared" si="66"/>
        <v>9</v>
      </c>
      <c r="I1036" cm="1">
        <f t="array" ref="I1036">IFERROR(INDEX(CourseYardages[[Hole 1]:[Hole 18]],
  MATCH(1, (CourseYardages[Course]=C1036)*(CourseYardages[Tees]=E1036), 0),
  MATCH(G1036, CourseYardages[[#Headers],[Hole 1]:[Hole 18]], 0)
),"")</f>
        <v>496</v>
      </c>
      <c r="J1036" cm="1">
        <f t="array" ref="J1036">IFERROR(INDEX(CourseHandicap[[Hole 1]:[Hole 18]],
  MATCH(1, (CourseHandicap[Course]=C1036)*(CourseHandicap[Tees]=E1036), 0),
  MATCH(G1036, CourseHandicap[[#Headers],[Hole 1]:[Hole 18]], 0)
),"")</f>
        <v>11</v>
      </c>
      <c r="K1036" cm="1">
        <f t="array" ref="K1036">IFERROR(INDEX(CourseRatings[[Hole 1]:[Hole 18]],
  MATCH(1, (CourseRatings[Course]=C1036)*(CourseRatings[Tees]=E1036), 0),
  MATCH(G1036, CourseRatings[[#Headers],[Hole 1]:[Hole 18]], 0)
),"")</f>
        <v>5</v>
      </c>
      <c r="L1036" cm="1">
        <f t="array" ref="L1036">IFERROR(
  INDEX('Golf Log'!$E$2:$V$72,
    MATCH(1,
      ('Golf Log'!$A$2:$A$72=$A1036)*
      ('Golf Log'!$B$2:$B$72=$B1036)*
      ('Golf Log'!$C$2:$C$72=$C1036),
    0),
    MATCH($G1036,'Golf Log'!$E$1:$V$1,0)
  ),
"")</f>
        <v>6</v>
      </c>
      <c r="M1036">
        <f t="shared" si="67"/>
        <v>1</v>
      </c>
      <c r="N1036" t="str">
        <f t="shared" si="68"/>
        <v>Bogey</v>
      </c>
      <c r="O1036" cm="1">
        <f t="array" ref="O1036">IFERROR(
  INDEX('Putt Log'!$E$2:$V$72,
    MATCH(1,
      ('Putt Log'!$A$2:$A$72=$A1036)*
      ('Putt Log'!$B$2:$B$72=$B1036)*
      ('Putt Log'!$C$2:$C$72=$C1036),
    0),
    MATCH($G1036,'Putt Log'!$E$1:$V$1,0)
  ),
"")</f>
        <v>1</v>
      </c>
      <c r="P1036" t="str" cm="1">
        <f t="array" ref="P1036">IF(K1036=3,"",
  IFERROR(
    INDEX('Fairway Log'!$E$2:$V$72,
      MATCH(1,
        ('Fairway Log'!$A$2:$A$72=$A1036)*
        ('Fairway Log'!$B$2:$B$72=$B1036)*
        ('Fairway Log'!$C$2:$C1107=$C1036),
      0),
      MATCH($G1036,'Fairway Log'!$E$1:$V$1,0)
    ),
  "")
)</f>
        <v>↓</v>
      </c>
      <c r="Q1036" t="str" cm="1">
        <f t="array" ref="Q1036">IFERROR(
  INDEX('GIR Log'!$E$2:$V$72,
    MATCH(1,
      ('GIR Log'!$A$2:$A$72=$A1036)*
      ('GIR Log'!$B$2:$B$72=$B1036)*
      ('GIR Log'!$C$2:$C$72=$C1036),
    0),
    MATCH($G1036,'GIR Log'!$E$1:$V$1,0)
  ),
"")</f>
        <v>↓</v>
      </c>
    </row>
    <row r="1037" spans="1:17" x14ac:dyDescent="0.25">
      <c r="A1037" s="51" t="s">
        <v>130</v>
      </c>
      <c r="B1037" s="2">
        <v>45655</v>
      </c>
      <c r="C1037" t="s">
        <v>4</v>
      </c>
      <c r="D1037" t="s">
        <v>71</v>
      </c>
      <c r="E1037" s="51" t="s">
        <v>34</v>
      </c>
      <c r="F1037">
        <v>91</v>
      </c>
      <c r="G1037" t="s">
        <v>56</v>
      </c>
      <c r="H1037" s="9">
        <f t="shared" si="66"/>
        <v>10</v>
      </c>
      <c r="I1037" cm="1">
        <f t="array" ref="I1037">IFERROR(INDEX(CourseYardages[[Hole 1]:[Hole 18]],
  MATCH(1, (CourseYardages[Course]=C1037)*(CourseYardages[Tees]=E1037), 0),
  MATCH(G1037, CourseYardages[[#Headers],[Hole 1]:[Hole 18]], 0)
),"")</f>
        <v>369</v>
      </c>
      <c r="J1037" cm="1">
        <f t="array" ref="J1037">IFERROR(INDEX(CourseHandicap[[Hole 1]:[Hole 18]],
  MATCH(1, (CourseHandicap[Course]=C1037)*(CourseHandicap[Tees]=E1037), 0),
  MATCH(G1037, CourseHandicap[[#Headers],[Hole 1]:[Hole 18]], 0)
),"")</f>
        <v>2</v>
      </c>
      <c r="K1037" cm="1">
        <f t="array" ref="K1037">IFERROR(INDEX(CourseRatings[[Hole 1]:[Hole 18]],
  MATCH(1, (CourseRatings[Course]=C1037)*(CourseRatings[Tees]=E1037), 0),
  MATCH(G1037, CourseRatings[[#Headers],[Hole 1]:[Hole 18]], 0)
),"")</f>
        <v>4</v>
      </c>
      <c r="L1037" cm="1">
        <f t="array" ref="L1037">IFERROR(
  INDEX('Golf Log'!$E$2:$V$72,
    MATCH(1,
      ('Golf Log'!$A$2:$A$72=$A1037)*
      ('Golf Log'!$B$2:$B$72=$B1037)*
      ('Golf Log'!$C$2:$C$72=$C1037),
    0),
    MATCH($G1037,'Golf Log'!$E$1:$V$1,0)
  ),
"")</f>
        <v>6</v>
      </c>
      <c r="M1037">
        <f t="shared" si="67"/>
        <v>2</v>
      </c>
      <c r="N1037" t="str">
        <f t="shared" si="68"/>
        <v>Double Bogey</v>
      </c>
      <c r="O1037" cm="1">
        <f t="array" ref="O1037">IFERROR(
  INDEX('Putt Log'!$E$2:$V$72,
    MATCH(1,
      ('Putt Log'!$A$2:$A$72=$A1037)*
      ('Putt Log'!$B$2:$B$72=$B1037)*
      ('Putt Log'!$C$2:$C$72=$C1037),
    0),
    MATCH($G1037,'Putt Log'!$E$1:$V$1,0)
  ),
"")</f>
        <v>3</v>
      </c>
      <c r="P1037" cm="1">
        <f t="array" ref="P1037">IF(K1037=3,"",
  IFERROR(
    INDEX('Fairway Log'!$E$2:$V$72,
      MATCH(1,
        ('Fairway Log'!$A$2:$A$72=$A1037)*
        ('Fairway Log'!$B$2:$B$72=$B1037)*
        ('Fairway Log'!$C$2:$C1108=$C1037),
      0),
      MATCH($G1037,'Fairway Log'!$E$1:$V$1,0)
    ),
  "")
)</f>
        <v>1</v>
      </c>
      <c r="Q1037" t="str" cm="1">
        <f t="array" ref="Q1037">IFERROR(
  INDEX('GIR Log'!$E$2:$V$72,
    MATCH(1,
      ('GIR Log'!$A$2:$A$72=$A1037)*
      ('GIR Log'!$B$2:$B$72=$B1037)*
      ('GIR Log'!$C$2:$C$72=$C1037),
    0),
    MATCH($G1037,'GIR Log'!$E$1:$V$1,0)
  ),
"")</f>
        <v>↓</v>
      </c>
    </row>
    <row r="1038" spans="1:17" x14ac:dyDescent="0.25">
      <c r="A1038" s="51" t="s">
        <v>130</v>
      </c>
      <c r="B1038" s="2">
        <v>45655</v>
      </c>
      <c r="C1038" t="s">
        <v>4</v>
      </c>
      <c r="D1038" t="s">
        <v>71</v>
      </c>
      <c r="E1038" s="51" t="s">
        <v>34</v>
      </c>
      <c r="F1038">
        <v>91</v>
      </c>
      <c r="G1038" t="s">
        <v>57</v>
      </c>
      <c r="H1038" s="9">
        <f t="shared" si="66"/>
        <v>11</v>
      </c>
      <c r="I1038" cm="1">
        <f t="array" ref="I1038">IFERROR(INDEX(CourseYardages[[Hole 1]:[Hole 18]],
  MATCH(1, (CourseYardages[Course]=C1038)*(CourseYardages[Tees]=E1038), 0),
  MATCH(G1038, CourseYardages[[#Headers],[Hole 1]:[Hole 18]], 0)
),"")</f>
        <v>571</v>
      </c>
      <c r="J1038" cm="1">
        <f t="array" ref="J1038">IFERROR(INDEX(CourseHandicap[[Hole 1]:[Hole 18]],
  MATCH(1, (CourseHandicap[Course]=C1038)*(CourseHandicap[Tees]=E1038), 0),
  MATCH(G1038, CourseHandicap[[#Headers],[Hole 1]:[Hole 18]], 0)
),"")</f>
        <v>8</v>
      </c>
      <c r="K1038" cm="1">
        <f t="array" ref="K1038">IFERROR(INDEX(CourseRatings[[Hole 1]:[Hole 18]],
  MATCH(1, (CourseRatings[Course]=C1038)*(CourseRatings[Tees]=E1038), 0),
  MATCH(G1038, CourseRatings[[#Headers],[Hole 1]:[Hole 18]], 0)
),"")</f>
        <v>5</v>
      </c>
      <c r="L1038" cm="1">
        <f t="array" ref="L1038">IFERROR(
  INDEX('Golf Log'!$E$2:$V$72,
    MATCH(1,
      ('Golf Log'!$A$2:$A$72=$A1038)*
      ('Golf Log'!$B$2:$B$72=$B1038)*
      ('Golf Log'!$C$2:$C$72=$C1038),
    0),
    MATCH($G1038,'Golf Log'!$E$1:$V$1,0)
  ),
"")</f>
        <v>7</v>
      </c>
      <c r="M1038">
        <f t="shared" si="67"/>
        <v>2</v>
      </c>
      <c r="N1038" t="str">
        <f t="shared" si="68"/>
        <v>Double Bogey</v>
      </c>
      <c r="O1038" cm="1">
        <f t="array" ref="O1038">IFERROR(
  INDEX('Putt Log'!$E$2:$V$72,
    MATCH(1,
      ('Putt Log'!$A$2:$A$72=$A1038)*
      ('Putt Log'!$B$2:$B$72=$B1038)*
      ('Putt Log'!$C$2:$C$72=$C1038),
    0),
    MATCH($G1038,'Putt Log'!$E$1:$V$1,0)
  ),
"")</f>
        <v>3</v>
      </c>
      <c r="P1038" t="str" cm="1">
        <f t="array" ref="P1038">IF(K1038=3,"",
  IFERROR(
    INDEX('Fairway Log'!$E$2:$V$72,
      MATCH(1,
        ('Fairway Log'!$A$2:$A$72=$A1038)*
        ('Fairway Log'!$B$2:$B$72=$B1038)*
        ('Fairway Log'!$C$2:$C1109=$C1038),
      0),
      MATCH($G1038,'Fairway Log'!$E$1:$V$1,0)
    ),
  "")
)</f>
        <v>→</v>
      </c>
      <c r="Q1038" t="str" cm="1">
        <f t="array" ref="Q1038">IFERROR(
  INDEX('GIR Log'!$E$2:$V$72,
    MATCH(1,
      ('GIR Log'!$A$2:$A$72=$A1038)*
      ('GIR Log'!$B$2:$B$72=$B1038)*
      ('GIR Log'!$C$2:$C$72=$C1038),
    0),
    MATCH($G1038,'GIR Log'!$E$1:$V$1,0)
  ),
"")</f>
        <v>↓</v>
      </c>
    </row>
    <row r="1039" spans="1:17" x14ac:dyDescent="0.25">
      <c r="A1039" s="51" t="s">
        <v>130</v>
      </c>
      <c r="B1039" s="2">
        <v>45655</v>
      </c>
      <c r="C1039" t="s">
        <v>4</v>
      </c>
      <c r="D1039" t="s">
        <v>71</v>
      </c>
      <c r="E1039" s="51" t="s">
        <v>34</v>
      </c>
      <c r="F1039">
        <v>91</v>
      </c>
      <c r="G1039" t="s">
        <v>58</v>
      </c>
      <c r="H1039" s="9">
        <f t="shared" si="66"/>
        <v>12</v>
      </c>
      <c r="I1039" cm="1">
        <f t="array" ref="I1039">IFERROR(INDEX(CourseYardages[[Hole 1]:[Hole 18]],
  MATCH(1, (CourseYardages[Course]=C1039)*(CourseYardages[Tees]=E1039), 0),
  MATCH(G1039, CourseYardages[[#Headers],[Hole 1]:[Hole 18]], 0)
),"")</f>
        <v>367</v>
      </c>
      <c r="J1039" cm="1">
        <f t="array" ref="J1039">IFERROR(INDEX(CourseHandicap[[Hole 1]:[Hole 18]],
  MATCH(1, (CourseHandicap[Course]=C1039)*(CourseHandicap[Tees]=E1039), 0),
  MATCH(G1039, CourseHandicap[[#Headers],[Hole 1]:[Hole 18]], 0)
),"")</f>
        <v>6</v>
      </c>
      <c r="K1039" cm="1">
        <f t="array" ref="K1039">IFERROR(INDEX(CourseRatings[[Hole 1]:[Hole 18]],
  MATCH(1, (CourseRatings[Course]=C1039)*(CourseRatings[Tees]=E1039), 0),
  MATCH(G1039, CourseRatings[[#Headers],[Hole 1]:[Hole 18]], 0)
),"")</f>
        <v>4</v>
      </c>
      <c r="L1039" cm="1">
        <f t="array" ref="L1039">IFERROR(
  INDEX('Golf Log'!$E$2:$V$72,
    MATCH(1,
      ('Golf Log'!$A$2:$A$72=$A1039)*
      ('Golf Log'!$B$2:$B$72=$B1039)*
      ('Golf Log'!$C$2:$C$72=$C1039),
    0),
    MATCH($G1039,'Golf Log'!$E$1:$V$1,0)
  ),
"")</f>
        <v>6</v>
      </c>
      <c r="M1039">
        <f t="shared" si="67"/>
        <v>2</v>
      </c>
      <c r="N1039" t="str">
        <f t="shared" si="68"/>
        <v>Double Bogey</v>
      </c>
      <c r="O1039" cm="1">
        <f t="array" ref="O1039">IFERROR(
  INDEX('Putt Log'!$E$2:$V$72,
    MATCH(1,
      ('Putt Log'!$A$2:$A$72=$A1039)*
      ('Putt Log'!$B$2:$B$72=$B1039)*
      ('Putt Log'!$C$2:$C$72=$C1039),
    0),
    MATCH($G1039,'Putt Log'!$E$1:$V$1,0)
  ),
"")</f>
        <v>2</v>
      </c>
      <c r="P1039" t="str" cm="1">
        <f t="array" ref="P1039">IF(K1039=3,"",
  IFERROR(
    INDEX('Fairway Log'!$E$2:$V$72,
      MATCH(1,
        ('Fairway Log'!$A$2:$A$72=$A1039)*
        ('Fairway Log'!$B$2:$B$72=$B1039)*
        ('Fairway Log'!$C$2:$C1110=$C1039),
      0),
      MATCH($G1039,'Fairway Log'!$E$1:$V$1,0)
    ),
  "")
)</f>
        <v>←</v>
      </c>
      <c r="Q1039" t="str" cm="1">
        <f t="array" ref="Q1039">IFERROR(
  INDEX('GIR Log'!$E$2:$V$72,
    MATCH(1,
      ('GIR Log'!$A$2:$A$72=$A1039)*
      ('GIR Log'!$B$2:$B$72=$B1039)*
      ('GIR Log'!$C$2:$C$72=$C1039),
    0),
    MATCH($G1039,'GIR Log'!$E$1:$V$1,0)
  ),
"")</f>
        <v>←</v>
      </c>
    </row>
    <row r="1040" spans="1:17" x14ac:dyDescent="0.25">
      <c r="A1040" s="51" t="s">
        <v>130</v>
      </c>
      <c r="B1040" s="2">
        <v>45655</v>
      </c>
      <c r="C1040" t="s">
        <v>4</v>
      </c>
      <c r="D1040" t="s">
        <v>71</v>
      </c>
      <c r="E1040" s="51" t="s">
        <v>34</v>
      </c>
      <c r="F1040">
        <v>91</v>
      </c>
      <c r="G1040" t="s">
        <v>59</v>
      </c>
      <c r="H1040" s="9">
        <f t="shared" ref="H1040:H1081" si="69">VALUE(RIGHT(G1040, LEN(G1040) - 5))</f>
        <v>13</v>
      </c>
      <c r="I1040" cm="1">
        <f t="array" ref="I1040">IFERROR(INDEX(CourseYardages[[Hole 1]:[Hole 18]],
  MATCH(1, (CourseYardages[Course]=C1040)*(CourseYardages[Tees]=E1040), 0),
  MATCH(G1040, CourseYardages[[#Headers],[Hole 1]:[Hole 18]], 0)
),"")</f>
        <v>139</v>
      </c>
      <c r="J1040" cm="1">
        <f t="array" ref="J1040">IFERROR(INDEX(CourseHandicap[[Hole 1]:[Hole 18]],
  MATCH(1, (CourseHandicap[Course]=C1040)*(CourseHandicap[Tees]=E1040), 0),
  MATCH(G1040, CourseHandicap[[#Headers],[Hole 1]:[Hole 18]], 0)
),"")</f>
        <v>18</v>
      </c>
      <c r="K1040" cm="1">
        <f t="array" ref="K1040">IFERROR(INDEX(CourseRatings[[Hole 1]:[Hole 18]],
  MATCH(1, (CourseRatings[Course]=C1040)*(CourseRatings[Tees]=E1040), 0),
  MATCH(G1040, CourseRatings[[#Headers],[Hole 1]:[Hole 18]], 0)
),"")</f>
        <v>3</v>
      </c>
      <c r="L1040" cm="1">
        <f t="array" ref="L1040">IFERROR(
  INDEX('Golf Log'!$E$2:$V$72,
    MATCH(1,
      ('Golf Log'!$A$2:$A$72=$A1040)*
      ('Golf Log'!$B$2:$B$72=$B1040)*
      ('Golf Log'!$C$2:$C$72=$C1040),
    0),
    MATCH($G1040,'Golf Log'!$E$1:$V$1,0)
  ),
"")</f>
        <v>4</v>
      </c>
      <c r="M1040">
        <f t="shared" ref="M1040:M1081" si="70">IFERROR(L1040-K1040,"")</f>
        <v>1</v>
      </c>
      <c r="N1040" t="str">
        <f t="shared" ref="N1040:N1081" si="71">IF(M1040="","",(IF(M1040=-2,"Eagle",IF(M1040=-1,"Birdie",IF(M1040=0,"Par",IF(M1040=1,"Bogey",IF(M1040=2,"Double Bogey",IF(M1040=3,"Triple Bogey",IF(M1040&gt;3,"Quad Bogey+")))))))))</f>
        <v>Bogey</v>
      </c>
      <c r="O1040" cm="1">
        <f t="array" ref="O1040">IFERROR(
  INDEX('Putt Log'!$E$2:$V$72,
    MATCH(1,
      ('Putt Log'!$A$2:$A$72=$A1040)*
      ('Putt Log'!$B$2:$B$72=$B1040)*
      ('Putt Log'!$C$2:$C$72=$C1040),
    0),
    MATCH($G1040,'Putt Log'!$E$1:$V$1,0)
  ),
"")</f>
        <v>2</v>
      </c>
      <c r="P1040" t="str" cm="1">
        <f t="array" ref="P1040">IF(K1040=3,"",
  IFERROR(
    INDEX('Fairway Log'!$E$2:$V$72,
      MATCH(1,
        ('Fairway Log'!$A$2:$A$72=$A1040)*
        ('Fairway Log'!$B$2:$B$72=$B1040)*
        ('Fairway Log'!$C$2:$C1111=$C1040),
      0),
      MATCH($G1040,'Fairway Log'!$E$1:$V$1,0)
    ),
  "")
)</f>
        <v/>
      </c>
      <c r="Q1040" t="str" cm="1">
        <f t="array" ref="Q1040">IFERROR(
  INDEX('GIR Log'!$E$2:$V$72,
    MATCH(1,
      ('GIR Log'!$A$2:$A$72=$A1040)*
      ('GIR Log'!$B$2:$B$72=$B1040)*
      ('GIR Log'!$C$2:$C$72=$C1040),
    0),
    MATCH($G1040,'GIR Log'!$E$1:$V$1,0)
  ),
"")</f>
        <v>↑</v>
      </c>
    </row>
    <row r="1041" spans="1:17" x14ac:dyDescent="0.25">
      <c r="A1041" s="51" t="s">
        <v>130</v>
      </c>
      <c r="B1041" s="2">
        <v>45655</v>
      </c>
      <c r="C1041" t="s">
        <v>4</v>
      </c>
      <c r="D1041" t="s">
        <v>71</v>
      </c>
      <c r="E1041" s="51" t="s">
        <v>34</v>
      </c>
      <c r="F1041">
        <v>91</v>
      </c>
      <c r="G1041" t="s">
        <v>60</v>
      </c>
      <c r="H1041" s="9">
        <f t="shared" si="69"/>
        <v>14</v>
      </c>
      <c r="I1041" cm="1">
        <f t="array" ref="I1041">IFERROR(INDEX(CourseYardages[[Hole 1]:[Hole 18]],
  MATCH(1, (CourseYardages[Course]=C1041)*(CourseYardages[Tees]=E1041), 0),
  MATCH(G1041, CourseYardages[[#Headers],[Hole 1]:[Hole 18]], 0)
),"")</f>
        <v>368</v>
      </c>
      <c r="J1041" cm="1">
        <f t="array" ref="J1041">IFERROR(INDEX(CourseHandicap[[Hole 1]:[Hole 18]],
  MATCH(1, (CourseHandicap[Course]=C1041)*(CourseHandicap[Tees]=E1041), 0),
  MATCH(G1041, CourseHandicap[[#Headers],[Hole 1]:[Hole 18]], 0)
),"")</f>
        <v>10</v>
      </c>
      <c r="K1041" cm="1">
        <f t="array" ref="K1041">IFERROR(INDEX(CourseRatings[[Hole 1]:[Hole 18]],
  MATCH(1, (CourseRatings[Course]=C1041)*(CourseRatings[Tees]=E1041), 0),
  MATCH(G1041, CourseRatings[[#Headers],[Hole 1]:[Hole 18]], 0)
),"")</f>
        <v>4</v>
      </c>
      <c r="L1041" cm="1">
        <f t="array" ref="L1041">IFERROR(
  INDEX('Golf Log'!$E$2:$V$72,
    MATCH(1,
      ('Golf Log'!$A$2:$A$72=$A1041)*
      ('Golf Log'!$B$2:$B$72=$B1041)*
      ('Golf Log'!$C$2:$C$72=$C1041),
    0),
    MATCH($G1041,'Golf Log'!$E$1:$V$1,0)
  ),
"")</f>
        <v>5</v>
      </c>
      <c r="M1041">
        <f t="shared" si="70"/>
        <v>1</v>
      </c>
      <c r="N1041" t="str">
        <f t="shared" si="71"/>
        <v>Bogey</v>
      </c>
      <c r="O1041" cm="1">
        <f t="array" ref="O1041">IFERROR(
  INDEX('Putt Log'!$E$2:$V$72,
    MATCH(1,
      ('Putt Log'!$A$2:$A$72=$A1041)*
      ('Putt Log'!$B$2:$B$72=$B1041)*
      ('Putt Log'!$C$2:$C$72=$C1041),
    0),
    MATCH($G1041,'Putt Log'!$E$1:$V$1,0)
  ),
"")</f>
        <v>2</v>
      </c>
      <c r="P1041" t="str" cm="1">
        <f t="array" ref="P1041">IF(K1041=3,"",
  IFERROR(
    INDEX('Fairway Log'!$E$2:$V$72,
      MATCH(1,
        ('Fairway Log'!$A$2:$A$72=$A1041)*
        ('Fairway Log'!$B$2:$B$72=$B1041)*
        ('Fairway Log'!$C$2:$C1112=$C1041),
      0),
      MATCH($G1041,'Fairway Log'!$E$1:$V$1,0)
    ),
  "")
)</f>
        <v>←</v>
      </c>
      <c r="Q1041" t="str" cm="1">
        <f t="array" ref="Q1041">IFERROR(
  INDEX('GIR Log'!$E$2:$V$72,
    MATCH(1,
      ('GIR Log'!$A$2:$A$72=$A1041)*
      ('GIR Log'!$B$2:$B$72=$B1041)*
      ('GIR Log'!$C$2:$C$72=$C1041),
    0),
    MATCH($G1041,'GIR Log'!$E$1:$V$1,0)
  ),
"")</f>
        <v>↓</v>
      </c>
    </row>
    <row r="1042" spans="1:17" x14ac:dyDescent="0.25">
      <c r="A1042" s="51" t="s">
        <v>130</v>
      </c>
      <c r="B1042" s="2">
        <v>45655</v>
      </c>
      <c r="C1042" t="s">
        <v>4</v>
      </c>
      <c r="D1042" t="s">
        <v>71</v>
      </c>
      <c r="E1042" s="51" t="s">
        <v>34</v>
      </c>
      <c r="F1042">
        <v>91</v>
      </c>
      <c r="G1042" t="s">
        <v>61</v>
      </c>
      <c r="H1042" s="9">
        <f t="shared" si="69"/>
        <v>15</v>
      </c>
      <c r="I1042" cm="1">
        <f t="array" ref="I1042">IFERROR(INDEX(CourseYardages[[Hole 1]:[Hole 18]],
  MATCH(1, (CourseYardages[Course]=C1042)*(CourseYardages[Tees]=E1042), 0),
  MATCH(G1042, CourseYardages[[#Headers],[Hole 1]:[Hole 18]], 0)
),"")</f>
        <v>395</v>
      </c>
      <c r="J1042" cm="1">
        <f t="array" ref="J1042">IFERROR(INDEX(CourseHandicap[[Hole 1]:[Hole 18]],
  MATCH(1, (CourseHandicap[Course]=C1042)*(CourseHandicap[Tees]=E1042), 0),
  MATCH(G1042, CourseHandicap[[#Headers],[Hole 1]:[Hole 18]], 0)
),"")</f>
        <v>4</v>
      </c>
      <c r="K1042" cm="1">
        <f t="array" ref="K1042">IFERROR(INDEX(CourseRatings[[Hole 1]:[Hole 18]],
  MATCH(1, (CourseRatings[Course]=C1042)*(CourseRatings[Tees]=E1042), 0),
  MATCH(G1042, CourseRatings[[#Headers],[Hole 1]:[Hole 18]], 0)
),"")</f>
        <v>4</v>
      </c>
      <c r="L1042" cm="1">
        <f t="array" ref="L1042">IFERROR(
  INDEX('Golf Log'!$E$2:$V$72,
    MATCH(1,
      ('Golf Log'!$A$2:$A$72=$A1042)*
      ('Golf Log'!$B$2:$B$72=$B1042)*
      ('Golf Log'!$C$2:$C$72=$C1042),
    0),
    MATCH($G1042,'Golf Log'!$E$1:$V$1,0)
  ),
"")</f>
        <v>6</v>
      </c>
      <c r="M1042">
        <f t="shared" si="70"/>
        <v>2</v>
      </c>
      <c r="N1042" t="str">
        <f t="shared" si="71"/>
        <v>Double Bogey</v>
      </c>
      <c r="O1042" cm="1">
        <f t="array" ref="O1042">IFERROR(
  INDEX('Putt Log'!$E$2:$V$72,
    MATCH(1,
      ('Putt Log'!$A$2:$A$72=$A1042)*
      ('Putt Log'!$B$2:$B$72=$B1042)*
      ('Putt Log'!$C$2:$C$72=$C1042),
    0),
    MATCH($G1042,'Putt Log'!$E$1:$V$1,0)
  ),
"")</f>
        <v>2</v>
      </c>
      <c r="P1042" cm="1">
        <f t="array" ref="P1042">IF(K1042=3,"",
  IFERROR(
    INDEX('Fairway Log'!$E$2:$V$72,
      MATCH(1,
        ('Fairway Log'!$A$2:$A$72=$A1042)*
        ('Fairway Log'!$B$2:$B$72=$B1042)*
        ('Fairway Log'!$C$2:$C1113=$C1042),
      0),
      MATCH($G1042,'Fairway Log'!$E$1:$V$1,0)
    ),
  "")
)</f>
        <v>1</v>
      </c>
      <c r="Q1042" t="str" cm="1">
        <f t="array" ref="Q1042">IFERROR(
  INDEX('GIR Log'!$E$2:$V$72,
    MATCH(1,
      ('GIR Log'!$A$2:$A$72=$A1042)*
      ('GIR Log'!$B$2:$B$72=$B1042)*
      ('GIR Log'!$C$2:$C$72=$C1042),
    0),
    MATCH($G1042,'GIR Log'!$E$1:$V$1,0)
  ),
"")</f>
        <v>↓</v>
      </c>
    </row>
    <row r="1043" spans="1:17" x14ac:dyDescent="0.25">
      <c r="A1043" s="51" t="s">
        <v>130</v>
      </c>
      <c r="B1043" s="2">
        <v>45655</v>
      </c>
      <c r="C1043" t="s">
        <v>4</v>
      </c>
      <c r="D1043" t="s">
        <v>71</v>
      </c>
      <c r="E1043" s="51" t="s">
        <v>34</v>
      </c>
      <c r="F1043">
        <v>91</v>
      </c>
      <c r="G1043" t="s">
        <v>62</v>
      </c>
      <c r="H1043" s="9">
        <f t="shared" si="69"/>
        <v>16</v>
      </c>
      <c r="I1043" cm="1">
        <f t="array" ref="I1043">IFERROR(INDEX(CourseYardages[[Hole 1]:[Hole 18]],
  MATCH(1, (CourseYardages[Course]=C1043)*(CourseYardages[Tees]=E1043), 0),
  MATCH(G1043, CourseYardages[[#Headers],[Hole 1]:[Hole 18]], 0)
),"")</f>
        <v>150</v>
      </c>
      <c r="J1043" cm="1">
        <f t="array" ref="J1043">IFERROR(INDEX(CourseHandicap[[Hole 1]:[Hole 18]],
  MATCH(1, (CourseHandicap[Course]=C1043)*(CourseHandicap[Tees]=E1043), 0),
  MATCH(G1043, CourseHandicap[[#Headers],[Hole 1]:[Hole 18]], 0)
),"")</f>
        <v>14</v>
      </c>
      <c r="K1043" cm="1">
        <f t="array" ref="K1043">IFERROR(INDEX(CourseRatings[[Hole 1]:[Hole 18]],
  MATCH(1, (CourseRatings[Course]=C1043)*(CourseRatings[Tees]=E1043), 0),
  MATCH(G1043, CourseRatings[[#Headers],[Hole 1]:[Hole 18]], 0)
),"")</f>
        <v>3</v>
      </c>
      <c r="L1043" cm="1">
        <f t="array" ref="L1043">IFERROR(
  INDEX('Golf Log'!$E$2:$V$72,
    MATCH(1,
      ('Golf Log'!$A$2:$A$72=$A1043)*
      ('Golf Log'!$B$2:$B$72=$B1043)*
      ('Golf Log'!$C$2:$C$72=$C1043),
    0),
    MATCH($G1043,'Golf Log'!$E$1:$V$1,0)
  ),
"")</f>
        <v>4</v>
      </c>
      <c r="M1043">
        <f t="shared" si="70"/>
        <v>1</v>
      </c>
      <c r="N1043" t="str">
        <f t="shared" si="71"/>
        <v>Bogey</v>
      </c>
      <c r="O1043" cm="1">
        <f t="array" ref="O1043">IFERROR(
  INDEX('Putt Log'!$E$2:$V$72,
    MATCH(1,
      ('Putt Log'!$A$2:$A$72=$A1043)*
      ('Putt Log'!$B$2:$B$72=$B1043)*
      ('Putt Log'!$C$2:$C$72=$C1043),
    0),
    MATCH($G1043,'Putt Log'!$E$1:$V$1,0)
  ),
"")</f>
        <v>2</v>
      </c>
      <c r="P1043" t="str" cm="1">
        <f t="array" ref="P1043">IF(K1043=3,"",
  IFERROR(
    INDEX('Fairway Log'!$E$2:$V$72,
      MATCH(1,
        ('Fairway Log'!$A$2:$A$72=$A1043)*
        ('Fairway Log'!$B$2:$B$72=$B1043)*
        ('Fairway Log'!$C$2:$C1114=$C1043),
      0),
      MATCH($G1043,'Fairway Log'!$E$1:$V$1,0)
    ),
  "")
)</f>
        <v/>
      </c>
      <c r="Q1043" t="str" cm="1">
        <f t="array" ref="Q1043">IFERROR(
  INDEX('GIR Log'!$E$2:$V$72,
    MATCH(1,
      ('GIR Log'!$A$2:$A$72=$A1043)*
      ('GIR Log'!$B$2:$B$72=$B1043)*
      ('GIR Log'!$C$2:$C$72=$C1043),
    0),
    MATCH($G1043,'GIR Log'!$E$1:$V$1,0)
  ),
"")</f>
        <v>↑</v>
      </c>
    </row>
    <row r="1044" spans="1:17" x14ac:dyDescent="0.25">
      <c r="A1044" s="51" t="s">
        <v>130</v>
      </c>
      <c r="B1044" s="2">
        <v>45655</v>
      </c>
      <c r="C1044" t="s">
        <v>4</v>
      </c>
      <c r="D1044" t="s">
        <v>71</v>
      </c>
      <c r="E1044" s="51" t="s">
        <v>34</v>
      </c>
      <c r="F1044">
        <v>91</v>
      </c>
      <c r="G1044" t="s">
        <v>63</v>
      </c>
      <c r="H1044" s="9">
        <f t="shared" si="69"/>
        <v>17</v>
      </c>
      <c r="I1044" cm="1">
        <f t="array" ref="I1044">IFERROR(INDEX(CourseYardages[[Hole 1]:[Hole 18]],
  MATCH(1, (CourseYardages[Course]=C1044)*(CourseYardages[Tees]=E1044), 0),
  MATCH(G1044, CourseYardages[[#Headers],[Hole 1]:[Hole 18]], 0)
),"")</f>
        <v>300</v>
      </c>
      <c r="J1044" cm="1">
        <f t="array" ref="J1044">IFERROR(INDEX(CourseHandicap[[Hole 1]:[Hole 18]],
  MATCH(1, (CourseHandicap[Course]=C1044)*(CourseHandicap[Tees]=E1044), 0),
  MATCH(G1044, CourseHandicap[[#Headers],[Hole 1]:[Hole 18]], 0)
),"")</f>
        <v>16</v>
      </c>
      <c r="K1044" cm="1">
        <f t="array" ref="K1044">IFERROR(INDEX(CourseRatings[[Hole 1]:[Hole 18]],
  MATCH(1, (CourseRatings[Course]=C1044)*(CourseRatings[Tees]=E1044), 0),
  MATCH(G1044, CourseRatings[[#Headers],[Hole 1]:[Hole 18]], 0)
),"")</f>
        <v>4</v>
      </c>
      <c r="L1044" cm="1">
        <f t="array" ref="L1044">IFERROR(
  INDEX('Golf Log'!$E$2:$V$72,
    MATCH(1,
      ('Golf Log'!$A$2:$A$72=$A1044)*
      ('Golf Log'!$B$2:$B$72=$B1044)*
      ('Golf Log'!$C$2:$C$72=$C1044),
    0),
    MATCH($G1044,'Golf Log'!$E$1:$V$1,0)
  ),
"")</f>
        <v>5</v>
      </c>
      <c r="M1044">
        <f t="shared" si="70"/>
        <v>1</v>
      </c>
      <c r="N1044" t="str">
        <f t="shared" si="71"/>
        <v>Bogey</v>
      </c>
      <c r="O1044" cm="1">
        <f t="array" ref="O1044">IFERROR(
  INDEX('Putt Log'!$E$2:$V$72,
    MATCH(1,
      ('Putt Log'!$A$2:$A$72=$A1044)*
      ('Putt Log'!$B$2:$B$72=$B1044)*
      ('Putt Log'!$C$2:$C$72=$C1044),
    0),
    MATCH($G1044,'Putt Log'!$E$1:$V$1,0)
  ),
"")</f>
        <v>2</v>
      </c>
      <c r="P1044" t="str" cm="1">
        <f t="array" ref="P1044">IF(K1044=3,"",
  IFERROR(
    INDEX('Fairway Log'!$E$2:$V$72,
      MATCH(1,
        ('Fairway Log'!$A$2:$A$72=$A1044)*
        ('Fairway Log'!$B$2:$B$72=$B1044)*
        ('Fairway Log'!$C$2:$C1115=$C1044),
      0),
      MATCH($G1044,'Fairway Log'!$E$1:$V$1,0)
    ),
  "")
)</f>
        <v>←</v>
      </c>
      <c r="Q1044" t="str" cm="1">
        <f t="array" ref="Q1044">IFERROR(
  INDEX('GIR Log'!$E$2:$V$72,
    MATCH(1,
      ('GIR Log'!$A$2:$A$72=$A1044)*
      ('GIR Log'!$B$2:$B$72=$B1044)*
      ('GIR Log'!$C$2:$C$72=$C1044),
    0),
    MATCH($G1044,'GIR Log'!$E$1:$V$1,0)
  ),
"")</f>
        <v>↓</v>
      </c>
    </row>
    <row r="1045" spans="1:17" x14ac:dyDescent="0.25">
      <c r="A1045" s="51" t="s">
        <v>130</v>
      </c>
      <c r="B1045" s="2">
        <v>45655</v>
      </c>
      <c r="C1045" t="s">
        <v>4</v>
      </c>
      <c r="D1045" t="s">
        <v>71</v>
      </c>
      <c r="E1045" s="51" t="s">
        <v>34</v>
      </c>
      <c r="F1045">
        <v>91</v>
      </c>
      <c r="G1045" t="s">
        <v>64</v>
      </c>
      <c r="H1045" s="9">
        <f t="shared" si="69"/>
        <v>18</v>
      </c>
      <c r="I1045" cm="1">
        <f t="array" ref="I1045">IFERROR(INDEX(CourseYardages[[Hole 1]:[Hole 18]],
  MATCH(1, (CourseYardages[Course]=C1045)*(CourseYardages[Tees]=E1045), 0),
  MATCH(G1045, CourseYardages[[#Headers],[Hole 1]:[Hole 18]], 0)
),"")</f>
        <v>531</v>
      </c>
      <c r="J1045" cm="1">
        <f t="array" ref="J1045">IFERROR(INDEX(CourseHandicap[[Hole 1]:[Hole 18]],
  MATCH(1, (CourseHandicap[Course]=C1045)*(CourseHandicap[Tees]=E1045), 0),
  MATCH(G1045, CourseHandicap[[#Headers],[Hole 1]:[Hole 18]], 0)
),"")</f>
        <v>12</v>
      </c>
      <c r="K1045" cm="1">
        <f t="array" ref="K1045">IFERROR(INDEX(CourseRatings[[Hole 1]:[Hole 18]],
  MATCH(1, (CourseRatings[Course]=C1045)*(CourseRatings[Tees]=E1045), 0),
  MATCH(G1045, CourseRatings[[#Headers],[Hole 1]:[Hole 18]], 0)
),"")</f>
        <v>5</v>
      </c>
      <c r="L1045" cm="1">
        <f t="array" ref="L1045">IFERROR(
  INDEX('Golf Log'!$E$2:$V$72,
    MATCH(1,
      ('Golf Log'!$A$2:$A$72=$A1045)*
      ('Golf Log'!$B$2:$B$72=$B1045)*
      ('Golf Log'!$C$2:$C$72=$C1045),
    0),
    MATCH($G1045,'Golf Log'!$E$1:$V$1,0)
  ),
"")</f>
        <v>7</v>
      </c>
      <c r="M1045">
        <f t="shared" si="70"/>
        <v>2</v>
      </c>
      <c r="N1045" t="str">
        <f t="shared" si="71"/>
        <v>Double Bogey</v>
      </c>
      <c r="O1045" cm="1">
        <f t="array" ref="O1045">IFERROR(
  INDEX('Putt Log'!$E$2:$V$72,
    MATCH(1,
      ('Putt Log'!$A$2:$A$72=$A1045)*
      ('Putt Log'!$B$2:$B$72=$B1045)*
      ('Putt Log'!$C$2:$C$72=$C1045),
    0),
    MATCH($G1045,'Putt Log'!$E$1:$V$1,0)
  ),
"")</f>
        <v>2</v>
      </c>
      <c r="P1045" cm="1">
        <f t="array" ref="P1045">IF(K1045=3,"",
  IFERROR(
    INDEX('Fairway Log'!$E$2:$V$72,
      MATCH(1,
        ('Fairway Log'!$A$2:$A$72=$A1045)*
        ('Fairway Log'!$B$2:$B$72=$B1045)*
        ('Fairway Log'!$C$2:$C1116=$C1045),
      0),
      MATCH($G1045,'Fairway Log'!$E$1:$V$1,0)
    ),
  "")
)</f>
        <v>0</v>
      </c>
      <c r="Q1045" cm="1">
        <f t="array" ref="Q1045">IFERROR(
  INDEX('GIR Log'!$E$2:$V$72,
    MATCH(1,
      ('GIR Log'!$A$2:$A$72=$A1045)*
      ('GIR Log'!$B$2:$B$72=$B1045)*
      ('GIR Log'!$C$2:$C$72=$C1045),
    0),
    MATCH($G1045,'GIR Log'!$E$1:$V$1,0)
  ),
"")</f>
        <v>0</v>
      </c>
    </row>
    <row r="1046" spans="1:17" x14ac:dyDescent="0.25">
      <c r="A1046" s="51" t="s">
        <v>130</v>
      </c>
      <c r="B1046" s="2">
        <v>45649</v>
      </c>
      <c r="C1046" s="12" t="s">
        <v>14</v>
      </c>
      <c r="D1046" s="12" t="s">
        <v>73</v>
      </c>
      <c r="E1046" s="12" t="s">
        <v>40</v>
      </c>
      <c r="F1046">
        <v>91</v>
      </c>
      <c r="G1046" s="12" t="s">
        <v>47</v>
      </c>
      <c r="H1046" s="9">
        <f t="shared" si="69"/>
        <v>1</v>
      </c>
      <c r="I1046" cm="1">
        <f t="array" ref="I1046">IFERROR(INDEX(CourseYardages[[Hole 1]:[Hole 18]],
  MATCH(1, (CourseYardages[Course]=C1046)*(CourseYardages[Tees]=E1046), 0),
  MATCH(G1046, CourseYardages[[#Headers],[Hole 1]:[Hole 18]], 0)
),"")</f>
        <v>502</v>
      </c>
      <c r="J1046" cm="1">
        <f t="array" ref="J1046">IFERROR(INDEX(CourseHandicap[[Hole 1]:[Hole 18]],
  MATCH(1, (CourseHandicap[Course]=C1046)*(CourseHandicap[Tees]=E1046), 0),
  MATCH(G1046, CourseHandicap[[#Headers],[Hole 1]:[Hole 18]], 0)
),"")</f>
        <v>5</v>
      </c>
      <c r="K1046" cm="1">
        <f t="array" ref="K1046">IFERROR(INDEX(CourseRatings[[Hole 1]:[Hole 18]],
  MATCH(1, (CourseRatings[Course]=C1046)*(CourseRatings[Tees]=E1046), 0),
  MATCH(G1046, CourseRatings[[#Headers],[Hole 1]:[Hole 18]], 0)
),"")</f>
        <v>5</v>
      </c>
      <c r="L1046" cm="1">
        <f t="array" ref="L1046">IFERROR(
  INDEX('Golf Log'!$E$2:$V$72,
    MATCH(1,
      ('Golf Log'!$A$2:$A$72=$A1046)*
      ('Golf Log'!$B$2:$B$72=$B1046)*
      ('Golf Log'!$C$2:$C$72=$C1046),
    0),
    MATCH($G1046,'Golf Log'!$E$1:$V$1,0)
  ),
"")</f>
        <v>6</v>
      </c>
      <c r="M1046">
        <f t="shared" si="70"/>
        <v>1</v>
      </c>
      <c r="N1046" t="str">
        <f t="shared" si="71"/>
        <v>Bogey</v>
      </c>
      <c r="O1046" cm="1">
        <f t="array" ref="O1046">IFERROR(
  INDEX('Putt Log'!$E$2:$V$72,
    MATCH(1,
      ('Putt Log'!$A$2:$A$72=$A1046)*
      ('Putt Log'!$B$2:$B$72=$B1046)*
      ('Putt Log'!$C$2:$C$72=$C1046),
    0),
    MATCH($G1046,'Putt Log'!$E$1:$V$1,0)
  ),
"")</f>
        <v>2</v>
      </c>
      <c r="P1046" t="str" cm="1">
        <f t="array" ref="P1046">IF(K1046=3,"",
  IFERROR(
    INDEX('Fairway Log'!$E$2:$V$72,
      MATCH(1,
        ('Fairway Log'!$A$2:$A$72=$A1046)*
        ('Fairway Log'!$B$2:$B$72=$B1046)*
        ('Fairway Log'!$C$2:$C1117=$C1046),
      0),
      MATCH($G1046,'Fairway Log'!$E$1:$V$1,0)
    ),
  "")
)</f>
        <v>↑</v>
      </c>
      <c r="Q1046" cm="1">
        <f t="array" ref="Q1046">IFERROR(
  INDEX('GIR Log'!$E$2:$V$72,
    MATCH(1,
      ('GIR Log'!$A$2:$A$72=$A1046)*
      ('GIR Log'!$B$2:$B$72=$B1046)*
      ('GIR Log'!$C$2:$C$72=$C1046),
    0),
    MATCH($G1046,'GIR Log'!$E$1:$V$1,0)
  ),
"")</f>
        <v>0</v>
      </c>
    </row>
    <row r="1047" spans="1:17" x14ac:dyDescent="0.25">
      <c r="A1047" s="51" t="s">
        <v>130</v>
      </c>
      <c r="B1047" s="2">
        <v>45649</v>
      </c>
      <c r="C1047" s="12" t="s">
        <v>14</v>
      </c>
      <c r="D1047" s="12" t="s">
        <v>73</v>
      </c>
      <c r="E1047" s="12" t="s">
        <v>40</v>
      </c>
      <c r="F1047">
        <v>91</v>
      </c>
      <c r="G1047" s="12" t="s">
        <v>48</v>
      </c>
      <c r="H1047" s="9">
        <f t="shared" si="69"/>
        <v>2</v>
      </c>
      <c r="I1047" cm="1">
        <f t="array" ref="I1047">IFERROR(INDEX(CourseYardages[[Hole 1]:[Hole 18]],
  MATCH(1, (CourseYardages[Course]=C1047)*(CourseYardages[Tees]=E1047), 0),
  MATCH(G1047, CourseYardages[[#Headers],[Hole 1]:[Hole 18]], 0)
),"")</f>
        <v>175</v>
      </c>
      <c r="J1047" cm="1">
        <f t="array" ref="J1047">IFERROR(INDEX(CourseHandicap[[Hole 1]:[Hole 18]],
  MATCH(1, (CourseHandicap[Course]=C1047)*(CourseHandicap[Tees]=E1047), 0),
  MATCH(G1047, CourseHandicap[[#Headers],[Hole 1]:[Hole 18]], 0)
),"")</f>
        <v>15</v>
      </c>
      <c r="K1047" cm="1">
        <f t="array" ref="K1047">IFERROR(INDEX(CourseRatings[[Hole 1]:[Hole 18]],
  MATCH(1, (CourseRatings[Course]=C1047)*(CourseRatings[Tees]=E1047), 0),
  MATCH(G1047, CourseRatings[[#Headers],[Hole 1]:[Hole 18]], 0)
),"")</f>
        <v>3</v>
      </c>
      <c r="L1047" cm="1">
        <f t="array" ref="L1047">IFERROR(
  INDEX('Golf Log'!$E$2:$V$72,
    MATCH(1,
      ('Golf Log'!$A$2:$A$72=$A1047)*
      ('Golf Log'!$B$2:$B$72=$B1047)*
      ('Golf Log'!$C$2:$C$72=$C1047),
    0),
    MATCH($G1047,'Golf Log'!$E$1:$V$1,0)
  ),
"")</f>
        <v>5</v>
      </c>
      <c r="M1047">
        <f t="shared" si="70"/>
        <v>2</v>
      </c>
      <c r="N1047" t="str">
        <f t="shared" si="71"/>
        <v>Double Bogey</v>
      </c>
      <c r="O1047" cm="1">
        <f t="array" ref="O1047">IFERROR(
  INDEX('Putt Log'!$E$2:$V$72,
    MATCH(1,
      ('Putt Log'!$A$2:$A$72=$A1047)*
      ('Putt Log'!$B$2:$B$72=$B1047)*
      ('Putt Log'!$C$2:$C$72=$C1047),
    0),
    MATCH($G1047,'Putt Log'!$E$1:$V$1,0)
  ),
"")</f>
        <v>2</v>
      </c>
      <c r="P1047" t="str" cm="1">
        <f t="array" ref="P1047">IF(K1047=3,"",
  IFERROR(
    INDEX('Fairway Log'!$E$2:$V$72,
      MATCH(1,
        ('Fairway Log'!$A$2:$A$72=$A1047)*
        ('Fairway Log'!$B$2:$B$72=$B1047)*
        ('Fairway Log'!$C$2:$C1118=$C1047),
      0),
      MATCH($G1047,'Fairway Log'!$E$1:$V$1,0)
    ),
  "")
)</f>
        <v/>
      </c>
      <c r="Q1047" t="str" cm="1">
        <f t="array" ref="Q1047">IFERROR(
  INDEX('GIR Log'!$E$2:$V$72,
    MATCH(1,
      ('GIR Log'!$A$2:$A$72=$A1047)*
      ('GIR Log'!$B$2:$B$72=$B1047)*
      ('GIR Log'!$C$2:$C$72=$C1047),
    0),
    MATCH($G1047,'GIR Log'!$E$1:$V$1,0)
  ),
"")</f>
        <v>↓</v>
      </c>
    </row>
    <row r="1048" spans="1:17" x14ac:dyDescent="0.25">
      <c r="A1048" s="51" t="s">
        <v>130</v>
      </c>
      <c r="B1048" s="2">
        <v>45649</v>
      </c>
      <c r="C1048" s="12" t="s">
        <v>14</v>
      </c>
      <c r="D1048" s="12" t="s">
        <v>73</v>
      </c>
      <c r="E1048" s="12" t="s">
        <v>40</v>
      </c>
      <c r="F1048">
        <v>91</v>
      </c>
      <c r="G1048" s="12" t="s">
        <v>49</v>
      </c>
      <c r="H1048" s="9">
        <f t="shared" si="69"/>
        <v>3</v>
      </c>
      <c r="I1048" cm="1">
        <f t="array" ref="I1048">IFERROR(INDEX(CourseYardages[[Hole 1]:[Hole 18]],
  MATCH(1, (CourseYardages[Course]=C1048)*(CourseYardages[Tees]=E1048), 0),
  MATCH(G1048, CourseYardages[[#Headers],[Hole 1]:[Hole 18]], 0)
),"")</f>
        <v>353</v>
      </c>
      <c r="J1048" cm="1">
        <f t="array" ref="J1048">IFERROR(INDEX(CourseHandicap[[Hole 1]:[Hole 18]],
  MATCH(1, (CourseHandicap[Course]=C1048)*(CourseHandicap[Tees]=E1048), 0),
  MATCH(G1048, CourseHandicap[[#Headers],[Hole 1]:[Hole 18]], 0)
),"")</f>
        <v>3</v>
      </c>
      <c r="K1048" cm="1">
        <f t="array" ref="K1048">IFERROR(INDEX(CourseRatings[[Hole 1]:[Hole 18]],
  MATCH(1, (CourseRatings[Course]=C1048)*(CourseRatings[Tees]=E1048), 0),
  MATCH(G1048, CourseRatings[[#Headers],[Hole 1]:[Hole 18]], 0)
),"")</f>
        <v>4</v>
      </c>
      <c r="L1048" cm="1">
        <f t="array" ref="L1048">IFERROR(
  INDEX('Golf Log'!$E$2:$V$72,
    MATCH(1,
      ('Golf Log'!$A$2:$A$72=$A1048)*
      ('Golf Log'!$B$2:$B$72=$B1048)*
      ('Golf Log'!$C$2:$C$72=$C1048),
    0),
    MATCH($G1048,'Golf Log'!$E$1:$V$1,0)
  ),
"")</f>
        <v>4</v>
      </c>
      <c r="M1048">
        <f t="shared" si="70"/>
        <v>0</v>
      </c>
      <c r="N1048" t="str">
        <f t="shared" si="71"/>
        <v>Par</v>
      </c>
      <c r="O1048" cm="1">
        <f t="array" ref="O1048">IFERROR(
  INDEX('Putt Log'!$E$2:$V$72,
    MATCH(1,
      ('Putt Log'!$A$2:$A$72=$A1048)*
      ('Putt Log'!$B$2:$B$72=$B1048)*
      ('Putt Log'!$C$2:$C$72=$C1048),
    0),
    MATCH($G1048,'Putt Log'!$E$1:$V$1,0)
  ),
"")</f>
        <v>1</v>
      </c>
      <c r="P1048" cm="1">
        <f t="array" ref="P1048">IF(K1048=3,"",
  IFERROR(
    INDEX('Fairway Log'!$E$2:$V$72,
      MATCH(1,
        ('Fairway Log'!$A$2:$A$72=$A1048)*
        ('Fairway Log'!$B$2:$B$72=$B1048)*
        ('Fairway Log'!$C$2:$C1119=$C1048),
      0),
      MATCH($G1048,'Fairway Log'!$E$1:$V$1,0)
    ),
  "")
)</f>
        <v>1</v>
      </c>
      <c r="Q1048" t="str" cm="1">
        <f t="array" ref="Q1048">IFERROR(
  INDEX('GIR Log'!$E$2:$V$72,
    MATCH(1,
      ('GIR Log'!$A$2:$A$72=$A1048)*
      ('GIR Log'!$B$2:$B$72=$B1048)*
      ('GIR Log'!$C$2:$C$72=$C1048),
    0),
    MATCH($G1048,'GIR Log'!$E$1:$V$1,0)
  ),
"")</f>
        <v>←</v>
      </c>
    </row>
    <row r="1049" spans="1:17" x14ac:dyDescent="0.25">
      <c r="A1049" s="51" t="s">
        <v>130</v>
      </c>
      <c r="B1049" s="2">
        <v>45649</v>
      </c>
      <c r="C1049" s="12" t="s">
        <v>14</v>
      </c>
      <c r="D1049" s="12" t="s">
        <v>73</v>
      </c>
      <c r="E1049" s="12" t="s">
        <v>40</v>
      </c>
      <c r="F1049">
        <v>91</v>
      </c>
      <c r="G1049" s="12" t="s">
        <v>50</v>
      </c>
      <c r="H1049" s="9">
        <f t="shared" si="69"/>
        <v>4</v>
      </c>
      <c r="I1049" cm="1">
        <f t="array" ref="I1049">IFERROR(INDEX(CourseYardages[[Hole 1]:[Hole 18]],
  MATCH(1, (CourseYardages[Course]=C1049)*(CourseYardages[Tees]=E1049), 0),
  MATCH(G1049, CourseYardages[[#Headers],[Hole 1]:[Hole 18]], 0)
),"")</f>
        <v>359</v>
      </c>
      <c r="J1049" cm="1">
        <f t="array" ref="J1049">IFERROR(INDEX(CourseHandicap[[Hole 1]:[Hole 18]],
  MATCH(1, (CourseHandicap[Course]=C1049)*(CourseHandicap[Tees]=E1049), 0),
  MATCH(G1049, CourseHandicap[[#Headers],[Hole 1]:[Hole 18]], 0)
),"")</f>
        <v>11</v>
      </c>
      <c r="K1049" cm="1">
        <f t="array" ref="K1049">IFERROR(INDEX(CourseRatings[[Hole 1]:[Hole 18]],
  MATCH(1, (CourseRatings[Course]=C1049)*(CourseRatings[Tees]=E1049), 0),
  MATCH(G1049, CourseRatings[[#Headers],[Hole 1]:[Hole 18]], 0)
),"")</f>
        <v>4</v>
      </c>
      <c r="L1049" cm="1">
        <f t="array" ref="L1049">IFERROR(
  INDEX('Golf Log'!$E$2:$V$72,
    MATCH(1,
      ('Golf Log'!$A$2:$A$72=$A1049)*
      ('Golf Log'!$B$2:$B$72=$B1049)*
      ('Golf Log'!$C$2:$C$72=$C1049),
    0),
    MATCH($G1049,'Golf Log'!$E$1:$V$1,0)
  ),
"")</f>
        <v>5</v>
      </c>
      <c r="M1049">
        <f t="shared" si="70"/>
        <v>1</v>
      </c>
      <c r="N1049" t="str">
        <f t="shared" si="71"/>
        <v>Bogey</v>
      </c>
      <c r="O1049" cm="1">
        <f t="array" ref="O1049">IFERROR(
  INDEX('Putt Log'!$E$2:$V$72,
    MATCH(1,
      ('Putt Log'!$A$2:$A$72=$A1049)*
      ('Putt Log'!$B$2:$B$72=$B1049)*
      ('Putt Log'!$C$2:$C$72=$C1049),
    0),
    MATCH($G1049,'Putt Log'!$E$1:$V$1,0)
  ),
"")</f>
        <v>2</v>
      </c>
      <c r="P1049" cm="1">
        <f t="array" ref="P1049">IF(K1049=3,"",
  IFERROR(
    INDEX('Fairway Log'!$E$2:$V$72,
      MATCH(1,
        ('Fairway Log'!$A$2:$A$72=$A1049)*
        ('Fairway Log'!$B$2:$B$72=$B1049)*
        ('Fairway Log'!$C$2:$C1120=$C1049),
      0),
      MATCH($G1049,'Fairway Log'!$E$1:$V$1,0)
    ),
  "")
)</f>
        <v>0</v>
      </c>
      <c r="Q1049" cm="1">
        <f t="array" ref="Q1049">IFERROR(
  INDEX('GIR Log'!$E$2:$V$72,
    MATCH(1,
      ('GIR Log'!$A$2:$A$72=$A1049)*
      ('GIR Log'!$B$2:$B$72=$B1049)*
      ('GIR Log'!$C$2:$C$72=$C1049),
    0),
    MATCH($G1049,'GIR Log'!$E$1:$V$1,0)
  ),
"")</f>
        <v>0</v>
      </c>
    </row>
    <row r="1050" spans="1:17" x14ac:dyDescent="0.25">
      <c r="A1050" s="51" t="s">
        <v>130</v>
      </c>
      <c r="B1050" s="2">
        <v>45649</v>
      </c>
      <c r="C1050" s="12" t="s">
        <v>14</v>
      </c>
      <c r="D1050" s="12" t="s">
        <v>73</v>
      </c>
      <c r="E1050" s="12" t="s">
        <v>40</v>
      </c>
      <c r="F1050">
        <v>91</v>
      </c>
      <c r="G1050" s="12" t="s">
        <v>51</v>
      </c>
      <c r="H1050" s="9">
        <f t="shared" si="69"/>
        <v>5</v>
      </c>
      <c r="I1050" cm="1">
        <f t="array" ref="I1050">IFERROR(INDEX(CourseYardages[[Hole 1]:[Hole 18]],
  MATCH(1, (CourseYardages[Course]=C1050)*(CourseYardages[Tees]=E1050), 0),
  MATCH(G1050, CourseYardages[[#Headers],[Hole 1]:[Hole 18]], 0)
),"")</f>
        <v>440</v>
      </c>
      <c r="J1050" cm="1">
        <f t="array" ref="J1050">IFERROR(INDEX(CourseHandicap[[Hole 1]:[Hole 18]],
  MATCH(1, (CourseHandicap[Course]=C1050)*(CourseHandicap[Tees]=E1050), 0),
  MATCH(G1050, CourseHandicap[[#Headers],[Hole 1]:[Hole 18]], 0)
),"")</f>
        <v>1</v>
      </c>
      <c r="K1050" cm="1">
        <f t="array" ref="K1050">IFERROR(INDEX(CourseRatings[[Hole 1]:[Hole 18]],
  MATCH(1, (CourseRatings[Course]=C1050)*(CourseRatings[Tees]=E1050), 0),
  MATCH(G1050, CourseRatings[[#Headers],[Hole 1]:[Hole 18]], 0)
),"")</f>
        <v>4</v>
      </c>
      <c r="L1050" cm="1">
        <f t="array" ref="L1050">IFERROR(
  INDEX('Golf Log'!$E$2:$V$72,
    MATCH(1,
      ('Golf Log'!$A$2:$A$72=$A1050)*
      ('Golf Log'!$B$2:$B$72=$B1050)*
      ('Golf Log'!$C$2:$C$72=$C1050),
    0),
    MATCH($G1050,'Golf Log'!$E$1:$V$1,0)
  ),
"")</f>
        <v>6</v>
      </c>
      <c r="M1050">
        <f t="shared" si="70"/>
        <v>2</v>
      </c>
      <c r="N1050" t="str">
        <f t="shared" si="71"/>
        <v>Double Bogey</v>
      </c>
      <c r="O1050" cm="1">
        <f t="array" ref="O1050">IFERROR(
  INDEX('Putt Log'!$E$2:$V$72,
    MATCH(1,
      ('Putt Log'!$A$2:$A$72=$A1050)*
      ('Putt Log'!$B$2:$B$72=$B1050)*
      ('Putt Log'!$C$2:$C$72=$C1050),
    0),
    MATCH($G1050,'Putt Log'!$E$1:$V$1,0)
  ),
"")</f>
        <v>2</v>
      </c>
      <c r="P1050" cm="1">
        <f t="array" ref="P1050">IF(K1050=3,"",
  IFERROR(
    INDEX('Fairway Log'!$E$2:$V$72,
      MATCH(1,
        ('Fairway Log'!$A$2:$A$72=$A1050)*
        ('Fairway Log'!$B$2:$B$72=$B1050)*
        ('Fairway Log'!$C$2:$C1121=$C1050),
      0),
      MATCH($G1050,'Fairway Log'!$E$1:$V$1,0)
    ),
  "")
)</f>
        <v>0</v>
      </c>
      <c r="Q1050" cm="1">
        <f t="array" ref="Q1050">IFERROR(
  INDEX('GIR Log'!$E$2:$V$72,
    MATCH(1,
      ('GIR Log'!$A$2:$A$72=$A1050)*
      ('GIR Log'!$B$2:$B$72=$B1050)*
      ('GIR Log'!$C$2:$C$72=$C1050),
    0),
    MATCH($G1050,'GIR Log'!$E$1:$V$1,0)
  ),
"")</f>
        <v>0</v>
      </c>
    </row>
    <row r="1051" spans="1:17" x14ac:dyDescent="0.25">
      <c r="A1051" s="51" t="s">
        <v>130</v>
      </c>
      <c r="B1051" s="2">
        <v>45649</v>
      </c>
      <c r="C1051" s="12" t="s">
        <v>14</v>
      </c>
      <c r="D1051" s="12" t="s">
        <v>73</v>
      </c>
      <c r="E1051" s="12" t="s">
        <v>40</v>
      </c>
      <c r="F1051">
        <v>91</v>
      </c>
      <c r="G1051" s="12" t="s">
        <v>52</v>
      </c>
      <c r="H1051" s="9">
        <f t="shared" si="69"/>
        <v>6</v>
      </c>
      <c r="I1051" cm="1">
        <f t="array" ref="I1051">IFERROR(INDEX(CourseYardages[[Hole 1]:[Hole 18]],
  MATCH(1, (CourseYardages[Course]=C1051)*(CourseYardages[Tees]=E1051), 0),
  MATCH(G1051, CourseYardages[[#Headers],[Hole 1]:[Hole 18]], 0)
),"")</f>
        <v>440</v>
      </c>
      <c r="J1051" cm="1">
        <f t="array" ref="J1051">IFERROR(INDEX(CourseHandicap[[Hole 1]:[Hole 18]],
  MATCH(1, (CourseHandicap[Course]=C1051)*(CourseHandicap[Tees]=E1051), 0),
  MATCH(G1051, CourseHandicap[[#Headers],[Hole 1]:[Hole 18]], 0)
),"")</f>
        <v>9</v>
      </c>
      <c r="K1051" cm="1">
        <f t="array" ref="K1051">IFERROR(INDEX(CourseRatings[[Hole 1]:[Hole 18]],
  MATCH(1, (CourseRatings[Course]=C1051)*(CourseRatings[Tees]=E1051), 0),
  MATCH(G1051, CourseRatings[[#Headers],[Hole 1]:[Hole 18]], 0)
),"")</f>
        <v>5</v>
      </c>
      <c r="L1051" cm="1">
        <f t="array" ref="L1051">IFERROR(
  INDEX('Golf Log'!$E$2:$V$72,
    MATCH(1,
      ('Golf Log'!$A$2:$A$72=$A1051)*
      ('Golf Log'!$B$2:$B$72=$B1051)*
      ('Golf Log'!$C$2:$C$72=$C1051),
    0),
    MATCH($G1051,'Golf Log'!$E$1:$V$1,0)
  ),
"")</f>
        <v>6</v>
      </c>
      <c r="M1051">
        <f t="shared" si="70"/>
        <v>1</v>
      </c>
      <c r="N1051" t="str">
        <f t="shared" si="71"/>
        <v>Bogey</v>
      </c>
      <c r="O1051" cm="1">
        <f t="array" ref="O1051">IFERROR(
  INDEX('Putt Log'!$E$2:$V$72,
    MATCH(1,
      ('Putt Log'!$A$2:$A$72=$A1051)*
      ('Putt Log'!$B$2:$B$72=$B1051)*
      ('Putt Log'!$C$2:$C$72=$C1051),
    0),
    MATCH($G1051,'Putt Log'!$E$1:$V$1,0)
  ),
"")</f>
        <v>2</v>
      </c>
      <c r="P1051" cm="1">
        <f t="array" ref="P1051">IF(K1051=3,"",
  IFERROR(
    INDEX('Fairway Log'!$E$2:$V$72,
      MATCH(1,
        ('Fairway Log'!$A$2:$A$72=$A1051)*
        ('Fairway Log'!$B$2:$B$72=$B1051)*
        ('Fairway Log'!$C$2:$C1122=$C1051),
      0),
      MATCH($G1051,'Fairway Log'!$E$1:$V$1,0)
    ),
  "")
)</f>
        <v>0</v>
      </c>
      <c r="Q1051" cm="1">
        <f t="array" ref="Q1051">IFERROR(
  INDEX('GIR Log'!$E$2:$V$72,
    MATCH(1,
      ('GIR Log'!$A$2:$A$72=$A1051)*
      ('GIR Log'!$B$2:$B$72=$B1051)*
      ('GIR Log'!$C$2:$C$72=$C1051),
    0),
    MATCH($G1051,'GIR Log'!$E$1:$V$1,0)
  ),
"")</f>
        <v>0</v>
      </c>
    </row>
    <row r="1052" spans="1:17" x14ac:dyDescent="0.25">
      <c r="A1052" s="51" t="s">
        <v>130</v>
      </c>
      <c r="B1052" s="2">
        <v>45649</v>
      </c>
      <c r="C1052" s="12" t="s">
        <v>14</v>
      </c>
      <c r="D1052" s="12" t="s">
        <v>73</v>
      </c>
      <c r="E1052" s="12" t="s">
        <v>40</v>
      </c>
      <c r="F1052">
        <v>91</v>
      </c>
      <c r="G1052" s="12" t="s">
        <v>53</v>
      </c>
      <c r="H1052" s="9">
        <f t="shared" si="69"/>
        <v>7</v>
      </c>
      <c r="I1052" cm="1">
        <f t="array" ref="I1052">IFERROR(INDEX(CourseYardages[[Hole 1]:[Hole 18]],
  MATCH(1, (CourseYardages[Course]=C1052)*(CourseYardages[Tees]=E1052), 0),
  MATCH(G1052, CourseYardages[[#Headers],[Hole 1]:[Hole 18]], 0)
),"")</f>
        <v>306</v>
      </c>
      <c r="J1052" cm="1">
        <f t="array" ref="J1052">IFERROR(INDEX(CourseHandicap[[Hole 1]:[Hole 18]],
  MATCH(1, (CourseHandicap[Course]=C1052)*(CourseHandicap[Tees]=E1052), 0),
  MATCH(G1052, CourseHandicap[[#Headers],[Hole 1]:[Hole 18]], 0)
),"")</f>
        <v>13</v>
      </c>
      <c r="K1052" cm="1">
        <f t="array" ref="K1052">IFERROR(INDEX(CourseRatings[[Hole 1]:[Hole 18]],
  MATCH(1, (CourseRatings[Course]=C1052)*(CourseRatings[Tees]=E1052), 0),
  MATCH(G1052, CourseRatings[[#Headers],[Hole 1]:[Hole 18]], 0)
),"")</f>
        <v>4</v>
      </c>
      <c r="L1052" cm="1">
        <f t="array" ref="L1052">IFERROR(
  INDEX('Golf Log'!$E$2:$V$72,
    MATCH(1,
      ('Golf Log'!$A$2:$A$72=$A1052)*
      ('Golf Log'!$B$2:$B$72=$B1052)*
      ('Golf Log'!$C$2:$C$72=$C1052),
    0),
    MATCH($G1052,'Golf Log'!$E$1:$V$1,0)
  ),
"")</f>
        <v>5</v>
      </c>
      <c r="M1052">
        <f t="shared" si="70"/>
        <v>1</v>
      </c>
      <c r="N1052" t="str">
        <f t="shared" si="71"/>
        <v>Bogey</v>
      </c>
      <c r="O1052" cm="1">
        <f t="array" ref="O1052">IFERROR(
  INDEX('Putt Log'!$E$2:$V$72,
    MATCH(1,
      ('Putt Log'!$A$2:$A$72=$A1052)*
      ('Putt Log'!$B$2:$B$72=$B1052)*
      ('Putt Log'!$C$2:$C$72=$C1052),
    0),
    MATCH($G1052,'Putt Log'!$E$1:$V$1,0)
  ),
"")</f>
        <v>2</v>
      </c>
      <c r="P1052" t="str" cm="1">
        <f t="array" ref="P1052">IF(K1052=3,"",
  IFERROR(
    INDEX('Fairway Log'!$E$2:$V$72,
      MATCH(1,
        ('Fairway Log'!$A$2:$A$72=$A1052)*
        ('Fairway Log'!$B$2:$B$72=$B1052)*
        ('Fairway Log'!$C$2:$C1123=$C1052),
      0),
      MATCH($G1052,'Fairway Log'!$E$1:$V$1,0)
    ),
  "")
)</f>
        <v>←</v>
      </c>
      <c r="Q1052" t="str" cm="1">
        <f t="array" ref="Q1052">IFERROR(
  INDEX('GIR Log'!$E$2:$V$72,
    MATCH(1,
      ('GIR Log'!$A$2:$A$72=$A1052)*
      ('GIR Log'!$B$2:$B$72=$B1052)*
      ('GIR Log'!$C$2:$C$72=$C1052),
    0),
    MATCH($G1052,'GIR Log'!$E$1:$V$1,0)
  ),
"")</f>
        <v>↓</v>
      </c>
    </row>
    <row r="1053" spans="1:17" x14ac:dyDescent="0.25">
      <c r="A1053" s="51" t="s">
        <v>130</v>
      </c>
      <c r="B1053" s="2">
        <v>45649</v>
      </c>
      <c r="C1053" s="12" t="s">
        <v>14</v>
      </c>
      <c r="D1053" s="12" t="s">
        <v>73</v>
      </c>
      <c r="E1053" s="12" t="s">
        <v>40</v>
      </c>
      <c r="F1053">
        <v>91</v>
      </c>
      <c r="G1053" s="12" t="s">
        <v>54</v>
      </c>
      <c r="H1053" s="9">
        <f t="shared" si="69"/>
        <v>8</v>
      </c>
      <c r="I1053" cm="1">
        <f t="array" ref="I1053">IFERROR(INDEX(CourseYardages[[Hole 1]:[Hole 18]],
  MATCH(1, (CourseYardages[Course]=C1053)*(CourseYardages[Tees]=E1053), 0),
  MATCH(G1053, CourseYardages[[#Headers],[Hole 1]:[Hole 18]], 0)
),"")</f>
        <v>167</v>
      </c>
      <c r="J1053" cm="1">
        <f t="array" ref="J1053">IFERROR(INDEX(CourseHandicap[[Hole 1]:[Hole 18]],
  MATCH(1, (CourseHandicap[Course]=C1053)*(CourseHandicap[Tees]=E1053), 0),
  MATCH(G1053, CourseHandicap[[#Headers],[Hole 1]:[Hole 18]], 0)
),"")</f>
        <v>17</v>
      </c>
      <c r="K1053" cm="1">
        <f t="array" ref="K1053">IFERROR(INDEX(CourseRatings[[Hole 1]:[Hole 18]],
  MATCH(1, (CourseRatings[Course]=C1053)*(CourseRatings[Tees]=E1053), 0),
  MATCH(G1053, CourseRatings[[#Headers],[Hole 1]:[Hole 18]], 0)
),"")</f>
        <v>3</v>
      </c>
      <c r="L1053" cm="1">
        <f t="array" ref="L1053">IFERROR(
  INDEX('Golf Log'!$E$2:$V$72,
    MATCH(1,
      ('Golf Log'!$A$2:$A$72=$A1053)*
      ('Golf Log'!$B$2:$B$72=$B1053)*
      ('Golf Log'!$C$2:$C$72=$C1053),
    0),
    MATCH($G1053,'Golf Log'!$E$1:$V$1,0)
  ),
"")</f>
        <v>5</v>
      </c>
      <c r="M1053">
        <f t="shared" si="70"/>
        <v>2</v>
      </c>
      <c r="N1053" t="str">
        <f t="shared" si="71"/>
        <v>Double Bogey</v>
      </c>
      <c r="O1053" cm="1">
        <f t="array" ref="O1053">IFERROR(
  INDEX('Putt Log'!$E$2:$V$72,
    MATCH(1,
      ('Putt Log'!$A$2:$A$72=$A1053)*
      ('Putt Log'!$B$2:$B$72=$B1053)*
      ('Putt Log'!$C$2:$C$72=$C1053),
    0),
    MATCH($G1053,'Putt Log'!$E$1:$V$1,0)
  ),
"")</f>
        <v>2</v>
      </c>
      <c r="P1053" t="str" cm="1">
        <f t="array" ref="P1053">IF(K1053=3,"",
  IFERROR(
    INDEX('Fairway Log'!$E$2:$V$72,
      MATCH(1,
        ('Fairway Log'!$A$2:$A$72=$A1053)*
        ('Fairway Log'!$B$2:$B$72=$B1053)*
        ('Fairway Log'!$C$2:$C1124=$C1053),
      0),
      MATCH($G1053,'Fairway Log'!$E$1:$V$1,0)
    ),
  "")
)</f>
        <v/>
      </c>
      <c r="Q1053" t="str" cm="1">
        <f t="array" ref="Q1053">IFERROR(
  INDEX('GIR Log'!$E$2:$V$72,
    MATCH(1,
      ('GIR Log'!$A$2:$A$72=$A1053)*
      ('GIR Log'!$B$2:$B$72=$B1053)*
      ('GIR Log'!$C$2:$C$72=$C1053),
    0),
    MATCH($G1053,'GIR Log'!$E$1:$V$1,0)
  ),
"")</f>
        <v>↓</v>
      </c>
    </row>
    <row r="1054" spans="1:17" x14ac:dyDescent="0.25">
      <c r="A1054" s="51" t="s">
        <v>130</v>
      </c>
      <c r="B1054" s="2">
        <v>45649</v>
      </c>
      <c r="C1054" s="12" t="s">
        <v>14</v>
      </c>
      <c r="D1054" s="12" t="s">
        <v>73</v>
      </c>
      <c r="E1054" s="12" t="s">
        <v>40</v>
      </c>
      <c r="F1054">
        <v>91</v>
      </c>
      <c r="G1054" s="12" t="s">
        <v>55</v>
      </c>
      <c r="H1054" s="9">
        <f t="shared" si="69"/>
        <v>9</v>
      </c>
      <c r="I1054" cm="1">
        <f t="array" ref="I1054">IFERROR(INDEX(CourseYardages[[Hole 1]:[Hole 18]],
  MATCH(1, (CourseYardages[Course]=C1054)*(CourseYardages[Tees]=E1054), 0),
  MATCH(G1054, CourseYardages[[#Headers],[Hole 1]:[Hole 18]], 0)
),"")</f>
        <v>467</v>
      </c>
      <c r="J1054" cm="1">
        <f t="array" ref="J1054">IFERROR(INDEX(CourseHandicap[[Hole 1]:[Hole 18]],
  MATCH(1, (CourseHandicap[Course]=C1054)*(CourseHandicap[Tees]=E1054), 0),
  MATCH(G1054, CourseHandicap[[#Headers],[Hole 1]:[Hole 18]], 0)
),"")</f>
        <v>7</v>
      </c>
      <c r="K1054" cm="1">
        <f t="array" ref="K1054">IFERROR(INDEX(CourseRatings[[Hole 1]:[Hole 18]],
  MATCH(1, (CourseRatings[Course]=C1054)*(CourseRatings[Tees]=E1054), 0),
  MATCH(G1054, CourseRatings[[#Headers],[Hole 1]:[Hole 18]], 0)
),"")</f>
        <v>5</v>
      </c>
      <c r="L1054" cm="1">
        <f t="array" ref="L1054">IFERROR(
  INDEX('Golf Log'!$E$2:$V$72,
    MATCH(1,
      ('Golf Log'!$A$2:$A$72=$A1054)*
      ('Golf Log'!$B$2:$B$72=$B1054)*
      ('Golf Log'!$C$2:$C$72=$C1054),
    0),
    MATCH($G1054,'Golf Log'!$E$1:$V$1,0)
  ),
"")</f>
        <v>6</v>
      </c>
      <c r="M1054">
        <f t="shared" si="70"/>
        <v>1</v>
      </c>
      <c r="N1054" t="str">
        <f t="shared" si="71"/>
        <v>Bogey</v>
      </c>
      <c r="O1054" cm="1">
        <f t="array" ref="O1054">IFERROR(
  INDEX('Putt Log'!$E$2:$V$72,
    MATCH(1,
      ('Putt Log'!$A$2:$A$72=$A1054)*
      ('Putt Log'!$B$2:$B$72=$B1054)*
      ('Putt Log'!$C$2:$C$72=$C1054),
    0),
    MATCH($G1054,'Putt Log'!$E$1:$V$1,0)
  ),
"")</f>
        <v>2</v>
      </c>
      <c r="P1054" t="str" cm="1">
        <f t="array" ref="P1054">IF(K1054=3,"",
  IFERROR(
    INDEX('Fairway Log'!$E$2:$V$72,
      MATCH(1,
        ('Fairway Log'!$A$2:$A$72=$A1054)*
        ('Fairway Log'!$B$2:$B$72=$B1054)*
        ('Fairway Log'!$C$2:$C1125=$C1054),
      0),
      MATCH($G1054,'Fairway Log'!$E$1:$V$1,0)
    ),
  "")
)</f>
        <v>←</v>
      </c>
      <c r="Q1054" t="str" cm="1">
        <f t="array" ref="Q1054">IFERROR(
  INDEX('GIR Log'!$E$2:$V$72,
    MATCH(1,
      ('GIR Log'!$A$2:$A$72=$A1054)*
      ('GIR Log'!$B$2:$B$72=$B1054)*
      ('GIR Log'!$C$2:$C$72=$C1054),
    0),
    MATCH($G1054,'GIR Log'!$E$1:$V$1,0)
  ),
"")</f>
        <v>↓</v>
      </c>
    </row>
    <row r="1055" spans="1:17" x14ac:dyDescent="0.25">
      <c r="A1055" s="51" t="s">
        <v>130</v>
      </c>
      <c r="B1055" s="2">
        <v>45649</v>
      </c>
      <c r="C1055" s="12" t="s">
        <v>14</v>
      </c>
      <c r="D1055" s="12" t="s">
        <v>73</v>
      </c>
      <c r="E1055" s="12" t="s">
        <v>40</v>
      </c>
      <c r="F1055">
        <v>91</v>
      </c>
      <c r="G1055" s="12" t="s">
        <v>56</v>
      </c>
      <c r="H1055" s="9">
        <f t="shared" si="69"/>
        <v>10</v>
      </c>
      <c r="I1055" cm="1">
        <f t="array" ref="I1055">IFERROR(INDEX(CourseYardages[[Hole 1]:[Hole 18]],
  MATCH(1, (CourseYardages[Course]=C1055)*(CourseYardages[Tees]=E1055), 0),
  MATCH(G1055, CourseYardages[[#Headers],[Hole 1]:[Hole 18]], 0)
),"")</f>
        <v>433</v>
      </c>
      <c r="J1055" cm="1">
        <f t="array" ref="J1055">IFERROR(INDEX(CourseHandicap[[Hole 1]:[Hole 18]],
  MATCH(1, (CourseHandicap[Course]=C1055)*(CourseHandicap[Tees]=E1055), 0),
  MATCH(G1055, CourseHandicap[[#Headers],[Hole 1]:[Hole 18]], 0)
),"")</f>
        <v>6</v>
      </c>
      <c r="K1055" cm="1">
        <f t="array" ref="K1055">IFERROR(INDEX(CourseRatings[[Hole 1]:[Hole 18]],
  MATCH(1, (CourseRatings[Course]=C1055)*(CourseRatings[Tees]=E1055), 0),
  MATCH(G1055, CourseRatings[[#Headers],[Hole 1]:[Hole 18]], 0)
),"")</f>
        <v>4</v>
      </c>
      <c r="L1055" cm="1">
        <f t="array" ref="L1055">IFERROR(
  INDEX('Golf Log'!$E$2:$V$72,
    MATCH(1,
      ('Golf Log'!$A$2:$A$72=$A1055)*
      ('Golf Log'!$B$2:$B$72=$B1055)*
      ('Golf Log'!$C$2:$C$72=$C1055),
    0),
    MATCH($G1055,'Golf Log'!$E$1:$V$1,0)
  ),
"")</f>
        <v>5</v>
      </c>
      <c r="M1055">
        <f t="shared" si="70"/>
        <v>1</v>
      </c>
      <c r="N1055" t="str">
        <f t="shared" si="71"/>
        <v>Bogey</v>
      </c>
      <c r="O1055" cm="1">
        <f t="array" ref="O1055">IFERROR(
  INDEX('Putt Log'!$E$2:$V$72,
    MATCH(1,
      ('Putt Log'!$A$2:$A$72=$A1055)*
      ('Putt Log'!$B$2:$B$72=$B1055)*
      ('Putt Log'!$C$2:$C$72=$C1055),
    0),
    MATCH($G1055,'Putt Log'!$E$1:$V$1,0)
  ),
"")</f>
        <v>2</v>
      </c>
      <c r="P1055" t="str" cm="1">
        <f t="array" ref="P1055">IF(K1055=3,"",
  IFERROR(
    INDEX('Fairway Log'!$E$2:$V$72,
      MATCH(1,
        ('Fairway Log'!$A$2:$A$72=$A1055)*
        ('Fairway Log'!$B$2:$B$72=$B1055)*
        ('Fairway Log'!$C$2:$C1126=$C1055),
      0),
      MATCH($G1055,'Fairway Log'!$E$1:$V$1,0)
    ),
  "")
)</f>
        <v>←</v>
      </c>
      <c r="Q1055" t="str" cm="1">
        <f t="array" ref="Q1055">IFERROR(
  INDEX('GIR Log'!$E$2:$V$72,
    MATCH(1,
      ('GIR Log'!$A$2:$A$72=$A1055)*
      ('GIR Log'!$B$2:$B$72=$B1055)*
      ('GIR Log'!$C$2:$C$72=$C1055),
    0),
    MATCH($G1055,'GIR Log'!$E$1:$V$1,0)
  ),
"")</f>
        <v>↓</v>
      </c>
    </row>
    <row r="1056" spans="1:17" x14ac:dyDescent="0.25">
      <c r="A1056" s="51" t="s">
        <v>130</v>
      </c>
      <c r="B1056" s="2">
        <v>45649</v>
      </c>
      <c r="C1056" s="12" t="s">
        <v>14</v>
      </c>
      <c r="D1056" s="12" t="s">
        <v>73</v>
      </c>
      <c r="E1056" s="12" t="s">
        <v>40</v>
      </c>
      <c r="F1056">
        <v>91</v>
      </c>
      <c r="G1056" s="12" t="s">
        <v>57</v>
      </c>
      <c r="H1056" s="9">
        <f t="shared" si="69"/>
        <v>11</v>
      </c>
      <c r="I1056" cm="1">
        <f t="array" ref="I1056">IFERROR(INDEX(CourseYardages[[Hole 1]:[Hole 18]],
  MATCH(1, (CourseYardages[Course]=C1056)*(CourseYardages[Tees]=E1056), 0),
  MATCH(G1056, CourseYardages[[#Headers],[Hole 1]:[Hole 18]], 0)
),"")</f>
        <v>399</v>
      </c>
      <c r="J1056" cm="1">
        <f t="array" ref="J1056">IFERROR(INDEX(CourseHandicap[[Hole 1]:[Hole 18]],
  MATCH(1, (CourseHandicap[Course]=C1056)*(CourseHandicap[Tees]=E1056), 0),
  MATCH(G1056, CourseHandicap[[#Headers],[Hole 1]:[Hole 18]], 0)
),"")</f>
        <v>8</v>
      </c>
      <c r="K1056" cm="1">
        <f t="array" ref="K1056">IFERROR(INDEX(CourseRatings[[Hole 1]:[Hole 18]],
  MATCH(1, (CourseRatings[Course]=C1056)*(CourseRatings[Tees]=E1056), 0),
  MATCH(G1056, CourseRatings[[#Headers],[Hole 1]:[Hole 18]], 0)
),"")</f>
        <v>4</v>
      </c>
      <c r="L1056" cm="1">
        <f t="array" ref="L1056">IFERROR(
  INDEX('Golf Log'!$E$2:$V$72,
    MATCH(1,
      ('Golf Log'!$A$2:$A$72=$A1056)*
      ('Golf Log'!$B$2:$B$72=$B1056)*
      ('Golf Log'!$C$2:$C$72=$C1056),
    0),
    MATCH($G1056,'Golf Log'!$E$1:$V$1,0)
  ),
"")</f>
        <v>6</v>
      </c>
      <c r="M1056">
        <f t="shared" si="70"/>
        <v>2</v>
      </c>
      <c r="N1056" t="str">
        <f t="shared" si="71"/>
        <v>Double Bogey</v>
      </c>
      <c r="O1056" cm="1">
        <f t="array" ref="O1056">IFERROR(
  INDEX('Putt Log'!$E$2:$V$72,
    MATCH(1,
      ('Putt Log'!$A$2:$A$72=$A1056)*
      ('Putt Log'!$B$2:$B$72=$B1056)*
      ('Putt Log'!$C$2:$C$72=$C1056),
    0),
    MATCH($G1056,'Putt Log'!$E$1:$V$1,0)
  ),
"")</f>
        <v>2</v>
      </c>
      <c r="P1056" t="str" cm="1">
        <f t="array" ref="P1056">IF(K1056=3,"",
  IFERROR(
    INDEX('Fairway Log'!$E$2:$V$72,
      MATCH(1,
        ('Fairway Log'!$A$2:$A$72=$A1056)*
        ('Fairway Log'!$B$2:$B$72=$B1056)*
        ('Fairway Log'!$C$2:$C1127=$C1056),
      0),
      MATCH($G1056,'Fairway Log'!$E$1:$V$1,0)
    ),
  "")
)</f>
        <v>←</v>
      </c>
      <c r="Q1056" cm="1">
        <f t="array" ref="Q1056">IFERROR(
  INDEX('GIR Log'!$E$2:$V$72,
    MATCH(1,
      ('GIR Log'!$A$2:$A$72=$A1056)*
      ('GIR Log'!$B$2:$B$72=$B1056)*
      ('GIR Log'!$C$2:$C$72=$C1056),
    0),
    MATCH($G1056,'GIR Log'!$E$1:$V$1,0)
  ),
"")</f>
        <v>1</v>
      </c>
    </row>
    <row r="1057" spans="1:17" x14ac:dyDescent="0.25">
      <c r="A1057" s="51" t="s">
        <v>130</v>
      </c>
      <c r="B1057" s="2">
        <v>45649</v>
      </c>
      <c r="C1057" s="12" t="s">
        <v>14</v>
      </c>
      <c r="D1057" s="12" t="s">
        <v>73</v>
      </c>
      <c r="E1057" s="12" t="s">
        <v>40</v>
      </c>
      <c r="F1057">
        <v>91</v>
      </c>
      <c r="G1057" s="12" t="s">
        <v>58</v>
      </c>
      <c r="H1057" s="9">
        <f t="shared" si="69"/>
        <v>12</v>
      </c>
      <c r="I1057" cm="1">
        <f t="array" ref="I1057">IFERROR(INDEX(CourseYardages[[Hole 1]:[Hole 18]],
  MATCH(1, (CourseYardages[Course]=C1057)*(CourseYardages[Tees]=E1057), 0),
  MATCH(G1057, CourseYardages[[#Headers],[Hole 1]:[Hole 18]], 0)
),"")</f>
        <v>335</v>
      </c>
      <c r="J1057" cm="1">
        <f t="array" ref="J1057">IFERROR(INDEX(CourseHandicap[[Hole 1]:[Hole 18]],
  MATCH(1, (CourseHandicap[Course]=C1057)*(CourseHandicap[Tees]=E1057), 0),
  MATCH(G1057, CourseHandicap[[#Headers],[Hole 1]:[Hole 18]], 0)
),"")</f>
        <v>14</v>
      </c>
      <c r="K1057" cm="1">
        <f t="array" ref="K1057">IFERROR(INDEX(CourseRatings[[Hole 1]:[Hole 18]],
  MATCH(1, (CourseRatings[Course]=C1057)*(CourseRatings[Tees]=E1057), 0),
  MATCH(G1057, CourseRatings[[#Headers],[Hole 1]:[Hole 18]], 0)
),"")</f>
        <v>4</v>
      </c>
      <c r="L1057" cm="1">
        <f t="array" ref="L1057">IFERROR(
  INDEX('Golf Log'!$E$2:$V$72,
    MATCH(1,
      ('Golf Log'!$A$2:$A$72=$A1057)*
      ('Golf Log'!$B$2:$B$72=$B1057)*
      ('Golf Log'!$C$2:$C$72=$C1057),
    0),
    MATCH($G1057,'Golf Log'!$E$1:$V$1,0)
  ),
"")</f>
        <v>5</v>
      </c>
      <c r="M1057">
        <f t="shared" si="70"/>
        <v>1</v>
      </c>
      <c r="N1057" t="str">
        <f t="shared" si="71"/>
        <v>Bogey</v>
      </c>
      <c r="O1057" cm="1">
        <f t="array" ref="O1057">IFERROR(
  INDEX('Putt Log'!$E$2:$V$72,
    MATCH(1,
      ('Putt Log'!$A$2:$A$72=$A1057)*
      ('Putt Log'!$B$2:$B$72=$B1057)*
      ('Putt Log'!$C$2:$C$72=$C1057),
    0),
    MATCH($G1057,'Putt Log'!$E$1:$V$1,0)
  ),
"")</f>
        <v>2</v>
      </c>
      <c r="P1057" t="str" cm="1">
        <f t="array" ref="P1057">IF(K1057=3,"",
  IFERROR(
    INDEX('Fairway Log'!$E$2:$V$72,
      MATCH(1,
        ('Fairway Log'!$A$2:$A$72=$A1057)*
        ('Fairway Log'!$B$2:$B$72=$B1057)*
        ('Fairway Log'!$C$2:$C1128=$C1057),
      0),
      MATCH($G1057,'Fairway Log'!$E$1:$V$1,0)
    ),
  "")
)</f>
        <v>←</v>
      </c>
      <c r="Q1057" t="str" cm="1">
        <f t="array" ref="Q1057">IFERROR(
  INDEX('GIR Log'!$E$2:$V$72,
    MATCH(1,
      ('GIR Log'!$A$2:$A$72=$A1057)*
      ('GIR Log'!$B$2:$B$72=$B1057)*
      ('GIR Log'!$C$2:$C$72=$C1057),
    0),
    MATCH($G1057,'GIR Log'!$E$1:$V$1,0)
  ),
"")</f>
        <v>←</v>
      </c>
    </row>
    <row r="1058" spans="1:17" x14ac:dyDescent="0.25">
      <c r="A1058" s="51" t="s">
        <v>130</v>
      </c>
      <c r="B1058" s="2">
        <v>45649</v>
      </c>
      <c r="C1058" s="12" t="s">
        <v>14</v>
      </c>
      <c r="D1058" s="12" t="s">
        <v>73</v>
      </c>
      <c r="E1058" s="12" t="s">
        <v>40</v>
      </c>
      <c r="F1058">
        <v>91</v>
      </c>
      <c r="G1058" s="12" t="s">
        <v>59</v>
      </c>
      <c r="H1058" s="9">
        <f t="shared" si="69"/>
        <v>13</v>
      </c>
      <c r="I1058" cm="1">
        <f t="array" ref="I1058">IFERROR(INDEX(CourseYardages[[Hole 1]:[Hole 18]],
  MATCH(1, (CourseYardages[Course]=C1058)*(CourseYardages[Tees]=E1058), 0),
  MATCH(G1058, CourseYardages[[#Headers],[Hole 1]:[Hole 18]], 0)
),"")</f>
        <v>362</v>
      </c>
      <c r="J1058" cm="1">
        <f t="array" ref="J1058">IFERROR(INDEX(CourseHandicap[[Hole 1]:[Hole 18]],
  MATCH(1, (CourseHandicap[Course]=C1058)*(CourseHandicap[Tees]=E1058), 0),
  MATCH(G1058, CourseHandicap[[#Headers],[Hole 1]:[Hole 18]], 0)
),"")</f>
        <v>4</v>
      </c>
      <c r="K1058" cm="1">
        <f t="array" ref="K1058">IFERROR(INDEX(CourseRatings[[Hole 1]:[Hole 18]],
  MATCH(1, (CourseRatings[Course]=C1058)*(CourseRatings[Tees]=E1058), 0),
  MATCH(G1058, CourseRatings[[#Headers],[Hole 1]:[Hole 18]], 0)
),"")</f>
        <v>4</v>
      </c>
      <c r="L1058" cm="1">
        <f t="array" ref="L1058">IFERROR(
  INDEX('Golf Log'!$E$2:$V$72,
    MATCH(1,
      ('Golf Log'!$A$2:$A$72=$A1058)*
      ('Golf Log'!$B$2:$B$72=$B1058)*
      ('Golf Log'!$C$2:$C$72=$C1058),
    0),
    MATCH($G1058,'Golf Log'!$E$1:$V$1,0)
  ),
"")</f>
        <v>5</v>
      </c>
      <c r="M1058">
        <f t="shared" si="70"/>
        <v>1</v>
      </c>
      <c r="N1058" t="str">
        <f t="shared" si="71"/>
        <v>Bogey</v>
      </c>
      <c r="O1058" cm="1">
        <f t="array" ref="O1058">IFERROR(
  INDEX('Putt Log'!$E$2:$V$72,
    MATCH(1,
      ('Putt Log'!$A$2:$A$72=$A1058)*
      ('Putt Log'!$B$2:$B$72=$B1058)*
      ('Putt Log'!$C$2:$C$72=$C1058),
    0),
    MATCH($G1058,'Putt Log'!$E$1:$V$1,0)
  ),
"")</f>
        <v>3</v>
      </c>
      <c r="P1058" cm="1">
        <f t="array" ref="P1058">IF(K1058=3,"",
  IFERROR(
    INDEX('Fairway Log'!$E$2:$V$72,
      MATCH(1,
        ('Fairway Log'!$A$2:$A$72=$A1058)*
        ('Fairway Log'!$B$2:$B$72=$B1058)*
        ('Fairway Log'!$C$2:$C1129=$C1058),
      0),
      MATCH($G1058,'Fairway Log'!$E$1:$V$1,0)
    ),
  "")
)</f>
        <v>1</v>
      </c>
      <c r="Q1058" cm="1">
        <f t="array" ref="Q1058">IFERROR(
  INDEX('GIR Log'!$E$2:$V$72,
    MATCH(1,
      ('GIR Log'!$A$2:$A$72=$A1058)*
      ('GIR Log'!$B$2:$B$72=$B1058)*
      ('GIR Log'!$C$2:$C$72=$C1058),
    0),
    MATCH($G1058,'GIR Log'!$E$1:$V$1,0)
  ),
"")</f>
        <v>1</v>
      </c>
    </row>
    <row r="1059" spans="1:17" x14ac:dyDescent="0.25">
      <c r="A1059" s="51" t="s">
        <v>130</v>
      </c>
      <c r="B1059" s="2">
        <v>45649</v>
      </c>
      <c r="C1059" s="12" t="s">
        <v>14</v>
      </c>
      <c r="D1059" s="12" t="s">
        <v>73</v>
      </c>
      <c r="E1059" s="12" t="s">
        <v>40</v>
      </c>
      <c r="F1059">
        <v>91</v>
      </c>
      <c r="G1059" s="12" t="s">
        <v>60</v>
      </c>
      <c r="H1059" s="9">
        <f t="shared" si="69"/>
        <v>14</v>
      </c>
      <c r="I1059" cm="1">
        <f t="array" ref="I1059">IFERROR(INDEX(CourseYardages[[Hole 1]:[Hole 18]],
  MATCH(1, (CourseYardages[Course]=C1059)*(CourseYardages[Tees]=E1059), 0),
  MATCH(G1059, CourseYardages[[#Headers],[Hole 1]:[Hole 18]], 0)
),"")</f>
        <v>380</v>
      </c>
      <c r="J1059" cm="1">
        <f t="array" ref="J1059">IFERROR(INDEX(CourseHandicap[[Hole 1]:[Hole 18]],
  MATCH(1, (CourseHandicap[Course]=C1059)*(CourseHandicap[Tees]=E1059), 0),
  MATCH(G1059, CourseHandicap[[#Headers],[Hole 1]:[Hole 18]], 0)
),"")</f>
        <v>12</v>
      </c>
      <c r="K1059" cm="1">
        <f t="array" ref="K1059">IFERROR(INDEX(CourseRatings[[Hole 1]:[Hole 18]],
  MATCH(1, (CourseRatings[Course]=C1059)*(CourseRatings[Tees]=E1059), 0),
  MATCH(G1059, CourseRatings[[#Headers],[Hole 1]:[Hole 18]], 0)
),"")</f>
        <v>4</v>
      </c>
      <c r="L1059" cm="1">
        <f t="array" ref="L1059">IFERROR(
  INDEX('Golf Log'!$E$2:$V$72,
    MATCH(1,
      ('Golf Log'!$A$2:$A$72=$A1059)*
      ('Golf Log'!$B$2:$B$72=$B1059)*
      ('Golf Log'!$C$2:$C$72=$C1059),
    0),
    MATCH($G1059,'Golf Log'!$E$1:$V$1,0)
  ),
"")</f>
        <v>5</v>
      </c>
      <c r="M1059">
        <f t="shared" si="70"/>
        <v>1</v>
      </c>
      <c r="N1059" t="str">
        <f t="shared" si="71"/>
        <v>Bogey</v>
      </c>
      <c r="O1059" cm="1">
        <f t="array" ref="O1059">IFERROR(
  INDEX('Putt Log'!$E$2:$V$72,
    MATCH(1,
      ('Putt Log'!$A$2:$A$72=$A1059)*
      ('Putt Log'!$B$2:$B$72=$B1059)*
      ('Putt Log'!$C$2:$C$72=$C1059),
    0),
    MATCH($G1059,'Putt Log'!$E$1:$V$1,0)
  ),
"")</f>
        <v>3</v>
      </c>
      <c r="P1059" cm="1">
        <f t="array" ref="P1059">IF(K1059=3,"",
  IFERROR(
    INDEX('Fairway Log'!$E$2:$V$72,
      MATCH(1,
        ('Fairway Log'!$A$2:$A$72=$A1059)*
        ('Fairway Log'!$B$2:$B$72=$B1059)*
        ('Fairway Log'!$C$2:$C1130=$C1059),
      0),
      MATCH($G1059,'Fairway Log'!$E$1:$V$1,0)
    ),
  "")
)</f>
        <v>1</v>
      </c>
      <c r="Q1059" t="str" cm="1">
        <f t="array" ref="Q1059">IFERROR(
  INDEX('GIR Log'!$E$2:$V$72,
    MATCH(1,
      ('GIR Log'!$A$2:$A$72=$A1059)*
      ('GIR Log'!$B$2:$B$72=$B1059)*
      ('GIR Log'!$C$2:$C$72=$C1059),
    0),
    MATCH($G1059,'GIR Log'!$E$1:$V$1,0)
  ),
"")</f>
        <v>←</v>
      </c>
    </row>
    <row r="1060" spans="1:17" x14ac:dyDescent="0.25">
      <c r="A1060" s="51" t="s">
        <v>130</v>
      </c>
      <c r="B1060" s="2">
        <v>45649</v>
      </c>
      <c r="C1060" s="12" t="s">
        <v>14</v>
      </c>
      <c r="D1060" s="12" t="s">
        <v>73</v>
      </c>
      <c r="E1060" s="12" t="s">
        <v>40</v>
      </c>
      <c r="F1060">
        <v>91</v>
      </c>
      <c r="G1060" s="12" t="s">
        <v>61</v>
      </c>
      <c r="H1060" s="9">
        <f t="shared" si="69"/>
        <v>15</v>
      </c>
      <c r="I1060" cm="1">
        <f t="array" ref="I1060">IFERROR(INDEX(CourseYardages[[Hole 1]:[Hole 18]],
  MATCH(1, (CourseYardages[Course]=C1060)*(CourseYardages[Tees]=E1060), 0),
  MATCH(G1060, CourseYardages[[#Headers],[Hole 1]:[Hole 18]], 0)
),"")</f>
        <v>171</v>
      </c>
      <c r="J1060" cm="1">
        <f t="array" ref="J1060">IFERROR(INDEX(CourseHandicap[[Hole 1]:[Hole 18]],
  MATCH(1, (CourseHandicap[Course]=C1060)*(CourseHandicap[Tees]=E1060), 0),
  MATCH(G1060, CourseHandicap[[#Headers],[Hole 1]:[Hole 18]], 0)
),"")</f>
        <v>16</v>
      </c>
      <c r="K1060" cm="1">
        <f t="array" ref="K1060">IFERROR(INDEX(CourseRatings[[Hole 1]:[Hole 18]],
  MATCH(1, (CourseRatings[Course]=C1060)*(CourseRatings[Tees]=E1060), 0),
  MATCH(G1060, CourseRatings[[#Headers],[Hole 1]:[Hole 18]], 0)
),"")</f>
        <v>3</v>
      </c>
      <c r="L1060" cm="1">
        <f t="array" ref="L1060">IFERROR(
  INDEX('Golf Log'!$E$2:$V$72,
    MATCH(1,
      ('Golf Log'!$A$2:$A$72=$A1060)*
      ('Golf Log'!$B$2:$B$72=$B1060)*
      ('Golf Log'!$C$2:$C$72=$C1060),
    0),
    MATCH($G1060,'Golf Log'!$E$1:$V$1,0)
  ),
"")</f>
        <v>4</v>
      </c>
      <c r="M1060">
        <f t="shared" si="70"/>
        <v>1</v>
      </c>
      <c r="N1060" t="str">
        <f t="shared" si="71"/>
        <v>Bogey</v>
      </c>
      <c r="O1060" cm="1">
        <f t="array" ref="O1060">IFERROR(
  INDEX('Putt Log'!$E$2:$V$72,
    MATCH(1,
      ('Putt Log'!$A$2:$A$72=$A1060)*
      ('Putt Log'!$B$2:$B$72=$B1060)*
      ('Putt Log'!$C$2:$C$72=$C1060),
    0),
    MATCH($G1060,'Putt Log'!$E$1:$V$1,0)
  ),
"")</f>
        <v>2</v>
      </c>
      <c r="P1060" t="str" cm="1">
        <f t="array" ref="P1060">IF(K1060=3,"",
  IFERROR(
    INDEX('Fairway Log'!$E$2:$V$72,
      MATCH(1,
        ('Fairway Log'!$A$2:$A$72=$A1060)*
        ('Fairway Log'!$B$2:$B$72=$B1060)*
        ('Fairway Log'!$C$2:$C1131=$C1060),
      0),
      MATCH($G1060,'Fairway Log'!$E$1:$V$1,0)
    ),
  "")
)</f>
        <v/>
      </c>
      <c r="Q1060" t="str" cm="1">
        <f t="array" ref="Q1060">IFERROR(
  INDEX('GIR Log'!$E$2:$V$72,
    MATCH(1,
      ('GIR Log'!$A$2:$A$72=$A1060)*
      ('GIR Log'!$B$2:$B$72=$B1060)*
      ('GIR Log'!$C$2:$C$72=$C1060),
    0),
    MATCH($G1060,'GIR Log'!$E$1:$V$1,0)
  ),
"")</f>
        <v>←</v>
      </c>
    </row>
    <row r="1061" spans="1:17" x14ac:dyDescent="0.25">
      <c r="A1061" s="51" t="s">
        <v>130</v>
      </c>
      <c r="B1061" s="2">
        <v>45649</v>
      </c>
      <c r="C1061" s="12" t="s">
        <v>14</v>
      </c>
      <c r="D1061" s="12" t="s">
        <v>73</v>
      </c>
      <c r="E1061" s="12" t="s">
        <v>40</v>
      </c>
      <c r="F1061">
        <v>91</v>
      </c>
      <c r="G1061" s="12" t="s">
        <v>62</v>
      </c>
      <c r="H1061" s="9">
        <f t="shared" si="69"/>
        <v>16</v>
      </c>
      <c r="I1061" cm="1">
        <f t="array" ref="I1061">IFERROR(INDEX(CourseYardages[[Hole 1]:[Hole 18]],
  MATCH(1, (CourseYardages[Course]=C1061)*(CourseYardages[Tees]=E1061), 0),
  MATCH(G1061, CourseYardages[[#Headers],[Hole 1]:[Hole 18]], 0)
),"")</f>
        <v>412</v>
      </c>
      <c r="J1061" cm="1">
        <f t="array" ref="J1061">IFERROR(INDEX(CourseHandicap[[Hole 1]:[Hole 18]],
  MATCH(1, (CourseHandicap[Course]=C1061)*(CourseHandicap[Tees]=E1061), 0),
  MATCH(G1061, CourseHandicap[[#Headers],[Hole 1]:[Hole 18]], 0)
),"")</f>
        <v>10</v>
      </c>
      <c r="K1061" cm="1">
        <f t="array" ref="K1061">IFERROR(INDEX(CourseRatings[[Hole 1]:[Hole 18]],
  MATCH(1, (CourseRatings[Course]=C1061)*(CourseRatings[Tees]=E1061), 0),
  MATCH(G1061, CourseRatings[[#Headers],[Hole 1]:[Hole 18]], 0)
),"")</f>
        <v>4</v>
      </c>
      <c r="L1061" cm="1">
        <f t="array" ref="L1061">IFERROR(
  INDEX('Golf Log'!$E$2:$V$72,
    MATCH(1,
      ('Golf Log'!$A$2:$A$72=$A1061)*
      ('Golf Log'!$B$2:$B$72=$B1061)*
      ('Golf Log'!$C$2:$C$72=$C1061),
    0),
    MATCH($G1061,'Golf Log'!$E$1:$V$1,0)
  ),
"")</f>
        <v>5</v>
      </c>
      <c r="M1061">
        <f t="shared" si="70"/>
        <v>1</v>
      </c>
      <c r="N1061" t="str">
        <f t="shared" si="71"/>
        <v>Bogey</v>
      </c>
      <c r="O1061" cm="1">
        <f t="array" ref="O1061">IFERROR(
  INDEX('Putt Log'!$E$2:$V$72,
    MATCH(1,
      ('Putt Log'!$A$2:$A$72=$A1061)*
      ('Putt Log'!$B$2:$B$72=$B1061)*
      ('Putt Log'!$C$2:$C$72=$C1061),
    0),
    MATCH($G1061,'Putt Log'!$E$1:$V$1,0)
  ),
"")</f>
        <v>2</v>
      </c>
      <c r="P1061" t="str" cm="1">
        <f t="array" ref="P1061">IF(K1061=3,"",
  IFERROR(
    INDEX('Fairway Log'!$E$2:$V$72,
      MATCH(1,
        ('Fairway Log'!$A$2:$A$72=$A1061)*
        ('Fairway Log'!$B$2:$B$72=$B1061)*
        ('Fairway Log'!$C$2:$C1132=$C1061),
      0),
      MATCH($G1061,'Fairway Log'!$E$1:$V$1,0)
    ),
  "")
)</f>
        <v>→</v>
      </c>
      <c r="Q1061" t="str" cm="1">
        <f t="array" ref="Q1061">IFERROR(
  INDEX('GIR Log'!$E$2:$V$72,
    MATCH(1,
      ('GIR Log'!$A$2:$A$72=$A1061)*
      ('GIR Log'!$B$2:$B$72=$B1061)*
      ('GIR Log'!$C$2:$C$72=$C1061),
    0),
    MATCH($G1061,'GIR Log'!$E$1:$V$1,0)
  ),
"")</f>
        <v>↓</v>
      </c>
    </row>
    <row r="1062" spans="1:17" x14ac:dyDescent="0.25">
      <c r="A1062" s="51" t="s">
        <v>130</v>
      </c>
      <c r="B1062" s="2">
        <v>45649</v>
      </c>
      <c r="C1062" s="12" t="s">
        <v>14</v>
      </c>
      <c r="D1062" s="12" t="s">
        <v>73</v>
      </c>
      <c r="E1062" s="12" t="s">
        <v>40</v>
      </c>
      <c r="F1062">
        <v>91</v>
      </c>
      <c r="G1062" s="12" t="s">
        <v>63</v>
      </c>
      <c r="H1062" s="9">
        <f t="shared" si="69"/>
        <v>17</v>
      </c>
      <c r="I1062" cm="1">
        <f t="array" ref="I1062">IFERROR(INDEX(CourseYardages[[Hole 1]:[Hole 18]],
  MATCH(1, (CourseYardages[Course]=C1062)*(CourseYardages[Tees]=E1062), 0),
  MATCH(G1062, CourseYardages[[#Headers],[Hole 1]:[Hole 18]], 0)
),"")</f>
        <v>140</v>
      </c>
      <c r="J1062" cm="1">
        <f t="array" ref="J1062">IFERROR(INDEX(CourseHandicap[[Hole 1]:[Hole 18]],
  MATCH(1, (CourseHandicap[Course]=C1062)*(CourseHandicap[Tees]=E1062), 0),
  MATCH(G1062, CourseHandicap[[#Headers],[Hole 1]:[Hole 18]], 0)
),"")</f>
        <v>18</v>
      </c>
      <c r="K1062" cm="1">
        <f t="array" ref="K1062">IFERROR(INDEX(CourseRatings[[Hole 1]:[Hole 18]],
  MATCH(1, (CourseRatings[Course]=C1062)*(CourseRatings[Tees]=E1062), 0),
  MATCH(G1062, CourseRatings[[#Headers],[Hole 1]:[Hole 18]], 0)
),"")</f>
        <v>3</v>
      </c>
      <c r="L1062" cm="1">
        <f t="array" ref="L1062">IFERROR(
  INDEX('Golf Log'!$E$2:$V$72,
    MATCH(1,
      ('Golf Log'!$A$2:$A$72=$A1062)*
      ('Golf Log'!$B$2:$B$72=$B1062)*
      ('Golf Log'!$C$2:$C$72=$C1062),
    0),
    MATCH($G1062,'Golf Log'!$E$1:$V$1,0)
  ),
"")</f>
        <v>3</v>
      </c>
      <c r="M1062">
        <f t="shared" si="70"/>
        <v>0</v>
      </c>
      <c r="N1062" t="str">
        <f t="shared" si="71"/>
        <v>Par</v>
      </c>
      <c r="O1062" cm="1">
        <f t="array" ref="O1062">IFERROR(
  INDEX('Putt Log'!$E$2:$V$72,
    MATCH(1,
      ('Putt Log'!$A$2:$A$72=$A1062)*
      ('Putt Log'!$B$2:$B$72=$B1062)*
      ('Putt Log'!$C$2:$C$72=$C1062),
    0),
    MATCH($G1062,'Putt Log'!$E$1:$V$1,0)
  ),
"")</f>
        <v>2</v>
      </c>
      <c r="P1062" t="str" cm="1">
        <f t="array" ref="P1062">IF(K1062=3,"",
  IFERROR(
    INDEX('Fairway Log'!$E$2:$V$72,
      MATCH(1,
        ('Fairway Log'!$A$2:$A$72=$A1062)*
        ('Fairway Log'!$B$2:$B$72=$B1062)*
        ('Fairway Log'!$C$2:$C1133=$C1062),
      0),
      MATCH($G1062,'Fairway Log'!$E$1:$V$1,0)
    ),
  "")
)</f>
        <v/>
      </c>
      <c r="Q1062" cm="1">
        <f t="array" ref="Q1062">IFERROR(
  INDEX('GIR Log'!$E$2:$V$72,
    MATCH(1,
      ('GIR Log'!$A$2:$A$72=$A1062)*
      ('GIR Log'!$B$2:$B$72=$B1062)*
      ('GIR Log'!$C$2:$C$72=$C1062),
    0),
    MATCH($G1062,'GIR Log'!$E$1:$V$1,0)
  ),
"")</f>
        <v>1</v>
      </c>
    </row>
    <row r="1063" spans="1:17" x14ac:dyDescent="0.25">
      <c r="A1063" s="51" t="s">
        <v>130</v>
      </c>
      <c r="B1063" s="2">
        <v>45649</v>
      </c>
      <c r="C1063" s="12" t="s">
        <v>14</v>
      </c>
      <c r="D1063" s="12" t="s">
        <v>73</v>
      </c>
      <c r="E1063" s="12" t="s">
        <v>40</v>
      </c>
      <c r="F1063">
        <v>91</v>
      </c>
      <c r="G1063" s="12" t="s">
        <v>64</v>
      </c>
      <c r="H1063" s="9">
        <f t="shared" si="69"/>
        <v>18</v>
      </c>
      <c r="I1063" cm="1">
        <f t="array" ref="I1063">IFERROR(INDEX(CourseYardages[[Hole 1]:[Hole 18]],
  MATCH(1, (CourseYardages[Course]=C1063)*(CourseYardages[Tees]=E1063), 0),
  MATCH(G1063, CourseYardages[[#Headers],[Hole 1]:[Hole 18]], 0)
),"")</f>
        <v>426</v>
      </c>
      <c r="J1063" cm="1">
        <f t="array" ref="J1063">IFERROR(INDEX(CourseHandicap[[Hole 1]:[Hole 18]],
  MATCH(1, (CourseHandicap[Course]=C1063)*(CourseHandicap[Tees]=E1063), 0),
  MATCH(G1063, CourseHandicap[[#Headers],[Hole 1]:[Hole 18]], 0)
),"")</f>
        <v>2</v>
      </c>
      <c r="K1063" cm="1">
        <f t="array" ref="K1063">IFERROR(INDEX(CourseRatings[[Hole 1]:[Hole 18]],
  MATCH(1, (CourseRatings[Course]=C1063)*(CourseRatings[Tees]=E1063), 0),
  MATCH(G1063, CourseRatings[[#Headers],[Hole 1]:[Hole 18]], 0)
),"")</f>
        <v>4</v>
      </c>
      <c r="L1063" cm="1">
        <f t="array" ref="L1063">IFERROR(
  INDEX('Golf Log'!$E$2:$V$72,
    MATCH(1,
      ('Golf Log'!$A$2:$A$72=$A1063)*
      ('Golf Log'!$B$2:$B$72=$B1063)*
      ('Golf Log'!$C$2:$C$72=$C1063),
    0),
    MATCH($G1063,'Golf Log'!$E$1:$V$1,0)
  ),
"")</f>
        <v>5</v>
      </c>
      <c r="M1063">
        <f t="shared" si="70"/>
        <v>1</v>
      </c>
      <c r="N1063" t="str">
        <f t="shared" si="71"/>
        <v>Bogey</v>
      </c>
      <c r="O1063" cm="1">
        <f t="array" ref="O1063">IFERROR(
  INDEX('Putt Log'!$E$2:$V$72,
    MATCH(1,
      ('Putt Log'!$A$2:$A$72=$A1063)*
      ('Putt Log'!$B$2:$B$72=$B1063)*
      ('Putt Log'!$C$2:$C$72=$C1063),
    0),
    MATCH($G1063,'Putt Log'!$E$1:$V$1,0)
  ),
"")</f>
        <v>2</v>
      </c>
      <c r="P1063" t="str" cm="1">
        <f t="array" ref="P1063">IF(K1063=3,"",
  IFERROR(
    INDEX('Fairway Log'!$E$2:$V$72,
      MATCH(1,
        ('Fairway Log'!$A$2:$A$72=$A1063)*
        ('Fairway Log'!$B$2:$B$72=$B1063)*
        ('Fairway Log'!$C$2:$C1134=$C1063),
      0),
      MATCH($G1063,'Fairway Log'!$E$1:$V$1,0)
    ),
  "")
)</f>
        <v>←</v>
      </c>
      <c r="Q1063" t="str" cm="1">
        <f t="array" ref="Q1063">IFERROR(
  INDEX('GIR Log'!$E$2:$V$72,
    MATCH(1,
      ('GIR Log'!$A$2:$A$72=$A1063)*
      ('GIR Log'!$B$2:$B$72=$B1063)*
      ('GIR Log'!$C$2:$C$72=$C1063),
    0),
    MATCH($G1063,'GIR Log'!$E$1:$V$1,0)
  ),
"")</f>
        <v>↓</v>
      </c>
    </row>
    <row r="1064" spans="1:17" x14ac:dyDescent="0.25">
      <c r="A1064" s="51" t="s">
        <v>130</v>
      </c>
      <c r="B1064" s="2">
        <v>45570</v>
      </c>
      <c r="C1064" s="51" t="s">
        <v>3</v>
      </c>
      <c r="D1064" s="51" t="s">
        <v>3</v>
      </c>
      <c r="E1064" s="51" t="s">
        <v>36</v>
      </c>
      <c r="F1064">
        <v>87</v>
      </c>
      <c r="G1064" t="s">
        <v>47</v>
      </c>
      <c r="H1064" s="9">
        <f t="shared" si="69"/>
        <v>1</v>
      </c>
      <c r="I1064" cm="1">
        <f t="array" ref="I1064">IFERROR(INDEX(CourseYardages[[Hole 1]:[Hole 18]],
  MATCH(1, (CourseYardages[Course]=C1064)*(CourseYardages[Tees]=E1064), 0),
  MATCH(G1064, CourseYardages[[#Headers],[Hole 1]:[Hole 18]], 0)
),"")</f>
        <v>345</v>
      </c>
      <c r="J1064" cm="1">
        <f t="array" ref="J1064">IFERROR(INDEX(CourseHandicap[[Hole 1]:[Hole 18]],
  MATCH(1, (CourseHandicap[Course]=C1064)*(CourseHandicap[Tees]=E1064), 0),
  MATCH(G1064, CourseHandicap[[#Headers],[Hole 1]:[Hole 18]], 0)
),"")</f>
        <v>15</v>
      </c>
      <c r="K1064" cm="1">
        <f t="array" ref="K1064">IFERROR(INDEX(CourseRatings[[Hole 1]:[Hole 18]],
  MATCH(1, (CourseRatings[Course]=C1064)*(CourseRatings[Tees]=E1064), 0),
  MATCH(G1064, CourseRatings[[#Headers],[Hole 1]:[Hole 18]], 0)
),"")</f>
        <v>4</v>
      </c>
      <c r="L1064" cm="1">
        <f t="array" ref="L1064">IFERROR(
  INDEX('Golf Log'!$E$2:$V$72,
    MATCH(1,
      ('Golf Log'!$A$2:$A$72=$A1064)*
      ('Golf Log'!$B$2:$B$72=$B1064)*
      ('Golf Log'!$C$2:$C$72=$C1064),
    0),
    MATCH($G1064,'Golf Log'!$E$1:$V$1,0)
  ),
"")</f>
        <v>5</v>
      </c>
      <c r="M1064">
        <f t="shared" si="70"/>
        <v>1</v>
      </c>
      <c r="N1064" t="str">
        <f t="shared" si="71"/>
        <v>Bogey</v>
      </c>
      <c r="O1064" cm="1">
        <f t="array" ref="O1064">IFERROR(
  INDEX('Putt Log'!$E$2:$V$72,
    MATCH(1,
      ('Putt Log'!$A$2:$A$72=$A1064)*
      ('Putt Log'!$B$2:$B$72=$B1064)*
      ('Putt Log'!$C$2:$C$72=$C1064),
    0),
    MATCH($G1064,'Putt Log'!$E$1:$V$1,0)
  ),
"")</f>
        <v>2</v>
      </c>
      <c r="P1064" t="str" cm="1">
        <f t="array" ref="P1064">IF(K1064=3,"",
  IFERROR(
    INDEX('Fairway Log'!$E$2:$V$72,
      MATCH(1,
        ('Fairway Log'!$A$2:$A$72=$A1064)*
        ('Fairway Log'!$B$2:$B$72=$B1064)*
        ('Fairway Log'!$C$2:$C1135=$C1064),
      0),
      MATCH($G1064,'Fairway Log'!$E$1:$V$1,0)
    ),
  "")
)</f>
        <v>←</v>
      </c>
      <c r="Q1064" t="str" cm="1">
        <f t="array" ref="Q1064">IFERROR(
  INDEX('GIR Log'!$E$2:$V$72,
    MATCH(1,
      ('GIR Log'!$A$2:$A$72=$A1064)*
      ('GIR Log'!$B$2:$B$72=$B1064)*
      ('GIR Log'!$C$2:$C$72=$C1064),
    0),
    MATCH($G1064,'GIR Log'!$E$1:$V$1,0)
  ),
"")</f>
        <v>→</v>
      </c>
    </row>
    <row r="1065" spans="1:17" x14ac:dyDescent="0.25">
      <c r="A1065" s="51" t="s">
        <v>130</v>
      </c>
      <c r="B1065" s="2">
        <v>45570</v>
      </c>
      <c r="C1065" s="51" t="s">
        <v>3</v>
      </c>
      <c r="D1065" s="51" t="s">
        <v>3</v>
      </c>
      <c r="E1065" s="51" t="s">
        <v>36</v>
      </c>
      <c r="F1065">
        <v>87</v>
      </c>
      <c r="G1065" t="s">
        <v>48</v>
      </c>
      <c r="H1065" s="9">
        <f t="shared" si="69"/>
        <v>2</v>
      </c>
      <c r="I1065" cm="1">
        <f t="array" ref="I1065">IFERROR(INDEX(CourseYardages[[Hole 1]:[Hole 18]],
  MATCH(1, (CourseYardages[Course]=C1065)*(CourseYardages[Tees]=E1065), 0),
  MATCH(G1065, CourseYardages[[#Headers],[Hole 1]:[Hole 18]], 0)
),"")</f>
        <v>367</v>
      </c>
      <c r="J1065" cm="1">
        <f t="array" ref="J1065">IFERROR(INDEX(CourseHandicap[[Hole 1]:[Hole 18]],
  MATCH(1, (CourseHandicap[Course]=C1065)*(CourseHandicap[Tees]=E1065), 0),
  MATCH(G1065, CourseHandicap[[#Headers],[Hole 1]:[Hole 18]], 0)
),"")</f>
        <v>3</v>
      </c>
      <c r="K1065" cm="1">
        <f t="array" ref="K1065">IFERROR(INDEX(CourseRatings[[Hole 1]:[Hole 18]],
  MATCH(1, (CourseRatings[Course]=C1065)*(CourseRatings[Tees]=E1065), 0),
  MATCH(G1065, CourseRatings[[#Headers],[Hole 1]:[Hole 18]], 0)
),"")</f>
        <v>4</v>
      </c>
      <c r="L1065" cm="1">
        <f t="array" ref="L1065">IFERROR(
  INDEX('Golf Log'!$E$2:$V$72,
    MATCH(1,
      ('Golf Log'!$A$2:$A$72=$A1065)*
      ('Golf Log'!$B$2:$B$72=$B1065)*
      ('Golf Log'!$C$2:$C$72=$C1065),
    0),
    MATCH($G1065,'Golf Log'!$E$1:$V$1,0)
  ),
"")</f>
        <v>4</v>
      </c>
      <c r="M1065">
        <f t="shared" si="70"/>
        <v>0</v>
      </c>
      <c r="N1065" t="str">
        <f t="shared" si="71"/>
        <v>Par</v>
      </c>
      <c r="O1065" cm="1">
        <f t="array" ref="O1065">IFERROR(
  INDEX('Putt Log'!$E$2:$V$72,
    MATCH(1,
      ('Putt Log'!$A$2:$A$72=$A1065)*
      ('Putt Log'!$B$2:$B$72=$B1065)*
      ('Putt Log'!$C$2:$C$72=$C1065),
    0),
    MATCH($G1065,'Putt Log'!$E$1:$V$1,0)
  ),
"")</f>
        <v>2</v>
      </c>
      <c r="P1065" cm="1">
        <f t="array" ref="P1065">IF(K1065=3,"",
  IFERROR(
    INDEX('Fairway Log'!$E$2:$V$72,
      MATCH(1,
        ('Fairway Log'!$A$2:$A$72=$A1065)*
        ('Fairway Log'!$B$2:$B$72=$B1065)*
        ('Fairway Log'!$C$2:$C1136=$C1065),
      0),
      MATCH($G1065,'Fairway Log'!$E$1:$V$1,0)
    ),
  "")
)</f>
        <v>1</v>
      </c>
      <c r="Q1065" cm="1">
        <f t="array" ref="Q1065">IFERROR(
  INDEX('GIR Log'!$E$2:$V$72,
    MATCH(1,
      ('GIR Log'!$A$2:$A$72=$A1065)*
      ('GIR Log'!$B$2:$B$72=$B1065)*
      ('GIR Log'!$C$2:$C$72=$C1065),
    0),
    MATCH($G1065,'GIR Log'!$E$1:$V$1,0)
  ),
"")</f>
        <v>1</v>
      </c>
    </row>
    <row r="1066" spans="1:17" x14ac:dyDescent="0.25">
      <c r="A1066" s="51" t="s">
        <v>130</v>
      </c>
      <c r="B1066" s="2">
        <v>45570</v>
      </c>
      <c r="C1066" s="51" t="s">
        <v>3</v>
      </c>
      <c r="D1066" s="51" t="s">
        <v>3</v>
      </c>
      <c r="E1066" s="51" t="s">
        <v>36</v>
      </c>
      <c r="F1066">
        <v>87</v>
      </c>
      <c r="G1066" t="s">
        <v>49</v>
      </c>
      <c r="H1066" s="9">
        <f t="shared" si="69"/>
        <v>3</v>
      </c>
      <c r="I1066" cm="1">
        <f t="array" ref="I1066">IFERROR(INDEX(CourseYardages[[Hole 1]:[Hole 18]],
  MATCH(1, (CourseYardages[Course]=C1066)*(CourseYardages[Tees]=E1066), 0),
  MATCH(G1066, CourseYardages[[#Headers],[Hole 1]:[Hole 18]], 0)
),"")</f>
        <v>133</v>
      </c>
      <c r="J1066" cm="1">
        <f t="array" ref="J1066">IFERROR(INDEX(CourseHandicap[[Hole 1]:[Hole 18]],
  MATCH(1, (CourseHandicap[Course]=C1066)*(CourseHandicap[Tees]=E1066), 0),
  MATCH(G1066, CourseHandicap[[#Headers],[Hole 1]:[Hole 18]], 0)
),"")</f>
        <v>17</v>
      </c>
      <c r="K1066" cm="1">
        <f t="array" ref="K1066">IFERROR(INDEX(CourseRatings[[Hole 1]:[Hole 18]],
  MATCH(1, (CourseRatings[Course]=C1066)*(CourseRatings[Tees]=E1066), 0),
  MATCH(G1066, CourseRatings[[#Headers],[Hole 1]:[Hole 18]], 0)
),"")</f>
        <v>3</v>
      </c>
      <c r="L1066" cm="1">
        <f t="array" ref="L1066">IFERROR(
  INDEX('Golf Log'!$E$2:$V$72,
    MATCH(1,
      ('Golf Log'!$A$2:$A$72=$A1066)*
      ('Golf Log'!$B$2:$B$72=$B1066)*
      ('Golf Log'!$C$2:$C$72=$C1066),
    0),
    MATCH($G1066,'Golf Log'!$E$1:$V$1,0)
  ),
"")</f>
        <v>4</v>
      </c>
      <c r="M1066">
        <f t="shared" si="70"/>
        <v>1</v>
      </c>
      <c r="N1066" t="str">
        <f t="shared" si="71"/>
        <v>Bogey</v>
      </c>
      <c r="O1066" cm="1">
        <f t="array" ref="O1066">IFERROR(
  INDEX('Putt Log'!$E$2:$V$72,
    MATCH(1,
      ('Putt Log'!$A$2:$A$72=$A1066)*
      ('Putt Log'!$B$2:$B$72=$B1066)*
      ('Putt Log'!$C$2:$C$72=$C1066),
    0),
    MATCH($G1066,'Putt Log'!$E$1:$V$1,0)
  ),
"")</f>
        <v>3</v>
      </c>
      <c r="P1066" t="str" cm="1">
        <f t="array" ref="P1066">IF(K1066=3,"",
  IFERROR(
    INDEX('Fairway Log'!$E$2:$V$72,
      MATCH(1,
        ('Fairway Log'!$A$2:$A$72=$A1066)*
        ('Fairway Log'!$B$2:$B$72=$B1066)*
        ('Fairway Log'!$C$2:$C1137=$C1066),
      0),
      MATCH($G1066,'Fairway Log'!$E$1:$V$1,0)
    ),
  "")
)</f>
        <v/>
      </c>
      <c r="Q1066" cm="1">
        <f t="array" ref="Q1066">IFERROR(
  INDEX('GIR Log'!$E$2:$V$72,
    MATCH(1,
      ('GIR Log'!$A$2:$A$72=$A1066)*
      ('GIR Log'!$B$2:$B$72=$B1066)*
      ('GIR Log'!$C$2:$C$72=$C1066),
    0),
    MATCH($G1066,'GIR Log'!$E$1:$V$1,0)
  ),
"")</f>
        <v>1</v>
      </c>
    </row>
    <row r="1067" spans="1:17" x14ac:dyDescent="0.25">
      <c r="A1067" s="51" t="s">
        <v>130</v>
      </c>
      <c r="B1067" s="2">
        <v>45570</v>
      </c>
      <c r="C1067" s="51" t="s">
        <v>3</v>
      </c>
      <c r="D1067" s="51" t="s">
        <v>3</v>
      </c>
      <c r="E1067" s="51" t="s">
        <v>36</v>
      </c>
      <c r="F1067">
        <v>87</v>
      </c>
      <c r="G1067" t="s">
        <v>50</v>
      </c>
      <c r="H1067" s="9">
        <f t="shared" si="69"/>
        <v>4</v>
      </c>
      <c r="I1067" cm="1">
        <f t="array" ref="I1067">IFERROR(INDEX(CourseYardages[[Hole 1]:[Hole 18]],
  MATCH(1, (CourseYardages[Course]=C1067)*(CourseYardages[Tees]=E1067), 0),
  MATCH(G1067, CourseYardages[[#Headers],[Hole 1]:[Hole 18]], 0)
),"")</f>
        <v>344</v>
      </c>
      <c r="J1067" cm="1">
        <f t="array" ref="J1067">IFERROR(INDEX(CourseHandicap[[Hole 1]:[Hole 18]],
  MATCH(1, (CourseHandicap[Course]=C1067)*(CourseHandicap[Tees]=E1067), 0),
  MATCH(G1067, CourseHandicap[[#Headers],[Hole 1]:[Hole 18]], 0)
),"")</f>
        <v>11</v>
      </c>
      <c r="K1067" cm="1">
        <f t="array" ref="K1067">IFERROR(INDEX(CourseRatings[[Hole 1]:[Hole 18]],
  MATCH(1, (CourseRatings[Course]=C1067)*(CourseRatings[Tees]=E1067), 0),
  MATCH(G1067, CourseRatings[[#Headers],[Hole 1]:[Hole 18]], 0)
),"")</f>
        <v>4</v>
      </c>
      <c r="L1067" cm="1">
        <f t="array" ref="L1067">IFERROR(
  INDEX('Golf Log'!$E$2:$V$72,
    MATCH(1,
      ('Golf Log'!$A$2:$A$72=$A1067)*
      ('Golf Log'!$B$2:$B$72=$B1067)*
      ('Golf Log'!$C$2:$C$72=$C1067),
    0),
    MATCH($G1067,'Golf Log'!$E$1:$V$1,0)
  ),
"")</f>
        <v>4</v>
      </c>
      <c r="M1067">
        <f t="shared" si="70"/>
        <v>0</v>
      </c>
      <c r="N1067" t="str">
        <f t="shared" si="71"/>
        <v>Par</v>
      </c>
      <c r="O1067" cm="1">
        <f t="array" ref="O1067">IFERROR(
  INDEX('Putt Log'!$E$2:$V$72,
    MATCH(1,
      ('Putt Log'!$A$2:$A$72=$A1067)*
      ('Putt Log'!$B$2:$B$72=$B1067)*
      ('Putt Log'!$C$2:$C$72=$C1067),
    0),
    MATCH($G1067,'Putt Log'!$E$1:$V$1,0)
  ),
"")</f>
        <v>2</v>
      </c>
      <c r="P1067" cm="1">
        <f t="array" ref="P1067">IF(K1067=3,"",
  IFERROR(
    INDEX('Fairway Log'!$E$2:$V$72,
      MATCH(1,
        ('Fairway Log'!$A$2:$A$72=$A1067)*
        ('Fairway Log'!$B$2:$B$72=$B1067)*
        ('Fairway Log'!$C$2:$C1138=$C1067),
      0),
      MATCH($G1067,'Fairway Log'!$E$1:$V$1,0)
    ),
  "")
)</f>
        <v>1</v>
      </c>
      <c r="Q1067" cm="1">
        <f t="array" ref="Q1067">IFERROR(
  INDEX('GIR Log'!$E$2:$V$72,
    MATCH(1,
      ('GIR Log'!$A$2:$A$72=$A1067)*
      ('GIR Log'!$B$2:$B$72=$B1067)*
      ('GIR Log'!$C$2:$C$72=$C1067),
    0),
    MATCH($G1067,'GIR Log'!$E$1:$V$1,0)
  ),
"")</f>
        <v>1</v>
      </c>
    </row>
    <row r="1068" spans="1:17" x14ac:dyDescent="0.25">
      <c r="A1068" s="51" t="s">
        <v>130</v>
      </c>
      <c r="B1068" s="2">
        <v>45570</v>
      </c>
      <c r="C1068" s="51" t="s">
        <v>3</v>
      </c>
      <c r="D1068" s="51" t="s">
        <v>3</v>
      </c>
      <c r="E1068" s="51" t="s">
        <v>36</v>
      </c>
      <c r="F1068">
        <v>87</v>
      </c>
      <c r="G1068" t="s">
        <v>51</v>
      </c>
      <c r="H1068" s="9">
        <f t="shared" si="69"/>
        <v>5</v>
      </c>
      <c r="I1068" cm="1">
        <f t="array" ref="I1068">IFERROR(INDEX(CourseYardages[[Hole 1]:[Hole 18]],
  MATCH(1, (CourseYardages[Course]=C1068)*(CourseYardages[Tees]=E1068), 0),
  MATCH(G1068, CourseYardages[[#Headers],[Hole 1]:[Hole 18]], 0)
),"")</f>
        <v>387</v>
      </c>
      <c r="J1068" cm="1">
        <f t="array" ref="J1068">IFERROR(INDEX(CourseHandicap[[Hole 1]:[Hole 18]],
  MATCH(1, (CourseHandicap[Course]=C1068)*(CourseHandicap[Tees]=E1068), 0),
  MATCH(G1068, CourseHandicap[[#Headers],[Hole 1]:[Hole 18]], 0)
),"")</f>
        <v>7</v>
      </c>
      <c r="K1068" cm="1">
        <f t="array" ref="K1068">IFERROR(INDEX(CourseRatings[[Hole 1]:[Hole 18]],
  MATCH(1, (CourseRatings[Course]=C1068)*(CourseRatings[Tees]=E1068), 0),
  MATCH(G1068, CourseRatings[[#Headers],[Hole 1]:[Hole 18]], 0)
),"")</f>
        <v>4</v>
      </c>
      <c r="L1068" cm="1">
        <f t="array" ref="L1068">IFERROR(
  INDEX('Golf Log'!$E$2:$V$72,
    MATCH(1,
      ('Golf Log'!$A$2:$A$72=$A1068)*
      ('Golf Log'!$B$2:$B$72=$B1068)*
      ('Golf Log'!$C$2:$C$72=$C1068),
    0),
    MATCH($G1068,'Golf Log'!$E$1:$V$1,0)
  ),
"")</f>
        <v>5</v>
      </c>
      <c r="M1068">
        <f t="shared" si="70"/>
        <v>1</v>
      </c>
      <c r="N1068" t="str">
        <f t="shared" si="71"/>
        <v>Bogey</v>
      </c>
      <c r="O1068" cm="1">
        <f t="array" ref="O1068">IFERROR(
  INDEX('Putt Log'!$E$2:$V$72,
    MATCH(1,
      ('Putt Log'!$A$2:$A$72=$A1068)*
      ('Putt Log'!$B$2:$B$72=$B1068)*
      ('Putt Log'!$C$2:$C$72=$C1068),
    0),
    MATCH($G1068,'Putt Log'!$E$1:$V$1,0)
  ),
"")</f>
        <v>2</v>
      </c>
      <c r="P1068" t="str" cm="1">
        <f t="array" ref="P1068">IF(K1068=3,"",
  IFERROR(
    INDEX('Fairway Log'!$E$2:$V$72,
      MATCH(1,
        ('Fairway Log'!$A$2:$A$72=$A1068)*
        ('Fairway Log'!$B$2:$B$72=$B1068)*
        ('Fairway Log'!$C$2:$C1139=$C1068),
      0),
      MATCH($G1068,'Fairway Log'!$E$1:$V$1,0)
    ),
  "")
)</f>
        <v>→</v>
      </c>
      <c r="Q1068" t="str" cm="1">
        <f t="array" ref="Q1068">IFERROR(
  INDEX('GIR Log'!$E$2:$V$72,
    MATCH(1,
      ('GIR Log'!$A$2:$A$72=$A1068)*
      ('GIR Log'!$B$2:$B$72=$B1068)*
      ('GIR Log'!$C$2:$C$72=$C1068),
    0),
    MATCH($G1068,'GIR Log'!$E$1:$V$1,0)
  ),
"")</f>
        <v>←</v>
      </c>
    </row>
    <row r="1069" spans="1:17" x14ac:dyDescent="0.25">
      <c r="A1069" s="51" t="s">
        <v>130</v>
      </c>
      <c r="B1069" s="2">
        <v>45570</v>
      </c>
      <c r="C1069" s="51" t="s">
        <v>3</v>
      </c>
      <c r="D1069" s="51" t="s">
        <v>3</v>
      </c>
      <c r="E1069" s="51" t="s">
        <v>36</v>
      </c>
      <c r="F1069">
        <v>87</v>
      </c>
      <c r="G1069" t="s">
        <v>52</v>
      </c>
      <c r="H1069" s="9">
        <f t="shared" si="69"/>
        <v>6</v>
      </c>
      <c r="I1069" cm="1">
        <f t="array" ref="I1069">IFERROR(INDEX(CourseYardages[[Hole 1]:[Hole 18]],
  MATCH(1, (CourseYardages[Course]=C1069)*(CourseYardages[Tees]=E1069), 0),
  MATCH(G1069, CourseYardages[[#Headers],[Hole 1]:[Hole 18]], 0)
),"")</f>
        <v>178</v>
      </c>
      <c r="J1069" cm="1">
        <f t="array" ref="J1069">IFERROR(INDEX(CourseHandicap[[Hole 1]:[Hole 18]],
  MATCH(1, (CourseHandicap[Course]=C1069)*(CourseHandicap[Tees]=E1069), 0),
  MATCH(G1069, CourseHandicap[[#Headers],[Hole 1]:[Hole 18]], 0)
),"")</f>
        <v>5</v>
      </c>
      <c r="K1069" cm="1">
        <f t="array" ref="K1069">IFERROR(INDEX(CourseRatings[[Hole 1]:[Hole 18]],
  MATCH(1, (CourseRatings[Course]=C1069)*(CourseRatings[Tees]=E1069), 0),
  MATCH(G1069, CourseRatings[[#Headers],[Hole 1]:[Hole 18]], 0)
),"")</f>
        <v>3</v>
      </c>
      <c r="L1069" cm="1">
        <f t="array" ref="L1069">IFERROR(
  INDEX('Golf Log'!$E$2:$V$72,
    MATCH(1,
      ('Golf Log'!$A$2:$A$72=$A1069)*
      ('Golf Log'!$B$2:$B$72=$B1069)*
      ('Golf Log'!$C$2:$C$72=$C1069),
    0),
    MATCH($G1069,'Golf Log'!$E$1:$V$1,0)
  ),
"")</f>
        <v>4</v>
      </c>
      <c r="M1069">
        <f t="shared" si="70"/>
        <v>1</v>
      </c>
      <c r="N1069" t="str">
        <f t="shared" si="71"/>
        <v>Bogey</v>
      </c>
      <c r="O1069" cm="1">
        <f t="array" ref="O1069">IFERROR(
  INDEX('Putt Log'!$E$2:$V$72,
    MATCH(1,
      ('Putt Log'!$A$2:$A$72=$A1069)*
      ('Putt Log'!$B$2:$B$72=$B1069)*
      ('Putt Log'!$C$2:$C$72=$C1069),
    0),
    MATCH($G1069,'Putt Log'!$E$1:$V$1,0)
  ),
"")</f>
        <v>2</v>
      </c>
      <c r="P1069" t="str" cm="1">
        <f t="array" ref="P1069">IF(K1069=3,"",
  IFERROR(
    INDEX('Fairway Log'!$E$2:$V$72,
      MATCH(1,
        ('Fairway Log'!$A$2:$A$72=$A1069)*
        ('Fairway Log'!$B$2:$B$72=$B1069)*
        ('Fairway Log'!$C$2:$C1140=$C1069),
      0),
      MATCH($G1069,'Fairway Log'!$E$1:$V$1,0)
    ),
  "")
)</f>
        <v/>
      </c>
      <c r="Q1069" t="str" cm="1">
        <f t="array" ref="Q1069">IFERROR(
  INDEX('GIR Log'!$E$2:$V$72,
    MATCH(1,
      ('GIR Log'!$A$2:$A$72=$A1069)*
      ('GIR Log'!$B$2:$B$72=$B1069)*
      ('GIR Log'!$C$2:$C$72=$C1069),
    0),
    MATCH($G1069,'GIR Log'!$E$1:$V$1,0)
  ),
"")</f>
        <v>→</v>
      </c>
    </row>
    <row r="1070" spans="1:17" x14ac:dyDescent="0.25">
      <c r="A1070" s="51" t="s">
        <v>130</v>
      </c>
      <c r="B1070" s="2">
        <v>45570</v>
      </c>
      <c r="C1070" s="51" t="s">
        <v>3</v>
      </c>
      <c r="D1070" s="51" t="s">
        <v>3</v>
      </c>
      <c r="E1070" s="51" t="s">
        <v>36</v>
      </c>
      <c r="F1070">
        <v>87</v>
      </c>
      <c r="G1070" t="s">
        <v>53</v>
      </c>
      <c r="H1070" s="9">
        <f t="shared" si="69"/>
        <v>7</v>
      </c>
      <c r="I1070" cm="1">
        <f t="array" ref="I1070">IFERROR(INDEX(CourseYardages[[Hole 1]:[Hole 18]],
  MATCH(1, (CourseYardages[Course]=C1070)*(CourseYardages[Tees]=E1070), 0),
  MATCH(G1070, CourseYardages[[#Headers],[Hole 1]:[Hole 18]], 0)
),"")</f>
        <v>500</v>
      </c>
      <c r="J1070" cm="1">
        <f t="array" ref="J1070">IFERROR(INDEX(CourseHandicap[[Hole 1]:[Hole 18]],
  MATCH(1, (CourseHandicap[Course]=C1070)*(CourseHandicap[Tees]=E1070), 0),
  MATCH(G1070, CourseHandicap[[#Headers],[Hole 1]:[Hole 18]], 0)
),"")</f>
        <v>9</v>
      </c>
      <c r="K1070" cm="1">
        <f t="array" ref="K1070">IFERROR(INDEX(CourseRatings[[Hole 1]:[Hole 18]],
  MATCH(1, (CourseRatings[Course]=C1070)*(CourseRatings[Tees]=E1070), 0),
  MATCH(G1070, CourseRatings[[#Headers],[Hole 1]:[Hole 18]], 0)
),"")</f>
        <v>5</v>
      </c>
      <c r="L1070" cm="1">
        <f t="array" ref="L1070">IFERROR(
  INDEX('Golf Log'!$E$2:$V$72,
    MATCH(1,
      ('Golf Log'!$A$2:$A$72=$A1070)*
      ('Golf Log'!$B$2:$B$72=$B1070)*
      ('Golf Log'!$C$2:$C$72=$C1070),
    0),
    MATCH($G1070,'Golf Log'!$E$1:$V$1,0)
  ),
"")</f>
        <v>7</v>
      </c>
      <c r="M1070">
        <f t="shared" si="70"/>
        <v>2</v>
      </c>
      <c r="N1070" t="str">
        <f t="shared" si="71"/>
        <v>Double Bogey</v>
      </c>
      <c r="O1070" cm="1">
        <f t="array" ref="O1070">IFERROR(
  INDEX('Putt Log'!$E$2:$V$72,
    MATCH(1,
      ('Putt Log'!$A$2:$A$72=$A1070)*
      ('Putt Log'!$B$2:$B$72=$B1070)*
      ('Putt Log'!$C$2:$C$72=$C1070),
    0),
    MATCH($G1070,'Putt Log'!$E$1:$V$1,0)
  ),
"")</f>
        <v>3</v>
      </c>
      <c r="P1070" t="str" cm="1">
        <f t="array" ref="P1070">IF(K1070=3,"",
  IFERROR(
    INDEX('Fairway Log'!$E$2:$V$72,
      MATCH(1,
        ('Fairway Log'!$A$2:$A$72=$A1070)*
        ('Fairway Log'!$B$2:$B$72=$B1070)*
        ('Fairway Log'!$C$2:$C1141=$C1070),
      0),
      MATCH($G1070,'Fairway Log'!$E$1:$V$1,0)
    ),
  "")
)</f>
        <v>←</v>
      </c>
      <c r="Q1070" t="str" cm="1">
        <f t="array" ref="Q1070">IFERROR(
  INDEX('GIR Log'!$E$2:$V$72,
    MATCH(1,
      ('GIR Log'!$A$2:$A$72=$A1070)*
      ('GIR Log'!$B$2:$B$72=$B1070)*
      ('GIR Log'!$C$2:$C$72=$C1070),
    0),
    MATCH($G1070,'GIR Log'!$E$1:$V$1,0)
  ),
"")</f>
        <v>↓</v>
      </c>
    </row>
    <row r="1071" spans="1:17" x14ac:dyDescent="0.25">
      <c r="A1071" s="51" t="s">
        <v>130</v>
      </c>
      <c r="B1071" s="2">
        <v>45570</v>
      </c>
      <c r="C1071" s="51" t="s">
        <v>3</v>
      </c>
      <c r="D1071" s="51" t="s">
        <v>3</v>
      </c>
      <c r="E1071" s="51" t="s">
        <v>36</v>
      </c>
      <c r="F1071">
        <v>87</v>
      </c>
      <c r="G1071" t="s">
        <v>54</v>
      </c>
      <c r="H1071" s="9">
        <f t="shared" si="69"/>
        <v>8</v>
      </c>
      <c r="I1071" cm="1">
        <f t="array" ref="I1071">IFERROR(INDEX(CourseYardages[[Hole 1]:[Hole 18]],
  MATCH(1, (CourseYardages[Course]=C1071)*(CourseYardages[Tees]=E1071), 0),
  MATCH(G1071, CourseYardages[[#Headers],[Hole 1]:[Hole 18]], 0)
),"")</f>
        <v>337</v>
      </c>
      <c r="J1071" cm="1">
        <f t="array" ref="J1071">IFERROR(INDEX(CourseHandicap[[Hole 1]:[Hole 18]],
  MATCH(1, (CourseHandicap[Course]=C1071)*(CourseHandicap[Tees]=E1071), 0),
  MATCH(G1071, CourseHandicap[[#Headers],[Hole 1]:[Hole 18]], 0)
),"")</f>
        <v>13</v>
      </c>
      <c r="K1071" cm="1">
        <f t="array" ref="K1071">IFERROR(INDEX(CourseRatings[[Hole 1]:[Hole 18]],
  MATCH(1, (CourseRatings[Course]=C1071)*(CourseRatings[Tees]=E1071), 0),
  MATCH(G1071, CourseRatings[[#Headers],[Hole 1]:[Hole 18]], 0)
),"")</f>
        <v>4</v>
      </c>
      <c r="L1071" cm="1">
        <f t="array" ref="L1071">IFERROR(
  INDEX('Golf Log'!$E$2:$V$72,
    MATCH(1,
      ('Golf Log'!$A$2:$A$72=$A1071)*
      ('Golf Log'!$B$2:$B$72=$B1071)*
      ('Golf Log'!$C$2:$C$72=$C1071),
    0),
    MATCH($G1071,'Golf Log'!$E$1:$V$1,0)
  ),
"")</f>
        <v>5</v>
      </c>
      <c r="M1071">
        <f t="shared" si="70"/>
        <v>1</v>
      </c>
      <c r="N1071" t="str">
        <f t="shared" si="71"/>
        <v>Bogey</v>
      </c>
      <c r="O1071" cm="1">
        <f t="array" ref="O1071">IFERROR(
  INDEX('Putt Log'!$E$2:$V$72,
    MATCH(1,
      ('Putt Log'!$A$2:$A$72=$A1071)*
      ('Putt Log'!$B$2:$B$72=$B1071)*
      ('Putt Log'!$C$2:$C$72=$C1071),
    0),
    MATCH($G1071,'Putt Log'!$E$1:$V$1,0)
  ),
"")</f>
        <v>2</v>
      </c>
      <c r="P1071" t="str" cm="1">
        <f t="array" ref="P1071">IF(K1071=3,"",
  IFERROR(
    INDEX('Fairway Log'!$E$2:$V$72,
      MATCH(1,
        ('Fairway Log'!$A$2:$A$72=$A1071)*
        ('Fairway Log'!$B$2:$B$72=$B1071)*
        ('Fairway Log'!$C$2:$C1142=$C1071),
      0),
      MATCH($G1071,'Fairway Log'!$E$1:$V$1,0)
    ),
  "")
)</f>
        <v>↓</v>
      </c>
      <c r="Q1071" t="str" cm="1">
        <f t="array" ref="Q1071">IFERROR(
  INDEX('GIR Log'!$E$2:$V$72,
    MATCH(1,
      ('GIR Log'!$A$2:$A$72=$A1071)*
      ('GIR Log'!$B$2:$B$72=$B1071)*
      ('GIR Log'!$C$2:$C$72=$C1071),
    0),
    MATCH($G1071,'GIR Log'!$E$1:$V$1,0)
  ),
"")</f>
        <v>↑</v>
      </c>
    </row>
    <row r="1072" spans="1:17" x14ac:dyDescent="0.25">
      <c r="A1072" s="51" t="s">
        <v>130</v>
      </c>
      <c r="B1072" s="2">
        <v>45570</v>
      </c>
      <c r="C1072" s="51" t="s">
        <v>3</v>
      </c>
      <c r="D1072" s="51" t="s">
        <v>3</v>
      </c>
      <c r="E1072" s="51" t="s">
        <v>36</v>
      </c>
      <c r="F1072">
        <v>87</v>
      </c>
      <c r="G1072" t="s">
        <v>55</v>
      </c>
      <c r="H1072" s="9">
        <f t="shared" si="69"/>
        <v>9</v>
      </c>
      <c r="I1072" cm="1">
        <f t="array" ref="I1072">IFERROR(INDEX(CourseYardages[[Hole 1]:[Hole 18]],
  MATCH(1, (CourseYardages[Course]=C1072)*(CourseYardages[Tees]=E1072), 0),
  MATCH(G1072, CourseYardages[[#Headers],[Hole 1]:[Hole 18]], 0)
),"")</f>
        <v>532</v>
      </c>
      <c r="J1072" cm="1">
        <f t="array" ref="J1072">IFERROR(INDEX(CourseHandicap[[Hole 1]:[Hole 18]],
  MATCH(1, (CourseHandicap[Course]=C1072)*(CourseHandicap[Tees]=E1072), 0),
  MATCH(G1072, CourseHandicap[[#Headers],[Hole 1]:[Hole 18]], 0)
),"")</f>
        <v>1</v>
      </c>
      <c r="K1072" cm="1">
        <f t="array" ref="K1072">IFERROR(INDEX(CourseRatings[[Hole 1]:[Hole 18]],
  MATCH(1, (CourseRatings[Course]=C1072)*(CourseRatings[Tees]=E1072), 0),
  MATCH(G1072, CourseRatings[[#Headers],[Hole 1]:[Hole 18]], 0)
),"")</f>
        <v>5</v>
      </c>
      <c r="L1072" cm="1">
        <f t="array" ref="L1072">IFERROR(
  INDEX('Golf Log'!$E$2:$V$72,
    MATCH(1,
      ('Golf Log'!$A$2:$A$72=$A1072)*
      ('Golf Log'!$B$2:$B$72=$B1072)*
      ('Golf Log'!$C$2:$C$72=$C1072),
    0),
    MATCH($G1072,'Golf Log'!$E$1:$V$1,0)
  ),
"")</f>
        <v>6</v>
      </c>
      <c r="M1072">
        <f t="shared" si="70"/>
        <v>1</v>
      </c>
      <c r="N1072" t="str">
        <f t="shared" si="71"/>
        <v>Bogey</v>
      </c>
      <c r="O1072" cm="1">
        <f t="array" ref="O1072">IFERROR(
  INDEX('Putt Log'!$E$2:$V$72,
    MATCH(1,
      ('Putt Log'!$A$2:$A$72=$A1072)*
      ('Putt Log'!$B$2:$B$72=$B1072)*
      ('Putt Log'!$C$2:$C$72=$C1072),
    0),
    MATCH($G1072,'Putt Log'!$E$1:$V$1,0)
  ),
"")</f>
        <v>3</v>
      </c>
      <c r="P1072" t="str" cm="1">
        <f t="array" ref="P1072">IF(K1072=3,"",
  IFERROR(
    INDEX('Fairway Log'!$E$2:$V$72,
      MATCH(1,
        ('Fairway Log'!$A$2:$A$72=$A1072)*
        ('Fairway Log'!$B$2:$B$72=$B1072)*
        ('Fairway Log'!$C$2:$C1143=$C1072),
      0),
      MATCH($G1072,'Fairway Log'!$E$1:$V$1,0)
    ),
  "")
)</f>
        <v>←</v>
      </c>
      <c r="Q1072" t="str" cm="1">
        <f t="array" ref="Q1072">IFERROR(
  INDEX('GIR Log'!$E$2:$V$72,
    MATCH(1,
      ('GIR Log'!$A$2:$A$72=$A1072)*
      ('GIR Log'!$B$2:$B$72=$B1072)*
      ('GIR Log'!$C$2:$C$72=$C1072),
    0),
    MATCH($G1072,'GIR Log'!$E$1:$V$1,0)
  ),
"")</f>
        <v>↓</v>
      </c>
    </row>
    <row r="1073" spans="1:17" x14ac:dyDescent="0.25">
      <c r="A1073" s="51" t="s">
        <v>130</v>
      </c>
      <c r="B1073" s="2">
        <v>45570</v>
      </c>
      <c r="C1073" s="51" t="s">
        <v>3</v>
      </c>
      <c r="D1073" s="51" t="s">
        <v>3</v>
      </c>
      <c r="E1073" s="51" t="s">
        <v>36</v>
      </c>
      <c r="F1073">
        <v>87</v>
      </c>
      <c r="G1073" t="s">
        <v>56</v>
      </c>
      <c r="H1073" s="9">
        <f t="shared" si="69"/>
        <v>10</v>
      </c>
      <c r="I1073" cm="1">
        <f t="array" ref="I1073">IFERROR(INDEX(CourseYardages[[Hole 1]:[Hole 18]],
  MATCH(1, (CourseYardages[Course]=C1073)*(CourseYardages[Tees]=E1073), 0),
  MATCH(G1073, CourseYardages[[#Headers],[Hole 1]:[Hole 18]], 0)
),"")</f>
        <v>328</v>
      </c>
      <c r="J1073" cm="1">
        <f t="array" ref="J1073">IFERROR(INDEX(CourseHandicap[[Hole 1]:[Hole 18]],
  MATCH(1, (CourseHandicap[Course]=C1073)*(CourseHandicap[Tees]=E1073), 0),
  MATCH(G1073, CourseHandicap[[#Headers],[Hole 1]:[Hole 18]], 0)
),"")</f>
        <v>12</v>
      </c>
      <c r="K1073" cm="1">
        <f t="array" ref="K1073">IFERROR(INDEX(CourseRatings[[Hole 1]:[Hole 18]],
  MATCH(1, (CourseRatings[Course]=C1073)*(CourseRatings[Tees]=E1073), 0),
  MATCH(G1073, CourseRatings[[#Headers],[Hole 1]:[Hole 18]], 0)
),"")</f>
        <v>4</v>
      </c>
      <c r="L1073" cm="1">
        <f t="array" ref="L1073">IFERROR(
  INDEX('Golf Log'!$E$2:$V$72,
    MATCH(1,
      ('Golf Log'!$A$2:$A$72=$A1073)*
      ('Golf Log'!$B$2:$B$72=$B1073)*
      ('Golf Log'!$C$2:$C$72=$C1073),
    0),
    MATCH($G1073,'Golf Log'!$E$1:$V$1,0)
  ),
"")</f>
        <v>4</v>
      </c>
      <c r="M1073">
        <f t="shared" si="70"/>
        <v>0</v>
      </c>
      <c r="N1073" t="str">
        <f t="shared" si="71"/>
        <v>Par</v>
      </c>
      <c r="O1073" cm="1">
        <f t="array" ref="O1073">IFERROR(
  INDEX('Putt Log'!$E$2:$V$72,
    MATCH(1,
      ('Putt Log'!$A$2:$A$72=$A1073)*
      ('Putt Log'!$B$2:$B$72=$B1073)*
      ('Putt Log'!$C$2:$C$72=$C1073),
    0),
    MATCH($G1073,'Putt Log'!$E$1:$V$1,0)
  ),
"")</f>
        <v>1</v>
      </c>
      <c r="P1073" t="str" cm="1">
        <f t="array" ref="P1073">IF(K1073=3,"",
  IFERROR(
    INDEX('Fairway Log'!$E$2:$V$72,
      MATCH(1,
        ('Fairway Log'!$A$2:$A$72=$A1073)*
        ('Fairway Log'!$B$2:$B$72=$B1073)*
        ('Fairway Log'!$C$2:$C1144=$C1073),
      0),
      MATCH($G1073,'Fairway Log'!$E$1:$V$1,0)
    ),
  "")
)</f>
        <v>←</v>
      </c>
      <c r="Q1073" t="str" cm="1">
        <f t="array" ref="Q1073">IFERROR(
  INDEX('GIR Log'!$E$2:$V$72,
    MATCH(1,
      ('GIR Log'!$A$2:$A$72=$A1073)*
      ('GIR Log'!$B$2:$B$72=$B1073)*
      ('GIR Log'!$C$2:$C$72=$C1073),
    0),
    MATCH($G1073,'GIR Log'!$E$1:$V$1,0)
  ),
"")</f>
        <v>↓</v>
      </c>
    </row>
    <row r="1074" spans="1:17" x14ac:dyDescent="0.25">
      <c r="A1074" s="51" t="s">
        <v>130</v>
      </c>
      <c r="B1074" s="2">
        <v>45570</v>
      </c>
      <c r="C1074" s="51" t="s">
        <v>3</v>
      </c>
      <c r="D1074" s="51" t="s">
        <v>3</v>
      </c>
      <c r="E1074" s="51" t="s">
        <v>36</v>
      </c>
      <c r="F1074">
        <v>87</v>
      </c>
      <c r="G1074" t="s">
        <v>57</v>
      </c>
      <c r="H1074" s="9">
        <f t="shared" si="69"/>
        <v>11</v>
      </c>
      <c r="I1074" cm="1">
        <f t="array" ref="I1074">IFERROR(INDEX(CourseYardages[[Hole 1]:[Hole 18]],
  MATCH(1, (CourseYardages[Course]=C1074)*(CourseYardages[Tees]=E1074), 0),
  MATCH(G1074, CourseYardages[[#Headers],[Hole 1]:[Hole 18]], 0)
),"")</f>
        <v>159</v>
      </c>
      <c r="J1074" cm="1">
        <f t="array" ref="J1074">IFERROR(INDEX(CourseHandicap[[Hole 1]:[Hole 18]],
  MATCH(1, (CourseHandicap[Course]=C1074)*(CourseHandicap[Tees]=E1074), 0),
  MATCH(G1074, CourseHandicap[[#Headers],[Hole 1]:[Hole 18]], 0)
),"")</f>
        <v>16</v>
      </c>
      <c r="K1074" cm="1">
        <f t="array" ref="K1074">IFERROR(INDEX(CourseRatings[[Hole 1]:[Hole 18]],
  MATCH(1, (CourseRatings[Course]=C1074)*(CourseRatings[Tees]=E1074), 0),
  MATCH(G1074, CourseRatings[[#Headers],[Hole 1]:[Hole 18]], 0)
),"")</f>
        <v>3</v>
      </c>
      <c r="L1074" cm="1">
        <f t="array" ref="L1074">IFERROR(
  INDEX('Golf Log'!$E$2:$V$72,
    MATCH(1,
      ('Golf Log'!$A$2:$A$72=$A1074)*
      ('Golf Log'!$B$2:$B$72=$B1074)*
      ('Golf Log'!$C$2:$C$72=$C1074),
    0),
    MATCH($G1074,'Golf Log'!$E$1:$V$1,0)
  ),
"")</f>
        <v>5</v>
      </c>
      <c r="M1074">
        <f t="shared" si="70"/>
        <v>2</v>
      </c>
      <c r="N1074" t="str">
        <f t="shared" si="71"/>
        <v>Double Bogey</v>
      </c>
      <c r="O1074" cm="1">
        <f t="array" ref="O1074">IFERROR(
  INDEX('Putt Log'!$E$2:$V$72,
    MATCH(1,
      ('Putt Log'!$A$2:$A$72=$A1074)*
      ('Putt Log'!$B$2:$B$72=$B1074)*
      ('Putt Log'!$C$2:$C$72=$C1074),
    0),
    MATCH($G1074,'Putt Log'!$E$1:$V$1,0)
  ),
"")</f>
        <v>2</v>
      </c>
      <c r="P1074" t="str" cm="1">
        <f t="array" ref="P1074">IF(K1074=3,"",
  IFERROR(
    INDEX('Fairway Log'!$E$2:$V$72,
      MATCH(1,
        ('Fairway Log'!$A$2:$A$72=$A1074)*
        ('Fairway Log'!$B$2:$B$72=$B1074)*
        ('Fairway Log'!$C$2:$C1145=$C1074),
      0),
      MATCH($G1074,'Fairway Log'!$E$1:$V$1,0)
    ),
  "")
)</f>
        <v/>
      </c>
      <c r="Q1074" t="str" cm="1">
        <f t="array" ref="Q1074">IFERROR(
  INDEX('GIR Log'!$E$2:$V$72,
    MATCH(1,
      ('GIR Log'!$A$2:$A$72=$A1074)*
      ('GIR Log'!$B$2:$B$72=$B1074)*
      ('GIR Log'!$C$2:$C$72=$C1074),
    0),
    MATCH($G1074,'GIR Log'!$E$1:$V$1,0)
  ),
"")</f>
        <v>↓</v>
      </c>
    </row>
    <row r="1075" spans="1:17" x14ac:dyDescent="0.25">
      <c r="A1075" s="51" t="s">
        <v>130</v>
      </c>
      <c r="B1075" s="2">
        <v>45570</v>
      </c>
      <c r="C1075" s="51" t="s">
        <v>3</v>
      </c>
      <c r="D1075" s="51" t="s">
        <v>3</v>
      </c>
      <c r="E1075" s="51" t="s">
        <v>36</v>
      </c>
      <c r="F1075">
        <v>87</v>
      </c>
      <c r="G1075" t="s">
        <v>58</v>
      </c>
      <c r="H1075" s="9">
        <f t="shared" si="69"/>
        <v>12</v>
      </c>
      <c r="I1075" cm="1">
        <f t="array" ref="I1075">IFERROR(INDEX(CourseYardages[[Hole 1]:[Hole 18]],
  MATCH(1, (CourseYardages[Course]=C1075)*(CourseYardages[Tees]=E1075), 0),
  MATCH(G1075, CourseYardages[[#Headers],[Hole 1]:[Hole 18]], 0)
),"")</f>
        <v>279</v>
      </c>
      <c r="J1075" cm="1">
        <f t="array" ref="J1075">IFERROR(INDEX(CourseHandicap[[Hole 1]:[Hole 18]],
  MATCH(1, (CourseHandicap[Course]=C1075)*(CourseHandicap[Tees]=E1075), 0),
  MATCH(G1075, CourseHandicap[[#Headers],[Hole 1]:[Hole 18]], 0)
),"")</f>
        <v>18</v>
      </c>
      <c r="K1075" cm="1">
        <f t="array" ref="K1075">IFERROR(INDEX(CourseRatings[[Hole 1]:[Hole 18]],
  MATCH(1, (CourseRatings[Course]=C1075)*(CourseRatings[Tees]=E1075), 0),
  MATCH(G1075, CourseRatings[[#Headers],[Hole 1]:[Hole 18]], 0)
),"")</f>
        <v>4</v>
      </c>
      <c r="L1075" cm="1">
        <f t="array" ref="L1075">IFERROR(
  INDEX('Golf Log'!$E$2:$V$72,
    MATCH(1,
      ('Golf Log'!$A$2:$A$72=$A1075)*
      ('Golf Log'!$B$2:$B$72=$B1075)*
      ('Golf Log'!$C$2:$C$72=$C1075),
    0),
    MATCH($G1075,'Golf Log'!$E$1:$V$1,0)
  ),
"")</f>
        <v>5</v>
      </c>
      <c r="M1075">
        <f t="shared" si="70"/>
        <v>1</v>
      </c>
      <c r="N1075" t="str">
        <f t="shared" si="71"/>
        <v>Bogey</v>
      </c>
      <c r="O1075" cm="1">
        <f t="array" ref="O1075">IFERROR(
  INDEX('Putt Log'!$E$2:$V$72,
    MATCH(1,
      ('Putt Log'!$A$2:$A$72=$A1075)*
      ('Putt Log'!$B$2:$B$72=$B1075)*
      ('Putt Log'!$C$2:$C$72=$C1075),
    0),
    MATCH($G1075,'Putt Log'!$E$1:$V$1,0)
  ),
"")</f>
        <v>3</v>
      </c>
      <c r="P1075" t="str" cm="1">
        <f t="array" ref="P1075">IF(K1075=3,"",
  IFERROR(
    INDEX('Fairway Log'!$E$2:$V$72,
      MATCH(1,
        ('Fairway Log'!$A$2:$A$72=$A1075)*
        ('Fairway Log'!$B$2:$B$72=$B1075)*
        ('Fairway Log'!$C$2:$C1146=$C1075),
      0),
      MATCH($G1075,'Fairway Log'!$E$1:$V$1,0)
    ),
  "")
)</f>
        <v>↑</v>
      </c>
      <c r="Q1075" cm="1">
        <f t="array" ref="Q1075">IFERROR(
  INDEX('GIR Log'!$E$2:$V$72,
    MATCH(1,
      ('GIR Log'!$A$2:$A$72=$A1075)*
      ('GIR Log'!$B$2:$B$72=$B1075)*
      ('GIR Log'!$C$2:$C$72=$C1075),
    0),
    MATCH($G1075,'GIR Log'!$E$1:$V$1,0)
  ),
"")</f>
        <v>1</v>
      </c>
    </row>
    <row r="1076" spans="1:17" x14ac:dyDescent="0.25">
      <c r="A1076" s="51" t="s">
        <v>130</v>
      </c>
      <c r="B1076" s="2">
        <v>45570</v>
      </c>
      <c r="C1076" s="51" t="s">
        <v>3</v>
      </c>
      <c r="D1076" s="51" t="s">
        <v>3</v>
      </c>
      <c r="E1076" s="51" t="s">
        <v>36</v>
      </c>
      <c r="F1076">
        <v>87</v>
      </c>
      <c r="G1076" t="s">
        <v>59</v>
      </c>
      <c r="H1076" s="9">
        <f t="shared" si="69"/>
        <v>13</v>
      </c>
      <c r="I1076" cm="1">
        <f t="array" ref="I1076">IFERROR(INDEX(CourseYardages[[Hole 1]:[Hole 18]],
  MATCH(1, (CourseYardages[Course]=C1076)*(CourseYardages[Tees]=E1076), 0),
  MATCH(G1076, CourseYardages[[#Headers],[Hole 1]:[Hole 18]], 0)
),"")</f>
        <v>553</v>
      </c>
      <c r="J1076" cm="1">
        <f t="array" ref="J1076">IFERROR(INDEX(CourseHandicap[[Hole 1]:[Hole 18]],
  MATCH(1, (CourseHandicap[Course]=C1076)*(CourseHandicap[Tees]=E1076), 0),
  MATCH(G1076, CourseHandicap[[#Headers],[Hole 1]:[Hole 18]], 0)
),"")</f>
        <v>2</v>
      </c>
      <c r="K1076" cm="1">
        <f t="array" ref="K1076">IFERROR(INDEX(CourseRatings[[Hole 1]:[Hole 18]],
  MATCH(1, (CourseRatings[Course]=C1076)*(CourseRatings[Tees]=E1076), 0),
  MATCH(G1076, CourseRatings[[#Headers],[Hole 1]:[Hole 18]], 0)
),"")</f>
        <v>5</v>
      </c>
      <c r="L1076" cm="1">
        <f t="array" ref="L1076">IFERROR(
  INDEX('Golf Log'!$E$2:$V$72,
    MATCH(1,
      ('Golf Log'!$A$2:$A$72=$A1076)*
      ('Golf Log'!$B$2:$B$72=$B1076)*
      ('Golf Log'!$C$2:$C$72=$C1076),
    0),
    MATCH($G1076,'Golf Log'!$E$1:$V$1,0)
  ),
"")</f>
        <v>6</v>
      </c>
      <c r="M1076">
        <f t="shared" si="70"/>
        <v>1</v>
      </c>
      <c r="N1076" t="str">
        <f t="shared" si="71"/>
        <v>Bogey</v>
      </c>
      <c r="O1076" cm="1">
        <f t="array" ref="O1076">IFERROR(
  INDEX('Putt Log'!$E$2:$V$72,
    MATCH(1,
      ('Putt Log'!$A$2:$A$72=$A1076)*
      ('Putt Log'!$B$2:$B$72=$B1076)*
      ('Putt Log'!$C$2:$C$72=$C1076),
    0),
    MATCH($G1076,'Putt Log'!$E$1:$V$1,0)
  ),
"")</f>
        <v>2</v>
      </c>
      <c r="P1076" t="str" cm="1">
        <f t="array" ref="P1076">IF(K1076=3,"",
  IFERROR(
    INDEX('Fairway Log'!$E$2:$V$72,
      MATCH(1,
        ('Fairway Log'!$A$2:$A$72=$A1076)*
        ('Fairway Log'!$B$2:$B$72=$B1076)*
        ('Fairway Log'!$C$2:$C1147=$C1076),
      0),
      MATCH($G1076,'Fairway Log'!$E$1:$V$1,0)
    ),
  "")
)</f>
        <v>←</v>
      </c>
      <c r="Q1076" t="str" cm="1">
        <f t="array" ref="Q1076">IFERROR(
  INDEX('GIR Log'!$E$2:$V$72,
    MATCH(1,
      ('GIR Log'!$A$2:$A$72=$A1076)*
      ('GIR Log'!$B$2:$B$72=$B1076)*
      ('GIR Log'!$C$2:$C$72=$C1076),
    0),
    MATCH($G1076,'GIR Log'!$E$1:$V$1,0)
  ),
"")</f>
        <v>↓</v>
      </c>
    </row>
    <row r="1077" spans="1:17" x14ac:dyDescent="0.25">
      <c r="A1077" s="51" t="s">
        <v>130</v>
      </c>
      <c r="B1077" s="2">
        <v>45570</v>
      </c>
      <c r="C1077" s="51" t="s">
        <v>3</v>
      </c>
      <c r="D1077" s="51" t="s">
        <v>3</v>
      </c>
      <c r="E1077" s="51" t="s">
        <v>36</v>
      </c>
      <c r="F1077">
        <v>87</v>
      </c>
      <c r="G1077" t="s">
        <v>60</v>
      </c>
      <c r="H1077" s="9">
        <f t="shared" si="69"/>
        <v>14</v>
      </c>
      <c r="I1077" cm="1">
        <f t="array" ref="I1077">IFERROR(INDEX(CourseYardages[[Hole 1]:[Hole 18]],
  MATCH(1, (CourseYardages[Course]=C1077)*(CourseYardages[Tees]=E1077), 0),
  MATCH(G1077, CourseYardages[[#Headers],[Hole 1]:[Hole 18]], 0)
),"")</f>
        <v>352</v>
      </c>
      <c r="J1077" cm="1">
        <f t="array" ref="J1077">IFERROR(INDEX(CourseHandicap[[Hole 1]:[Hole 18]],
  MATCH(1, (CourseHandicap[Course]=C1077)*(CourseHandicap[Tees]=E1077), 0),
  MATCH(G1077, CourseHandicap[[#Headers],[Hole 1]:[Hole 18]], 0)
),"")</f>
        <v>14</v>
      </c>
      <c r="K1077" cm="1">
        <f t="array" ref="K1077">IFERROR(INDEX(CourseRatings[[Hole 1]:[Hole 18]],
  MATCH(1, (CourseRatings[Course]=C1077)*(CourseRatings[Tees]=E1077), 0),
  MATCH(G1077, CourseRatings[[#Headers],[Hole 1]:[Hole 18]], 0)
),"")</f>
        <v>4</v>
      </c>
      <c r="L1077" cm="1">
        <f t="array" ref="L1077">IFERROR(
  INDEX('Golf Log'!$E$2:$V$72,
    MATCH(1,
      ('Golf Log'!$A$2:$A$72=$A1077)*
      ('Golf Log'!$B$2:$B$72=$B1077)*
      ('Golf Log'!$C$2:$C$72=$C1077),
    0),
    MATCH($G1077,'Golf Log'!$E$1:$V$1,0)
  ),
"")</f>
        <v>5</v>
      </c>
      <c r="M1077">
        <f t="shared" si="70"/>
        <v>1</v>
      </c>
      <c r="N1077" t="str">
        <f t="shared" si="71"/>
        <v>Bogey</v>
      </c>
      <c r="O1077" cm="1">
        <f t="array" ref="O1077">IFERROR(
  INDEX('Putt Log'!$E$2:$V$72,
    MATCH(1,
      ('Putt Log'!$A$2:$A$72=$A1077)*
      ('Putt Log'!$B$2:$B$72=$B1077)*
      ('Putt Log'!$C$2:$C$72=$C1077),
    0),
    MATCH($G1077,'Putt Log'!$E$1:$V$1,0)
  ),
"")</f>
        <v>1</v>
      </c>
      <c r="P1077" t="str" cm="1">
        <f t="array" ref="P1077">IF(K1077=3,"",
  IFERROR(
    INDEX('Fairway Log'!$E$2:$V$72,
      MATCH(1,
        ('Fairway Log'!$A$2:$A$72=$A1077)*
        ('Fairway Log'!$B$2:$B$72=$B1077)*
        ('Fairway Log'!$C$2:$C1148=$C1077),
      0),
      MATCH($G1077,'Fairway Log'!$E$1:$V$1,0)
    ),
  "")
)</f>
        <v>←</v>
      </c>
      <c r="Q1077" t="str" cm="1">
        <f t="array" ref="Q1077">IFERROR(
  INDEX('GIR Log'!$E$2:$V$72,
    MATCH(1,
      ('GIR Log'!$A$2:$A$72=$A1077)*
      ('GIR Log'!$B$2:$B$72=$B1077)*
      ('GIR Log'!$C$2:$C$72=$C1077),
    0),
    MATCH($G1077,'GIR Log'!$E$1:$V$1,0)
  ),
"")</f>
        <v>→</v>
      </c>
    </row>
    <row r="1078" spans="1:17" x14ac:dyDescent="0.25">
      <c r="A1078" s="51" t="s">
        <v>130</v>
      </c>
      <c r="B1078" s="2">
        <v>45570</v>
      </c>
      <c r="C1078" s="51" t="s">
        <v>3</v>
      </c>
      <c r="D1078" s="51" t="s">
        <v>3</v>
      </c>
      <c r="E1078" s="51" t="s">
        <v>36</v>
      </c>
      <c r="F1078">
        <v>87</v>
      </c>
      <c r="G1078" t="s">
        <v>61</v>
      </c>
      <c r="H1078" s="9">
        <f t="shared" si="69"/>
        <v>15</v>
      </c>
      <c r="I1078" cm="1">
        <f t="array" ref="I1078">IFERROR(INDEX(CourseYardages[[Hole 1]:[Hole 18]],
  MATCH(1, (CourseYardages[Course]=C1078)*(CourseYardages[Tees]=E1078), 0),
  MATCH(G1078, CourseYardages[[#Headers],[Hole 1]:[Hole 18]], 0)
),"")</f>
        <v>165</v>
      </c>
      <c r="J1078" cm="1">
        <f t="array" ref="J1078">IFERROR(INDEX(CourseHandicap[[Hole 1]:[Hole 18]],
  MATCH(1, (CourseHandicap[Course]=C1078)*(CourseHandicap[Tees]=E1078), 0),
  MATCH(G1078, CourseHandicap[[#Headers],[Hole 1]:[Hole 18]], 0)
),"")</f>
        <v>8</v>
      </c>
      <c r="K1078" cm="1">
        <f t="array" ref="K1078">IFERROR(INDEX(CourseRatings[[Hole 1]:[Hole 18]],
  MATCH(1, (CourseRatings[Course]=C1078)*(CourseRatings[Tees]=E1078), 0),
  MATCH(G1078, CourseRatings[[#Headers],[Hole 1]:[Hole 18]], 0)
),"")</f>
        <v>3</v>
      </c>
      <c r="L1078" cm="1">
        <f t="array" ref="L1078">IFERROR(
  INDEX('Golf Log'!$E$2:$V$72,
    MATCH(1,
      ('Golf Log'!$A$2:$A$72=$A1078)*
      ('Golf Log'!$B$2:$B$72=$B1078)*
      ('Golf Log'!$C$2:$C$72=$C1078),
    0),
    MATCH($G1078,'Golf Log'!$E$1:$V$1,0)
  ),
"")</f>
        <v>4</v>
      </c>
      <c r="M1078">
        <f t="shared" si="70"/>
        <v>1</v>
      </c>
      <c r="N1078" t="str">
        <f t="shared" si="71"/>
        <v>Bogey</v>
      </c>
      <c r="O1078" cm="1">
        <f t="array" ref="O1078">IFERROR(
  INDEX('Putt Log'!$E$2:$V$72,
    MATCH(1,
      ('Putt Log'!$A$2:$A$72=$A1078)*
      ('Putt Log'!$B$2:$B$72=$B1078)*
      ('Putt Log'!$C$2:$C$72=$C1078),
    0),
    MATCH($G1078,'Putt Log'!$E$1:$V$1,0)
  ),
"")</f>
        <v>3</v>
      </c>
      <c r="P1078" t="str" cm="1">
        <f t="array" ref="P1078">IF(K1078=3,"",
  IFERROR(
    INDEX('Fairway Log'!$E$2:$V$72,
      MATCH(1,
        ('Fairway Log'!$A$2:$A$72=$A1078)*
        ('Fairway Log'!$B$2:$B$72=$B1078)*
        ('Fairway Log'!$C$2:$C1149=$C1078),
      0),
      MATCH($G1078,'Fairway Log'!$E$1:$V$1,0)
    ),
  "")
)</f>
        <v/>
      </c>
      <c r="Q1078" cm="1">
        <f t="array" ref="Q1078">IFERROR(
  INDEX('GIR Log'!$E$2:$V$72,
    MATCH(1,
      ('GIR Log'!$A$2:$A$72=$A1078)*
      ('GIR Log'!$B$2:$B$72=$B1078)*
      ('GIR Log'!$C$2:$C$72=$C1078),
    0),
    MATCH($G1078,'GIR Log'!$E$1:$V$1,0)
  ),
"")</f>
        <v>1</v>
      </c>
    </row>
    <row r="1079" spans="1:17" x14ac:dyDescent="0.25">
      <c r="A1079" s="51" t="s">
        <v>130</v>
      </c>
      <c r="B1079" s="2">
        <v>45570</v>
      </c>
      <c r="C1079" s="51" t="s">
        <v>3</v>
      </c>
      <c r="D1079" s="51" t="s">
        <v>3</v>
      </c>
      <c r="E1079" s="51" t="s">
        <v>36</v>
      </c>
      <c r="F1079">
        <v>87</v>
      </c>
      <c r="G1079" t="s">
        <v>62</v>
      </c>
      <c r="H1079" s="9">
        <f t="shared" si="69"/>
        <v>16</v>
      </c>
      <c r="I1079" cm="1">
        <f t="array" ref="I1079">IFERROR(INDEX(CourseYardages[[Hole 1]:[Hole 18]],
  MATCH(1, (CourseYardages[Course]=C1079)*(CourseYardages[Tees]=E1079), 0),
  MATCH(G1079, CourseYardages[[#Headers],[Hole 1]:[Hole 18]], 0)
),"")</f>
        <v>343</v>
      </c>
      <c r="J1079" cm="1">
        <f t="array" ref="J1079">IFERROR(INDEX(CourseHandicap[[Hole 1]:[Hole 18]],
  MATCH(1, (CourseHandicap[Course]=C1079)*(CourseHandicap[Tees]=E1079), 0),
  MATCH(G1079, CourseHandicap[[#Headers],[Hole 1]:[Hole 18]], 0)
),"")</f>
        <v>10</v>
      </c>
      <c r="K1079" cm="1">
        <f t="array" ref="K1079">IFERROR(INDEX(CourseRatings[[Hole 1]:[Hole 18]],
  MATCH(1, (CourseRatings[Course]=C1079)*(CourseRatings[Tees]=E1079), 0),
  MATCH(G1079, CourseRatings[[#Headers],[Hole 1]:[Hole 18]], 0)
),"")</f>
        <v>4</v>
      </c>
      <c r="L1079" cm="1">
        <f t="array" ref="L1079">IFERROR(
  INDEX('Golf Log'!$E$2:$V$72,
    MATCH(1,
      ('Golf Log'!$A$2:$A$72=$A1079)*
      ('Golf Log'!$B$2:$B$72=$B1079)*
      ('Golf Log'!$C$2:$C$72=$C1079),
    0),
    MATCH($G1079,'Golf Log'!$E$1:$V$1,0)
  ),
"")</f>
        <v>4</v>
      </c>
      <c r="M1079">
        <f t="shared" si="70"/>
        <v>0</v>
      </c>
      <c r="N1079" t="str">
        <f t="shared" si="71"/>
        <v>Par</v>
      </c>
      <c r="O1079" cm="1">
        <f t="array" ref="O1079">IFERROR(
  INDEX('Putt Log'!$E$2:$V$72,
    MATCH(1,
      ('Putt Log'!$A$2:$A$72=$A1079)*
      ('Putt Log'!$B$2:$B$72=$B1079)*
      ('Putt Log'!$C$2:$C$72=$C1079),
    0),
    MATCH($G1079,'Putt Log'!$E$1:$V$1,0)
  ),
"")</f>
        <v>2</v>
      </c>
      <c r="P1079" t="str" cm="1">
        <f t="array" ref="P1079">IF(K1079=3,"",
  IFERROR(
    INDEX('Fairway Log'!$E$2:$V$72,
      MATCH(1,
        ('Fairway Log'!$A$2:$A$72=$A1079)*
        ('Fairway Log'!$B$2:$B$72=$B1079)*
        ('Fairway Log'!$C$2:$C1150=$C1079),
      0),
      MATCH($G1079,'Fairway Log'!$E$1:$V$1,0)
    ),
  "")
)</f>
        <v>→</v>
      </c>
      <c r="Q1079" cm="1">
        <f t="array" ref="Q1079">IFERROR(
  INDEX('GIR Log'!$E$2:$V$72,
    MATCH(1,
      ('GIR Log'!$A$2:$A$72=$A1079)*
      ('GIR Log'!$B$2:$B$72=$B1079)*
      ('GIR Log'!$C$2:$C$72=$C1079),
    0),
    MATCH($G1079,'GIR Log'!$E$1:$V$1,0)
  ),
"")</f>
        <v>1</v>
      </c>
    </row>
    <row r="1080" spans="1:17" x14ac:dyDescent="0.25">
      <c r="A1080" s="51" t="s">
        <v>130</v>
      </c>
      <c r="B1080" s="2">
        <v>45570</v>
      </c>
      <c r="C1080" s="51" t="s">
        <v>3</v>
      </c>
      <c r="D1080" s="51" t="s">
        <v>3</v>
      </c>
      <c r="E1080" s="51" t="s">
        <v>36</v>
      </c>
      <c r="F1080">
        <v>87</v>
      </c>
      <c r="G1080" t="s">
        <v>63</v>
      </c>
      <c r="H1080" s="9">
        <f t="shared" si="69"/>
        <v>17</v>
      </c>
      <c r="I1080" cm="1">
        <f t="array" ref="I1080">IFERROR(INDEX(CourseYardages[[Hole 1]:[Hole 18]],
  MATCH(1, (CourseYardages[Course]=C1080)*(CourseYardages[Tees]=E1080), 0),
  MATCH(G1080, CourseYardages[[#Headers],[Hole 1]:[Hole 18]], 0)
),"")</f>
        <v>408</v>
      </c>
      <c r="J1080" cm="1">
        <f t="array" ref="J1080">IFERROR(INDEX(CourseHandicap[[Hole 1]:[Hole 18]],
  MATCH(1, (CourseHandicap[Course]=C1080)*(CourseHandicap[Tees]=E1080), 0),
  MATCH(G1080, CourseHandicap[[#Headers],[Hole 1]:[Hole 18]], 0)
),"")</f>
        <v>4</v>
      </c>
      <c r="K1080" cm="1">
        <f t="array" ref="K1080">IFERROR(INDEX(CourseRatings[[Hole 1]:[Hole 18]],
  MATCH(1, (CourseRatings[Course]=C1080)*(CourseRatings[Tees]=E1080), 0),
  MATCH(G1080, CourseRatings[[#Headers],[Hole 1]:[Hole 18]], 0)
),"")</f>
        <v>4</v>
      </c>
      <c r="L1080" cm="1">
        <f t="array" ref="L1080">IFERROR(
  INDEX('Golf Log'!$E$2:$V$72,
    MATCH(1,
      ('Golf Log'!$A$2:$A$72=$A1080)*
      ('Golf Log'!$B$2:$B$72=$B1080)*
      ('Golf Log'!$C$2:$C$72=$C1080),
    0),
    MATCH($G1080,'Golf Log'!$E$1:$V$1,0)
  ),
"")</f>
        <v>4</v>
      </c>
      <c r="M1080">
        <f t="shared" si="70"/>
        <v>0</v>
      </c>
      <c r="N1080" t="str">
        <f t="shared" si="71"/>
        <v>Par</v>
      </c>
      <c r="O1080" cm="1">
        <f t="array" ref="O1080">IFERROR(
  INDEX('Putt Log'!$E$2:$V$72,
    MATCH(1,
      ('Putt Log'!$A$2:$A$72=$A1080)*
      ('Putt Log'!$B$2:$B$72=$B1080)*
      ('Putt Log'!$C$2:$C$72=$C1080),
    0),
    MATCH($G1080,'Putt Log'!$E$1:$V$1,0)
  ),
"")</f>
        <v>1</v>
      </c>
      <c r="P1080" t="str" cm="1">
        <f t="array" ref="P1080">IF(K1080=3,"",
  IFERROR(
    INDEX('Fairway Log'!$E$2:$V$72,
      MATCH(1,
        ('Fairway Log'!$A$2:$A$72=$A1080)*
        ('Fairway Log'!$B$2:$B$72=$B1080)*
        ('Fairway Log'!$C$2:$C1151=$C1080),
      0),
      MATCH($G1080,'Fairway Log'!$E$1:$V$1,0)
    ),
  "")
)</f>
        <v>←</v>
      </c>
      <c r="Q1080" t="str" cm="1">
        <f t="array" ref="Q1080">IFERROR(
  INDEX('GIR Log'!$E$2:$V$72,
    MATCH(1,
      ('GIR Log'!$A$2:$A$72=$A1080)*
      ('GIR Log'!$B$2:$B$72=$B1080)*
      ('GIR Log'!$C$2:$C$72=$C1080),
    0),
    MATCH($G1080,'GIR Log'!$E$1:$V$1,0)
  ),
"")</f>
        <v>↓</v>
      </c>
    </row>
    <row r="1081" spans="1:17" x14ac:dyDescent="0.25">
      <c r="A1081" s="51" t="s">
        <v>130</v>
      </c>
      <c r="B1081" s="2">
        <v>45570</v>
      </c>
      <c r="C1081" s="51" t="s">
        <v>3</v>
      </c>
      <c r="D1081" s="51" t="s">
        <v>3</v>
      </c>
      <c r="E1081" s="51" t="s">
        <v>36</v>
      </c>
      <c r="F1081">
        <v>87</v>
      </c>
      <c r="G1081" t="s">
        <v>64</v>
      </c>
      <c r="H1081" s="9">
        <f t="shared" si="69"/>
        <v>18</v>
      </c>
      <c r="I1081" cm="1">
        <f t="array" ref="I1081">IFERROR(INDEX(CourseYardages[[Hole 1]:[Hole 18]],
  MATCH(1, (CourseYardages[Course]=C1081)*(CourseYardages[Tees]=E1081), 0),
  MATCH(G1081, CourseYardages[[#Headers],[Hole 1]:[Hole 18]], 0)
),"")</f>
        <v>386</v>
      </c>
      <c r="J1081" cm="1">
        <f t="array" ref="J1081">IFERROR(INDEX(CourseHandicap[[Hole 1]:[Hole 18]],
  MATCH(1, (CourseHandicap[Course]=C1081)*(CourseHandicap[Tees]=E1081), 0),
  MATCH(G1081, CourseHandicap[[#Headers],[Hole 1]:[Hole 18]], 0)
),"")</f>
        <v>6</v>
      </c>
      <c r="K1081" cm="1">
        <f t="array" ref="K1081">IFERROR(INDEX(CourseRatings[[Hole 1]:[Hole 18]],
  MATCH(1, (CourseRatings[Course]=C1081)*(CourseRatings[Tees]=E1081), 0),
  MATCH(G1081, CourseRatings[[#Headers],[Hole 1]:[Hole 18]], 0)
),"")</f>
        <v>4</v>
      </c>
      <c r="L1081" cm="1">
        <f t="array" ref="L1081">IFERROR(
  INDEX('Golf Log'!$E$2:$V$72,
    MATCH(1,
      ('Golf Log'!$A$2:$A$72=$A1081)*
      ('Golf Log'!$B$2:$B$72=$B1081)*
      ('Golf Log'!$C$2:$C$72=$C1081),
    0),
    MATCH($G1081,'Golf Log'!$E$1:$V$1,0)
  ),
"")</f>
        <v>6</v>
      </c>
      <c r="M1081">
        <f t="shared" si="70"/>
        <v>2</v>
      </c>
      <c r="N1081" t="str">
        <f t="shared" si="71"/>
        <v>Double Bogey</v>
      </c>
      <c r="O1081" cm="1">
        <f t="array" ref="O1081">IFERROR(
  INDEX('Putt Log'!$E$2:$V$72,
    MATCH(1,
      ('Putt Log'!$A$2:$A$72=$A1081)*
      ('Putt Log'!$B$2:$B$72=$B1081)*
      ('Putt Log'!$C$2:$C$72=$C1081),
    0),
    MATCH($G1081,'Putt Log'!$E$1:$V$1,0)
  ),
"")</f>
        <v>2</v>
      </c>
      <c r="P1081" t="str" cm="1">
        <f t="array" ref="P1081">IF(K1081=3,"",
  IFERROR(
    INDEX('Fairway Log'!$E$2:$V$72,
      MATCH(1,
        ('Fairway Log'!$A$2:$A$72=$A1081)*
        ('Fairway Log'!$B$2:$B$72=$B1081)*
        ('Fairway Log'!$C$2:$C1152=$C1081),
      0),
      MATCH($G1081,'Fairway Log'!$E$1:$V$1,0)
    ),
  "")
)</f>
        <v>→</v>
      </c>
      <c r="Q1081" t="str" cm="1">
        <f t="array" ref="Q1081">IFERROR(
  INDEX('GIR Log'!$E$2:$V$72,
    MATCH(1,
      ('GIR Log'!$A$2:$A$72=$A1081)*
      ('GIR Log'!$B$2:$B$72=$B1081)*
      ('GIR Log'!$C$2:$C$72=$C1081),
    0),
    MATCH($G1081,'GIR Log'!$E$1:$V$1,0)
  ),
"")</f>
        <v>↓</v>
      </c>
    </row>
    <row r="1082" spans="1:17" x14ac:dyDescent="0.25">
      <c r="A1082" s="51" t="s">
        <v>130</v>
      </c>
      <c r="B1082" s="2">
        <v>45535</v>
      </c>
      <c r="C1082" s="51" t="s">
        <v>9</v>
      </c>
      <c r="D1082" s="51" t="s">
        <v>9</v>
      </c>
      <c r="E1082" s="51" t="s">
        <v>36</v>
      </c>
      <c r="F1082">
        <v>87</v>
      </c>
      <c r="G1082" s="12" t="s">
        <v>47</v>
      </c>
      <c r="H1082" s="9">
        <f t="shared" ref="H1082:H1145" si="72">VALUE(RIGHT(G1082, LEN(G1082) - 5))</f>
        <v>1</v>
      </c>
      <c r="I1082" cm="1">
        <f t="array" ref="I1082">IFERROR(INDEX(CourseYardages[[Hole 1]:[Hole 18]],
  MATCH(1, (CourseYardages[Course]=C1082)*(CourseYardages[Tees]=E1082), 0),
  MATCH(G1082, CourseYardages[[#Headers],[Hole 1]:[Hole 18]], 0)
),"")</f>
        <v>381</v>
      </c>
      <c r="J1082" cm="1">
        <f t="array" ref="J1082">IFERROR(INDEX(CourseHandicap[[Hole 1]:[Hole 18]],
  MATCH(1, (CourseHandicap[Course]=C1082)*(CourseHandicap[Tees]=E1082), 0),
  MATCH(G1082, CourseHandicap[[#Headers],[Hole 1]:[Hole 18]], 0)
),"")</f>
        <v>2</v>
      </c>
      <c r="K1082" cm="1">
        <f t="array" ref="K1082">IFERROR(INDEX(CourseRatings[[Hole 1]:[Hole 18]],
  MATCH(1, (CourseRatings[Course]=C1082)*(CourseRatings[Tees]=E1082), 0),
  MATCH(G1082, CourseRatings[[#Headers],[Hole 1]:[Hole 18]], 0)
),"")</f>
        <v>4</v>
      </c>
      <c r="L1082" cm="1">
        <f t="array" ref="L1082">IFERROR(
  INDEX('Golf Log'!$E$2:$V$72,
    MATCH(1,
      ('Golf Log'!$A$2:$A$72=$A1082)*
      ('Golf Log'!$B$2:$B$72=$B1082)*
      ('Golf Log'!$C$2:$C$72=$C1082),
    0),
    MATCH($G1082,'Golf Log'!$E$1:$V$1,0)
  ),
"")</f>
        <v>5</v>
      </c>
      <c r="M1082">
        <f t="shared" ref="M1082:M1135" si="73">IFERROR(L1082-K1082,"")</f>
        <v>1</v>
      </c>
      <c r="N1082" t="str">
        <f t="shared" ref="N1082:N1135" si="74">IF(M1082="","",(IF(M1082=-2,"Eagle",IF(M1082=-1,"Birdie",IF(M1082=0,"Par",IF(M1082=1,"Bogey",IF(M1082=2,"Double Bogey",IF(M1082=3,"Triple Bogey",IF(M1082&gt;3,"Quad Bogey+")))))))))</f>
        <v>Bogey</v>
      </c>
      <c r="O1082" cm="1">
        <f t="array" ref="O1082">IFERROR(
  INDEX('Putt Log'!$E$2:$V$72,
    MATCH(1,
      ('Putt Log'!$A$2:$A$72=$A1082)*
      ('Putt Log'!$B$2:$B$72=$B1082)*
      ('Putt Log'!$C$2:$C$72=$C1082),
    0),
    MATCH($G1082,'Putt Log'!$E$1:$V$1,0)
  ),
"")</f>
        <v>2</v>
      </c>
      <c r="P1082" t="str" cm="1">
        <f t="array" ref="P1082">IF(K1082=3,"",
  IFERROR(
    INDEX('Fairway Log'!$E$2:$V$72,
      MATCH(1,
        ('Fairway Log'!$A$2:$A$72=$A1082)*
        ('Fairway Log'!$B$2:$B$72=$B1082)*
        ('Fairway Log'!$C$2:$C1153=$C1082),
      0),
      MATCH($G1082,'Fairway Log'!$E$1:$V$1,0)
    ),
  "")
)</f>
        <v>←</v>
      </c>
      <c r="Q1082" t="str" cm="1">
        <f t="array" ref="Q1082">IFERROR(
  INDEX('GIR Log'!$E$2:$V$72,
    MATCH(1,
      ('GIR Log'!$A$2:$A$72=$A1082)*
      ('GIR Log'!$B$2:$B$72=$B1082)*
      ('GIR Log'!$C$2:$C$72=$C1082),
    0),
    MATCH($G1082,'GIR Log'!$E$1:$V$1,0)
  ),
"")</f>
        <v>NC</v>
      </c>
    </row>
    <row r="1083" spans="1:17" x14ac:dyDescent="0.25">
      <c r="A1083" s="51" t="s">
        <v>130</v>
      </c>
      <c r="B1083" s="2">
        <v>45535</v>
      </c>
      <c r="C1083" s="51" t="s">
        <v>9</v>
      </c>
      <c r="D1083" s="51" t="s">
        <v>9</v>
      </c>
      <c r="E1083" s="51" t="s">
        <v>36</v>
      </c>
      <c r="F1083">
        <v>87</v>
      </c>
      <c r="G1083" s="12" t="s">
        <v>48</v>
      </c>
      <c r="H1083" s="9">
        <f t="shared" si="72"/>
        <v>2</v>
      </c>
      <c r="I1083" cm="1">
        <f t="array" ref="I1083">IFERROR(INDEX(CourseYardages[[Hole 1]:[Hole 18]],
  MATCH(1, (CourseYardages[Course]=C1083)*(CourseYardages[Tees]=E1083), 0),
  MATCH(G1083, CourseYardages[[#Headers],[Hole 1]:[Hole 18]], 0)
),"")</f>
        <v>389</v>
      </c>
      <c r="J1083" cm="1">
        <f t="array" ref="J1083">IFERROR(INDEX(CourseHandicap[[Hole 1]:[Hole 18]],
  MATCH(1, (CourseHandicap[Course]=C1083)*(CourseHandicap[Tees]=E1083), 0),
  MATCH(G1083, CourseHandicap[[#Headers],[Hole 1]:[Hole 18]], 0)
),"")</f>
        <v>4</v>
      </c>
      <c r="K1083" cm="1">
        <f t="array" ref="K1083">IFERROR(INDEX(CourseRatings[[Hole 1]:[Hole 18]],
  MATCH(1, (CourseRatings[Course]=C1083)*(CourseRatings[Tees]=E1083), 0),
  MATCH(G1083, CourseRatings[[#Headers],[Hole 1]:[Hole 18]], 0)
),"")</f>
        <v>4</v>
      </c>
      <c r="L1083" cm="1">
        <f t="array" ref="L1083">IFERROR(
  INDEX('Golf Log'!$E$2:$V$72,
    MATCH(1,
      ('Golf Log'!$A$2:$A$72=$A1083)*
      ('Golf Log'!$B$2:$B$72=$B1083)*
      ('Golf Log'!$C$2:$C$72=$C1083),
    0),
    MATCH($G1083,'Golf Log'!$E$1:$V$1,0)
  ),
"")</f>
        <v>5</v>
      </c>
      <c r="M1083">
        <f t="shared" si="73"/>
        <v>1</v>
      </c>
      <c r="N1083" t="str">
        <f t="shared" si="74"/>
        <v>Bogey</v>
      </c>
      <c r="O1083" cm="1">
        <f t="array" ref="O1083">IFERROR(
  INDEX('Putt Log'!$E$2:$V$72,
    MATCH(1,
      ('Putt Log'!$A$2:$A$72=$A1083)*
      ('Putt Log'!$B$2:$B$72=$B1083)*
      ('Putt Log'!$C$2:$C$72=$C1083),
    0),
    MATCH($G1083,'Putt Log'!$E$1:$V$1,0)
  ),
"")</f>
        <v>2</v>
      </c>
      <c r="P1083" cm="1">
        <f t="array" ref="P1083">IF(K1083=3,"",
  IFERROR(
    INDEX('Fairway Log'!$E$2:$V$72,
      MATCH(1,
        ('Fairway Log'!$A$2:$A$72=$A1083)*
        ('Fairway Log'!$B$2:$B$72=$B1083)*
        ('Fairway Log'!$C$2:$C1154=$C1083),
      0),
      MATCH($G1083,'Fairway Log'!$E$1:$V$1,0)
    ),
  "")
)</f>
        <v>1</v>
      </c>
      <c r="Q1083" t="str" cm="1">
        <f t="array" ref="Q1083">IFERROR(
  INDEX('GIR Log'!$E$2:$V$72,
    MATCH(1,
      ('GIR Log'!$A$2:$A$72=$A1083)*
      ('GIR Log'!$B$2:$B$72=$B1083)*
      ('GIR Log'!$C$2:$C$72=$C1083),
    0),
    MATCH($G1083,'GIR Log'!$E$1:$V$1,0)
  ),
"")</f>
        <v>NC</v>
      </c>
    </row>
    <row r="1084" spans="1:17" x14ac:dyDescent="0.25">
      <c r="A1084" s="51" t="s">
        <v>130</v>
      </c>
      <c r="B1084" s="2">
        <v>45535</v>
      </c>
      <c r="C1084" s="51" t="s">
        <v>9</v>
      </c>
      <c r="D1084" s="51" t="s">
        <v>9</v>
      </c>
      <c r="E1084" s="51" t="s">
        <v>36</v>
      </c>
      <c r="F1084">
        <v>87</v>
      </c>
      <c r="G1084" s="12" t="s">
        <v>49</v>
      </c>
      <c r="H1084" s="9">
        <f t="shared" si="72"/>
        <v>3</v>
      </c>
      <c r="I1084" cm="1">
        <f t="array" ref="I1084">IFERROR(INDEX(CourseYardages[[Hole 1]:[Hole 18]],
  MATCH(1, (CourseYardages[Course]=C1084)*(CourseYardages[Tees]=E1084), 0),
  MATCH(G1084, CourseYardages[[#Headers],[Hole 1]:[Hole 18]], 0)
),"")</f>
        <v>366</v>
      </c>
      <c r="J1084" cm="1">
        <f t="array" ref="J1084">IFERROR(INDEX(CourseHandicap[[Hole 1]:[Hole 18]],
  MATCH(1, (CourseHandicap[Course]=C1084)*(CourseHandicap[Tees]=E1084), 0),
  MATCH(G1084, CourseHandicap[[#Headers],[Hole 1]:[Hole 18]], 0)
),"")</f>
        <v>6</v>
      </c>
      <c r="K1084" cm="1">
        <f t="array" ref="K1084">IFERROR(INDEX(CourseRatings[[Hole 1]:[Hole 18]],
  MATCH(1, (CourseRatings[Course]=C1084)*(CourseRatings[Tees]=E1084), 0),
  MATCH(G1084, CourseRatings[[#Headers],[Hole 1]:[Hole 18]], 0)
),"")</f>
        <v>4</v>
      </c>
      <c r="L1084" cm="1">
        <f t="array" ref="L1084">IFERROR(
  INDEX('Golf Log'!$E$2:$V$72,
    MATCH(1,
      ('Golf Log'!$A$2:$A$72=$A1084)*
      ('Golf Log'!$B$2:$B$72=$B1084)*
      ('Golf Log'!$C$2:$C$72=$C1084),
    0),
    MATCH($G1084,'Golf Log'!$E$1:$V$1,0)
  ),
"")</f>
        <v>5</v>
      </c>
      <c r="M1084">
        <f t="shared" si="73"/>
        <v>1</v>
      </c>
      <c r="N1084" t="str">
        <f t="shared" si="74"/>
        <v>Bogey</v>
      </c>
      <c r="O1084" cm="1">
        <f t="array" ref="O1084">IFERROR(
  INDEX('Putt Log'!$E$2:$V$72,
    MATCH(1,
      ('Putt Log'!$A$2:$A$72=$A1084)*
      ('Putt Log'!$B$2:$B$72=$B1084)*
      ('Putt Log'!$C$2:$C$72=$C1084),
    0),
    MATCH($G1084,'Putt Log'!$E$1:$V$1,0)
  ),
"")</f>
        <v>2</v>
      </c>
      <c r="P1084" t="str" cm="1">
        <f t="array" ref="P1084">IF(K1084=3,"",
  IFERROR(
    INDEX('Fairway Log'!$E$2:$V$72,
      MATCH(1,
        ('Fairway Log'!$A$2:$A$72=$A1084)*
        ('Fairway Log'!$B$2:$B$72=$B1084)*
        ('Fairway Log'!$C$2:$C1155=$C1084),
      0),
      MATCH($G1084,'Fairway Log'!$E$1:$V$1,0)
    ),
  "")
)</f>
        <v>→</v>
      </c>
      <c r="Q1084" t="str" cm="1">
        <f t="array" ref="Q1084">IFERROR(
  INDEX('GIR Log'!$E$2:$V$72,
    MATCH(1,
      ('GIR Log'!$A$2:$A$72=$A1084)*
      ('GIR Log'!$B$2:$B$72=$B1084)*
      ('GIR Log'!$C$2:$C$72=$C1084),
    0),
    MATCH($G1084,'GIR Log'!$E$1:$V$1,0)
  ),
"")</f>
        <v>NC</v>
      </c>
    </row>
    <row r="1085" spans="1:17" x14ac:dyDescent="0.25">
      <c r="A1085" s="51" t="s">
        <v>130</v>
      </c>
      <c r="B1085" s="2">
        <v>45535</v>
      </c>
      <c r="C1085" s="51" t="s">
        <v>9</v>
      </c>
      <c r="D1085" s="51" t="s">
        <v>9</v>
      </c>
      <c r="E1085" s="51" t="s">
        <v>36</v>
      </c>
      <c r="F1085">
        <v>87</v>
      </c>
      <c r="G1085" s="12" t="s">
        <v>50</v>
      </c>
      <c r="H1085" s="9">
        <f t="shared" si="72"/>
        <v>4</v>
      </c>
      <c r="I1085" cm="1">
        <f t="array" ref="I1085">IFERROR(INDEX(CourseYardages[[Hole 1]:[Hole 18]],
  MATCH(1, (CourseYardages[Course]=C1085)*(CourseYardages[Tees]=E1085), 0),
  MATCH(G1085, CourseYardages[[#Headers],[Hole 1]:[Hole 18]], 0)
),"")</f>
        <v>151</v>
      </c>
      <c r="J1085" cm="1">
        <f t="array" ref="J1085">IFERROR(INDEX(CourseHandicap[[Hole 1]:[Hole 18]],
  MATCH(1, (CourseHandicap[Course]=C1085)*(CourseHandicap[Tees]=E1085), 0),
  MATCH(G1085, CourseHandicap[[#Headers],[Hole 1]:[Hole 18]], 0)
),"")</f>
        <v>14</v>
      </c>
      <c r="K1085" cm="1">
        <f t="array" ref="K1085">IFERROR(INDEX(CourseRatings[[Hole 1]:[Hole 18]],
  MATCH(1, (CourseRatings[Course]=C1085)*(CourseRatings[Tees]=E1085), 0),
  MATCH(G1085, CourseRatings[[#Headers],[Hole 1]:[Hole 18]], 0)
),"")</f>
        <v>3</v>
      </c>
      <c r="L1085" cm="1">
        <f t="array" ref="L1085">IFERROR(
  INDEX('Golf Log'!$E$2:$V$72,
    MATCH(1,
      ('Golf Log'!$A$2:$A$72=$A1085)*
      ('Golf Log'!$B$2:$B$72=$B1085)*
      ('Golf Log'!$C$2:$C$72=$C1085),
    0),
    MATCH($G1085,'Golf Log'!$E$1:$V$1,0)
  ),
"")</f>
        <v>4</v>
      </c>
      <c r="M1085">
        <f t="shared" si="73"/>
        <v>1</v>
      </c>
      <c r="N1085" t="str">
        <f t="shared" si="74"/>
        <v>Bogey</v>
      </c>
      <c r="O1085" cm="1">
        <f t="array" ref="O1085">IFERROR(
  INDEX('Putt Log'!$E$2:$V$72,
    MATCH(1,
      ('Putt Log'!$A$2:$A$72=$A1085)*
      ('Putt Log'!$B$2:$B$72=$B1085)*
      ('Putt Log'!$C$2:$C$72=$C1085),
    0),
    MATCH($G1085,'Putt Log'!$E$1:$V$1,0)
  ),
"")</f>
        <v>2</v>
      </c>
      <c r="P1085" t="str" cm="1">
        <f t="array" ref="P1085">IF(K1085=3,"",
  IFERROR(
    INDEX('Fairway Log'!$E$2:$V$72,
      MATCH(1,
        ('Fairway Log'!$A$2:$A$72=$A1085)*
        ('Fairway Log'!$B$2:$B$72=$B1085)*
        ('Fairway Log'!$C$2:$C1156=$C1085),
      0),
      MATCH($G1085,'Fairway Log'!$E$1:$V$1,0)
    ),
  "")
)</f>
        <v/>
      </c>
      <c r="Q1085" t="str" cm="1">
        <f t="array" ref="Q1085">IFERROR(
  INDEX('GIR Log'!$E$2:$V$72,
    MATCH(1,
      ('GIR Log'!$A$2:$A$72=$A1085)*
      ('GIR Log'!$B$2:$B$72=$B1085)*
      ('GIR Log'!$C$2:$C$72=$C1085),
    0),
    MATCH($G1085,'GIR Log'!$E$1:$V$1,0)
  ),
"")</f>
        <v>↓</v>
      </c>
    </row>
    <row r="1086" spans="1:17" x14ac:dyDescent="0.25">
      <c r="A1086" s="51" t="s">
        <v>130</v>
      </c>
      <c r="B1086" s="2">
        <v>45535</v>
      </c>
      <c r="C1086" s="51" t="s">
        <v>9</v>
      </c>
      <c r="D1086" s="51" t="s">
        <v>9</v>
      </c>
      <c r="E1086" s="51" t="s">
        <v>36</v>
      </c>
      <c r="F1086">
        <v>87</v>
      </c>
      <c r="G1086" s="12" t="s">
        <v>51</v>
      </c>
      <c r="H1086" s="9">
        <f t="shared" si="72"/>
        <v>5</v>
      </c>
      <c r="I1086" cm="1">
        <f t="array" ref="I1086">IFERROR(INDEX(CourseYardages[[Hole 1]:[Hole 18]],
  MATCH(1, (CourseYardages[Course]=C1086)*(CourseYardages[Tees]=E1086), 0),
  MATCH(G1086, CourseYardages[[#Headers],[Hole 1]:[Hole 18]], 0)
),"")</f>
        <v>336</v>
      </c>
      <c r="J1086" cm="1">
        <f t="array" ref="J1086">IFERROR(INDEX(CourseHandicap[[Hole 1]:[Hole 18]],
  MATCH(1, (CourseHandicap[Course]=C1086)*(CourseHandicap[Tees]=E1086), 0),
  MATCH(G1086, CourseHandicap[[#Headers],[Hole 1]:[Hole 18]], 0)
),"")</f>
        <v>10</v>
      </c>
      <c r="K1086" cm="1">
        <f t="array" ref="K1086">IFERROR(INDEX(CourseRatings[[Hole 1]:[Hole 18]],
  MATCH(1, (CourseRatings[Course]=C1086)*(CourseRatings[Tees]=E1086), 0),
  MATCH(G1086, CourseRatings[[#Headers],[Hole 1]:[Hole 18]], 0)
),"")</f>
        <v>4</v>
      </c>
      <c r="L1086" cm="1">
        <f t="array" ref="L1086">IFERROR(
  INDEX('Golf Log'!$E$2:$V$72,
    MATCH(1,
      ('Golf Log'!$A$2:$A$72=$A1086)*
      ('Golf Log'!$B$2:$B$72=$B1086)*
      ('Golf Log'!$C$2:$C$72=$C1086),
    0),
    MATCH($G1086,'Golf Log'!$E$1:$V$1,0)
  ),
"")</f>
        <v>5</v>
      </c>
      <c r="M1086">
        <f t="shared" si="73"/>
        <v>1</v>
      </c>
      <c r="N1086" t="str">
        <f t="shared" si="74"/>
        <v>Bogey</v>
      </c>
      <c r="O1086" cm="1">
        <f t="array" ref="O1086">IFERROR(
  INDEX('Putt Log'!$E$2:$V$72,
    MATCH(1,
      ('Putt Log'!$A$2:$A$72=$A1086)*
      ('Putt Log'!$B$2:$B$72=$B1086)*
      ('Putt Log'!$C$2:$C$72=$C1086),
    0),
    MATCH($G1086,'Putt Log'!$E$1:$V$1,0)
  ),
"")</f>
        <v>2</v>
      </c>
      <c r="P1086" cm="1">
        <f t="array" ref="P1086">IF(K1086=3,"",
  IFERROR(
    INDEX('Fairway Log'!$E$2:$V$72,
      MATCH(1,
        ('Fairway Log'!$A$2:$A$72=$A1086)*
        ('Fairway Log'!$B$2:$B$72=$B1086)*
        ('Fairway Log'!$C$2:$C1157=$C1086),
      0),
      MATCH($G1086,'Fairway Log'!$E$1:$V$1,0)
    ),
  "")
)</f>
        <v>1</v>
      </c>
      <c r="Q1086" cm="1">
        <f t="array" ref="Q1086">IFERROR(
  INDEX('GIR Log'!$E$2:$V$72,
    MATCH(1,
      ('GIR Log'!$A$2:$A$72=$A1086)*
      ('GIR Log'!$B$2:$B$72=$B1086)*
      ('GIR Log'!$C$2:$C$72=$C1086),
    0),
    MATCH($G1086,'GIR Log'!$E$1:$V$1,0)
  ),
"")</f>
        <v>0</v>
      </c>
    </row>
    <row r="1087" spans="1:17" x14ac:dyDescent="0.25">
      <c r="A1087" s="51" t="s">
        <v>130</v>
      </c>
      <c r="B1087" s="2">
        <v>45535</v>
      </c>
      <c r="C1087" s="51" t="s">
        <v>9</v>
      </c>
      <c r="D1087" s="51" t="s">
        <v>9</v>
      </c>
      <c r="E1087" s="51" t="s">
        <v>36</v>
      </c>
      <c r="F1087">
        <v>87</v>
      </c>
      <c r="G1087" s="12" t="s">
        <v>52</v>
      </c>
      <c r="H1087" s="9">
        <f t="shared" si="72"/>
        <v>6</v>
      </c>
      <c r="I1087" cm="1">
        <f t="array" ref="I1087">IFERROR(INDEX(CourseYardages[[Hole 1]:[Hole 18]],
  MATCH(1, (CourseYardages[Course]=C1087)*(CourseYardages[Tees]=E1087), 0),
  MATCH(G1087, CourseYardages[[#Headers],[Hole 1]:[Hole 18]], 0)
),"")</f>
        <v>474</v>
      </c>
      <c r="J1087" cm="1">
        <f t="array" ref="J1087">IFERROR(INDEX(CourseHandicap[[Hole 1]:[Hole 18]],
  MATCH(1, (CourseHandicap[Course]=C1087)*(CourseHandicap[Tees]=E1087), 0),
  MATCH(G1087, CourseHandicap[[#Headers],[Hole 1]:[Hole 18]], 0)
),"")</f>
        <v>8</v>
      </c>
      <c r="K1087" cm="1">
        <f t="array" ref="K1087">IFERROR(INDEX(CourseRatings[[Hole 1]:[Hole 18]],
  MATCH(1, (CourseRatings[Course]=C1087)*(CourseRatings[Tees]=E1087), 0),
  MATCH(G1087, CourseRatings[[#Headers],[Hole 1]:[Hole 18]], 0)
),"")</f>
        <v>5</v>
      </c>
      <c r="L1087" cm="1">
        <f t="array" ref="L1087">IFERROR(
  INDEX('Golf Log'!$E$2:$V$72,
    MATCH(1,
      ('Golf Log'!$A$2:$A$72=$A1087)*
      ('Golf Log'!$B$2:$B$72=$B1087)*
      ('Golf Log'!$C$2:$C$72=$C1087),
    0),
    MATCH($G1087,'Golf Log'!$E$1:$V$1,0)
  ),
"")</f>
        <v>5</v>
      </c>
      <c r="M1087">
        <f t="shared" si="73"/>
        <v>0</v>
      </c>
      <c r="N1087" t="str">
        <f t="shared" si="74"/>
        <v>Par</v>
      </c>
      <c r="O1087" cm="1">
        <f t="array" ref="O1087">IFERROR(
  INDEX('Putt Log'!$E$2:$V$72,
    MATCH(1,
      ('Putt Log'!$A$2:$A$72=$A1087)*
      ('Putt Log'!$B$2:$B$72=$B1087)*
      ('Putt Log'!$C$2:$C$72=$C1087),
    0),
    MATCH($G1087,'Putt Log'!$E$1:$V$1,0)
  ),
"")</f>
        <v>2</v>
      </c>
      <c r="P1087" cm="1">
        <f t="array" ref="P1087">IF(K1087=3,"",
  IFERROR(
    INDEX('Fairway Log'!$E$2:$V$72,
      MATCH(1,
        ('Fairway Log'!$A$2:$A$72=$A1087)*
        ('Fairway Log'!$B$2:$B$72=$B1087)*
        ('Fairway Log'!$C$2:$C1158=$C1087),
      0),
      MATCH($G1087,'Fairway Log'!$E$1:$V$1,0)
    ),
  "")
)</f>
        <v>1</v>
      </c>
      <c r="Q1087" cm="1">
        <f t="array" ref="Q1087">IFERROR(
  INDEX('GIR Log'!$E$2:$V$72,
    MATCH(1,
      ('GIR Log'!$A$2:$A$72=$A1087)*
      ('GIR Log'!$B$2:$B$72=$B1087)*
      ('GIR Log'!$C$2:$C$72=$C1087),
    0),
    MATCH($G1087,'GIR Log'!$E$1:$V$1,0)
  ),
"")</f>
        <v>1</v>
      </c>
    </row>
    <row r="1088" spans="1:17" x14ac:dyDescent="0.25">
      <c r="A1088" s="51" t="s">
        <v>130</v>
      </c>
      <c r="B1088" s="2">
        <v>45535</v>
      </c>
      <c r="C1088" s="51" t="s">
        <v>9</v>
      </c>
      <c r="D1088" s="51" t="s">
        <v>9</v>
      </c>
      <c r="E1088" s="51" t="s">
        <v>36</v>
      </c>
      <c r="F1088">
        <v>87</v>
      </c>
      <c r="G1088" s="12" t="s">
        <v>53</v>
      </c>
      <c r="H1088" s="9">
        <f t="shared" si="72"/>
        <v>7</v>
      </c>
      <c r="I1088" cm="1">
        <f t="array" ref="I1088">IFERROR(INDEX(CourseYardages[[Hole 1]:[Hole 18]],
  MATCH(1, (CourseYardages[Course]=C1088)*(CourseYardages[Tees]=E1088), 0),
  MATCH(G1088, CourseYardages[[#Headers],[Hole 1]:[Hole 18]], 0)
),"")</f>
        <v>164</v>
      </c>
      <c r="J1088" cm="1">
        <f t="array" ref="J1088">IFERROR(INDEX(CourseHandicap[[Hole 1]:[Hole 18]],
  MATCH(1, (CourseHandicap[Course]=C1088)*(CourseHandicap[Tees]=E1088), 0),
  MATCH(G1088, CourseHandicap[[#Headers],[Hole 1]:[Hole 18]], 0)
),"")</f>
        <v>16</v>
      </c>
      <c r="K1088" cm="1">
        <f t="array" ref="K1088">IFERROR(INDEX(CourseRatings[[Hole 1]:[Hole 18]],
  MATCH(1, (CourseRatings[Course]=C1088)*(CourseRatings[Tees]=E1088), 0),
  MATCH(G1088, CourseRatings[[#Headers],[Hole 1]:[Hole 18]], 0)
),"")</f>
        <v>3</v>
      </c>
      <c r="L1088" cm="1">
        <f t="array" ref="L1088">IFERROR(
  INDEX('Golf Log'!$E$2:$V$72,
    MATCH(1,
      ('Golf Log'!$A$2:$A$72=$A1088)*
      ('Golf Log'!$B$2:$B$72=$B1088)*
      ('Golf Log'!$C$2:$C$72=$C1088),
    0),
    MATCH($G1088,'Golf Log'!$E$1:$V$1,0)
  ),
"")</f>
        <v>4</v>
      </c>
      <c r="M1088">
        <f t="shared" si="73"/>
        <v>1</v>
      </c>
      <c r="N1088" t="str">
        <f t="shared" si="74"/>
        <v>Bogey</v>
      </c>
      <c r="O1088" cm="1">
        <f t="array" ref="O1088">IFERROR(
  INDEX('Putt Log'!$E$2:$V$72,
    MATCH(1,
      ('Putt Log'!$A$2:$A$72=$A1088)*
      ('Putt Log'!$B$2:$B$72=$B1088)*
      ('Putt Log'!$C$2:$C$72=$C1088),
    0),
    MATCH($G1088,'Putt Log'!$E$1:$V$1,0)
  ),
"")</f>
        <v>2</v>
      </c>
      <c r="P1088" t="str" cm="1">
        <f t="array" ref="P1088">IF(K1088=3,"",
  IFERROR(
    INDEX('Fairway Log'!$E$2:$V$72,
      MATCH(1,
        ('Fairway Log'!$A$2:$A$72=$A1088)*
        ('Fairway Log'!$B$2:$B$72=$B1088)*
        ('Fairway Log'!$C$2:$C1159=$C1088),
      0),
      MATCH($G1088,'Fairway Log'!$E$1:$V$1,0)
    ),
  "")
)</f>
        <v/>
      </c>
      <c r="Q1088" t="str" cm="1">
        <f t="array" ref="Q1088">IFERROR(
  INDEX('GIR Log'!$E$2:$V$72,
    MATCH(1,
      ('GIR Log'!$A$2:$A$72=$A1088)*
      ('GIR Log'!$B$2:$B$72=$B1088)*
      ('GIR Log'!$C$2:$C$72=$C1088),
    0),
    MATCH($G1088,'GIR Log'!$E$1:$V$1,0)
  ),
"")</f>
        <v>↓</v>
      </c>
    </row>
    <row r="1089" spans="1:17" x14ac:dyDescent="0.25">
      <c r="A1089" s="51" t="s">
        <v>130</v>
      </c>
      <c r="B1089" s="2">
        <v>45535</v>
      </c>
      <c r="C1089" s="51" t="s">
        <v>9</v>
      </c>
      <c r="D1089" s="51" t="s">
        <v>9</v>
      </c>
      <c r="E1089" s="51" t="s">
        <v>36</v>
      </c>
      <c r="F1089">
        <v>87</v>
      </c>
      <c r="G1089" s="12" t="s">
        <v>54</v>
      </c>
      <c r="H1089" s="9">
        <f t="shared" si="72"/>
        <v>8</v>
      </c>
      <c r="I1089" cm="1">
        <f t="array" ref="I1089">IFERROR(INDEX(CourseYardages[[Hole 1]:[Hole 18]],
  MATCH(1, (CourseYardages[Course]=C1089)*(CourseYardages[Tees]=E1089), 0),
  MATCH(G1089, CourseYardages[[#Headers],[Hole 1]:[Hole 18]], 0)
),"")</f>
        <v>338</v>
      </c>
      <c r="J1089" cm="1">
        <f t="array" ref="J1089">IFERROR(INDEX(CourseHandicap[[Hole 1]:[Hole 18]],
  MATCH(1, (CourseHandicap[Course]=C1089)*(CourseHandicap[Tees]=E1089), 0),
  MATCH(G1089, CourseHandicap[[#Headers],[Hole 1]:[Hole 18]], 0)
),"")</f>
        <v>12</v>
      </c>
      <c r="K1089" cm="1">
        <f t="array" ref="K1089">IFERROR(INDEX(CourseRatings[[Hole 1]:[Hole 18]],
  MATCH(1, (CourseRatings[Course]=C1089)*(CourseRatings[Tees]=E1089), 0),
  MATCH(G1089, CourseRatings[[#Headers],[Hole 1]:[Hole 18]], 0)
),"")</f>
        <v>4</v>
      </c>
      <c r="L1089" cm="1">
        <f t="array" ref="L1089">IFERROR(
  INDEX('Golf Log'!$E$2:$V$72,
    MATCH(1,
      ('Golf Log'!$A$2:$A$72=$A1089)*
      ('Golf Log'!$B$2:$B$72=$B1089)*
      ('Golf Log'!$C$2:$C$72=$C1089),
    0),
    MATCH($G1089,'Golf Log'!$E$1:$V$1,0)
  ),
"")</f>
        <v>5</v>
      </c>
      <c r="M1089">
        <f t="shared" si="73"/>
        <v>1</v>
      </c>
      <c r="N1089" t="str">
        <f t="shared" si="74"/>
        <v>Bogey</v>
      </c>
      <c r="O1089" cm="1">
        <f t="array" ref="O1089">IFERROR(
  INDEX('Putt Log'!$E$2:$V$72,
    MATCH(1,
      ('Putt Log'!$A$2:$A$72=$A1089)*
      ('Putt Log'!$B$2:$B$72=$B1089)*
      ('Putt Log'!$C$2:$C$72=$C1089),
    0),
    MATCH($G1089,'Putt Log'!$E$1:$V$1,0)
  ),
"")</f>
        <v>2</v>
      </c>
      <c r="P1089" t="str" cm="1">
        <f t="array" ref="P1089">IF(K1089=3,"",
  IFERROR(
    INDEX('Fairway Log'!$E$2:$V$72,
      MATCH(1,
        ('Fairway Log'!$A$2:$A$72=$A1089)*
        ('Fairway Log'!$B$2:$B$72=$B1089)*
        ('Fairway Log'!$C$2:$C1160=$C1089),
      0),
      MATCH($G1089,'Fairway Log'!$E$1:$V$1,0)
    ),
  "")
)</f>
        <v>←</v>
      </c>
      <c r="Q1089" t="str" cm="1">
        <f t="array" ref="Q1089">IFERROR(
  INDEX('GIR Log'!$E$2:$V$72,
    MATCH(1,
      ('GIR Log'!$A$2:$A$72=$A1089)*
      ('GIR Log'!$B$2:$B$72=$B1089)*
      ('GIR Log'!$C$2:$C$72=$C1089),
    0),
    MATCH($G1089,'GIR Log'!$E$1:$V$1,0)
  ),
"")</f>
        <v>↓</v>
      </c>
    </row>
    <row r="1090" spans="1:17" x14ac:dyDescent="0.25">
      <c r="A1090" s="51" t="s">
        <v>130</v>
      </c>
      <c r="B1090" s="2">
        <v>45535</v>
      </c>
      <c r="C1090" s="51" t="s">
        <v>9</v>
      </c>
      <c r="D1090" s="51" t="s">
        <v>9</v>
      </c>
      <c r="E1090" s="51" t="s">
        <v>36</v>
      </c>
      <c r="F1090">
        <v>87</v>
      </c>
      <c r="G1090" s="12" t="s">
        <v>55</v>
      </c>
      <c r="H1090" s="9">
        <f t="shared" si="72"/>
        <v>9</v>
      </c>
      <c r="I1090" cm="1">
        <f t="array" ref="I1090">IFERROR(INDEX(CourseYardages[[Hole 1]:[Hole 18]],
  MATCH(1, (CourseYardages[Course]=C1090)*(CourseYardages[Tees]=E1090), 0),
  MATCH(G1090, CourseYardages[[#Headers],[Hole 1]:[Hole 18]], 0)
),"")</f>
        <v>375</v>
      </c>
      <c r="J1090" cm="1">
        <f t="array" ref="J1090">IFERROR(INDEX(CourseHandicap[[Hole 1]:[Hole 18]],
  MATCH(1, (CourseHandicap[Course]=C1090)*(CourseHandicap[Tees]=E1090), 0),
  MATCH(G1090, CourseHandicap[[#Headers],[Hole 1]:[Hole 18]], 0)
),"")</f>
        <v>18</v>
      </c>
      <c r="K1090" cm="1">
        <f t="array" ref="K1090">IFERROR(INDEX(CourseRatings[[Hole 1]:[Hole 18]],
  MATCH(1, (CourseRatings[Course]=C1090)*(CourseRatings[Tees]=E1090), 0),
  MATCH(G1090, CourseRatings[[#Headers],[Hole 1]:[Hole 18]], 0)
),"")</f>
        <v>4</v>
      </c>
      <c r="L1090" cm="1">
        <f t="array" ref="L1090">IFERROR(
  INDEX('Golf Log'!$E$2:$V$72,
    MATCH(1,
      ('Golf Log'!$A$2:$A$72=$A1090)*
      ('Golf Log'!$B$2:$B$72=$B1090)*
      ('Golf Log'!$C$2:$C$72=$C1090),
    0),
    MATCH($G1090,'Golf Log'!$E$1:$V$1,0)
  ),
"")</f>
        <v>6</v>
      </c>
      <c r="M1090">
        <f t="shared" si="73"/>
        <v>2</v>
      </c>
      <c r="N1090" t="str">
        <f t="shared" si="74"/>
        <v>Double Bogey</v>
      </c>
      <c r="O1090" cm="1">
        <f t="array" ref="O1090">IFERROR(
  INDEX('Putt Log'!$E$2:$V$72,
    MATCH(1,
      ('Putt Log'!$A$2:$A$72=$A1090)*
      ('Putt Log'!$B$2:$B$72=$B1090)*
      ('Putt Log'!$C$2:$C$72=$C1090),
    0),
    MATCH($G1090,'Putt Log'!$E$1:$V$1,0)
  ),
"")</f>
        <v>2</v>
      </c>
      <c r="P1090" t="str" cm="1">
        <f t="array" ref="P1090">IF(K1090=3,"",
  IFERROR(
    INDEX('Fairway Log'!$E$2:$V$72,
      MATCH(1,
        ('Fairway Log'!$A$2:$A$72=$A1090)*
        ('Fairway Log'!$B$2:$B$72=$B1090)*
        ('Fairway Log'!$C$2:$C1161=$C1090),
      0),
      MATCH($G1090,'Fairway Log'!$E$1:$V$1,0)
    ),
  "")
)</f>
        <v>←</v>
      </c>
      <c r="Q1090" t="str" cm="1">
        <f t="array" ref="Q1090">IFERROR(
  INDEX('GIR Log'!$E$2:$V$72,
    MATCH(1,
      ('GIR Log'!$A$2:$A$72=$A1090)*
      ('GIR Log'!$B$2:$B$72=$B1090)*
      ('GIR Log'!$C$2:$C$72=$C1090),
    0),
    MATCH($G1090,'GIR Log'!$E$1:$V$1,0)
  ),
"")</f>
        <v>↑</v>
      </c>
    </row>
    <row r="1091" spans="1:17" x14ac:dyDescent="0.25">
      <c r="A1091" s="51" t="s">
        <v>130</v>
      </c>
      <c r="B1091" s="2">
        <v>45535</v>
      </c>
      <c r="C1091" s="51" t="s">
        <v>9</v>
      </c>
      <c r="D1091" s="51" t="s">
        <v>9</v>
      </c>
      <c r="E1091" s="51" t="s">
        <v>36</v>
      </c>
      <c r="F1091">
        <v>87</v>
      </c>
      <c r="G1091" s="12" t="s">
        <v>56</v>
      </c>
      <c r="H1091" s="9">
        <f t="shared" si="72"/>
        <v>10</v>
      </c>
      <c r="I1091" cm="1">
        <f t="array" ref="I1091">IFERROR(INDEX(CourseYardages[[Hole 1]:[Hole 18]],
  MATCH(1, (CourseYardages[Course]=C1091)*(CourseYardages[Tees]=E1091), 0),
  MATCH(G1091, CourseYardages[[#Headers],[Hole 1]:[Hole 18]], 0)
),"")</f>
        <v>510</v>
      </c>
      <c r="J1091" cm="1">
        <f t="array" ref="J1091">IFERROR(INDEX(CourseHandicap[[Hole 1]:[Hole 18]],
  MATCH(1, (CourseHandicap[Course]=C1091)*(CourseHandicap[Tees]=E1091), 0),
  MATCH(G1091, CourseHandicap[[#Headers],[Hole 1]:[Hole 18]], 0)
),"")</f>
        <v>3</v>
      </c>
      <c r="K1091" cm="1">
        <f t="array" ref="K1091">IFERROR(INDEX(CourseRatings[[Hole 1]:[Hole 18]],
  MATCH(1, (CourseRatings[Course]=C1091)*(CourseRatings[Tees]=E1091), 0),
  MATCH(G1091, CourseRatings[[#Headers],[Hole 1]:[Hole 18]], 0)
),"")</f>
        <v>5</v>
      </c>
      <c r="L1091" cm="1">
        <f t="array" ref="L1091">IFERROR(
  INDEX('Golf Log'!$E$2:$V$72,
    MATCH(1,
      ('Golf Log'!$A$2:$A$72=$A1091)*
      ('Golf Log'!$B$2:$B$72=$B1091)*
      ('Golf Log'!$C$2:$C$72=$C1091),
    0),
    MATCH($G1091,'Golf Log'!$E$1:$V$1,0)
  ),
"")</f>
        <v>6</v>
      </c>
      <c r="M1091">
        <f t="shared" si="73"/>
        <v>1</v>
      </c>
      <c r="N1091" t="str">
        <f t="shared" si="74"/>
        <v>Bogey</v>
      </c>
      <c r="O1091" cm="1">
        <f t="array" ref="O1091">IFERROR(
  INDEX('Putt Log'!$E$2:$V$72,
    MATCH(1,
      ('Putt Log'!$A$2:$A$72=$A1091)*
      ('Putt Log'!$B$2:$B$72=$B1091)*
      ('Putt Log'!$C$2:$C$72=$C1091),
    0),
    MATCH($G1091,'Putt Log'!$E$1:$V$1,0)
  ),
"")</f>
        <v>2</v>
      </c>
      <c r="P1091" t="str" cm="1">
        <f t="array" ref="P1091">IF(K1091=3,"",
  IFERROR(
    INDEX('Fairway Log'!$E$2:$V$72,
      MATCH(1,
        ('Fairway Log'!$A$2:$A$72=$A1091)*
        ('Fairway Log'!$B$2:$B$72=$B1091)*
        ('Fairway Log'!$C$2:$C1162=$C1091),
      0),
      MATCH($G1091,'Fairway Log'!$E$1:$V$1,0)
    ),
  "")
)</f>
        <v>↓</v>
      </c>
      <c r="Q1091" t="str" cm="1">
        <f t="array" ref="Q1091">IFERROR(
  INDEX('GIR Log'!$E$2:$V$72,
    MATCH(1,
      ('GIR Log'!$A$2:$A$72=$A1091)*
      ('GIR Log'!$B$2:$B$72=$B1091)*
      ('GIR Log'!$C$2:$C$72=$C1091),
    0),
    MATCH($G1091,'GIR Log'!$E$1:$V$1,0)
  ),
"")</f>
        <v>↑</v>
      </c>
    </row>
    <row r="1092" spans="1:17" x14ac:dyDescent="0.25">
      <c r="A1092" s="51" t="s">
        <v>130</v>
      </c>
      <c r="B1092" s="2">
        <v>45535</v>
      </c>
      <c r="C1092" s="51" t="s">
        <v>9</v>
      </c>
      <c r="D1092" s="51" t="s">
        <v>9</v>
      </c>
      <c r="E1092" s="51" t="s">
        <v>36</v>
      </c>
      <c r="F1092">
        <v>87</v>
      </c>
      <c r="G1092" s="12" t="s">
        <v>57</v>
      </c>
      <c r="H1092" s="9">
        <f t="shared" si="72"/>
        <v>11</v>
      </c>
      <c r="I1092" cm="1">
        <f t="array" ref="I1092">IFERROR(INDEX(CourseYardages[[Hole 1]:[Hole 18]],
  MATCH(1, (CourseYardages[Course]=C1092)*(CourseYardages[Tees]=E1092), 0),
  MATCH(G1092, CourseYardages[[#Headers],[Hole 1]:[Hole 18]], 0)
),"")</f>
        <v>173</v>
      </c>
      <c r="J1092" cm="1">
        <f t="array" ref="J1092">IFERROR(INDEX(CourseHandicap[[Hole 1]:[Hole 18]],
  MATCH(1, (CourseHandicap[Course]=C1092)*(CourseHandicap[Tees]=E1092), 0),
  MATCH(G1092, CourseHandicap[[#Headers],[Hole 1]:[Hole 18]], 0)
),"")</f>
        <v>11</v>
      </c>
      <c r="K1092" cm="1">
        <f t="array" ref="K1092">IFERROR(INDEX(CourseRatings[[Hole 1]:[Hole 18]],
  MATCH(1, (CourseRatings[Course]=C1092)*(CourseRatings[Tees]=E1092), 0),
  MATCH(G1092, CourseRatings[[#Headers],[Hole 1]:[Hole 18]], 0)
),"")</f>
        <v>3</v>
      </c>
      <c r="L1092" cm="1">
        <f t="array" ref="L1092">IFERROR(
  INDEX('Golf Log'!$E$2:$V$72,
    MATCH(1,
      ('Golf Log'!$A$2:$A$72=$A1092)*
      ('Golf Log'!$B$2:$B$72=$B1092)*
      ('Golf Log'!$C$2:$C$72=$C1092),
    0),
    MATCH($G1092,'Golf Log'!$E$1:$V$1,0)
  ),
"")</f>
        <v>3</v>
      </c>
      <c r="M1092">
        <f t="shared" si="73"/>
        <v>0</v>
      </c>
      <c r="N1092" t="str">
        <f t="shared" si="74"/>
        <v>Par</v>
      </c>
      <c r="O1092" cm="1">
        <f t="array" ref="O1092">IFERROR(
  INDEX('Putt Log'!$E$2:$V$72,
    MATCH(1,
      ('Putt Log'!$A$2:$A$72=$A1092)*
      ('Putt Log'!$B$2:$B$72=$B1092)*
      ('Putt Log'!$C$2:$C$72=$C1092),
    0),
    MATCH($G1092,'Putt Log'!$E$1:$V$1,0)
  ),
"")</f>
        <v>2</v>
      </c>
      <c r="P1092" t="str" cm="1">
        <f t="array" ref="P1092">IF(K1092=3,"",
  IFERROR(
    INDEX('Fairway Log'!$E$2:$V$72,
      MATCH(1,
        ('Fairway Log'!$A$2:$A$72=$A1092)*
        ('Fairway Log'!$B$2:$B$72=$B1092)*
        ('Fairway Log'!$C$2:$C1163=$C1092),
      0),
      MATCH($G1092,'Fairway Log'!$E$1:$V$1,0)
    ),
  "")
)</f>
        <v/>
      </c>
      <c r="Q1092" cm="1">
        <f t="array" ref="Q1092">IFERROR(
  INDEX('GIR Log'!$E$2:$V$72,
    MATCH(1,
      ('GIR Log'!$A$2:$A$72=$A1092)*
      ('GIR Log'!$B$2:$B$72=$B1092)*
      ('GIR Log'!$C$2:$C$72=$C1092),
    0),
    MATCH($G1092,'GIR Log'!$E$1:$V$1,0)
  ),
"")</f>
        <v>1</v>
      </c>
    </row>
    <row r="1093" spans="1:17" x14ac:dyDescent="0.25">
      <c r="A1093" s="51" t="s">
        <v>130</v>
      </c>
      <c r="B1093" s="2">
        <v>45535</v>
      </c>
      <c r="C1093" s="51" t="s">
        <v>9</v>
      </c>
      <c r="D1093" s="51" t="s">
        <v>9</v>
      </c>
      <c r="E1093" s="51" t="s">
        <v>36</v>
      </c>
      <c r="F1093">
        <v>87</v>
      </c>
      <c r="G1093" s="12" t="s">
        <v>58</v>
      </c>
      <c r="H1093" s="9">
        <f t="shared" si="72"/>
        <v>12</v>
      </c>
      <c r="I1093" cm="1">
        <f t="array" ref="I1093">IFERROR(INDEX(CourseYardages[[Hole 1]:[Hole 18]],
  MATCH(1, (CourseYardages[Course]=C1093)*(CourseYardages[Tees]=E1093), 0),
  MATCH(G1093, CourseYardages[[#Headers],[Hole 1]:[Hole 18]], 0)
),"")</f>
        <v>300</v>
      </c>
      <c r="J1093" cm="1">
        <f t="array" ref="J1093">IFERROR(INDEX(CourseHandicap[[Hole 1]:[Hole 18]],
  MATCH(1, (CourseHandicap[Course]=C1093)*(CourseHandicap[Tees]=E1093), 0),
  MATCH(G1093, CourseHandicap[[#Headers],[Hole 1]:[Hole 18]], 0)
),"")</f>
        <v>17</v>
      </c>
      <c r="K1093" cm="1">
        <f t="array" ref="K1093">IFERROR(INDEX(CourseRatings[[Hole 1]:[Hole 18]],
  MATCH(1, (CourseRatings[Course]=C1093)*(CourseRatings[Tees]=E1093), 0),
  MATCH(G1093, CourseRatings[[#Headers],[Hole 1]:[Hole 18]], 0)
),"")</f>
        <v>4</v>
      </c>
      <c r="L1093" cm="1">
        <f t="array" ref="L1093">IFERROR(
  INDEX('Golf Log'!$E$2:$V$72,
    MATCH(1,
      ('Golf Log'!$A$2:$A$72=$A1093)*
      ('Golf Log'!$B$2:$B$72=$B1093)*
      ('Golf Log'!$C$2:$C$72=$C1093),
    0),
    MATCH($G1093,'Golf Log'!$E$1:$V$1,0)
  ),
"")</f>
        <v>5</v>
      </c>
      <c r="M1093">
        <f t="shared" si="73"/>
        <v>1</v>
      </c>
      <c r="N1093" t="str">
        <f t="shared" si="74"/>
        <v>Bogey</v>
      </c>
      <c r="O1093" cm="1">
        <f t="array" ref="O1093">IFERROR(
  INDEX('Putt Log'!$E$2:$V$72,
    MATCH(1,
      ('Putt Log'!$A$2:$A$72=$A1093)*
      ('Putt Log'!$B$2:$B$72=$B1093)*
      ('Putt Log'!$C$2:$C$72=$C1093),
    0),
    MATCH($G1093,'Putt Log'!$E$1:$V$1,0)
  ),
"")</f>
        <v>2</v>
      </c>
      <c r="P1093" t="str" cm="1">
        <f t="array" ref="P1093">IF(K1093=3,"",
  IFERROR(
    INDEX('Fairway Log'!$E$2:$V$72,
      MATCH(1,
        ('Fairway Log'!$A$2:$A$72=$A1093)*
        ('Fairway Log'!$B$2:$B$72=$B1093)*
        ('Fairway Log'!$C$2:$C1164=$C1093),
      0),
      MATCH($G1093,'Fairway Log'!$E$1:$V$1,0)
    ),
  "")
)</f>
        <v>←</v>
      </c>
      <c r="Q1093" t="str" cm="1">
        <f t="array" ref="Q1093">IFERROR(
  INDEX('GIR Log'!$E$2:$V$72,
    MATCH(1,
      ('GIR Log'!$A$2:$A$72=$A1093)*
      ('GIR Log'!$B$2:$B$72=$B1093)*
      ('GIR Log'!$C$2:$C$72=$C1093),
    0),
    MATCH($G1093,'GIR Log'!$E$1:$V$1,0)
  ),
"")</f>
        <v>↑</v>
      </c>
    </row>
    <row r="1094" spans="1:17" x14ac:dyDescent="0.25">
      <c r="A1094" s="51" t="s">
        <v>130</v>
      </c>
      <c r="B1094" s="2">
        <v>45535</v>
      </c>
      <c r="C1094" s="51" t="s">
        <v>9</v>
      </c>
      <c r="D1094" s="51" t="s">
        <v>9</v>
      </c>
      <c r="E1094" s="51" t="s">
        <v>36</v>
      </c>
      <c r="F1094">
        <v>87</v>
      </c>
      <c r="G1094" s="12" t="s">
        <v>59</v>
      </c>
      <c r="H1094" s="9">
        <f t="shared" si="72"/>
        <v>13</v>
      </c>
      <c r="I1094" cm="1">
        <f t="array" ref="I1094">IFERROR(INDEX(CourseYardages[[Hole 1]:[Hole 18]],
  MATCH(1, (CourseYardages[Course]=C1094)*(CourseYardages[Tees]=E1094), 0),
  MATCH(G1094, CourseYardages[[#Headers],[Hole 1]:[Hole 18]], 0)
),"")</f>
        <v>410</v>
      </c>
      <c r="J1094" cm="1">
        <f t="array" ref="J1094">IFERROR(INDEX(CourseHandicap[[Hole 1]:[Hole 18]],
  MATCH(1, (CourseHandicap[Course]=C1094)*(CourseHandicap[Tees]=E1094), 0),
  MATCH(G1094, CourseHandicap[[#Headers],[Hole 1]:[Hole 18]], 0)
),"")</f>
        <v>1</v>
      </c>
      <c r="K1094" cm="1">
        <f t="array" ref="K1094">IFERROR(INDEX(CourseRatings[[Hole 1]:[Hole 18]],
  MATCH(1, (CourseRatings[Course]=C1094)*(CourseRatings[Tees]=E1094), 0),
  MATCH(G1094, CourseRatings[[#Headers],[Hole 1]:[Hole 18]], 0)
),"")</f>
        <v>4</v>
      </c>
      <c r="L1094" cm="1">
        <f t="array" ref="L1094">IFERROR(
  INDEX('Golf Log'!$E$2:$V$72,
    MATCH(1,
      ('Golf Log'!$A$2:$A$72=$A1094)*
      ('Golf Log'!$B$2:$B$72=$B1094)*
      ('Golf Log'!$C$2:$C$72=$C1094),
    0),
    MATCH($G1094,'Golf Log'!$E$1:$V$1,0)
  ),
"")</f>
        <v>5</v>
      </c>
      <c r="M1094">
        <f t="shared" si="73"/>
        <v>1</v>
      </c>
      <c r="N1094" t="str">
        <f t="shared" si="74"/>
        <v>Bogey</v>
      </c>
      <c r="O1094" cm="1">
        <f t="array" ref="O1094">IFERROR(
  INDEX('Putt Log'!$E$2:$V$72,
    MATCH(1,
      ('Putt Log'!$A$2:$A$72=$A1094)*
      ('Putt Log'!$B$2:$B$72=$B1094)*
      ('Putt Log'!$C$2:$C$72=$C1094),
    0),
    MATCH($G1094,'Putt Log'!$E$1:$V$1,0)
  ),
"")</f>
        <v>2</v>
      </c>
      <c r="P1094" t="str" cm="1">
        <f t="array" ref="P1094">IF(K1094=3,"",
  IFERROR(
    INDEX('Fairway Log'!$E$2:$V$72,
      MATCH(1,
        ('Fairway Log'!$A$2:$A$72=$A1094)*
        ('Fairway Log'!$B$2:$B$72=$B1094)*
        ('Fairway Log'!$C$2:$C1165=$C1094),
      0),
      MATCH($G1094,'Fairway Log'!$E$1:$V$1,0)
    ),
  "")
)</f>
        <v>←</v>
      </c>
      <c r="Q1094" t="str" cm="1">
        <f t="array" ref="Q1094">IFERROR(
  INDEX('GIR Log'!$E$2:$V$72,
    MATCH(1,
      ('GIR Log'!$A$2:$A$72=$A1094)*
      ('GIR Log'!$B$2:$B$72=$B1094)*
      ('GIR Log'!$C$2:$C$72=$C1094),
    0),
    MATCH($G1094,'GIR Log'!$E$1:$V$1,0)
  ),
"")</f>
        <v>→</v>
      </c>
    </row>
    <row r="1095" spans="1:17" x14ac:dyDescent="0.25">
      <c r="A1095" s="51" t="s">
        <v>130</v>
      </c>
      <c r="B1095" s="2">
        <v>45535</v>
      </c>
      <c r="C1095" s="51" t="s">
        <v>9</v>
      </c>
      <c r="D1095" s="51" t="s">
        <v>9</v>
      </c>
      <c r="E1095" s="51" t="s">
        <v>36</v>
      </c>
      <c r="F1095">
        <v>87</v>
      </c>
      <c r="G1095" s="12" t="s">
        <v>60</v>
      </c>
      <c r="H1095" s="9">
        <f t="shared" si="72"/>
        <v>14</v>
      </c>
      <c r="I1095" cm="1">
        <f t="array" ref="I1095">IFERROR(INDEX(CourseYardages[[Hole 1]:[Hole 18]],
  MATCH(1, (CourseYardages[Course]=C1095)*(CourseYardages[Tees]=E1095), 0),
  MATCH(G1095, CourseYardages[[#Headers],[Hole 1]:[Hole 18]], 0)
),"")</f>
        <v>178</v>
      </c>
      <c r="J1095" cm="1">
        <f t="array" ref="J1095">IFERROR(INDEX(CourseHandicap[[Hole 1]:[Hole 18]],
  MATCH(1, (CourseHandicap[Course]=C1095)*(CourseHandicap[Tees]=E1095), 0),
  MATCH(G1095, CourseHandicap[[#Headers],[Hole 1]:[Hole 18]], 0)
),"")</f>
        <v>9</v>
      </c>
      <c r="K1095" cm="1">
        <f t="array" ref="K1095">IFERROR(INDEX(CourseRatings[[Hole 1]:[Hole 18]],
  MATCH(1, (CourseRatings[Course]=C1095)*(CourseRatings[Tees]=E1095), 0),
  MATCH(G1095, CourseRatings[[#Headers],[Hole 1]:[Hole 18]], 0)
),"")</f>
        <v>3</v>
      </c>
      <c r="L1095" cm="1">
        <f t="array" ref="L1095">IFERROR(
  INDEX('Golf Log'!$E$2:$V$72,
    MATCH(1,
      ('Golf Log'!$A$2:$A$72=$A1095)*
      ('Golf Log'!$B$2:$B$72=$B1095)*
      ('Golf Log'!$C$2:$C$72=$C1095),
    0),
    MATCH($G1095,'Golf Log'!$E$1:$V$1,0)
  ),
"")</f>
        <v>4</v>
      </c>
      <c r="M1095">
        <f t="shared" si="73"/>
        <v>1</v>
      </c>
      <c r="N1095" t="str">
        <f t="shared" si="74"/>
        <v>Bogey</v>
      </c>
      <c r="O1095" cm="1">
        <f t="array" ref="O1095">IFERROR(
  INDEX('Putt Log'!$E$2:$V$72,
    MATCH(1,
      ('Putt Log'!$A$2:$A$72=$A1095)*
      ('Putt Log'!$B$2:$B$72=$B1095)*
      ('Putt Log'!$C$2:$C$72=$C1095),
    0),
    MATCH($G1095,'Putt Log'!$E$1:$V$1,0)
  ),
"")</f>
        <v>2</v>
      </c>
      <c r="P1095" t="str" cm="1">
        <f t="array" ref="P1095">IF(K1095=3,"",
  IFERROR(
    INDEX('Fairway Log'!$E$2:$V$72,
      MATCH(1,
        ('Fairway Log'!$A$2:$A$72=$A1095)*
        ('Fairway Log'!$B$2:$B$72=$B1095)*
        ('Fairway Log'!$C$2:$C1166=$C1095),
      0),
      MATCH($G1095,'Fairway Log'!$E$1:$V$1,0)
    ),
  "")
)</f>
        <v/>
      </c>
      <c r="Q1095" t="str" cm="1">
        <f t="array" ref="Q1095">IFERROR(
  INDEX('GIR Log'!$E$2:$V$72,
    MATCH(1,
      ('GIR Log'!$A$2:$A$72=$A1095)*
      ('GIR Log'!$B$2:$B$72=$B1095)*
      ('GIR Log'!$C$2:$C$72=$C1095),
    0),
    MATCH($G1095,'GIR Log'!$E$1:$V$1,0)
  ),
"")</f>
        <v>←</v>
      </c>
    </row>
    <row r="1096" spans="1:17" x14ac:dyDescent="0.25">
      <c r="A1096" s="51" t="s">
        <v>130</v>
      </c>
      <c r="B1096" s="2">
        <v>45535</v>
      </c>
      <c r="C1096" s="51" t="s">
        <v>9</v>
      </c>
      <c r="D1096" s="51" t="s">
        <v>9</v>
      </c>
      <c r="E1096" s="51" t="s">
        <v>36</v>
      </c>
      <c r="F1096">
        <v>87</v>
      </c>
      <c r="G1096" s="12" t="s">
        <v>61</v>
      </c>
      <c r="H1096" s="9">
        <f t="shared" si="72"/>
        <v>15</v>
      </c>
      <c r="I1096" cm="1">
        <f t="array" ref="I1096">IFERROR(INDEX(CourseYardages[[Hole 1]:[Hole 18]],
  MATCH(1, (CourseYardages[Course]=C1096)*(CourseYardages[Tees]=E1096), 0),
  MATCH(G1096, CourseYardages[[#Headers],[Hole 1]:[Hole 18]], 0)
),"")</f>
        <v>355</v>
      </c>
      <c r="J1096" cm="1">
        <f t="array" ref="J1096">IFERROR(INDEX(CourseHandicap[[Hole 1]:[Hole 18]],
  MATCH(1, (CourseHandicap[Course]=C1096)*(CourseHandicap[Tees]=E1096), 0),
  MATCH(G1096, CourseHandicap[[#Headers],[Hole 1]:[Hole 18]], 0)
),"")</f>
        <v>7</v>
      </c>
      <c r="K1096" cm="1">
        <f t="array" ref="K1096">IFERROR(INDEX(CourseRatings[[Hole 1]:[Hole 18]],
  MATCH(1, (CourseRatings[Course]=C1096)*(CourseRatings[Tees]=E1096), 0),
  MATCH(G1096, CourseRatings[[#Headers],[Hole 1]:[Hole 18]], 0)
),"")</f>
        <v>4</v>
      </c>
      <c r="L1096" cm="1">
        <f t="array" ref="L1096">IFERROR(
  INDEX('Golf Log'!$E$2:$V$72,
    MATCH(1,
      ('Golf Log'!$A$2:$A$72=$A1096)*
      ('Golf Log'!$B$2:$B$72=$B1096)*
      ('Golf Log'!$C$2:$C$72=$C1096),
    0),
    MATCH($G1096,'Golf Log'!$E$1:$V$1,0)
  ),
"")</f>
        <v>5</v>
      </c>
      <c r="M1096">
        <f t="shared" si="73"/>
        <v>1</v>
      </c>
      <c r="N1096" t="str">
        <f t="shared" si="74"/>
        <v>Bogey</v>
      </c>
      <c r="O1096" cm="1">
        <f t="array" ref="O1096">IFERROR(
  INDEX('Putt Log'!$E$2:$V$72,
    MATCH(1,
      ('Putt Log'!$A$2:$A$72=$A1096)*
      ('Putt Log'!$B$2:$B$72=$B1096)*
      ('Putt Log'!$C$2:$C$72=$C1096),
    0),
    MATCH($G1096,'Putt Log'!$E$1:$V$1,0)
  ),
"")</f>
        <v>2</v>
      </c>
      <c r="P1096" t="str" cm="1">
        <f t="array" ref="P1096">IF(K1096=3,"",
  IFERROR(
    INDEX('Fairway Log'!$E$2:$V$72,
      MATCH(1,
        ('Fairway Log'!$A$2:$A$72=$A1096)*
        ('Fairway Log'!$B$2:$B$72=$B1096)*
        ('Fairway Log'!$C$2:$C1167=$C1096),
      0),
      MATCH($G1096,'Fairway Log'!$E$1:$V$1,0)
    ),
  "")
)</f>
        <v>←</v>
      </c>
      <c r="Q1096" t="str" cm="1">
        <f t="array" ref="Q1096">IFERROR(
  INDEX('GIR Log'!$E$2:$V$72,
    MATCH(1,
      ('GIR Log'!$A$2:$A$72=$A1096)*
      ('GIR Log'!$B$2:$B$72=$B1096)*
      ('GIR Log'!$C$2:$C$72=$C1096),
    0),
    MATCH($G1096,'GIR Log'!$E$1:$V$1,0)
  ),
"")</f>
        <v>↓</v>
      </c>
    </row>
    <row r="1097" spans="1:17" x14ac:dyDescent="0.25">
      <c r="A1097" s="51" t="s">
        <v>130</v>
      </c>
      <c r="B1097" s="2">
        <v>45535</v>
      </c>
      <c r="C1097" s="51" t="s">
        <v>9</v>
      </c>
      <c r="D1097" s="51" t="s">
        <v>9</v>
      </c>
      <c r="E1097" s="51" t="s">
        <v>36</v>
      </c>
      <c r="F1097">
        <v>87</v>
      </c>
      <c r="G1097" s="12" t="s">
        <v>62</v>
      </c>
      <c r="H1097" s="9">
        <f t="shared" si="72"/>
        <v>16</v>
      </c>
      <c r="I1097" cm="1">
        <f t="array" ref="I1097">IFERROR(INDEX(CourseYardages[[Hole 1]:[Hole 18]],
  MATCH(1, (CourseYardages[Course]=C1097)*(CourseYardages[Tees]=E1097), 0),
  MATCH(G1097, CourseYardages[[#Headers],[Hole 1]:[Hole 18]], 0)
),"")</f>
        <v>300</v>
      </c>
      <c r="J1097" cm="1">
        <f t="array" ref="J1097">IFERROR(INDEX(CourseHandicap[[Hole 1]:[Hole 18]],
  MATCH(1, (CourseHandicap[Course]=C1097)*(CourseHandicap[Tees]=E1097), 0),
  MATCH(G1097, CourseHandicap[[#Headers],[Hole 1]:[Hole 18]], 0)
),"")</f>
        <v>13</v>
      </c>
      <c r="K1097" cm="1">
        <f t="array" ref="K1097">IFERROR(INDEX(CourseRatings[[Hole 1]:[Hole 18]],
  MATCH(1, (CourseRatings[Course]=C1097)*(CourseRatings[Tees]=E1097), 0),
  MATCH(G1097, CourseRatings[[#Headers],[Hole 1]:[Hole 18]], 0)
),"")</f>
        <v>4</v>
      </c>
      <c r="L1097" cm="1">
        <f t="array" ref="L1097">IFERROR(
  INDEX('Golf Log'!$E$2:$V$72,
    MATCH(1,
      ('Golf Log'!$A$2:$A$72=$A1097)*
      ('Golf Log'!$B$2:$B$72=$B1097)*
      ('Golf Log'!$C$2:$C$72=$C1097),
    0),
    MATCH($G1097,'Golf Log'!$E$1:$V$1,0)
  ),
"")</f>
        <v>5</v>
      </c>
      <c r="M1097">
        <f t="shared" si="73"/>
        <v>1</v>
      </c>
      <c r="N1097" t="str">
        <f t="shared" si="74"/>
        <v>Bogey</v>
      </c>
      <c r="O1097" cm="1">
        <f t="array" ref="O1097">IFERROR(
  INDEX('Putt Log'!$E$2:$V$72,
    MATCH(1,
      ('Putt Log'!$A$2:$A$72=$A1097)*
      ('Putt Log'!$B$2:$B$72=$B1097)*
      ('Putt Log'!$C$2:$C$72=$C1097),
    0),
    MATCH($G1097,'Putt Log'!$E$1:$V$1,0)
  ),
"")</f>
        <v>2</v>
      </c>
      <c r="P1097" t="str" cm="1">
        <f t="array" ref="P1097">IF(K1097=3,"",
  IFERROR(
    INDEX('Fairway Log'!$E$2:$V$72,
      MATCH(1,
        ('Fairway Log'!$A$2:$A$72=$A1097)*
        ('Fairway Log'!$B$2:$B$72=$B1097)*
        ('Fairway Log'!$C$2:$C1168=$C1097),
      0),
      MATCH($G1097,'Fairway Log'!$E$1:$V$1,0)
    ),
  "")
)</f>
        <v>←</v>
      </c>
      <c r="Q1097" t="str" cm="1">
        <f t="array" ref="Q1097">IFERROR(
  INDEX('GIR Log'!$E$2:$V$72,
    MATCH(1,
      ('GIR Log'!$A$2:$A$72=$A1097)*
      ('GIR Log'!$B$2:$B$72=$B1097)*
      ('GIR Log'!$C$2:$C$72=$C1097),
    0),
    MATCH($G1097,'GIR Log'!$E$1:$V$1,0)
  ),
"")</f>
        <v>←</v>
      </c>
    </row>
    <row r="1098" spans="1:17" x14ac:dyDescent="0.25">
      <c r="A1098" s="51" t="s">
        <v>130</v>
      </c>
      <c r="B1098" s="2">
        <v>45535</v>
      </c>
      <c r="C1098" s="51" t="s">
        <v>9</v>
      </c>
      <c r="D1098" s="51" t="s">
        <v>9</v>
      </c>
      <c r="E1098" s="51" t="s">
        <v>36</v>
      </c>
      <c r="F1098">
        <v>87</v>
      </c>
      <c r="G1098" s="12" t="s">
        <v>63</v>
      </c>
      <c r="H1098" s="9">
        <f t="shared" si="72"/>
        <v>17</v>
      </c>
      <c r="I1098" cm="1">
        <f t="array" ref="I1098">IFERROR(INDEX(CourseYardages[[Hole 1]:[Hole 18]],
  MATCH(1, (CourseYardages[Course]=C1098)*(CourseYardages[Tees]=E1098), 0),
  MATCH(G1098, CourseYardages[[#Headers],[Hole 1]:[Hole 18]], 0)
),"")</f>
        <v>475</v>
      </c>
      <c r="J1098" cm="1">
        <f t="array" ref="J1098">IFERROR(INDEX(CourseHandicap[[Hole 1]:[Hole 18]],
  MATCH(1, (CourseHandicap[Course]=C1098)*(CourseHandicap[Tees]=E1098), 0),
  MATCH(G1098, CourseHandicap[[#Headers],[Hole 1]:[Hole 18]], 0)
),"")</f>
        <v>5</v>
      </c>
      <c r="K1098" cm="1">
        <f t="array" ref="K1098">IFERROR(INDEX(CourseRatings[[Hole 1]:[Hole 18]],
  MATCH(1, (CourseRatings[Course]=C1098)*(CourseRatings[Tees]=E1098), 0),
  MATCH(G1098, CourseRatings[[#Headers],[Hole 1]:[Hole 18]], 0)
),"")</f>
        <v>5</v>
      </c>
      <c r="L1098" cm="1">
        <f t="array" ref="L1098">IFERROR(
  INDEX('Golf Log'!$E$2:$V$72,
    MATCH(1,
      ('Golf Log'!$A$2:$A$72=$A1098)*
      ('Golf Log'!$B$2:$B$72=$B1098)*
      ('Golf Log'!$C$2:$C$72=$C1098),
    0),
    MATCH($G1098,'Golf Log'!$E$1:$V$1,0)
  ),
"")</f>
        <v>5</v>
      </c>
      <c r="M1098">
        <f t="shared" si="73"/>
        <v>0</v>
      </c>
      <c r="N1098" t="str">
        <f t="shared" si="74"/>
        <v>Par</v>
      </c>
      <c r="O1098" cm="1">
        <f t="array" ref="O1098">IFERROR(
  INDEX('Putt Log'!$E$2:$V$72,
    MATCH(1,
      ('Putt Log'!$A$2:$A$72=$A1098)*
      ('Putt Log'!$B$2:$B$72=$B1098)*
      ('Putt Log'!$C$2:$C$72=$C1098),
    0),
    MATCH($G1098,'Putt Log'!$E$1:$V$1,0)
  ),
"")</f>
        <v>2</v>
      </c>
      <c r="P1098" cm="1">
        <f t="array" ref="P1098">IF(K1098=3,"",
  IFERROR(
    INDEX('Fairway Log'!$E$2:$V$72,
      MATCH(1,
        ('Fairway Log'!$A$2:$A$72=$A1098)*
        ('Fairway Log'!$B$2:$B$72=$B1098)*
        ('Fairway Log'!$C$2:$C1169=$C1098),
      0),
      MATCH($G1098,'Fairway Log'!$E$1:$V$1,0)
    ),
  "")
)</f>
        <v>1</v>
      </c>
      <c r="Q1098" cm="1">
        <f t="array" ref="Q1098">IFERROR(
  INDEX('GIR Log'!$E$2:$V$72,
    MATCH(1,
      ('GIR Log'!$A$2:$A$72=$A1098)*
      ('GIR Log'!$B$2:$B$72=$B1098)*
      ('GIR Log'!$C$2:$C$72=$C1098),
    0),
    MATCH($G1098,'GIR Log'!$E$1:$V$1,0)
  ),
"")</f>
        <v>1</v>
      </c>
    </row>
    <row r="1099" spans="1:17" x14ac:dyDescent="0.25">
      <c r="A1099" s="51" t="s">
        <v>130</v>
      </c>
      <c r="B1099" s="2">
        <v>45535</v>
      </c>
      <c r="C1099" s="51" t="s">
        <v>9</v>
      </c>
      <c r="D1099" s="51" t="s">
        <v>9</v>
      </c>
      <c r="E1099" s="51" t="s">
        <v>36</v>
      </c>
      <c r="F1099">
        <v>87</v>
      </c>
      <c r="G1099" s="12" t="s">
        <v>64</v>
      </c>
      <c r="H1099" s="9">
        <f t="shared" si="72"/>
        <v>18</v>
      </c>
      <c r="I1099" cm="1">
        <f t="array" ref="I1099">IFERROR(INDEX(CourseYardages[[Hole 1]:[Hole 18]],
  MATCH(1, (CourseYardages[Course]=C1099)*(CourseYardages[Tees]=E1099), 0),
  MATCH(G1099, CourseYardages[[#Headers],[Hole 1]:[Hole 18]], 0)
),"")</f>
        <v>347</v>
      </c>
      <c r="J1099" cm="1">
        <f t="array" ref="J1099">IFERROR(INDEX(CourseHandicap[[Hole 1]:[Hole 18]],
  MATCH(1, (CourseHandicap[Course]=C1099)*(CourseHandicap[Tees]=E1099), 0),
  MATCH(G1099, CourseHandicap[[#Headers],[Hole 1]:[Hole 18]], 0)
),"")</f>
        <v>15</v>
      </c>
      <c r="K1099" cm="1">
        <f t="array" ref="K1099">IFERROR(INDEX(CourseRatings[[Hole 1]:[Hole 18]],
  MATCH(1, (CourseRatings[Course]=C1099)*(CourseRatings[Tees]=E1099), 0),
  MATCH(G1099, CourseRatings[[#Headers],[Hole 1]:[Hole 18]], 0)
),"")</f>
        <v>4</v>
      </c>
      <c r="L1099" cm="1">
        <f t="array" ref="L1099">IFERROR(
  INDEX('Golf Log'!$E$2:$V$72,
    MATCH(1,
      ('Golf Log'!$A$2:$A$72=$A1099)*
      ('Golf Log'!$B$2:$B$72=$B1099)*
      ('Golf Log'!$C$2:$C$72=$C1099),
    0),
    MATCH($G1099,'Golf Log'!$E$1:$V$1,0)
  ),
"")</f>
        <v>5</v>
      </c>
      <c r="M1099">
        <f t="shared" si="73"/>
        <v>1</v>
      </c>
      <c r="N1099" t="str">
        <f t="shared" si="74"/>
        <v>Bogey</v>
      </c>
      <c r="O1099" cm="1">
        <f t="array" ref="O1099">IFERROR(
  INDEX('Putt Log'!$E$2:$V$72,
    MATCH(1,
      ('Putt Log'!$A$2:$A$72=$A1099)*
      ('Putt Log'!$B$2:$B$72=$B1099)*
      ('Putt Log'!$C$2:$C$72=$C1099),
    0),
    MATCH($G1099,'Putt Log'!$E$1:$V$1,0)
  ),
"")</f>
        <v>2</v>
      </c>
      <c r="P1099" t="str" cm="1">
        <f t="array" ref="P1099">IF(K1099=3,"",
  IFERROR(
    INDEX('Fairway Log'!$E$2:$V$72,
      MATCH(1,
        ('Fairway Log'!$A$2:$A$72=$A1099)*
        ('Fairway Log'!$B$2:$B$72=$B1099)*
        ('Fairway Log'!$C$2:$C1170=$C1099),
      0),
      MATCH($G1099,'Fairway Log'!$E$1:$V$1,0)
    ),
  "")
)</f>
        <v>←</v>
      </c>
      <c r="Q1099" t="str" cm="1">
        <f t="array" ref="Q1099">IFERROR(
  INDEX('GIR Log'!$E$2:$V$72,
    MATCH(1,
      ('GIR Log'!$A$2:$A$72=$A1099)*
      ('GIR Log'!$B$2:$B$72=$B1099)*
      ('GIR Log'!$C$2:$C$72=$C1099),
    0),
    MATCH($G1099,'GIR Log'!$E$1:$V$1,0)
  ),
"")</f>
        <v>←</v>
      </c>
    </row>
    <row r="1100" spans="1:17" x14ac:dyDescent="0.25">
      <c r="A1100" s="51" t="s">
        <v>130</v>
      </c>
      <c r="B1100" s="2">
        <v>45487</v>
      </c>
      <c r="C1100" s="51" t="s">
        <v>3</v>
      </c>
      <c r="D1100" s="51" t="s">
        <v>3</v>
      </c>
      <c r="E1100" s="51" t="s">
        <v>34</v>
      </c>
      <c r="F1100">
        <v>89</v>
      </c>
      <c r="G1100" t="s">
        <v>47</v>
      </c>
      <c r="H1100" s="9">
        <f t="shared" si="72"/>
        <v>1</v>
      </c>
      <c r="I1100" cm="1">
        <f t="array" ref="I1100">IFERROR(INDEX(CourseYardages[[Hole 1]:[Hole 18]],
  MATCH(1, (CourseYardages[Course]=C1100)*(CourseYardages[Tees]=E1100), 0),
  MATCH(G1100, CourseYardages[[#Headers],[Hole 1]:[Hole 18]], 0)
),"")</f>
        <v>354</v>
      </c>
      <c r="J1100" cm="1">
        <f t="array" ref="J1100">IFERROR(INDEX(CourseHandicap[[Hole 1]:[Hole 18]],
  MATCH(1, (CourseHandicap[Course]=C1100)*(CourseHandicap[Tees]=E1100), 0),
  MATCH(G1100, CourseHandicap[[#Headers],[Hole 1]:[Hole 18]], 0)
),"")</f>
        <v>15</v>
      </c>
      <c r="K1100" cm="1">
        <f t="array" ref="K1100">IFERROR(INDEX(CourseRatings[[Hole 1]:[Hole 18]],
  MATCH(1, (CourseRatings[Course]=C1100)*(CourseRatings[Tees]=E1100), 0),
  MATCH(G1100, CourseRatings[[#Headers],[Hole 1]:[Hole 18]], 0)
),"")</f>
        <v>4</v>
      </c>
      <c r="L1100" cm="1">
        <f t="array" ref="L1100">IFERROR(
  INDEX('Golf Log'!$E$2:$V$72,
    MATCH(1,
      ('Golf Log'!$A$2:$A$72=$A1100)*
      ('Golf Log'!$B$2:$B$72=$B1100)*
      ('Golf Log'!$C$2:$C$72=$C1100),
    0),
    MATCH($G1100,'Golf Log'!$E$1:$V$1,0)
  ),
"")</f>
        <v>5</v>
      </c>
      <c r="M1100">
        <f t="shared" si="73"/>
        <v>1</v>
      </c>
      <c r="N1100" t="str">
        <f t="shared" si="74"/>
        <v>Bogey</v>
      </c>
      <c r="O1100" cm="1">
        <f t="array" ref="O1100">IFERROR(
  INDEX('Putt Log'!$E$2:$V$72,
    MATCH(1,
      ('Putt Log'!$A$2:$A$72=$A1100)*
      ('Putt Log'!$B$2:$B$72=$B1100)*
      ('Putt Log'!$C$2:$C$72=$C1100),
    0),
    MATCH($G1100,'Putt Log'!$E$1:$V$1,0)
  ),
"")</f>
        <v>2</v>
      </c>
      <c r="P1100" t="str" cm="1">
        <f t="array" ref="P1100">IF(K1100=3,"",
  IFERROR(
    INDEX('Fairway Log'!$E$2:$V$72,
      MATCH(1,
        ('Fairway Log'!$A$2:$A$72=$A1100)*
        ('Fairway Log'!$B$2:$B$72=$B1100)*
        ('Fairway Log'!$C$2:$C1171=$C1100),
      0),
      MATCH($G1100,'Fairway Log'!$E$1:$V$1,0)
    ),
  "")
)</f>
        <v>←</v>
      </c>
      <c r="Q1100" t="str" cm="1">
        <f t="array" ref="Q1100">IFERROR(
  INDEX('GIR Log'!$E$2:$V$72,
    MATCH(1,
      ('GIR Log'!$A$2:$A$72=$A1100)*
      ('GIR Log'!$B$2:$B$72=$B1100)*
      ('GIR Log'!$C$2:$C$72=$C1100),
    0),
    MATCH($G1100,'GIR Log'!$E$1:$V$1,0)
  ),
"")</f>
        <v>NC</v>
      </c>
    </row>
    <row r="1101" spans="1:17" x14ac:dyDescent="0.25">
      <c r="A1101" s="51" t="s">
        <v>130</v>
      </c>
      <c r="B1101" s="2">
        <v>45487</v>
      </c>
      <c r="C1101" s="51" t="s">
        <v>3</v>
      </c>
      <c r="D1101" s="51" t="s">
        <v>3</v>
      </c>
      <c r="E1101" s="51" t="s">
        <v>34</v>
      </c>
      <c r="F1101">
        <v>89</v>
      </c>
      <c r="G1101" t="s">
        <v>48</v>
      </c>
      <c r="H1101" s="9">
        <f t="shared" si="72"/>
        <v>2</v>
      </c>
      <c r="I1101" cm="1">
        <f t="array" ref="I1101">IFERROR(INDEX(CourseYardages[[Hole 1]:[Hole 18]],
  MATCH(1, (CourseYardages[Course]=C1101)*(CourseYardages[Tees]=E1101), 0),
  MATCH(G1101, CourseYardages[[#Headers],[Hole 1]:[Hole 18]], 0)
),"")</f>
        <v>380</v>
      </c>
      <c r="J1101" cm="1">
        <f t="array" ref="J1101">IFERROR(INDEX(CourseHandicap[[Hole 1]:[Hole 18]],
  MATCH(1, (CourseHandicap[Course]=C1101)*(CourseHandicap[Tees]=E1101), 0),
  MATCH(G1101, CourseHandicap[[#Headers],[Hole 1]:[Hole 18]], 0)
),"")</f>
        <v>3</v>
      </c>
      <c r="K1101" cm="1">
        <f t="array" ref="K1101">IFERROR(INDEX(CourseRatings[[Hole 1]:[Hole 18]],
  MATCH(1, (CourseRatings[Course]=C1101)*(CourseRatings[Tees]=E1101), 0),
  MATCH(G1101, CourseRatings[[#Headers],[Hole 1]:[Hole 18]], 0)
),"")</f>
        <v>4</v>
      </c>
      <c r="L1101" cm="1">
        <f t="array" ref="L1101">IFERROR(
  INDEX('Golf Log'!$E$2:$V$72,
    MATCH(1,
      ('Golf Log'!$A$2:$A$72=$A1101)*
      ('Golf Log'!$B$2:$B$72=$B1101)*
      ('Golf Log'!$C$2:$C$72=$C1101),
    0),
    MATCH($G1101,'Golf Log'!$E$1:$V$1,0)
  ),
"")</f>
        <v>6</v>
      </c>
      <c r="M1101">
        <f t="shared" si="73"/>
        <v>2</v>
      </c>
      <c r="N1101" t="str">
        <f t="shared" si="74"/>
        <v>Double Bogey</v>
      </c>
      <c r="O1101" cm="1">
        <f t="array" ref="O1101">IFERROR(
  INDEX('Putt Log'!$E$2:$V$72,
    MATCH(1,
      ('Putt Log'!$A$2:$A$72=$A1101)*
      ('Putt Log'!$B$2:$B$72=$B1101)*
      ('Putt Log'!$C$2:$C$72=$C1101),
    0),
    MATCH($G1101,'Putt Log'!$E$1:$V$1,0)
  ),
"")</f>
        <v>2</v>
      </c>
      <c r="P1101" t="str" cm="1">
        <f t="array" ref="P1101">IF(K1101=3,"",
  IFERROR(
    INDEX('Fairway Log'!$E$2:$V$72,
      MATCH(1,
        ('Fairway Log'!$A$2:$A$72=$A1101)*
        ('Fairway Log'!$B$2:$B$72=$B1101)*
        ('Fairway Log'!$C$2:$C1172=$C1101),
      0),
      MATCH($G1101,'Fairway Log'!$E$1:$V$1,0)
    ),
  "")
)</f>
        <v>↓</v>
      </c>
      <c r="Q1101" t="str" cm="1">
        <f t="array" ref="Q1101">IFERROR(
  INDEX('GIR Log'!$E$2:$V$72,
    MATCH(1,
      ('GIR Log'!$A$2:$A$72=$A1101)*
      ('GIR Log'!$B$2:$B$72=$B1101)*
      ('GIR Log'!$C$2:$C$72=$C1101),
    0),
    MATCH($G1101,'GIR Log'!$E$1:$V$1,0)
  ),
"")</f>
        <v>NC</v>
      </c>
    </row>
    <row r="1102" spans="1:17" x14ac:dyDescent="0.25">
      <c r="A1102" s="51" t="s">
        <v>130</v>
      </c>
      <c r="B1102" s="2">
        <v>45487</v>
      </c>
      <c r="C1102" s="51" t="s">
        <v>3</v>
      </c>
      <c r="D1102" s="51" t="s">
        <v>3</v>
      </c>
      <c r="E1102" s="51" t="s">
        <v>34</v>
      </c>
      <c r="F1102">
        <v>89</v>
      </c>
      <c r="G1102" t="s">
        <v>49</v>
      </c>
      <c r="H1102" s="9">
        <f t="shared" si="72"/>
        <v>3</v>
      </c>
      <c r="I1102" cm="1">
        <f t="array" ref="I1102">IFERROR(INDEX(CourseYardages[[Hole 1]:[Hole 18]],
  MATCH(1, (CourseYardages[Course]=C1102)*(CourseYardages[Tees]=E1102), 0),
  MATCH(G1102, CourseYardages[[#Headers],[Hole 1]:[Hole 18]], 0)
),"")</f>
        <v>153</v>
      </c>
      <c r="J1102" cm="1">
        <f t="array" ref="J1102">IFERROR(INDEX(CourseHandicap[[Hole 1]:[Hole 18]],
  MATCH(1, (CourseHandicap[Course]=C1102)*(CourseHandicap[Tees]=E1102), 0),
  MATCH(G1102, CourseHandicap[[#Headers],[Hole 1]:[Hole 18]], 0)
),"")</f>
        <v>17</v>
      </c>
      <c r="K1102" cm="1">
        <f t="array" ref="K1102">IFERROR(INDEX(CourseRatings[[Hole 1]:[Hole 18]],
  MATCH(1, (CourseRatings[Course]=C1102)*(CourseRatings[Tees]=E1102), 0),
  MATCH(G1102, CourseRatings[[#Headers],[Hole 1]:[Hole 18]], 0)
),"")</f>
        <v>3</v>
      </c>
      <c r="L1102" cm="1">
        <f t="array" ref="L1102">IFERROR(
  INDEX('Golf Log'!$E$2:$V$72,
    MATCH(1,
      ('Golf Log'!$A$2:$A$72=$A1102)*
      ('Golf Log'!$B$2:$B$72=$B1102)*
      ('Golf Log'!$C$2:$C$72=$C1102),
    0),
    MATCH($G1102,'Golf Log'!$E$1:$V$1,0)
  ),
"")</f>
        <v>3</v>
      </c>
      <c r="M1102">
        <f t="shared" si="73"/>
        <v>0</v>
      </c>
      <c r="N1102" t="str">
        <f t="shared" si="74"/>
        <v>Par</v>
      </c>
      <c r="O1102" cm="1">
        <f t="array" ref="O1102">IFERROR(
  INDEX('Putt Log'!$E$2:$V$72,
    MATCH(1,
      ('Putt Log'!$A$2:$A$72=$A1102)*
      ('Putt Log'!$B$2:$B$72=$B1102)*
      ('Putt Log'!$C$2:$C$72=$C1102),
    0),
    MATCH($G1102,'Putt Log'!$E$1:$V$1,0)
  ),
"")</f>
        <v>2</v>
      </c>
      <c r="P1102" t="str" cm="1">
        <f t="array" ref="P1102">IF(K1102=3,"",
  IFERROR(
    INDEX('Fairway Log'!$E$2:$V$72,
      MATCH(1,
        ('Fairway Log'!$A$2:$A$72=$A1102)*
        ('Fairway Log'!$B$2:$B$72=$B1102)*
        ('Fairway Log'!$C$2:$C1173=$C1102),
      0),
      MATCH($G1102,'Fairway Log'!$E$1:$V$1,0)
    ),
  "")
)</f>
        <v/>
      </c>
      <c r="Q1102" cm="1">
        <f t="array" ref="Q1102">IFERROR(
  INDEX('GIR Log'!$E$2:$V$72,
    MATCH(1,
      ('GIR Log'!$A$2:$A$72=$A1102)*
      ('GIR Log'!$B$2:$B$72=$B1102)*
      ('GIR Log'!$C$2:$C$72=$C1102),
    0),
    MATCH($G1102,'GIR Log'!$E$1:$V$1,0)
  ),
"")</f>
        <v>1</v>
      </c>
    </row>
    <row r="1103" spans="1:17" x14ac:dyDescent="0.25">
      <c r="A1103" s="51" t="s">
        <v>130</v>
      </c>
      <c r="B1103" s="2">
        <v>45487</v>
      </c>
      <c r="C1103" s="51" t="s">
        <v>3</v>
      </c>
      <c r="D1103" s="51" t="s">
        <v>3</v>
      </c>
      <c r="E1103" s="51" t="s">
        <v>34</v>
      </c>
      <c r="F1103">
        <v>89</v>
      </c>
      <c r="G1103" t="s">
        <v>50</v>
      </c>
      <c r="H1103" s="9">
        <f t="shared" si="72"/>
        <v>4</v>
      </c>
      <c r="I1103" cm="1">
        <f t="array" ref="I1103">IFERROR(INDEX(CourseYardages[[Hole 1]:[Hole 18]],
  MATCH(1, (CourseYardages[Course]=C1103)*(CourseYardages[Tees]=E1103), 0),
  MATCH(G1103, CourseYardages[[#Headers],[Hole 1]:[Hole 18]], 0)
),"")</f>
        <v>363</v>
      </c>
      <c r="J1103" cm="1">
        <f t="array" ref="J1103">IFERROR(INDEX(CourseHandicap[[Hole 1]:[Hole 18]],
  MATCH(1, (CourseHandicap[Course]=C1103)*(CourseHandicap[Tees]=E1103), 0),
  MATCH(G1103, CourseHandicap[[#Headers],[Hole 1]:[Hole 18]], 0)
),"")</f>
        <v>11</v>
      </c>
      <c r="K1103" cm="1">
        <f t="array" ref="K1103">IFERROR(INDEX(CourseRatings[[Hole 1]:[Hole 18]],
  MATCH(1, (CourseRatings[Course]=C1103)*(CourseRatings[Tees]=E1103), 0),
  MATCH(G1103, CourseRatings[[#Headers],[Hole 1]:[Hole 18]], 0)
),"")</f>
        <v>4</v>
      </c>
      <c r="L1103" cm="1">
        <f t="array" ref="L1103">IFERROR(
  INDEX('Golf Log'!$E$2:$V$72,
    MATCH(1,
      ('Golf Log'!$A$2:$A$72=$A1103)*
      ('Golf Log'!$B$2:$B$72=$B1103)*
      ('Golf Log'!$C$2:$C$72=$C1103),
    0),
    MATCH($G1103,'Golf Log'!$E$1:$V$1,0)
  ),
"")</f>
        <v>4</v>
      </c>
      <c r="M1103">
        <f t="shared" si="73"/>
        <v>0</v>
      </c>
      <c r="N1103" t="str">
        <f t="shared" si="74"/>
        <v>Par</v>
      </c>
      <c r="O1103" cm="1">
        <f t="array" ref="O1103">IFERROR(
  INDEX('Putt Log'!$E$2:$V$72,
    MATCH(1,
      ('Putt Log'!$A$2:$A$72=$A1103)*
      ('Putt Log'!$B$2:$B$72=$B1103)*
      ('Putt Log'!$C$2:$C$72=$C1103),
    0),
    MATCH($G1103,'Putt Log'!$E$1:$V$1,0)
  ),
"")</f>
        <v>1</v>
      </c>
      <c r="P1103" t="str" cm="1">
        <f t="array" ref="P1103">IF(K1103=3,"",
  IFERROR(
    INDEX('Fairway Log'!$E$2:$V$72,
      MATCH(1,
        ('Fairway Log'!$A$2:$A$72=$A1103)*
        ('Fairway Log'!$B$2:$B$72=$B1103)*
        ('Fairway Log'!$C$2:$C1174=$C1103),
      0),
      MATCH($G1103,'Fairway Log'!$E$1:$V$1,0)
    ),
  "")
)</f>
        <v>←</v>
      </c>
      <c r="Q1103" t="str" cm="1">
        <f t="array" ref="Q1103">IFERROR(
  INDEX('GIR Log'!$E$2:$V$72,
    MATCH(1,
      ('GIR Log'!$A$2:$A$72=$A1103)*
      ('GIR Log'!$B$2:$B$72=$B1103)*
      ('GIR Log'!$C$2:$C$72=$C1103),
    0),
    MATCH($G1103,'GIR Log'!$E$1:$V$1,0)
  ),
"")</f>
        <v>↓</v>
      </c>
    </row>
    <row r="1104" spans="1:17" x14ac:dyDescent="0.25">
      <c r="A1104" s="51" t="s">
        <v>130</v>
      </c>
      <c r="B1104" s="2">
        <v>45487</v>
      </c>
      <c r="C1104" s="51" t="s">
        <v>3</v>
      </c>
      <c r="D1104" s="51" t="s">
        <v>3</v>
      </c>
      <c r="E1104" s="51" t="s">
        <v>34</v>
      </c>
      <c r="F1104">
        <v>89</v>
      </c>
      <c r="G1104" t="s">
        <v>51</v>
      </c>
      <c r="H1104" s="9">
        <f t="shared" si="72"/>
        <v>5</v>
      </c>
      <c r="I1104" cm="1">
        <f t="array" ref="I1104">IFERROR(INDEX(CourseYardages[[Hole 1]:[Hole 18]],
  MATCH(1, (CourseYardages[Course]=C1104)*(CourseYardages[Tees]=E1104), 0),
  MATCH(G1104, CourseYardages[[#Headers],[Hole 1]:[Hole 18]], 0)
),"")</f>
        <v>400</v>
      </c>
      <c r="J1104" cm="1">
        <f t="array" ref="J1104">IFERROR(INDEX(CourseHandicap[[Hole 1]:[Hole 18]],
  MATCH(1, (CourseHandicap[Course]=C1104)*(CourseHandicap[Tees]=E1104), 0),
  MATCH(G1104, CourseHandicap[[#Headers],[Hole 1]:[Hole 18]], 0)
),"")</f>
        <v>7</v>
      </c>
      <c r="K1104" cm="1">
        <f t="array" ref="K1104">IFERROR(INDEX(CourseRatings[[Hole 1]:[Hole 18]],
  MATCH(1, (CourseRatings[Course]=C1104)*(CourseRatings[Tees]=E1104), 0),
  MATCH(G1104, CourseRatings[[#Headers],[Hole 1]:[Hole 18]], 0)
),"")</f>
        <v>4</v>
      </c>
      <c r="L1104" cm="1">
        <f t="array" ref="L1104">IFERROR(
  INDEX('Golf Log'!$E$2:$V$72,
    MATCH(1,
      ('Golf Log'!$A$2:$A$72=$A1104)*
      ('Golf Log'!$B$2:$B$72=$B1104)*
      ('Golf Log'!$C$2:$C$72=$C1104),
    0),
    MATCH($G1104,'Golf Log'!$E$1:$V$1,0)
  ),
"")</f>
        <v>5</v>
      </c>
      <c r="M1104">
        <f t="shared" si="73"/>
        <v>1</v>
      </c>
      <c r="N1104" t="str">
        <f t="shared" si="74"/>
        <v>Bogey</v>
      </c>
      <c r="O1104" cm="1">
        <f t="array" ref="O1104">IFERROR(
  INDEX('Putt Log'!$E$2:$V$72,
    MATCH(1,
      ('Putt Log'!$A$2:$A$72=$A1104)*
      ('Putt Log'!$B$2:$B$72=$B1104)*
      ('Putt Log'!$C$2:$C$72=$C1104),
    0),
    MATCH($G1104,'Putt Log'!$E$1:$V$1,0)
  ),
"")</f>
        <v>2</v>
      </c>
      <c r="P1104" t="str" cm="1">
        <f t="array" ref="P1104">IF(K1104=3,"",
  IFERROR(
    INDEX('Fairway Log'!$E$2:$V$72,
      MATCH(1,
        ('Fairway Log'!$A$2:$A$72=$A1104)*
        ('Fairway Log'!$B$2:$B$72=$B1104)*
        ('Fairway Log'!$C$2:$C1175=$C1104),
      0),
      MATCH($G1104,'Fairway Log'!$E$1:$V$1,0)
    ),
  "")
)</f>
        <v>↓</v>
      </c>
      <c r="Q1104" t="str" cm="1">
        <f t="array" ref="Q1104">IFERROR(
  INDEX('GIR Log'!$E$2:$V$72,
    MATCH(1,
      ('GIR Log'!$A$2:$A$72=$A1104)*
      ('GIR Log'!$B$2:$B$72=$B1104)*
      ('GIR Log'!$C$2:$C$72=$C1104),
    0),
    MATCH($G1104,'GIR Log'!$E$1:$V$1,0)
  ),
"")</f>
        <v>NC</v>
      </c>
    </row>
    <row r="1105" spans="1:17" x14ac:dyDescent="0.25">
      <c r="A1105" s="51" t="s">
        <v>130</v>
      </c>
      <c r="B1105" s="2">
        <v>45487</v>
      </c>
      <c r="C1105" s="51" t="s">
        <v>3</v>
      </c>
      <c r="D1105" s="51" t="s">
        <v>3</v>
      </c>
      <c r="E1105" s="51" t="s">
        <v>34</v>
      </c>
      <c r="F1105">
        <v>89</v>
      </c>
      <c r="G1105" t="s">
        <v>52</v>
      </c>
      <c r="H1105" s="9">
        <f t="shared" si="72"/>
        <v>6</v>
      </c>
      <c r="I1105" cm="1">
        <f t="array" ref="I1105">IFERROR(INDEX(CourseYardages[[Hole 1]:[Hole 18]],
  MATCH(1, (CourseYardages[Course]=C1105)*(CourseYardages[Tees]=E1105), 0),
  MATCH(G1105, CourseYardages[[#Headers],[Hole 1]:[Hole 18]], 0)
),"")</f>
        <v>190</v>
      </c>
      <c r="J1105" cm="1">
        <f t="array" ref="J1105">IFERROR(INDEX(CourseHandicap[[Hole 1]:[Hole 18]],
  MATCH(1, (CourseHandicap[Course]=C1105)*(CourseHandicap[Tees]=E1105), 0),
  MATCH(G1105, CourseHandicap[[#Headers],[Hole 1]:[Hole 18]], 0)
),"")</f>
        <v>5</v>
      </c>
      <c r="K1105" cm="1">
        <f t="array" ref="K1105">IFERROR(INDEX(CourseRatings[[Hole 1]:[Hole 18]],
  MATCH(1, (CourseRatings[Course]=C1105)*(CourseRatings[Tees]=E1105), 0),
  MATCH(G1105, CourseRatings[[#Headers],[Hole 1]:[Hole 18]], 0)
),"")</f>
        <v>3</v>
      </c>
      <c r="L1105" cm="1">
        <f t="array" ref="L1105">IFERROR(
  INDEX('Golf Log'!$E$2:$V$72,
    MATCH(1,
      ('Golf Log'!$A$2:$A$72=$A1105)*
      ('Golf Log'!$B$2:$B$72=$B1105)*
      ('Golf Log'!$C$2:$C$72=$C1105),
    0),
    MATCH($G1105,'Golf Log'!$E$1:$V$1,0)
  ),
"")</f>
        <v>5</v>
      </c>
      <c r="M1105">
        <f t="shared" si="73"/>
        <v>2</v>
      </c>
      <c r="N1105" t="str">
        <f t="shared" si="74"/>
        <v>Double Bogey</v>
      </c>
      <c r="O1105" cm="1">
        <f t="array" ref="O1105">IFERROR(
  INDEX('Putt Log'!$E$2:$V$72,
    MATCH(1,
      ('Putt Log'!$A$2:$A$72=$A1105)*
      ('Putt Log'!$B$2:$B$72=$B1105)*
      ('Putt Log'!$C$2:$C$72=$C1105),
    0),
    MATCH($G1105,'Putt Log'!$E$1:$V$1,0)
  ),
"")</f>
        <v>2</v>
      </c>
      <c r="P1105" t="str" cm="1">
        <f t="array" ref="P1105">IF(K1105=3,"",
  IFERROR(
    INDEX('Fairway Log'!$E$2:$V$72,
      MATCH(1,
        ('Fairway Log'!$A$2:$A$72=$A1105)*
        ('Fairway Log'!$B$2:$B$72=$B1105)*
        ('Fairway Log'!$C$2:$C1176=$C1105),
      0),
      MATCH($G1105,'Fairway Log'!$E$1:$V$1,0)
    ),
  "")
)</f>
        <v/>
      </c>
      <c r="Q1105" t="str" cm="1">
        <f t="array" ref="Q1105">IFERROR(
  INDEX('GIR Log'!$E$2:$V$72,
    MATCH(1,
      ('GIR Log'!$A$2:$A$72=$A1105)*
      ('GIR Log'!$B$2:$B$72=$B1105)*
      ('GIR Log'!$C$2:$C$72=$C1105),
    0),
    MATCH($G1105,'GIR Log'!$E$1:$V$1,0)
  ),
"")</f>
        <v>←</v>
      </c>
    </row>
    <row r="1106" spans="1:17" x14ac:dyDescent="0.25">
      <c r="A1106" s="51" t="s">
        <v>130</v>
      </c>
      <c r="B1106" s="2">
        <v>45487</v>
      </c>
      <c r="C1106" s="51" t="s">
        <v>3</v>
      </c>
      <c r="D1106" s="51" t="s">
        <v>3</v>
      </c>
      <c r="E1106" s="51" t="s">
        <v>34</v>
      </c>
      <c r="F1106">
        <v>89</v>
      </c>
      <c r="G1106" t="s">
        <v>53</v>
      </c>
      <c r="H1106" s="9">
        <f t="shared" si="72"/>
        <v>7</v>
      </c>
      <c r="I1106" cm="1">
        <f t="array" ref="I1106">IFERROR(INDEX(CourseYardages[[Hole 1]:[Hole 18]],
  MATCH(1, (CourseYardages[Course]=C1106)*(CourseYardages[Tees]=E1106), 0),
  MATCH(G1106, CourseYardages[[#Headers],[Hole 1]:[Hole 18]], 0)
),"")</f>
        <v>507</v>
      </c>
      <c r="J1106" cm="1">
        <f t="array" ref="J1106">IFERROR(INDEX(CourseHandicap[[Hole 1]:[Hole 18]],
  MATCH(1, (CourseHandicap[Course]=C1106)*(CourseHandicap[Tees]=E1106), 0),
  MATCH(G1106, CourseHandicap[[#Headers],[Hole 1]:[Hole 18]], 0)
),"")</f>
        <v>9</v>
      </c>
      <c r="K1106" cm="1">
        <f t="array" ref="K1106">IFERROR(INDEX(CourseRatings[[Hole 1]:[Hole 18]],
  MATCH(1, (CourseRatings[Course]=C1106)*(CourseRatings[Tees]=E1106), 0),
  MATCH(G1106, CourseRatings[[#Headers],[Hole 1]:[Hole 18]], 0)
),"")</f>
        <v>5</v>
      </c>
      <c r="L1106" cm="1">
        <f t="array" ref="L1106">IFERROR(
  INDEX('Golf Log'!$E$2:$V$72,
    MATCH(1,
      ('Golf Log'!$A$2:$A$72=$A1106)*
      ('Golf Log'!$B$2:$B$72=$B1106)*
      ('Golf Log'!$C$2:$C$72=$C1106),
    0),
    MATCH($G1106,'Golf Log'!$E$1:$V$1,0)
  ),
"")</f>
        <v>6</v>
      </c>
      <c r="M1106">
        <f t="shared" si="73"/>
        <v>1</v>
      </c>
      <c r="N1106" t="str">
        <f t="shared" si="74"/>
        <v>Bogey</v>
      </c>
      <c r="O1106" cm="1">
        <f t="array" ref="O1106">IFERROR(
  INDEX('Putt Log'!$E$2:$V$72,
    MATCH(1,
      ('Putt Log'!$A$2:$A$72=$A1106)*
      ('Putt Log'!$B$2:$B$72=$B1106)*
      ('Putt Log'!$C$2:$C$72=$C1106),
    0),
    MATCH($G1106,'Putt Log'!$E$1:$V$1,0)
  ),
"")</f>
        <v>2</v>
      </c>
      <c r="P1106" t="str" cm="1">
        <f t="array" ref="P1106">IF(K1106=3,"",
  IFERROR(
    INDEX('Fairway Log'!$E$2:$V$72,
      MATCH(1,
        ('Fairway Log'!$A$2:$A$72=$A1106)*
        ('Fairway Log'!$B$2:$B$72=$B1106)*
        ('Fairway Log'!$C$2:$C1177=$C1106),
      0),
      MATCH($G1106,'Fairway Log'!$E$1:$V$1,0)
    ),
  "")
)</f>
        <v>↓</v>
      </c>
      <c r="Q1106" t="str" cm="1">
        <f t="array" ref="Q1106">IFERROR(
  INDEX('GIR Log'!$E$2:$V$72,
    MATCH(1,
      ('GIR Log'!$A$2:$A$72=$A1106)*
      ('GIR Log'!$B$2:$B$72=$B1106)*
      ('GIR Log'!$C$2:$C$72=$C1106),
    0),
    MATCH($G1106,'GIR Log'!$E$1:$V$1,0)
  ),
"")</f>
        <v>↓</v>
      </c>
    </row>
    <row r="1107" spans="1:17" x14ac:dyDescent="0.25">
      <c r="A1107" s="51" t="s">
        <v>130</v>
      </c>
      <c r="B1107" s="2">
        <v>45487</v>
      </c>
      <c r="C1107" s="51" t="s">
        <v>3</v>
      </c>
      <c r="D1107" s="51" t="s">
        <v>3</v>
      </c>
      <c r="E1107" s="51" t="s">
        <v>34</v>
      </c>
      <c r="F1107">
        <v>89</v>
      </c>
      <c r="G1107" t="s">
        <v>54</v>
      </c>
      <c r="H1107" s="9">
        <f t="shared" si="72"/>
        <v>8</v>
      </c>
      <c r="I1107" cm="1">
        <f t="array" ref="I1107">IFERROR(INDEX(CourseYardages[[Hole 1]:[Hole 18]],
  MATCH(1, (CourseYardages[Course]=C1107)*(CourseYardages[Tees]=E1107), 0),
  MATCH(G1107, CourseYardages[[#Headers],[Hole 1]:[Hole 18]], 0)
),"")</f>
        <v>347</v>
      </c>
      <c r="J1107" cm="1">
        <f t="array" ref="J1107">IFERROR(INDEX(CourseHandicap[[Hole 1]:[Hole 18]],
  MATCH(1, (CourseHandicap[Course]=C1107)*(CourseHandicap[Tees]=E1107), 0),
  MATCH(G1107, CourseHandicap[[#Headers],[Hole 1]:[Hole 18]], 0)
),"")</f>
        <v>13</v>
      </c>
      <c r="K1107" cm="1">
        <f t="array" ref="K1107">IFERROR(INDEX(CourseRatings[[Hole 1]:[Hole 18]],
  MATCH(1, (CourseRatings[Course]=C1107)*(CourseRatings[Tees]=E1107), 0),
  MATCH(G1107, CourseRatings[[#Headers],[Hole 1]:[Hole 18]], 0)
),"")</f>
        <v>4</v>
      </c>
      <c r="L1107" cm="1">
        <f t="array" ref="L1107">IFERROR(
  INDEX('Golf Log'!$E$2:$V$72,
    MATCH(1,
      ('Golf Log'!$A$2:$A$72=$A1107)*
      ('Golf Log'!$B$2:$B$72=$B1107)*
      ('Golf Log'!$C$2:$C$72=$C1107),
    0),
    MATCH($G1107,'Golf Log'!$E$1:$V$1,0)
  ),
"")</f>
        <v>5</v>
      </c>
      <c r="M1107">
        <f t="shared" si="73"/>
        <v>1</v>
      </c>
      <c r="N1107" t="str">
        <f t="shared" si="74"/>
        <v>Bogey</v>
      </c>
      <c r="O1107" cm="1">
        <f t="array" ref="O1107">IFERROR(
  INDEX('Putt Log'!$E$2:$V$72,
    MATCH(1,
      ('Putt Log'!$A$2:$A$72=$A1107)*
      ('Putt Log'!$B$2:$B$72=$B1107)*
      ('Putt Log'!$C$2:$C$72=$C1107),
    0),
    MATCH($G1107,'Putt Log'!$E$1:$V$1,0)
  ),
"")</f>
        <v>3</v>
      </c>
      <c r="P1107" t="str" cm="1">
        <f t="array" ref="P1107">IF(K1107=3,"",
  IFERROR(
    INDEX('Fairway Log'!$E$2:$V$72,
      MATCH(1,
        ('Fairway Log'!$A$2:$A$72=$A1107)*
        ('Fairway Log'!$B$2:$B$72=$B1107)*
        ('Fairway Log'!$C$2:$C1178=$C1107),
      0),
      MATCH($G1107,'Fairway Log'!$E$1:$V$1,0)
    ),
  "")
)</f>
        <v>←</v>
      </c>
      <c r="Q1107" cm="1">
        <f t="array" ref="Q1107">IFERROR(
  INDEX('GIR Log'!$E$2:$V$72,
    MATCH(1,
      ('GIR Log'!$A$2:$A$72=$A1107)*
      ('GIR Log'!$B$2:$B$72=$B1107)*
      ('GIR Log'!$C$2:$C$72=$C1107),
    0),
    MATCH($G1107,'GIR Log'!$E$1:$V$1,0)
  ),
"")</f>
        <v>1</v>
      </c>
    </row>
    <row r="1108" spans="1:17" x14ac:dyDescent="0.25">
      <c r="A1108" s="51" t="s">
        <v>130</v>
      </c>
      <c r="B1108" s="2">
        <v>45487</v>
      </c>
      <c r="C1108" s="51" t="s">
        <v>3</v>
      </c>
      <c r="D1108" s="51" t="s">
        <v>3</v>
      </c>
      <c r="E1108" s="51" t="s">
        <v>34</v>
      </c>
      <c r="F1108">
        <v>89</v>
      </c>
      <c r="G1108" t="s">
        <v>55</v>
      </c>
      <c r="H1108" s="9">
        <f t="shared" si="72"/>
        <v>9</v>
      </c>
      <c r="I1108" cm="1">
        <f t="array" ref="I1108">IFERROR(INDEX(CourseYardages[[Hole 1]:[Hole 18]],
  MATCH(1, (CourseYardages[Course]=C1108)*(CourseYardages[Tees]=E1108), 0),
  MATCH(G1108, CourseYardages[[#Headers],[Hole 1]:[Hole 18]], 0)
),"")</f>
        <v>560</v>
      </c>
      <c r="J1108" cm="1">
        <f t="array" ref="J1108">IFERROR(INDEX(CourseHandicap[[Hole 1]:[Hole 18]],
  MATCH(1, (CourseHandicap[Course]=C1108)*(CourseHandicap[Tees]=E1108), 0),
  MATCH(G1108, CourseHandicap[[#Headers],[Hole 1]:[Hole 18]], 0)
),"")</f>
        <v>1</v>
      </c>
      <c r="K1108" cm="1">
        <f t="array" ref="K1108">IFERROR(INDEX(CourseRatings[[Hole 1]:[Hole 18]],
  MATCH(1, (CourseRatings[Course]=C1108)*(CourseRatings[Tees]=E1108), 0),
  MATCH(G1108, CourseRatings[[#Headers],[Hole 1]:[Hole 18]], 0)
),"")</f>
        <v>5</v>
      </c>
      <c r="L1108" cm="1">
        <f t="array" ref="L1108">IFERROR(
  INDEX('Golf Log'!$E$2:$V$72,
    MATCH(1,
      ('Golf Log'!$A$2:$A$72=$A1108)*
      ('Golf Log'!$B$2:$B$72=$B1108)*
      ('Golf Log'!$C$2:$C$72=$C1108),
    0),
    MATCH($G1108,'Golf Log'!$E$1:$V$1,0)
  ),
"")</f>
        <v>7</v>
      </c>
      <c r="M1108">
        <f t="shared" si="73"/>
        <v>2</v>
      </c>
      <c r="N1108" t="str">
        <f t="shared" si="74"/>
        <v>Double Bogey</v>
      </c>
      <c r="O1108" cm="1">
        <f t="array" ref="O1108">IFERROR(
  INDEX('Putt Log'!$E$2:$V$72,
    MATCH(1,
      ('Putt Log'!$A$2:$A$72=$A1108)*
      ('Putt Log'!$B$2:$B$72=$B1108)*
      ('Putt Log'!$C$2:$C$72=$C1108),
    0),
    MATCH($G1108,'Putt Log'!$E$1:$V$1,0)
  ),
"")</f>
        <v>2</v>
      </c>
      <c r="P1108" cm="1">
        <f t="array" ref="P1108">IF(K1108=3,"",
  IFERROR(
    INDEX('Fairway Log'!$E$2:$V$72,
      MATCH(1,
        ('Fairway Log'!$A$2:$A$72=$A1108)*
        ('Fairway Log'!$B$2:$B$72=$B1108)*
        ('Fairway Log'!$C$2:$C1179=$C1108),
      0),
      MATCH($G1108,'Fairway Log'!$E$1:$V$1,0)
    ),
  "")
)</f>
        <v>1</v>
      </c>
      <c r="Q1108" t="str" cm="1">
        <f t="array" ref="Q1108">IFERROR(
  INDEX('GIR Log'!$E$2:$V$72,
    MATCH(1,
      ('GIR Log'!$A$2:$A$72=$A1108)*
      ('GIR Log'!$B$2:$B$72=$B1108)*
      ('GIR Log'!$C$2:$C$72=$C1108),
    0),
    MATCH($G1108,'GIR Log'!$E$1:$V$1,0)
  ),
"")</f>
        <v>→</v>
      </c>
    </row>
    <row r="1109" spans="1:17" x14ac:dyDescent="0.25">
      <c r="A1109" s="51" t="s">
        <v>130</v>
      </c>
      <c r="B1109" s="2">
        <v>45487</v>
      </c>
      <c r="C1109" s="51" t="s">
        <v>3</v>
      </c>
      <c r="D1109" s="51" t="s">
        <v>3</v>
      </c>
      <c r="E1109" s="51" t="s">
        <v>34</v>
      </c>
      <c r="F1109">
        <v>89</v>
      </c>
      <c r="G1109" t="s">
        <v>56</v>
      </c>
      <c r="H1109" s="9">
        <f t="shared" si="72"/>
        <v>10</v>
      </c>
      <c r="I1109" cm="1">
        <f t="array" ref="I1109">IFERROR(INDEX(CourseYardages[[Hole 1]:[Hole 18]],
  MATCH(1, (CourseYardages[Course]=C1109)*(CourseYardages[Tees]=E1109), 0),
  MATCH(G1109, CourseYardages[[#Headers],[Hole 1]:[Hole 18]], 0)
),"")</f>
        <v>343</v>
      </c>
      <c r="J1109" cm="1">
        <f t="array" ref="J1109">IFERROR(INDEX(CourseHandicap[[Hole 1]:[Hole 18]],
  MATCH(1, (CourseHandicap[Course]=C1109)*(CourseHandicap[Tees]=E1109), 0),
  MATCH(G1109, CourseHandicap[[#Headers],[Hole 1]:[Hole 18]], 0)
),"")</f>
        <v>12</v>
      </c>
      <c r="K1109" cm="1">
        <f t="array" ref="K1109">IFERROR(INDEX(CourseRatings[[Hole 1]:[Hole 18]],
  MATCH(1, (CourseRatings[Course]=C1109)*(CourseRatings[Tees]=E1109), 0),
  MATCH(G1109, CourseRatings[[#Headers],[Hole 1]:[Hole 18]], 0)
),"")</f>
        <v>4</v>
      </c>
      <c r="L1109" cm="1">
        <f t="array" ref="L1109">IFERROR(
  INDEX('Golf Log'!$E$2:$V$72,
    MATCH(1,
      ('Golf Log'!$A$2:$A$72=$A1109)*
      ('Golf Log'!$B$2:$B$72=$B1109)*
      ('Golf Log'!$C$2:$C$72=$C1109),
    0),
    MATCH($G1109,'Golf Log'!$E$1:$V$1,0)
  ),
"")</f>
        <v>5</v>
      </c>
      <c r="M1109">
        <f t="shared" si="73"/>
        <v>1</v>
      </c>
      <c r="N1109" t="str">
        <f t="shared" si="74"/>
        <v>Bogey</v>
      </c>
      <c r="O1109" cm="1">
        <f t="array" ref="O1109">IFERROR(
  INDEX('Putt Log'!$E$2:$V$72,
    MATCH(1,
      ('Putt Log'!$A$2:$A$72=$A1109)*
      ('Putt Log'!$B$2:$B$72=$B1109)*
      ('Putt Log'!$C$2:$C$72=$C1109),
    0),
    MATCH($G1109,'Putt Log'!$E$1:$V$1,0)
  ),
"")</f>
        <v>2</v>
      </c>
      <c r="P1109" t="str" cm="1">
        <f t="array" ref="P1109">IF(K1109=3,"",
  IFERROR(
    INDEX('Fairway Log'!$E$2:$V$72,
      MATCH(1,
        ('Fairway Log'!$A$2:$A$72=$A1109)*
        ('Fairway Log'!$B$2:$B$72=$B1109)*
        ('Fairway Log'!$C$2:$C1180=$C1109),
      0),
      MATCH($G1109,'Fairway Log'!$E$1:$V$1,0)
    ),
  "")
)</f>
        <v>↓</v>
      </c>
      <c r="Q1109" t="str" cm="1">
        <f t="array" ref="Q1109">IFERROR(
  INDEX('GIR Log'!$E$2:$V$72,
    MATCH(1,
      ('GIR Log'!$A$2:$A$72=$A1109)*
      ('GIR Log'!$B$2:$B$72=$B1109)*
      ('GIR Log'!$C$2:$C$72=$C1109),
    0),
    MATCH($G1109,'GIR Log'!$E$1:$V$1,0)
  ),
"")</f>
        <v>NC</v>
      </c>
    </row>
    <row r="1110" spans="1:17" x14ac:dyDescent="0.25">
      <c r="A1110" s="51" t="s">
        <v>130</v>
      </c>
      <c r="B1110" s="2">
        <v>45487</v>
      </c>
      <c r="C1110" s="51" t="s">
        <v>3</v>
      </c>
      <c r="D1110" s="51" t="s">
        <v>3</v>
      </c>
      <c r="E1110" s="51" t="s">
        <v>34</v>
      </c>
      <c r="F1110">
        <v>89</v>
      </c>
      <c r="G1110" t="s">
        <v>57</v>
      </c>
      <c r="H1110" s="9">
        <f t="shared" si="72"/>
        <v>11</v>
      </c>
      <c r="I1110" cm="1">
        <f t="array" ref="I1110">IFERROR(INDEX(CourseYardages[[Hole 1]:[Hole 18]],
  MATCH(1, (CourseYardages[Course]=C1110)*(CourseYardages[Tees]=E1110), 0),
  MATCH(G1110, CourseYardages[[#Headers],[Hole 1]:[Hole 18]], 0)
),"")</f>
        <v>171</v>
      </c>
      <c r="J1110" cm="1">
        <f t="array" ref="J1110">IFERROR(INDEX(CourseHandicap[[Hole 1]:[Hole 18]],
  MATCH(1, (CourseHandicap[Course]=C1110)*(CourseHandicap[Tees]=E1110), 0),
  MATCH(G1110, CourseHandicap[[#Headers],[Hole 1]:[Hole 18]], 0)
),"")</f>
        <v>16</v>
      </c>
      <c r="K1110" cm="1">
        <f t="array" ref="K1110">IFERROR(INDEX(CourseRatings[[Hole 1]:[Hole 18]],
  MATCH(1, (CourseRatings[Course]=C1110)*(CourseRatings[Tees]=E1110), 0),
  MATCH(G1110, CourseRatings[[#Headers],[Hole 1]:[Hole 18]], 0)
),"")</f>
        <v>3</v>
      </c>
      <c r="L1110" cm="1">
        <f t="array" ref="L1110">IFERROR(
  INDEX('Golf Log'!$E$2:$V$72,
    MATCH(1,
      ('Golf Log'!$A$2:$A$72=$A1110)*
      ('Golf Log'!$B$2:$B$72=$B1110)*
      ('Golf Log'!$C$2:$C$72=$C1110),
    0),
    MATCH($G1110,'Golf Log'!$E$1:$V$1,0)
  ),
"")</f>
        <v>4</v>
      </c>
      <c r="M1110">
        <f t="shared" si="73"/>
        <v>1</v>
      </c>
      <c r="N1110" t="str">
        <f t="shared" si="74"/>
        <v>Bogey</v>
      </c>
      <c r="O1110" cm="1">
        <f t="array" ref="O1110">IFERROR(
  INDEX('Putt Log'!$E$2:$V$72,
    MATCH(1,
      ('Putt Log'!$A$2:$A$72=$A1110)*
      ('Putt Log'!$B$2:$B$72=$B1110)*
      ('Putt Log'!$C$2:$C$72=$C1110),
    0),
    MATCH($G1110,'Putt Log'!$E$1:$V$1,0)
  ),
"")</f>
        <v>2</v>
      </c>
      <c r="P1110" t="str" cm="1">
        <f t="array" ref="P1110">IF(K1110=3,"",
  IFERROR(
    INDEX('Fairway Log'!$E$2:$V$72,
      MATCH(1,
        ('Fairway Log'!$A$2:$A$72=$A1110)*
        ('Fairway Log'!$B$2:$B$72=$B1110)*
        ('Fairway Log'!$C$2:$C1181=$C1110),
      0),
      MATCH($G1110,'Fairway Log'!$E$1:$V$1,0)
    ),
  "")
)</f>
        <v/>
      </c>
      <c r="Q1110" t="str" cm="1">
        <f t="array" ref="Q1110">IFERROR(
  INDEX('GIR Log'!$E$2:$V$72,
    MATCH(1,
      ('GIR Log'!$A$2:$A$72=$A1110)*
      ('GIR Log'!$B$2:$B$72=$B1110)*
      ('GIR Log'!$C$2:$C$72=$C1110),
    0),
    MATCH($G1110,'GIR Log'!$E$1:$V$1,0)
  ),
"")</f>
        <v>↑</v>
      </c>
    </row>
    <row r="1111" spans="1:17" x14ac:dyDescent="0.25">
      <c r="A1111" s="51" t="s">
        <v>130</v>
      </c>
      <c r="B1111" s="2">
        <v>45487</v>
      </c>
      <c r="C1111" s="51" t="s">
        <v>3</v>
      </c>
      <c r="D1111" s="51" t="s">
        <v>3</v>
      </c>
      <c r="E1111" s="51" t="s">
        <v>34</v>
      </c>
      <c r="F1111">
        <v>89</v>
      </c>
      <c r="G1111" t="s">
        <v>58</v>
      </c>
      <c r="H1111" s="9">
        <f t="shared" si="72"/>
        <v>12</v>
      </c>
      <c r="I1111" cm="1">
        <f t="array" ref="I1111">IFERROR(INDEX(CourseYardages[[Hole 1]:[Hole 18]],
  MATCH(1, (CourseYardages[Course]=C1111)*(CourseYardages[Tees]=E1111), 0),
  MATCH(G1111, CourseYardages[[#Headers],[Hole 1]:[Hole 18]], 0)
),"")</f>
        <v>291</v>
      </c>
      <c r="J1111" cm="1">
        <f t="array" ref="J1111">IFERROR(INDEX(CourseHandicap[[Hole 1]:[Hole 18]],
  MATCH(1, (CourseHandicap[Course]=C1111)*(CourseHandicap[Tees]=E1111), 0),
  MATCH(G1111, CourseHandicap[[#Headers],[Hole 1]:[Hole 18]], 0)
),"")</f>
        <v>18</v>
      </c>
      <c r="K1111" cm="1">
        <f t="array" ref="K1111">IFERROR(INDEX(CourseRatings[[Hole 1]:[Hole 18]],
  MATCH(1, (CourseRatings[Course]=C1111)*(CourseRatings[Tees]=E1111), 0),
  MATCH(G1111, CourseRatings[[#Headers],[Hole 1]:[Hole 18]], 0)
),"")</f>
        <v>4</v>
      </c>
      <c r="L1111" cm="1">
        <f t="array" ref="L1111">IFERROR(
  INDEX('Golf Log'!$E$2:$V$72,
    MATCH(1,
      ('Golf Log'!$A$2:$A$72=$A1111)*
      ('Golf Log'!$B$2:$B$72=$B1111)*
      ('Golf Log'!$C$2:$C$72=$C1111),
    0),
    MATCH($G1111,'Golf Log'!$E$1:$V$1,0)
  ),
"")</f>
        <v>5</v>
      </c>
      <c r="M1111">
        <f t="shared" si="73"/>
        <v>1</v>
      </c>
      <c r="N1111" t="str">
        <f t="shared" si="74"/>
        <v>Bogey</v>
      </c>
      <c r="O1111" cm="1">
        <f t="array" ref="O1111">IFERROR(
  INDEX('Putt Log'!$E$2:$V$72,
    MATCH(1,
      ('Putt Log'!$A$2:$A$72=$A1111)*
      ('Putt Log'!$B$2:$B$72=$B1111)*
      ('Putt Log'!$C$2:$C$72=$C1111),
    0),
    MATCH($G1111,'Putt Log'!$E$1:$V$1,0)
  ),
"")</f>
        <v>2</v>
      </c>
      <c r="P1111" t="str" cm="1">
        <f t="array" ref="P1111">IF(K1111=3,"",
  IFERROR(
    INDEX('Fairway Log'!$E$2:$V$72,
      MATCH(1,
        ('Fairway Log'!$A$2:$A$72=$A1111)*
        ('Fairway Log'!$B$2:$B$72=$B1111)*
        ('Fairway Log'!$C$2:$C1182=$C1111),
      0),
      MATCH($G1111,'Fairway Log'!$E$1:$V$1,0)
    ),
  "")
)</f>
        <v>↑</v>
      </c>
      <c r="Q1111" t="str" cm="1">
        <f t="array" ref="Q1111">IFERROR(
  INDEX('GIR Log'!$E$2:$V$72,
    MATCH(1,
      ('GIR Log'!$A$2:$A$72=$A1111)*
      ('GIR Log'!$B$2:$B$72=$B1111)*
      ('GIR Log'!$C$2:$C$72=$C1111),
    0),
    MATCH($G1111,'GIR Log'!$E$1:$V$1,0)
  ),
"")</f>
        <v>↑</v>
      </c>
    </row>
    <row r="1112" spans="1:17" x14ac:dyDescent="0.25">
      <c r="A1112" s="51" t="s">
        <v>130</v>
      </c>
      <c r="B1112" s="2">
        <v>45487</v>
      </c>
      <c r="C1112" s="51" t="s">
        <v>3</v>
      </c>
      <c r="D1112" s="51" t="s">
        <v>3</v>
      </c>
      <c r="E1112" s="51" t="s">
        <v>34</v>
      </c>
      <c r="F1112">
        <v>89</v>
      </c>
      <c r="G1112" t="s">
        <v>59</v>
      </c>
      <c r="H1112" s="9">
        <f t="shared" si="72"/>
        <v>13</v>
      </c>
      <c r="I1112" cm="1">
        <f t="array" ref="I1112">IFERROR(INDEX(CourseYardages[[Hole 1]:[Hole 18]],
  MATCH(1, (CourseYardages[Course]=C1112)*(CourseYardages[Tees]=E1112), 0),
  MATCH(G1112, CourseYardages[[#Headers],[Hole 1]:[Hole 18]], 0)
),"")</f>
        <v>572</v>
      </c>
      <c r="J1112" cm="1">
        <f t="array" ref="J1112">IFERROR(INDEX(CourseHandicap[[Hole 1]:[Hole 18]],
  MATCH(1, (CourseHandicap[Course]=C1112)*(CourseHandicap[Tees]=E1112), 0),
  MATCH(G1112, CourseHandicap[[#Headers],[Hole 1]:[Hole 18]], 0)
),"")</f>
        <v>2</v>
      </c>
      <c r="K1112" cm="1">
        <f t="array" ref="K1112">IFERROR(INDEX(CourseRatings[[Hole 1]:[Hole 18]],
  MATCH(1, (CourseRatings[Course]=C1112)*(CourseRatings[Tees]=E1112), 0),
  MATCH(G1112, CourseRatings[[#Headers],[Hole 1]:[Hole 18]], 0)
),"")</f>
        <v>5</v>
      </c>
      <c r="L1112" cm="1">
        <f t="array" ref="L1112">IFERROR(
  INDEX('Golf Log'!$E$2:$V$72,
    MATCH(1,
      ('Golf Log'!$A$2:$A$72=$A1112)*
      ('Golf Log'!$B$2:$B$72=$B1112)*
      ('Golf Log'!$C$2:$C$72=$C1112),
    0),
    MATCH($G1112,'Golf Log'!$E$1:$V$1,0)
  ),
"")</f>
        <v>6</v>
      </c>
      <c r="M1112">
        <f t="shared" si="73"/>
        <v>1</v>
      </c>
      <c r="N1112" t="str">
        <f t="shared" si="74"/>
        <v>Bogey</v>
      </c>
      <c r="O1112" cm="1">
        <f t="array" ref="O1112">IFERROR(
  INDEX('Putt Log'!$E$2:$V$72,
    MATCH(1,
      ('Putt Log'!$A$2:$A$72=$A1112)*
      ('Putt Log'!$B$2:$B$72=$B1112)*
      ('Putt Log'!$C$2:$C$72=$C1112),
    0),
    MATCH($G1112,'Putt Log'!$E$1:$V$1,0)
  ),
"")</f>
        <v>2</v>
      </c>
      <c r="P1112" t="str" cm="1">
        <f t="array" ref="P1112">IF(K1112=3,"",
  IFERROR(
    INDEX('Fairway Log'!$E$2:$V$72,
      MATCH(1,
        ('Fairway Log'!$A$2:$A$72=$A1112)*
        ('Fairway Log'!$B$2:$B$72=$B1112)*
        ('Fairway Log'!$C$2:$C1183=$C1112),
      0),
      MATCH($G1112,'Fairway Log'!$E$1:$V$1,0)
    ),
  "")
)</f>
        <v>←</v>
      </c>
      <c r="Q1112" t="str" cm="1">
        <f t="array" ref="Q1112">IFERROR(
  INDEX('GIR Log'!$E$2:$V$72,
    MATCH(1,
      ('GIR Log'!$A$2:$A$72=$A1112)*
      ('GIR Log'!$B$2:$B$72=$B1112)*
      ('GIR Log'!$C$2:$C$72=$C1112),
    0),
    MATCH($G1112,'GIR Log'!$E$1:$V$1,0)
  ),
"")</f>
        <v>↑</v>
      </c>
    </row>
    <row r="1113" spans="1:17" x14ac:dyDescent="0.25">
      <c r="A1113" s="51" t="s">
        <v>130</v>
      </c>
      <c r="B1113" s="2">
        <v>45487</v>
      </c>
      <c r="C1113" s="51" t="s">
        <v>3</v>
      </c>
      <c r="D1113" s="51" t="s">
        <v>3</v>
      </c>
      <c r="E1113" s="51" t="s">
        <v>34</v>
      </c>
      <c r="F1113">
        <v>89</v>
      </c>
      <c r="G1113" t="s">
        <v>60</v>
      </c>
      <c r="H1113" s="9">
        <f t="shared" si="72"/>
        <v>14</v>
      </c>
      <c r="I1113" cm="1">
        <f t="array" ref="I1113">IFERROR(INDEX(CourseYardages[[Hole 1]:[Hole 18]],
  MATCH(1, (CourseYardages[Course]=C1113)*(CourseYardages[Tees]=E1113), 0),
  MATCH(G1113, CourseYardages[[#Headers],[Hole 1]:[Hole 18]], 0)
),"")</f>
        <v>366</v>
      </c>
      <c r="J1113" cm="1">
        <f t="array" ref="J1113">IFERROR(INDEX(CourseHandicap[[Hole 1]:[Hole 18]],
  MATCH(1, (CourseHandicap[Course]=C1113)*(CourseHandicap[Tees]=E1113), 0),
  MATCH(G1113, CourseHandicap[[#Headers],[Hole 1]:[Hole 18]], 0)
),"")</f>
        <v>14</v>
      </c>
      <c r="K1113" cm="1">
        <f t="array" ref="K1113">IFERROR(INDEX(CourseRatings[[Hole 1]:[Hole 18]],
  MATCH(1, (CourseRatings[Course]=C1113)*(CourseRatings[Tees]=E1113), 0),
  MATCH(G1113, CourseRatings[[#Headers],[Hole 1]:[Hole 18]], 0)
),"")</f>
        <v>4</v>
      </c>
      <c r="L1113" cm="1">
        <f t="array" ref="L1113">IFERROR(
  INDEX('Golf Log'!$E$2:$V$72,
    MATCH(1,
      ('Golf Log'!$A$2:$A$72=$A1113)*
      ('Golf Log'!$B$2:$B$72=$B1113)*
      ('Golf Log'!$C$2:$C$72=$C1113),
    0),
    MATCH($G1113,'Golf Log'!$E$1:$V$1,0)
  ),
"")</f>
        <v>5</v>
      </c>
      <c r="M1113">
        <f t="shared" si="73"/>
        <v>1</v>
      </c>
      <c r="N1113" t="str">
        <f t="shared" si="74"/>
        <v>Bogey</v>
      </c>
      <c r="O1113" cm="1">
        <f t="array" ref="O1113">IFERROR(
  INDEX('Putt Log'!$E$2:$V$72,
    MATCH(1,
      ('Putt Log'!$A$2:$A$72=$A1113)*
      ('Putt Log'!$B$2:$B$72=$B1113)*
      ('Putt Log'!$C$2:$C$72=$C1113),
    0),
    MATCH($G1113,'Putt Log'!$E$1:$V$1,0)
  ),
"")</f>
        <v>1</v>
      </c>
      <c r="P1113" t="str" cm="1">
        <f t="array" ref="P1113">IF(K1113=3,"",
  IFERROR(
    INDEX('Fairway Log'!$E$2:$V$72,
      MATCH(1,
        ('Fairway Log'!$A$2:$A$72=$A1113)*
        ('Fairway Log'!$B$2:$B$72=$B1113)*
        ('Fairway Log'!$C$2:$C1184=$C1113),
      0),
      MATCH($G1113,'Fairway Log'!$E$1:$V$1,0)
    ),
  "")
)</f>
        <v>←</v>
      </c>
      <c r="Q1113" t="str" cm="1">
        <f t="array" ref="Q1113">IFERROR(
  INDEX('GIR Log'!$E$2:$V$72,
    MATCH(1,
      ('GIR Log'!$A$2:$A$72=$A1113)*
      ('GIR Log'!$B$2:$B$72=$B1113)*
      ('GIR Log'!$C$2:$C$72=$C1113),
    0),
    MATCH($G1113,'GIR Log'!$E$1:$V$1,0)
  ),
"")</f>
        <v>↑</v>
      </c>
    </row>
    <row r="1114" spans="1:17" x14ac:dyDescent="0.25">
      <c r="A1114" s="51" t="s">
        <v>130</v>
      </c>
      <c r="B1114" s="2">
        <v>45487</v>
      </c>
      <c r="C1114" s="51" t="s">
        <v>3</v>
      </c>
      <c r="D1114" s="51" t="s">
        <v>3</v>
      </c>
      <c r="E1114" s="51" t="s">
        <v>34</v>
      </c>
      <c r="F1114">
        <v>89</v>
      </c>
      <c r="G1114" t="s">
        <v>61</v>
      </c>
      <c r="H1114" s="9">
        <f t="shared" si="72"/>
        <v>15</v>
      </c>
      <c r="I1114" cm="1">
        <f t="array" ref="I1114">IFERROR(INDEX(CourseYardages[[Hole 1]:[Hole 18]],
  MATCH(1, (CourseYardages[Course]=C1114)*(CourseYardages[Tees]=E1114), 0),
  MATCH(G1114, CourseYardages[[#Headers],[Hole 1]:[Hole 18]], 0)
),"")</f>
        <v>207</v>
      </c>
      <c r="J1114" cm="1">
        <f t="array" ref="J1114">IFERROR(INDEX(CourseHandicap[[Hole 1]:[Hole 18]],
  MATCH(1, (CourseHandicap[Course]=C1114)*(CourseHandicap[Tees]=E1114), 0),
  MATCH(G1114, CourseHandicap[[#Headers],[Hole 1]:[Hole 18]], 0)
),"")</f>
        <v>8</v>
      </c>
      <c r="K1114" cm="1">
        <f t="array" ref="K1114">IFERROR(INDEX(CourseRatings[[Hole 1]:[Hole 18]],
  MATCH(1, (CourseRatings[Course]=C1114)*(CourseRatings[Tees]=E1114), 0),
  MATCH(G1114, CourseRatings[[#Headers],[Hole 1]:[Hole 18]], 0)
),"")</f>
        <v>3</v>
      </c>
      <c r="L1114" cm="1">
        <f t="array" ref="L1114">IFERROR(
  INDEX('Golf Log'!$E$2:$V$72,
    MATCH(1,
      ('Golf Log'!$A$2:$A$72=$A1114)*
      ('Golf Log'!$B$2:$B$72=$B1114)*
      ('Golf Log'!$C$2:$C$72=$C1114),
    0),
    MATCH($G1114,'Golf Log'!$E$1:$V$1,0)
  ),
"")</f>
        <v>3</v>
      </c>
      <c r="M1114">
        <f t="shared" si="73"/>
        <v>0</v>
      </c>
      <c r="N1114" t="str">
        <f t="shared" si="74"/>
        <v>Par</v>
      </c>
      <c r="O1114" cm="1">
        <f t="array" ref="O1114">IFERROR(
  INDEX('Putt Log'!$E$2:$V$72,
    MATCH(1,
      ('Putt Log'!$A$2:$A$72=$A1114)*
      ('Putt Log'!$B$2:$B$72=$B1114)*
      ('Putt Log'!$C$2:$C$72=$C1114),
    0),
    MATCH($G1114,'Putt Log'!$E$1:$V$1,0)
  ),
"")</f>
        <v>1</v>
      </c>
      <c r="P1114" t="str" cm="1">
        <f t="array" ref="P1114">IF(K1114=3,"",
  IFERROR(
    INDEX('Fairway Log'!$E$2:$V$72,
      MATCH(1,
        ('Fairway Log'!$A$2:$A$72=$A1114)*
        ('Fairway Log'!$B$2:$B$72=$B1114)*
        ('Fairway Log'!$C$2:$C1185=$C1114),
      0),
      MATCH($G1114,'Fairway Log'!$E$1:$V$1,0)
    ),
  "")
)</f>
        <v/>
      </c>
      <c r="Q1114" t="str" cm="1">
        <f t="array" ref="Q1114">IFERROR(
  INDEX('GIR Log'!$E$2:$V$72,
    MATCH(1,
      ('GIR Log'!$A$2:$A$72=$A1114)*
      ('GIR Log'!$B$2:$B$72=$B1114)*
      ('GIR Log'!$C$2:$C$72=$C1114),
    0),
    MATCH($G1114,'GIR Log'!$E$1:$V$1,0)
  ),
"")</f>
        <v>←</v>
      </c>
    </row>
    <row r="1115" spans="1:17" x14ac:dyDescent="0.25">
      <c r="A1115" s="51" t="s">
        <v>130</v>
      </c>
      <c r="B1115" s="2">
        <v>45487</v>
      </c>
      <c r="C1115" s="51" t="s">
        <v>3</v>
      </c>
      <c r="D1115" s="51" t="s">
        <v>3</v>
      </c>
      <c r="E1115" s="51" t="s">
        <v>34</v>
      </c>
      <c r="F1115">
        <v>89</v>
      </c>
      <c r="G1115" t="s">
        <v>62</v>
      </c>
      <c r="H1115" s="9">
        <f t="shared" si="72"/>
        <v>16</v>
      </c>
      <c r="I1115" cm="1">
        <f t="array" ref="I1115">IFERROR(INDEX(CourseYardages[[Hole 1]:[Hole 18]],
  MATCH(1, (CourseYardages[Course]=C1115)*(CourseYardages[Tees]=E1115), 0),
  MATCH(G1115, CourseYardages[[#Headers],[Hole 1]:[Hole 18]], 0)
),"")</f>
        <v>358</v>
      </c>
      <c r="J1115" cm="1">
        <f t="array" ref="J1115">IFERROR(INDEX(CourseHandicap[[Hole 1]:[Hole 18]],
  MATCH(1, (CourseHandicap[Course]=C1115)*(CourseHandicap[Tees]=E1115), 0),
  MATCH(G1115, CourseHandicap[[#Headers],[Hole 1]:[Hole 18]], 0)
),"")</f>
        <v>10</v>
      </c>
      <c r="K1115" cm="1">
        <f t="array" ref="K1115">IFERROR(INDEX(CourseRatings[[Hole 1]:[Hole 18]],
  MATCH(1, (CourseRatings[Course]=C1115)*(CourseRatings[Tees]=E1115), 0),
  MATCH(G1115, CourseRatings[[#Headers],[Hole 1]:[Hole 18]], 0)
),"")</f>
        <v>4</v>
      </c>
      <c r="L1115" cm="1">
        <f t="array" ref="L1115">IFERROR(
  INDEX('Golf Log'!$E$2:$V$72,
    MATCH(1,
      ('Golf Log'!$A$2:$A$72=$A1115)*
      ('Golf Log'!$B$2:$B$72=$B1115)*
      ('Golf Log'!$C$2:$C$72=$C1115),
    0),
    MATCH($G1115,'Golf Log'!$E$1:$V$1,0)
  ),
"")</f>
        <v>5</v>
      </c>
      <c r="M1115">
        <f t="shared" si="73"/>
        <v>1</v>
      </c>
      <c r="N1115" t="str">
        <f t="shared" si="74"/>
        <v>Bogey</v>
      </c>
      <c r="O1115" cm="1">
        <f t="array" ref="O1115">IFERROR(
  INDEX('Putt Log'!$E$2:$V$72,
    MATCH(1,
      ('Putt Log'!$A$2:$A$72=$A1115)*
      ('Putt Log'!$B$2:$B$72=$B1115)*
      ('Putt Log'!$C$2:$C$72=$C1115),
    0),
    MATCH($G1115,'Putt Log'!$E$1:$V$1,0)
  ),
"")</f>
        <v>2</v>
      </c>
      <c r="P1115" t="str" cm="1">
        <f t="array" ref="P1115">IF(K1115=3,"",
  IFERROR(
    INDEX('Fairway Log'!$E$2:$V$72,
      MATCH(1,
        ('Fairway Log'!$A$2:$A$72=$A1115)*
        ('Fairway Log'!$B$2:$B$72=$B1115)*
        ('Fairway Log'!$C$2:$C1186=$C1115),
      0),
      MATCH($G1115,'Fairway Log'!$E$1:$V$1,0)
    ),
  "")
)</f>
        <v>↓</v>
      </c>
      <c r="Q1115" t="str" cm="1">
        <f t="array" ref="Q1115">IFERROR(
  INDEX('GIR Log'!$E$2:$V$72,
    MATCH(1,
      ('GIR Log'!$A$2:$A$72=$A1115)*
      ('GIR Log'!$B$2:$B$72=$B1115)*
      ('GIR Log'!$C$2:$C$72=$C1115),
    0),
    MATCH($G1115,'GIR Log'!$E$1:$V$1,0)
  ),
"")</f>
        <v>↓</v>
      </c>
    </row>
    <row r="1116" spans="1:17" x14ac:dyDescent="0.25">
      <c r="A1116" s="51" t="s">
        <v>130</v>
      </c>
      <c r="B1116" s="2">
        <v>45487</v>
      </c>
      <c r="C1116" s="51" t="s">
        <v>3</v>
      </c>
      <c r="D1116" s="51" t="s">
        <v>3</v>
      </c>
      <c r="E1116" s="51" t="s">
        <v>34</v>
      </c>
      <c r="F1116">
        <v>89</v>
      </c>
      <c r="G1116" t="s">
        <v>63</v>
      </c>
      <c r="H1116" s="9">
        <f t="shared" si="72"/>
        <v>17</v>
      </c>
      <c r="I1116" cm="1">
        <f t="array" ref="I1116">IFERROR(INDEX(CourseYardages[[Hole 1]:[Hole 18]],
  MATCH(1, (CourseYardages[Course]=C1116)*(CourseYardages[Tees]=E1116), 0),
  MATCH(G1116, CourseYardages[[#Headers],[Hole 1]:[Hole 18]], 0)
),"")</f>
        <v>418</v>
      </c>
      <c r="J1116" cm="1">
        <f t="array" ref="J1116">IFERROR(INDEX(CourseHandicap[[Hole 1]:[Hole 18]],
  MATCH(1, (CourseHandicap[Course]=C1116)*(CourseHandicap[Tees]=E1116), 0),
  MATCH(G1116, CourseHandicap[[#Headers],[Hole 1]:[Hole 18]], 0)
),"")</f>
        <v>4</v>
      </c>
      <c r="K1116" cm="1">
        <f t="array" ref="K1116">IFERROR(INDEX(CourseRatings[[Hole 1]:[Hole 18]],
  MATCH(1, (CourseRatings[Course]=C1116)*(CourseRatings[Tees]=E1116), 0),
  MATCH(G1116, CourseRatings[[#Headers],[Hole 1]:[Hole 18]], 0)
),"")</f>
        <v>4</v>
      </c>
      <c r="L1116" cm="1">
        <f t="array" ref="L1116">IFERROR(
  INDEX('Golf Log'!$E$2:$V$72,
    MATCH(1,
      ('Golf Log'!$A$2:$A$72=$A1116)*
      ('Golf Log'!$B$2:$B$72=$B1116)*
      ('Golf Log'!$C$2:$C$72=$C1116),
    0),
    MATCH($G1116,'Golf Log'!$E$1:$V$1,0)
  ),
"")</f>
        <v>5</v>
      </c>
      <c r="M1116">
        <f t="shared" si="73"/>
        <v>1</v>
      </c>
      <c r="N1116" t="str">
        <f t="shared" si="74"/>
        <v>Bogey</v>
      </c>
      <c r="O1116" cm="1">
        <f t="array" ref="O1116">IFERROR(
  INDEX('Putt Log'!$E$2:$V$72,
    MATCH(1,
      ('Putt Log'!$A$2:$A$72=$A1116)*
      ('Putt Log'!$B$2:$B$72=$B1116)*
      ('Putt Log'!$C$2:$C$72=$C1116),
    0),
    MATCH($G1116,'Putt Log'!$E$1:$V$1,0)
  ),
"")</f>
        <v>2</v>
      </c>
      <c r="P1116" cm="1">
        <f t="array" ref="P1116">IF(K1116=3,"",
  IFERROR(
    INDEX('Fairway Log'!$E$2:$V$72,
      MATCH(1,
        ('Fairway Log'!$A$2:$A$72=$A1116)*
        ('Fairway Log'!$B$2:$B$72=$B1116)*
        ('Fairway Log'!$C$2:$C1187=$C1116),
      0),
      MATCH($G1116,'Fairway Log'!$E$1:$V$1,0)
    ),
  "")
)</f>
        <v>1</v>
      </c>
      <c r="Q1116" t="str" cm="1">
        <f t="array" ref="Q1116">IFERROR(
  INDEX('GIR Log'!$E$2:$V$72,
    MATCH(1,
      ('GIR Log'!$A$2:$A$72=$A1116)*
      ('GIR Log'!$B$2:$B$72=$B1116)*
      ('GIR Log'!$C$2:$C$72=$C1116),
    0),
    MATCH($G1116,'GIR Log'!$E$1:$V$1,0)
  ),
"")</f>
        <v>→</v>
      </c>
    </row>
    <row r="1117" spans="1:17" x14ac:dyDescent="0.25">
      <c r="A1117" s="51" t="s">
        <v>130</v>
      </c>
      <c r="B1117" s="2">
        <v>45487</v>
      </c>
      <c r="C1117" s="51" t="s">
        <v>3</v>
      </c>
      <c r="D1117" s="51" t="s">
        <v>3</v>
      </c>
      <c r="E1117" s="51" t="s">
        <v>34</v>
      </c>
      <c r="F1117">
        <v>89</v>
      </c>
      <c r="G1117" t="s">
        <v>64</v>
      </c>
      <c r="H1117" s="9">
        <f t="shared" si="72"/>
        <v>18</v>
      </c>
      <c r="I1117" cm="1">
        <f t="array" ref="I1117">IFERROR(INDEX(CourseYardages[[Hole 1]:[Hole 18]],
  MATCH(1, (CourseYardages[Course]=C1117)*(CourseYardages[Tees]=E1117), 0),
  MATCH(G1117, CourseYardages[[#Headers],[Hole 1]:[Hole 18]], 0)
),"")</f>
        <v>398</v>
      </c>
      <c r="J1117" cm="1">
        <f t="array" ref="J1117">IFERROR(INDEX(CourseHandicap[[Hole 1]:[Hole 18]],
  MATCH(1, (CourseHandicap[Course]=C1117)*(CourseHandicap[Tees]=E1117), 0),
  MATCH(G1117, CourseHandicap[[#Headers],[Hole 1]:[Hole 18]], 0)
),"")</f>
        <v>6</v>
      </c>
      <c r="K1117" cm="1">
        <f t="array" ref="K1117">IFERROR(INDEX(CourseRatings[[Hole 1]:[Hole 18]],
  MATCH(1, (CourseRatings[Course]=C1117)*(CourseRatings[Tees]=E1117), 0),
  MATCH(G1117, CourseRatings[[#Headers],[Hole 1]:[Hole 18]], 0)
),"")</f>
        <v>4</v>
      </c>
      <c r="L1117" cm="1">
        <f t="array" ref="L1117">IFERROR(
  INDEX('Golf Log'!$E$2:$V$72,
    MATCH(1,
      ('Golf Log'!$A$2:$A$72=$A1117)*
      ('Golf Log'!$B$2:$B$72=$B1117)*
      ('Golf Log'!$C$2:$C$72=$C1117),
    0),
    MATCH($G1117,'Golf Log'!$E$1:$V$1,0)
  ),
"")</f>
        <v>5</v>
      </c>
      <c r="M1117">
        <f t="shared" si="73"/>
        <v>1</v>
      </c>
      <c r="N1117" t="str">
        <f t="shared" si="74"/>
        <v>Bogey</v>
      </c>
      <c r="O1117" cm="1">
        <f t="array" ref="O1117">IFERROR(
  INDEX('Putt Log'!$E$2:$V$72,
    MATCH(1,
      ('Putt Log'!$A$2:$A$72=$A1117)*
      ('Putt Log'!$B$2:$B$72=$B1117)*
      ('Putt Log'!$C$2:$C$72=$C1117),
    0),
    MATCH($G1117,'Putt Log'!$E$1:$V$1,0)
  ),
"")</f>
        <v>2</v>
      </c>
      <c r="P1117" t="str" cm="1">
        <f t="array" ref="P1117">IF(K1117=3,"",
  IFERROR(
    INDEX('Fairway Log'!$E$2:$V$72,
      MATCH(1,
        ('Fairway Log'!$A$2:$A$72=$A1117)*
        ('Fairway Log'!$B$2:$B$72=$B1117)*
        ('Fairway Log'!$C$2:$C1188=$C1117),
      0),
      MATCH($G1117,'Fairway Log'!$E$1:$V$1,0)
    ),
  "")
)</f>
        <v>←</v>
      </c>
      <c r="Q1117" t="str" cm="1">
        <f t="array" ref="Q1117">IFERROR(
  INDEX('GIR Log'!$E$2:$V$72,
    MATCH(1,
      ('GIR Log'!$A$2:$A$72=$A1117)*
      ('GIR Log'!$B$2:$B$72=$B1117)*
      ('GIR Log'!$C$2:$C$72=$C1117),
    0),
    MATCH($G1117,'GIR Log'!$E$1:$V$1,0)
  ),
"")</f>
        <v>↑</v>
      </c>
    </row>
    <row r="1118" spans="1:17" x14ac:dyDescent="0.25">
      <c r="A1118" s="51" t="s">
        <v>130</v>
      </c>
      <c r="B1118" s="2">
        <v>45172</v>
      </c>
      <c r="C1118" s="51" t="s">
        <v>3</v>
      </c>
      <c r="D1118" s="51" t="s">
        <v>3</v>
      </c>
      <c r="E1118" s="51" t="s">
        <v>34</v>
      </c>
      <c r="F1118">
        <v>82</v>
      </c>
      <c r="G1118" s="12" t="s">
        <v>47</v>
      </c>
      <c r="H1118" s="9">
        <f t="shared" si="72"/>
        <v>1</v>
      </c>
      <c r="I1118" cm="1">
        <f t="array" ref="I1118">IFERROR(INDEX(CourseYardages[[Hole 1]:[Hole 18]],
  MATCH(1, (CourseYardages[Course]=C1118)*(CourseYardages[Tees]=E1118), 0),
  MATCH(G1118, CourseYardages[[#Headers],[Hole 1]:[Hole 18]], 0)
),"")</f>
        <v>354</v>
      </c>
      <c r="J1118" cm="1">
        <f t="array" ref="J1118">IFERROR(INDEX(CourseHandicap[[Hole 1]:[Hole 18]],
  MATCH(1, (CourseHandicap[Course]=C1118)*(CourseHandicap[Tees]=E1118), 0),
  MATCH(G1118, CourseHandicap[[#Headers],[Hole 1]:[Hole 18]], 0)
),"")</f>
        <v>15</v>
      </c>
      <c r="K1118" cm="1">
        <f t="array" ref="K1118">IFERROR(INDEX(CourseRatings[[Hole 1]:[Hole 18]],
  MATCH(1, (CourseRatings[Course]=C1118)*(CourseRatings[Tees]=E1118), 0),
  MATCH(G1118, CourseRatings[[#Headers],[Hole 1]:[Hole 18]], 0)
),"")</f>
        <v>4</v>
      </c>
      <c r="L1118" cm="1">
        <f t="array" ref="L1118">IFERROR(
  INDEX('Golf Log'!$E$2:$V$72,
    MATCH(1,
      ('Golf Log'!$A$2:$A$72=$A1118)*
      ('Golf Log'!$B$2:$B$72=$B1118)*
      ('Golf Log'!$C$2:$C$72=$C1118),
    0),
    MATCH($G1118,'Golf Log'!$E$1:$V$1,0)
  ),
"")</f>
        <v>4</v>
      </c>
      <c r="M1118">
        <f t="shared" si="73"/>
        <v>0</v>
      </c>
      <c r="N1118" t="str">
        <f t="shared" si="74"/>
        <v>Par</v>
      </c>
      <c r="O1118" cm="1">
        <f t="array" ref="O1118">IFERROR(
  INDEX('Putt Log'!$E$2:$V$72,
    MATCH(1,
      ('Putt Log'!$A$2:$A$72=$A1118)*
      ('Putt Log'!$B$2:$B$72=$B1118)*
      ('Putt Log'!$C$2:$C$72=$C1118),
    0),
    MATCH($G1118,'Putt Log'!$E$1:$V$1,0)
  ),
"")</f>
        <v>2</v>
      </c>
      <c r="P1118" t="str" cm="1">
        <f t="array" ref="P1118">IF(K1118=3,"",
  IFERROR(
    INDEX('Fairway Log'!$E$2:$V$72,
      MATCH(1,
        ('Fairway Log'!$A$2:$A$72=$A1118)*
        ('Fairway Log'!$B$2:$B$72=$B1118)*
        ('Fairway Log'!$C$2:$C1189=$C1118),
      0),
      MATCH($G1118,'Fairway Log'!$E$1:$V$1,0)
    ),
  "")
)</f>
        <v>→</v>
      </c>
      <c r="Q1118" cm="1">
        <f t="array" ref="Q1118">IFERROR(
  INDEX('GIR Log'!$E$2:$V$72,
    MATCH(1,
      ('GIR Log'!$A$2:$A$72=$A1118)*
      ('GIR Log'!$B$2:$B$72=$B1118)*
      ('GIR Log'!$C$2:$C$72=$C1118),
    0),
    MATCH($G1118,'GIR Log'!$E$1:$V$1,0)
  ),
"")</f>
        <v>1</v>
      </c>
    </row>
    <row r="1119" spans="1:17" x14ac:dyDescent="0.25">
      <c r="A1119" s="51" t="s">
        <v>130</v>
      </c>
      <c r="B1119" s="2">
        <v>45172</v>
      </c>
      <c r="C1119" s="51" t="s">
        <v>3</v>
      </c>
      <c r="D1119" s="51" t="s">
        <v>3</v>
      </c>
      <c r="E1119" s="51" t="s">
        <v>34</v>
      </c>
      <c r="F1119">
        <v>82</v>
      </c>
      <c r="G1119" s="12" t="s">
        <v>48</v>
      </c>
      <c r="H1119" s="9">
        <f t="shared" si="72"/>
        <v>2</v>
      </c>
      <c r="I1119" cm="1">
        <f t="array" ref="I1119">IFERROR(INDEX(CourseYardages[[Hole 1]:[Hole 18]],
  MATCH(1, (CourseYardages[Course]=C1119)*(CourseYardages[Tees]=E1119), 0),
  MATCH(G1119, CourseYardages[[#Headers],[Hole 1]:[Hole 18]], 0)
),"")</f>
        <v>380</v>
      </c>
      <c r="J1119" cm="1">
        <f t="array" ref="J1119">IFERROR(INDEX(CourseHandicap[[Hole 1]:[Hole 18]],
  MATCH(1, (CourseHandicap[Course]=C1119)*(CourseHandicap[Tees]=E1119), 0),
  MATCH(G1119, CourseHandicap[[#Headers],[Hole 1]:[Hole 18]], 0)
),"")</f>
        <v>3</v>
      </c>
      <c r="K1119" cm="1">
        <f t="array" ref="K1119">IFERROR(INDEX(CourseRatings[[Hole 1]:[Hole 18]],
  MATCH(1, (CourseRatings[Course]=C1119)*(CourseRatings[Tees]=E1119), 0),
  MATCH(G1119, CourseRatings[[#Headers],[Hole 1]:[Hole 18]], 0)
),"")</f>
        <v>4</v>
      </c>
      <c r="L1119" cm="1">
        <f t="array" ref="L1119">IFERROR(
  INDEX('Golf Log'!$E$2:$V$72,
    MATCH(1,
      ('Golf Log'!$A$2:$A$72=$A1119)*
      ('Golf Log'!$B$2:$B$72=$B1119)*
      ('Golf Log'!$C$2:$C$72=$C1119),
    0),
    MATCH($G1119,'Golf Log'!$E$1:$V$1,0)
  ),
"")</f>
        <v>4</v>
      </c>
      <c r="M1119">
        <f t="shared" si="73"/>
        <v>0</v>
      </c>
      <c r="N1119" t="str">
        <f t="shared" si="74"/>
        <v>Par</v>
      </c>
      <c r="O1119" cm="1">
        <f t="array" ref="O1119">IFERROR(
  INDEX('Putt Log'!$E$2:$V$72,
    MATCH(1,
      ('Putt Log'!$A$2:$A$72=$A1119)*
      ('Putt Log'!$B$2:$B$72=$B1119)*
      ('Putt Log'!$C$2:$C$72=$C1119),
    0),
    MATCH($G1119,'Putt Log'!$E$1:$V$1,0)
  ),
"")</f>
        <v>1</v>
      </c>
      <c r="P1119" t="str" cm="1">
        <f t="array" ref="P1119">IF(K1119=3,"",
  IFERROR(
    INDEX('Fairway Log'!$E$2:$V$72,
      MATCH(1,
        ('Fairway Log'!$A$2:$A$72=$A1119)*
        ('Fairway Log'!$B$2:$B$72=$B1119)*
        ('Fairway Log'!$C$2:$C1190=$C1119),
      0),
      MATCH($G1119,'Fairway Log'!$E$1:$V$1,0)
    ),
  "")
)</f>
        <v>←</v>
      </c>
      <c r="Q1119" cm="1">
        <f t="array" ref="Q1119">IFERROR(
  INDEX('GIR Log'!$E$2:$V$72,
    MATCH(1,
      ('GIR Log'!$A$2:$A$72=$A1119)*
      ('GIR Log'!$B$2:$B$72=$B1119)*
      ('GIR Log'!$C$2:$C$72=$C1119),
    0),
    MATCH($G1119,'GIR Log'!$E$1:$V$1,0)
  ),
"")</f>
        <v>0</v>
      </c>
    </row>
    <row r="1120" spans="1:17" x14ac:dyDescent="0.25">
      <c r="A1120" s="51" t="s">
        <v>130</v>
      </c>
      <c r="B1120" s="2">
        <v>45172</v>
      </c>
      <c r="C1120" s="51" t="s">
        <v>3</v>
      </c>
      <c r="D1120" s="51" t="s">
        <v>3</v>
      </c>
      <c r="E1120" s="51" t="s">
        <v>34</v>
      </c>
      <c r="F1120">
        <v>82</v>
      </c>
      <c r="G1120" s="12" t="s">
        <v>49</v>
      </c>
      <c r="H1120" s="9">
        <f t="shared" si="72"/>
        <v>3</v>
      </c>
      <c r="I1120" cm="1">
        <f t="array" ref="I1120">IFERROR(INDEX(CourseYardages[[Hole 1]:[Hole 18]],
  MATCH(1, (CourseYardages[Course]=C1120)*(CourseYardages[Tees]=E1120), 0),
  MATCH(G1120, CourseYardages[[#Headers],[Hole 1]:[Hole 18]], 0)
),"")</f>
        <v>153</v>
      </c>
      <c r="J1120" cm="1">
        <f t="array" ref="J1120">IFERROR(INDEX(CourseHandicap[[Hole 1]:[Hole 18]],
  MATCH(1, (CourseHandicap[Course]=C1120)*(CourseHandicap[Tees]=E1120), 0),
  MATCH(G1120, CourseHandicap[[#Headers],[Hole 1]:[Hole 18]], 0)
),"")</f>
        <v>17</v>
      </c>
      <c r="K1120" cm="1">
        <f t="array" ref="K1120">IFERROR(INDEX(CourseRatings[[Hole 1]:[Hole 18]],
  MATCH(1, (CourseRatings[Course]=C1120)*(CourseRatings[Tees]=E1120), 0),
  MATCH(G1120, CourseRatings[[#Headers],[Hole 1]:[Hole 18]], 0)
),"")</f>
        <v>3</v>
      </c>
      <c r="L1120" cm="1">
        <f t="array" ref="L1120">IFERROR(
  INDEX('Golf Log'!$E$2:$V$72,
    MATCH(1,
      ('Golf Log'!$A$2:$A$72=$A1120)*
      ('Golf Log'!$B$2:$B$72=$B1120)*
      ('Golf Log'!$C$2:$C$72=$C1120),
    0),
    MATCH($G1120,'Golf Log'!$E$1:$V$1,0)
  ),
"")</f>
        <v>5</v>
      </c>
      <c r="M1120">
        <f t="shared" si="73"/>
        <v>2</v>
      </c>
      <c r="N1120" t="str">
        <f t="shared" si="74"/>
        <v>Double Bogey</v>
      </c>
      <c r="O1120" cm="1">
        <f t="array" ref="O1120">IFERROR(
  INDEX('Putt Log'!$E$2:$V$72,
    MATCH(1,
      ('Putt Log'!$A$2:$A$72=$A1120)*
      ('Putt Log'!$B$2:$B$72=$B1120)*
      ('Putt Log'!$C$2:$C$72=$C1120),
    0),
    MATCH($G1120,'Putt Log'!$E$1:$V$1,0)
  ),
"")</f>
        <v>3</v>
      </c>
      <c r="P1120" t="str" cm="1">
        <f t="array" ref="P1120">IF(K1120=3,"",
  IFERROR(
    INDEX('Fairway Log'!$E$2:$V$72,
      MATCH(1,
        ('Fairway Log'!$A$2:$A$72=$A1120)*
        ('Fairway Log'!$B$2:$B$72=$B1120)*
        ('Fairway Log'!$C$2:$C1191=$C1120),
      0),
      MATCH($G1120,'Fairway Log'!$E$1:$V$1,0)
    ),
  "")
)</f>
        <v/>
      </c>
      <c r="Q1120" cm="1">
        <f t="array" ref="Q1120">IFERROR(
  INDEX('GIR Log'!$E$2:$V$72,
    MATCH(1,
      ('GIR Log'!$A$2:$A$72=$A1120)*
      ('GIR Log'!$B$2:$B$72=$B1120)*
      ('GIR Log'!$C$2:$C$72=$C1120),
    0),
    MATCH($G1120,'GIR Log'!$E$1:$V$1,0)
  ),
"")</f>
        <v>0</v>
      </c>
    </row>
    <row r="1121" spans="1:17" x14ac:dyDescent="0.25">
      <c r="A1121" s="51" t="s">
        <v>130</v>
      </c>
      <c r="B1121" s="2">
        <v>45172</v>
      </c>
      <c r="C1121" s="51" t="s">
        <v>3</v>
      </c>
      <c r="D1121" s="51" t="s">
        <v>3</v>
      </c>
      <c r="E1121" s="51" t="s">
        <v>34</v>
      </c>
      <c r="F1121">
        <v>82</v>
      </c>
      <c r="G1121" s="12" t="s">
        <v>50</v>
      </c>
      <c r="H1121" s="9">
        <f t="shared" si="72"/>
        <v>4</v>
      </c>
      <c r="I1121" cm="1">
        <f t="array" ref="I1121">IFERROR(INDEX(CourseYardages[[Hole 1]:[Hole 18]],
  MATCH(1, (CourseYardages[Course]=C1121)*(CourseYardages[Tees]=E1121), 0),
  MATCH(G1121, CourseYardages[[#Headers],[Hole 1]:[Hole 18]], 0)
),"")</f>
        <v>363</v>
      </c>
      <c r="J1121" cm="1">
        <f t="array" ref="J1121">IFERROR(INDEX(CourseHandicap[[Hole 1]:[Hole 18]],
  MATCH(1, (CourseHandicap[Course]=C1121)*(CourseHandicap[Tees]=E1121), 0),
  MATCH(G1121, CourseHandicap[[#Headers],[Hole 1]:[Hole 18]], 0)
),"")</f>
        <v>11</v>
      </c>
      <c r="K1121" cm="1">
        <f t="array" ref="K1121">IFERROR(INDEX(CourseRatings[[Hole 1]:[Hole 18]],
  MATCH(1, (CourseRatings[Course]=C1121)*(CourseRatings[Tees]=E1121), 0),
  MATCH(G1121, CourseRatings[[#Headers],[Hole 1]:[Hole 18]], 0)
),"")</f>
        <v>4</v>
      </c>
      <c r="L1121" cm="1">
        <f t="array" ref="L1121">IFERROR(
  INDEX('Golf Log'!$E$2:$V$72,
    MATCH(1,
      ('Golf Log'!$A$2:$A$72=$A1121)*
      ('Golf Log'!$B$2:$B$72=$B1121)*
      ('Golf Log'!$C$2:$C$72=$C1121),
    0),
    MATCH($G1121,'Golf Log'!$E$1:$V$1,0)
  ),
"")</f>
        <v>5</v>
      </c>
      <c r="M1121">
        <f t="shared" si="73"/>
        <v>1</v>
      </c>
      <c r="N1121" t="str">
        <f t="shared" si="74"/>
        <v>Bogey</v>
      </c>
      <c r="O1121" cm="1">
        <f t="array" ref="O1121">IFERROR(
  INDEX('Putt Log'!$E$2:$V$72,
    MATCH(1,
      ('Putt Log'!$A$2:$A$72=$A1121)*
      ('Putt Log'!$B$2:$B$72=$B1121)*
      ('Putt Log'!$C$2:$C$72=$C1121),
    0),
    MATCH($G1121,'Putt Log'!$E$1:$V$1,0)
  ),
"")</f>
        <v>2</v>
      </c>
      <c r="P1121" cm="1">
        <f t="array" ref="P1121">IF(K1121=3,"",
  IFERROR(
    INDEX('Fairway Log'!$E$2:$V$72,
      MATCH(1,
        ('Fairway Log'!$A$2:$A$72=$A1121)*
        ('Fairway Log'!$B$2:$B$72=$B1121)*
        ('Fairway Log'!$C$2:$C1192=$C1121),
      0),
      MATCH($G1121,'Fairway Log'!$E$1:$V$1,0)
    ),
  "")
)</f>
        <v>1</v>
      </c>
      <c r="Q1121" cm="1">
        <f t="array" ref="Q1121">IFERROR(
  INDEX('GIR Log'!$E$2:$V$72,
    MATCH(1,
      ('GIR Log'!$A$2:$A$72=$A1121)*
      ('GIR Log'!$B$2:$B$72=$B1121)*
      ('GIR Log'!$C$2:$C$72=$C1121),
    0),
    MATCH($G1121,'GIR Log'!$E$1:$V$1,0)
  ),
"")</f>
        <v>0</v>
      </c>
    </row>
    <row r="1122" spans="1:17" x14ac:dyDescent="0.25">
      <c r="A1122" s="51" t="s">
        <v>130</v>
      </c>
      <c r="B1122" s="2">
        <v>45172</v>
      </c>
      <c r="C1122" s="51" t="s">
        <v>3</v>
      </c>
      <c r="D1122" s="51" t="s">
        <v>3</v>
      </c>
      <c r="E1122" s="51" t="s">
        <v>34</v>
      </c>
      <c r="F1122">
        <v>82</v>
      </c>
      <c r="G1122" s="12" t="s">
        <v>51</v>
      </c>
      <c r="H1122" s="9">
        <f t="shared" si="72"/>
        <v>5</v>
      </c>
      <c r="I1122" cm="1">
        <f t="array" ref="I1122">IFERROR(INDEX(CourseYardages[[Hole 1]:[Hole 18]],
  MATCH(1, (CourseYardages[Course]=C1122)*(CourseYardages[Tees]=E1122), 0),
  MATCH(G1122, CourseYardages[[#Headers],[Hole 1]:[Hole 18]], 0)
),"")</f>
        <v>400</v>
      </c>
      <c r="J1122" cm="1">
        <f t="array" ref="J1122">IFERROR(INDEX(CourseHandicap[[Hole 1]:[Hole 18]],
  MATCH(1, (CourseHandicap[Course]=C1122)*(CourseHandicap[Tees]=E1122), 0),
  MATCH(G1122, CourseHandicap[[#Headers],[Hole 1]:[Hole 18]], 0)
),"")</f>
        <v>7</v>
      </c>
      <c r="K1122" cm="1">
        <f t="array" ref="K1122">IFERROR(INDEX(CourseRatings[[Hole 1]:[Hole 18]],
  MATCH(1, (CourseRatings[Course]=C1122)*(CourseRatings[Tees]=E1122), 0),
  MATCH(G1122, CourseRatings[[#Headers],[Hole 1]:[Hole 18]], 0)
),"")</f>
        <v>4</v>
      </c>
      <c r="L1122" cm="1">
        <f t="array" ref="L1122">IFERROR(
  INDEX('Golf Log'!$E$2:$V$72,
    MATCH(1,
      ('Golf Log'!$A$2:$A$72=$A1122)*
      ('Golf Log'!$B$2:$B$72=$B1122)*
      ('Golf Log'!$C$2:$C$72=$C1122),
    0),
    MATCH($G1122,'Golf Log'!$E$1:$V$1,0)
  ),
"")</f>
        <v>6</v>
      </c>
      <c r="M1122">
        <f t="shared" si="73"/>
        <v>2</v>
      </c>
      <c r="N1122" t="str">
        <f t="shared" si="74"/>
        <v>Double Bogey</v>
      </c>
      <c r="O1122" cm="1">
        <f t="array" ref="O1122">IFERROR(
  INDEX('Putt Log'!$E$2:$V$72,
    MATCH(1,
      ('Putt Log'!$A$2:$A$72=$A1122)*
      ('Putt Log'!$B$2:$B$72=$B1122)*
      ('Putt Log'!$C$2:$C$72=$C1122),
    0),
    MATCH($G1122,'Putt Log'!$E$1:$V$1,0)
  ),
"")</f>
        <v>2</v>
      </c>
      <c r="P1122" t="str" cm="1">
        <f t="array" ref="P1122">IF(K1122=3,"",
  IFERROR(
    INDEX('Fairway Log'!$E$2:$V$72,
      MATCH(1,
        ('Fairway Log'!$A$2:$A$72=$A1122)*
        ('Fairway Log'!$B$2:$B$72=$B1122)*
        ('Fairway Log'!$C$2:$C1193=$C1122),
      0),
      MATCH($G1122,'Fairway Log'!$E$1:$V$1,0)
    ),
  "")
)</f>
        <v>↓</v>
      </c>
      <c r="Q1122" cm="1">
        <f t="array" ref="Q1122">IFERROR(
  INDEX('GIR Log'!$E$2:$V$72,
    MATCH(1,
      ('GIR Log'!$A$2:$A$72=$A1122)*
      ('GIR Log'!$B$2:$B$72=$B1122)*
      ('GIR Log'!$C$2:$C$72=$C1122),
    0),
    MATCH($G1122,'GIR Log'!$E$1:$V$1,0)
  ),
"")</f>
        <v>0</v>
      </c>
    </row>
    <row r="1123" spans="1:17" x14ac:dyDescent="0.25">
      <c r="A1123" s="51" t="s">
        <v>130</v>
      </c>
      <c r="B1123" s="2">
        <v>45172</v>
      </c>
      <c r="C1123" s="51" t="s">
        <v>3</v>
      </c>
      <c r="D1123" s="51" t="s">
        <v>3</v>
      </c>
      <c r="E1123" s="51" t="s">
        <v>34</v>
      </c>
      <c r="F1123">
        <v>82</v>
      </c>
      <c r="G1123" s="12" t="s">
        <v>52</v>
      </c>
      <c r="H1123" s="9">
        <f t="shared" si="72"/>
        <v>6</v>
      </c>
      <c r="I1123" cm="1">
        <f t="array" ref="I1123">IFERROR(INDEX(CourseYardages[[Hole 1]:[Hole 18]],
  MATCH(1, (CourseYardages[Course]=C1123)*(CourseYardages[Tees]=E1123), 0),
  MATCH(G1123, CourseYardages[[#Headers],[Hole 1]:[Hole 18]], 0)
),"")</f>
        <v>190</v>
      </c>
      <c r="J1123" cm="1">
        <f t="array" ref="J1123">IFERROR(INDEX(CourseHandicap[[Hole 1]:[Hole 18]],
  MATCH(1, (CourseHandicap[Course]=C1123)*(CourseHandicap[Tees]=E1123), 0),
  MATCH(G1123, CourseHandicap[[#Headers],[Hole 1]:[Hole 18]], 0)
),"")</f>
        <v>5</v>
      </c>
      <c r="K1123" cm="1">
        <f t="array" ref="K1123">IFERROR(INDEX(CourseRatings[[Hole 1]:[Hole 18]],
  MATCH(1, (CourseRatings[Course]=C1123)*(CourseRatings[Tees]=E1123), 0),
  MATCH(G1123, CourseRatings[[#Headers],[Hole 1]:[Hole 18]], 0)
),"")</f>
        <v>3</v>
      </c>
      <c r="L1123" cm="1">
        <f t="array" ref="L1123">IFERROR(
  INDEX('Golf Log'!$E$2:$V$72,
    MATCH(1,
      ('Golf Log'!$A$2:$A$72=$A1123)*
      ('Golf Log'!$B$2:$B$72=$B1123)*
      ('Golf Log'!$C$2:$C$72=$C1123),
    0),
    MATCH($G1123,'Golf Log'!$E$1:$V$1,0)
  ),
"")</f>
        <v>4</v>
      </c>
      <c r="M1123">
        <f t="shared" si="73"/>
        <v>1</v>
      </c>
      <c r="N1123" t="str">
        <f t="shared" si="74"/>
        <v>Bogey</v>
      </c>
      <c r="O1123" cm="1">
        <f t="array" ref="O1123">IFERROR(
  INDEX('Putt Log'!$E$2:$V$72,
    MATCH(1,
      ('Putt Log'!$A$2:$A$72=$A1123)*
      ('Putt Log'!$B$2:$B$72=$B1123)*
      ('Putt Log'!$C$2:$C$72=$C1123),
    0),
    MATCH($G1123,'Putt Log'!$E$1:$V$1,0)
  ),
"")</f>
        <v>2</v>
      </c>
      <c r="P1123" t="str" cm="1">
        <f t="array" ref="P1123">IF(K1123=3,"",
  IFERROR(
    INDEX('Fairway Log'!$E$2:$V$72,
      MATCH(1,
        ('Fairway Log'!$A$2:$A$72=$A1123)*
        ('Fairway Log'!$B$2:$B$72=$B1123)*
        ('Fairway Log'!$C$2:$C1194=$C1123),
      0),
      MATCH($G1123,'Fairway Log'!$E$1:$V$1,0)
    ),
  "")
)</f>
        <v/>
      </c>
      <c r="Q1123" cm="1">
        <f t="array" ref="Q1123">IFERROR(
  INDEX('GIR Log'!$E$2:$V$72,
    MATCH(1,
      ('GIR Log'!$A$2:$A$72=$A1123)*
      ('GIR Log'!$B$2:$B$72=$B1123)*
      ('GIR Log'!$C$2:$C$72=$C1123),
    0),
    MATCH($G1123,'GIR Log'!$E$1:$V$1,0)
  ),
"")</f>
        <v>0</v>
      </c>
    </row>
    <row r="1124" spans="1:17" x14ac:dyDescent="0.25">
      <c r="A1124" s="51" t="s">
        <v>130</v>
      </c>
      <c r="B1124" s="2">
        <v>45172</v>
      </c>
      <c r="C1124" s="51" t="s">
        <v>3</v>
      </c>
      <c r="D1124" s="51" t="s">
        <v>3</v>
      </c>
      <c r="E1124" s="51" t="s">
        <v>34</v>
      </c>
      <c r="F1124">
        <v>82</v>
      </c>
      <c r="G1124" s="12" t="s">
        <v>53</v>
      </c>
      <c r="H1124" s="9">
        <f t="shared" si="72"/>
        <v>7</v>
      </c>
      <c r="I1124" cm="1">
        <f t="array" ref="I1124">IFERROR(INDEX(CourseYardages[[Hole 1]:[Hole 18]],
  MATCH(1, (CourseYardages[Course]=C1124)*(CourseYardages[Tees]=E1124), 0),
  MATCH(G1124, CourseYardages[[#Headers],[Hole 1]:[Hole 18]], 0)
),"")</f>
        <v>507</v>
      </c>
      <c r="J1124" cm="1">
        <f t="array" ref="J1124">IFERROR(INDEX(CourseHandicap[[Hole 1]:[Hole 18]],
  MATCH(1, (CourseHandicap[Course]=C1124)*(CourseHandicap[Tees]=E1124), 0),
  MATCH(G1124, CourseHandicap[[#Headers],[Hole 1]:[Hole 18]], 0)
),"")</f>
        <v>9</v>
      </c>
      <c r="K1124" cm="1">
        <f t="array" ref="K1124">IFERROR(INDEX(CourseRatings[[Hole 1]:[Hole 18]],
  MATCH(1, (CourseRatings[Course]=C1124)*(CourseRatings[Tees]=E1124), 0),
  MATCH(G1124, CourseRatings[[#Headers],[Hole 1]:[Hole 18]], 0)
),"")</f>
        <v>5</v>
      </c>
      <c r="L1124" cm="1">
        <f t="array" ref="L1124">IFERROR(
  INDEX('Golf Log'!$E$2:$V$72,
    MATCH(1,
      ('Golf Log'!$A$2:$A$72=$A1124)*
      ('Golf Log'!$B$2:$B$72=$B1124)*
      ('Golf Log'!$C$2:$C$72=$C1124),
    0),
    MATCH($G1124,'Golf Log'!$E$1:$V$1,0)
  ),
"")</f>
        <v>5</v>
      </c>
      <c r="M1124">
        <f t="shared" si="73"/>
        <v>0</v>
      </c>
      <c r="N1124" t="str">
        <f t="shared" si="74"/>
        <v>Par</v>
      </c>
      <c r="O1124" cm="1">
        <f t="array" ref="O1124">IFERROR(
  INDEX('Putt Log'!$E$2:$V$72,
    MATCH(1,
      ('Putt Log'!$A$2:$A$72=$A1124)*
      ('Putt Log'!$B$2:$B$72=$B1124)*
      ('Putt Log'!$C$2:$C$72=$C1124),
    0),
    MATCH($G1124,'Putt Log'!$E$1:$V$1,0)
  ),
"")</f>
        <v>2</v>
      </c>
      <c r="P1124" cm="1">
        <f t="array" ref="P1124">IF(K1124=3,"",
  IFERROR(
    INDEX('Fairway Log'!$E$2:$V$72,
      MATCH(1,
        ('Fairway Log'!$A$2:$A$72=$A1124)*
        ('Fairway Log'!$B$2:$B$72=$B1124)*
        ('Fairway Log'!$C$2:$C1195=$C1124),
      0),
      MATCH($G1124,'Fairway Log'!$E$1:$V$1,0)
    ),
  "")
)</f>
        <v>1</v>
      </c>
      <c r="Q1124" cm="1">
        <f t="array" ref="Q1124">IFERROR(
  INDEX('GIR Log'!$E$2:$V$72,
    MATCH(1,
      ('GIR Log'!$A$2:$A$72=$A1124)*
      ('GIR Log'!$B$2:$B$72=$B1124)*
      ('GIR Log'!$C$2:$C$72=$C1124),
    0),
    MATCH($G1124,'GIR Log'!$E$1:$V$1,0)
  ),
"")</f>
        <v>1</v>
      </c>
    </row>
    <row r="1125" spans="1:17" x14ac:dyDescent="0.25">
      <c r="A1125" s="51" t="s">
        <v>130</v>
      </c>
      <c r="B1125" s="2">
        <v>45172</v>
      </c>
      <c r="C1125" s="51" t="s">
        <v>3</v>
      </c>
      <c r="D1125" s="51" t="s">
        <v>3</v>
      </c>
      <c r="E1125" s="51" t="s">
        <v>34</v>
      </c>
      <c r="F1125">
        <v>82</v>
      </c>
      <c r="G1125" s="12" t="s">
        <v>54</v>
      </c>
      <c r="H1125" s="9">
        <f t="shared" si="72"/>
        <v>8</v>
      </c>
      <c r="I1125" cm="1">
        <f t="array" ref="I1125">IFERROR(INDEX(CourseYardages[[Hole 1]:[Hole 18]],
  MATCH(1, (CourseYardages[Course]=C1125)*(CourseYardages[Tees]=E1125), 0),
  MATCH(G1125, CourseYardages[[#Headers],[Hole 1]:[Hole 18]], 0)
),"")</f>
        <v>347</v>
      </c>
      <c r="J1125" cm="1">
        <f t="array" ref="J1125">IFERROR(INDEX(CourseHandicap[[Hole 1]:[Hole 18]],
  MATCH(1, (CourseHandicap[Course]=C1125)*(CourseHandicap[Tees]=E1125), 0),
  MATCH(G1125, CourseHandicap[[#Headers],[Hole 1]:[Hole 18]], 0)
),"")</f>
        <v>13</v>
      </c>
      <c r="K1125" cm="1">
        <f t="array" ref="K1125">IFERROR(INDEX(CourseRatings[[Hole 1]:[Hole 18]],
  MATCH(1, (CourseRatings[Course]=C1125)*(CourseRatings[Tees]=E1125), 0),
  MATCH(G1125, CourseRatings[[#Headers],[Hole 1]:[Hole 18]], 0)
),"")</f>
        <v>4</v>
      </c>
      <c r="L1125" cm="1">
        <f t="array" ref="L1125">IFERROR(
  INDEX('Golf Log'!$E$2:$V$72,
    MATCH(1,
      ('Golf Log'!$A$2:$A$72=$A1125)*
      ('Golf Log'!$B$2:$B$72=$B1125)*
      ('Golf Log'!$C$2:$C$72=$C1125),
    0),
    MATCH($G1125,'Golf Log'!$E$1:$V$1,0)
  ),
"")</f>
        <v>4</v>
      </c>
      <c r="M1125">
        <f t="shared" si="73"/>
        <v>0</v>
      </c>
      <c r="N1125" t="str">
        <f t="shared" si="74"/>
        <v>Par</v>
      </c>
      <c r="O1125" cm="1">
        <f t="array" ref="O1125">IFERROR(
  INDEX('Putt Log'!$E$2:$V$72,
    MATCH(1,
      ('Putt Log'!$A$2:$A$72=$A1125)*
      ('Putt Log'!$B$2:$B$72=$B1125)*
      ('Putt Log'!$C$2:$C$72=$C1125),
    0),
    MATCH($G1125,'Putt Log'!$E$1:$V$1,0)
  ),
"")</f>
        <v>2</v>
      </c>
      <c r="P1125" cm="1">
        <f t="array" ref="P1125">IF(K1125=3,"",
  IFERROR(
    INDEX('Fairway Log'!$E$2:$V$72,
      MATCH(1,
        ('Fairway Log'!$A$2:$A$72=$A1125)*
        ('Fairway Log'!$B$2:$B$72=$B1125)*
        ('Fairway Log'!$C$2:$C1196=$C1125),
      0),
      MATCH($G1125,'Fairway Log'!$E$1:$V$1,0)
    ),
  "")
)</f>
        <v>1</v>
      </c>
      <c r="Q1125" cm="1">
        <f t="array" ref="Q1125">IFERROR(
  INDEX('GIR Log'!$E$2:$V$72,
    MATCH(1,
      ('GIR Log'!$A$2:$A$72=$A1125)*
      ('GIR Log'!$B$2:$B$72=$B1125)*
      ('GIR Log'!$C$2:$C$72=$C1125),
    0),
    MATCH($G1125,'GIR Log'!$E$1:$V$1,0)
  ),
"")</f>
        <v>1</v>
      </c>
    </row>
    <row r="1126" spans="1:17" x14ac:dyDescent="0.25">
      <c r="A1126" s="51" t="s">
        <v>130</v>
      </c>
      <c r="B1126" s="2">
        <v>45172</v>
      </c>
      <c r="C1126" s="51" t="s">
        <v>3</v>
      </c>
      <c r="D1126" s="51" t="s">
        <v>3</v>
      </c>
      <c r="E1126" s="51" t="s">
        <v>34</v>
      </c>
      <c r="F1126">
        <v>82</v>
      </c>
      <c r="G1126" s="12" t="s">
        <v>55</v>
      </c>
      <c r="H1126" s="9">
        <f t="shared" si="72"/>
        <v>9</v>
      </c>
      <c r="I1126" cm="1">
        <f t="array" ref="I1126">IFERROR(INDEX(CourseYardages[[Hole 1]:[Hole 18]],
  MATCH(1, (CourseYardages[Course]=C1126)*(CourseYardages[Tees]=E1126), 0),
  MATCH(G1126, CourseYardages[[#Headers],[Hole 1]:[Hole 18]], 0)
),"")</f>
        <v>560</v>
      </c>
      <c r="J1126" cm="1">
        <f t="array" ref="J1126">IFERROR(INDEX(CourseHandicap[[Hole 1]:[Hole 18]],
  MATCH(1, (CourseHandicap[Course]=C1126)*(CourseHandicap[Tees]=E1126), 0),
  MATCH(G1126, CourseHandicap[[#Headers],[Hole 1]:[Hole 18]], 0)
),"")</f>
        <v>1</v>
      </c>
      <c r="K1126" cm="1">
        <f t="array" ref="K1126">IFERROR(INDEX(CourseRatings[[Hole 1]:[Hole 18]],
  MATCH(1, (CourseRatings[Course]=C1126)*(CourseRatings[Tees]=E1126), 0),
  MATCH(G1126, CourseRatings[[#Headers],[Hole 1]:[Hole 18]], 0)
),"")</f>
        <v>5</v>
      </c>
      <c r="L1126" cm="1">
        <f t="array" ref="L1126">IFERROR(
  INDEX('Golf Log'!$E$2:$V$72,
    MATCH(1,
      ('Golf Log'!$A$2:$A$72=$A1126)*
      ('Golf Log'!$B$2:$B$72=$B1126)*
      ('Golf Log'!$C$2:$C$72=$C1126),
    0),
    MATCH($G1126,'Golf Log'!$E$1:$V$1,0)
  ),
"")</f>
        <v>6</v>
      </c>
      <c r="M1126">
        <f t="shared" si="73"/>
        <v>1</v>
      </c>
      <c r="N1126" t="str">
        <f t="shared" si="74"/>
        <v>Bogey</v>
      </c>
      <c r="O1126" cm="1">
        <f t="array" ref="O1126">IFERROR(
  INDEX('Putt Log'!$E$2:$V$72,
    MATCH(1,
      ('Putt Log'!$A$2:$A$72=$A1126)*
      ('Putt Log'!$B$2:$B$72=$B1126)*
      ('Putt Log'!$C$2:$C$72=$C1126),
    0),
    MATCH($G1126,'Putt Log'!$E$1:$V$1,0)
  ),
"")</f>
        <v>2</v>
      </c>
      <c r="P1126" cm="1">
        <f t="array" ref="P1126">IF(K1126=3,"",
  IFERROR(
    INDEX('Fairway Log'!$E$2:$V$72,
      MATCH(1,
        ('Fairway Log'!$A$2:$A$72=$A1126)*
        ('Fairway Log'!$B$2:$B$72=$B1126)*
        ('Fairway Log'!$C$2:$C1197=$C1126),
      0),
      MATCH($G1126,'Fairway Log'!$E$1:$V$1,0)
    ),
  "")
)</f>
        <v>1</v>
      </c>
      <c r="Q1126" cm="1">
        <f t="array" ref="Q1126">IFERROR(
  INDEX('GIR Log'!$E$2:$V$72,
    MATCH(1,
      ('GIR Log'!$A$2:$A$72=$A1126)*
      ('GIR Log'!$B$2:$B$72=$B1126)*
      ('GIR Log'!$C$2:$C$72=$C1126),
    0),
    MATCH($G1126,'GIR Log'!$E$1:$V$1,0)
  ),
"")</f>
        <v>0</v>
      </c>
    </row>
    <row r="1127" spans="1:17" x14ac:dyDescent="0.25">
      <c r="A1127" s="51" t="s">
        <v>130</v>
      </c>
      <c r="B1127" s="2">
        <v>45172</v>
      </c>
      <c r="C1127" s="51" t="s">
        <v>3</v>
      </c>
      <c r="D1127" s="51" t="s">
        <v>3</v>
      </c>
      <c r="E1127" s="51" t="s">
        <v>34</v>
      </c>
      <c r="F1127">
        <v>82</v>
      </c>
      <c r="G1127" s="12" t="s">
        <v>56</v>
      </c>
      <c r="H1127" s="9">
        <f t="shared" si="72"/>
        <v>10</v>
      </c>
      <c r="I1127" cm="1">
        <f t="array" ref="I1127">IFERROR(INDEX(CourseYardages[[Hole 1]:[Hole 18]],
  MATCH(1, (CourseYardages[Course]=C1127)*(CourseYardages[Tees]=E1127), 0),
  MATCH(G1127, CourseYardages[[#Headers],[Hole 1]:[Hole 18]], 0)
),"")</f>
        <v>343</v>
      </c>
      <c r="J1127" cm="1">
        <f t="array" ref="J1127">IFERROR(INDEX(CourseHandicap[[Hole 1]:[Hole 18]],
  MATCH(1, (CourseHandicap[Course]=C1127)*(CourseHandicap[Tees]=E1127), 0),
  MATCH(G1127, CourseHandicap[[#Headers],[Hole 1]:[Hole 18]], 0)
),"")</f>
        <v>12</v>
      </c>
      <c r="K1127" cm="1">
        <f t="array" ref="K1127">IFERROR(INDEX(CourseRatings[[Hole 1]:[Hole 18]],
  MATCH(1, (CourseRatings[Course]=C1127)*(CourseRatings[Tees]=E1127), 0),
  MATCH(G1127, CourseRatings[[#Headers],[Hole 1]:[Hole 18]], 0)
),"")</f>
        <v>4</v>
      </c>
      <c r="L1127" cm="1">
        <f t="array" ref="L1127">IFERROR(
  INDEX('Golf Log'!$E$2:$V$72,
    MATCH(1,
      ('Golf Log'!$A$2:$A$72=$A1127)*
      ('Golf Log'!$B$2:$B$72=$B1127)*
      ('Golf Log'!$C$2:$C$72=$C1127),
    0),
    MATCH($G1127,'Golf Log'!$E$1:$V$1,0)
  ),
"")</f>
        <v>4</v>
      </c>
      <c r="M1127">
        <f t="shared" si="73"/>
        <v>0</v>
      </c>
      <c r="N1127" t="str">
        <f t="shared" si="74"/>
        <v>Par</v>
      </c>
      <c r="O1127" cm="1">
        <f t="array" ref="O1127">IFERROR(
  INDEX('Putt Log'!$E$2:$V$72,
    MATCH(1,
      ('Putt Log'!$A$2:$A$72=$A1127)*
      ('Putt Log'!$B$2:$B$72=$B1127)*
      ('Putt Log'!$C$2:$C$72=$C1127),
    0),
    MATCH($G1127,'Putt Log'!$E$1:$V$1,0)
  ),
"")</f>
        <v>2</v>
      </c>
      <c r="P1127" t="str" cm="1">
        <f t="array" ref="P1127">IF(K1127=3,"",
  IFERROR(
    INDEX('Fairway Log'!$E$2:$V$72,
      MATCH(1,
        ('Fairway Log'!$A$2:$A$72=$A1127)*
        ('Fairway Log'!$B$2:$B$72=$B1127)*
        ('Fairway Log'!$C$2:$C1198=$C1127),
      0),
      MATCH($G1127,'Fairway Log'!$E$1:$V$1,0)
    ),
  "")
)</f>
        <v>→</v>
      </c>
      <c r="Q1127" cm="1">
        <f t="array" ref="Q1127">IFERROR(
  INDEX('GIR Log'!$E$2:$V$72,
    MATCH(1,
      ('GIR Log'!$A$2:$A$72=$A1127)*
      ('GIR Log'!$B$2:$B$72=$B1127)*
      ('GIR Log'!$C$2:$C$72=$C1127),
    0),
    MATCH($G1127,'GIR Log'!$E$1:$V$1,0)
  ),
"")</f>
        <v>1</v>
      </c>
    </row>
    <row r="1128" spans="1:17" x14ac:dyDescent="0.25">
      <c r="A1128" s="51" t="s">
        <v>130</v>
      </c>
      <c r="B1128" s="2">
        <v>45172</v>
      </c>
      <c r="C1128" s="51" t="s">
        <v>3</v>
      </c>
      <c r="D1128" s="51" t="s">
        <v>3</v>
      </c>
      <c r="E1128" s="51" t="s">
        <v>34</v>
      </c>
      <c r="F1128">
        <v>82</v>
      </c>
      <c r="G1128" s="12" t="s">
        <v>57</v>
      </c>
      <c r="H1128" s="9">
        <f t="shared" si="72"/>
        <v>11</v>
      </c>
      <c r="I1128" cm="1">
        <f t="array" ref="I1128">IFERROR(INDEX(CourseYardages[[Hole 1]:[Hole 18]],
  MATCH(1, (CourseYardages[Course]=C1128)*(CourseYardages[Tees]=E1128), 0),
  MATCH(G1128, CourseYardages[[#Headers],[Hole 1]:[Hole 18]], 0)
),"")</f>
        <v>171</v>
      </c>
      <c r="J1128" cm="1">
        <f t="array" ref="J1128">IFERROR(INDEX(CourseHandicap[[Hole 1]:[Hole 18]],
  MATCH(1, (CourseHandicap[Course]=C1128)*(CourseHandicap[Tees]=E1128), 0),
  MATCH(G1128, CourseHandicap[[#Headers],[Hole 1]:[Hole 18]], 0)
),"")</f>
        <v>16</v>
      </c>
      <c r="K1128" cm="1">
        <f t="array" ref="K1128">IFERROR(INDEX(CourseRatings[[Hole 1]:[Hole 18]],
  MATCH(1, (CourseRatings[Course]=C1128)*(CourseRatings[Tees]=E1128), 0),
  MATCH(G1128, CourseRatings[[#Headers],[Hole 1]:[Hole 18]], 0)
),"")</f>
        <v>3</v>
      </c>
      <c r="L1128" cm="1">
        <f t="array" ref="L1128">IFERROR(
  INDEX('Golf Log'!$E$2:$V$72,
    MATCH(1,
      ('Golf Log'!$A$2:$A$72=$A1128)*
      ('Golf Log'!$B$2:$B$72=$B1128)*
      ('Golf Log'!$C$2:$C$72=$C1128),
    0),
    MATCH($G1128,'Golf Log'!$E$1:$V$1,0)
  ),
"")</f>
        <v>4</v>
      </c>
      <c r="M1128">
        <f t="shared" si="73"/>
        <v>1</v>
      </c>
      <c r="N1128" t="str">
        <f t="shared" si="74"/>
        <v>Bogey</v>
      </c>
      <c r="O1128" cm="1">
        <f t="array" ref="O1128">IFERROR(
  INDEX('Putt Log'!$E$2:$V$72,
    MATCH(1,
      ('Putt Log'!$A$2:$A$72=$A1128)*
      ('Putt Log'!$B$2:$B$72=$B1128)*
      ('Putt Log'!$C$2:$C$72=$C1128),
    0),
    MATCH($G1128,'Putt Log'!$E$1:$V$1,0)
  ),
"")</f>
        <v>2</v>
      </c>
      <c r="P1128" t="str" cm="1">
        <f t="array" ref="P1128">IF(K1128=3,"",
  IFERROR(
    INDEX('Fairway Log'!$E$2:$V$72,
      MATCH(1,
        ('Fairway Log'!$A$2:$A$72=$A1128)*
        ('Fairway Log'!$B$2:$B$72=$B1128)*
        ('Fairway Log'!$C$2:$C1199=$C1128),
      0),
      MATCH($G1128,'Fairway Log'!$E$1:$V$1,0)
    ),
  "")
)</f>
        <v/>
      </c>
      <c r="Q1128" cm="1">
        <f t="array" ref="Q1128">IFERROR(
  INDEX('GIR Log'!$E$2:$V$72,
    MATCH(1,
      ('GIR Log'!$A$2:$A$72=$A1128)*
      ('GIR Log'!$B$2:$B$72=$B1128)*
      ('GIR Log'!$C$2:$C$72=$C1128),
    0),
    MATCH($G1128,'GIR Log'!$E$1:$V$1,0)
  ),
"")</f>
        <v>0</v>
      </c>
    </row>
    <row r="1129" spans="1:17" x14ac:dyDescent="0.25">
      <c r="A1129" s="51" t="s">
        <v>130</v>
      </c>
      <c r="B1129" s="2">
        <v>45172</v>
      </c>
      <c r="C1129" s="51" t="s">
        <v>3</v>
      </c>
      <c r="D1129" s="51" t="s">
        <v>3</v>
      </c>
      <c r="E1129" s="51" t="s">
        <v>34</v>
      </c>
      <c r="F1129">
        <v>82</v>
      </c>
      <c r="G1129" s="12" t="s">
        <v>58</v>
      </c>
      <c r="H1129" s="9">
        <f t="shared" si="72"/>
        <v>12</v>
      </c>
      <c r="I1129" cm="1">
        <f t="array" ref="I1129">IFERROR(INDEX(CourseYardages[[Hole 1]:[Hole 18]],
  MATCH(1, (CourseYardages[Course]=C1129)*(CourseYardages[Tees]=E1129), 0),
  MATCH(G1129, CourseYardages[[#Headers],[Hole 1]:[Hole 18]], 0)
),"")</f>
        <v>291</v>
      </c>
      <c r="J1129" cm="1">
        <f t="array" ref="J1129">IFERROR(INDEX(CourseHandicap[[Hole 1]:[Hole 18]],
  MATCH(1, (CourseHandicap[Course]=C1129)*(CourseHandicap[Tees]=E1129), 0),
  MATCH(G1129, CourseHandicap[[#Headers],[Hole 1]:[Hole 18]], 0)
),"")</f>
        <v>18</v>
      </c>
      <c r="K1129" cm="1">
        <f t="array" ref="K1129">IFERROR(INDEX(CourseRatings[[Hole 1]:[Hole 18]],
  MATCH(1, (CourseRatings[Course]=C1129)*(CourseRatings[Tees]=E1129), 0),
  MATCH(G1129, CourseRatings[[#Headers],[Hole 1]:[Hole 18]], 0)
),"")</f>
        <v>4</v>
      </c>
      <c r="L1129" cm="1">
        <f t="array" ref="L1129">IFERROR(
  INDEX('Golf Log'!$E$2:$V$72,
    MATCH(1,
      ('Golf Log'!$A$2:$A$72=$A1129)*
      ('Golf Log'!$B$2:$B$72=$B1129)*
      ('Golf Log'!$C$2:$C$72=$C1129),
    0),
    MATCH($G1129,'Golf Log'!$E$1:$V$1,0)
  ),
"")</f>
        <v>3</v>
      </c>
      <c r="M1129">
        <f t="shared" si="73"/>
        <v>-1</v>
      </c>
      <c r="N1129" t="str">
        <f t="shared" si="74"/>
        <v>Birdie</v>
      </c>
      <c r="O1129" cm="1">
        <f t="array" ref="O1129">IFERROR(
  INDEX('Putt Log'!$E$2:$V$72,
    MATCH(1,
      ('Putt Log'!$A$2:$A$72=$A1129)*
      ('Putt Log'!$B$2:$B$72=$B1129)*
      ('Putt Log'!$C$2:$C$72=$C1129),
    0),
    MATCH($G1129,'Putt Log'!$E$1:$V$1,0)
  ),
"")</f>
        <v>1</v>
      </c>
      <c r="P1129" t="str" cm="1">
        <f t="array" ref="P1129">IF(K1129=3,"",
  IFERROR(
    INDEX('Fairway Log'!$E$2:$V$72,
      MATCH(1,
        ('Fairway Log'!$A$2:$A$72=$A1129)*
        ('Fairway Log'!$B$2:$B$72=$B1129)*
        ('Fairway Log'!$C$2:$C1200=$C1129),
      0),
      MATCH($G1129,'Fairway Log'!$E$1:$V$1,0)
    ),
  "")
)</f>
        <v>↑</v>
      </c>
      <c r="Q1129" cm="1">
        <f t="array" ref="Q1129">IFERROR(
  INDEX('GIR Log'!$E$2:$V$72,
    MATCH(1,
      ('GIR Log'!$A$2:$A$72=$A1129)*
      ('GIR Log'!$B$2:$B$72=$B1129)*
      ('GIR Log'!$C$2:$C$72=$C1129),
    0),
    MATCH($G1129,'GIR Log'!$E$1:$V$1,0)
  ),
"")</f>
        <v>1</v>
      </c>
    </row>
    <row r="1130" spans="1:17" x14ac:dyDescent="0.25">
      <c r="A1130" s="51" t="s">
        <v>130</v>
      </c>
      <c r="B1130" s="2">
        <v>45172</v>
      </c>
      <c r="C1130" s="51" t="s">
        <v>3</v>
      </c>
      <c r="D1130" s="51" t="s">
        <v>3</v>
      </c>
      <c r="E1130" s="51" t="s">
        <v>34</v>
      </c>
      <c r="F1130">
        <v>82</v>
      </c>
      <c r="G1130" s="12" t="s">
        <v>59</v>
      </c>
      <c r="H1130" s="9">
        <f t="shared" si="72"/>
        <v>13</v>
      </c>
      <c r="I1130" cm="1">
        <f t="array" ref="I1130">IFERROR(INDEX(CourseYardages[[Hole 1]:[Hole 18]],
  MATCH(1, (CourseYardages[Course]=C1130)*(CourseYardages[Tees]=E1130), 0),
  MATCH(G1130, CourseYardages[[#Headers],[Hole 1]:[Hole 18]], 0)
),"")</f>
        <v>572</v>
      </c>
      <c r="J1130" cm="1">
        <f t="array" ref="J1130">IFERROR(INDEX(CourseHandicap[[Hole 1]:[Hole 18]],
  MATCH(1, (CourseHandicap[Course]=C1130)*(CourseHandicap[Tees]=E1130), 0),
  MATCH(G1130, CourseHandicap[[#Headers],[Hole 1]:[Hole 18]], 0)
),"")</f>
        <v>2</v>
      </c>
      <c r="K1130" cm="1">
        <f t="array" ref="K1130">IFERROR(INDEX(CourseRatings[[Hole 1]:[Hole 18]],
  MATCH(1, (CourseRatings[Course]=C1130)*(CourseRatings[Tees]=E1130), 0),
  MATCH(G1130, CourseRatings[[#Headers],[Hole 1]:[Hole 18]], 0)
),"")</f>
        <v>5</v>
      </c>
      <c r="L1130" cm="1">
        <f t="array" ref="L1130">IFERROR(
  INDEX('Golf Log'!$E$2:$V$72,
    MATCH(1,
      ('Golf Log'!$A$2:$A$72=$A1130)*
      ('Golf Log'!$B$2:$B$72=$B1130)*
      ('Golf Log'!$C$2:$C$72=$C1130),
    0),
    MATCH($G1130,'Golf Log'!$E$1:$V$1,0)
  ),
"")</f>
        <v>6</v>
      </c>
      <c r="M1130">
        <f t="shared" si="73"/>
        <v>1</v>
      </c>
      <c r="N1130" t="str">
        <f t="shared" si="74"/>
        <v>Bogey</v>
      </c>
      <c r="O1130" cm="1">
        <f t="array" ref="O1130">IFERROR(
  INDEX('Putt Log'!$E$2:$V$72,
    MATCH(1,
      ('Putt Log'!$A$2:$A$72=$A1130)*
      ('Putt Log'!$B$2:$B$72=$B1130)*
      ('Putt Log'!$C$2:$C$72=$C1130),
    0),
    MATCH($G1130,'Putt Log'!$E$1:$V$1,0)
  ),
"")</f>
        <v>1</v>
      </c>
      <c r="P1130" t="str" cm="1">
        <f t="array" ref="P1130">IF(K1130=3,"",
  IFERROR(
    INDEX('Fairway Log'!$E$2:$V$72,
      MATCH(1,
        ('Fairway Log'!$A$2:$A$72=$A1130)*
        ('Fairway Log'!$B$2:$B$72=$B1130)*
        ('Fairway Log'!$C$2:$C1201=$C1130),
      0),
      MATCH($G1130,'Fairway Log'!$E$1:$V$1,0)
    ),
  "")
)</f>
        <v>→</v>
      </c>
      <c r="Q1130" cm="1">
        <f t="array" ref="Q1130">IFERROR(
  INDEX('GIR Log'!$E$2:$V$72,
    MATCH(1,
      ('GIR Log'!$A$2:$A$72=$A1130)*
      ('GIR Log'!$B$2:$B$72=$B1130)*
      ('GIR Log'!$C$2:$C$72=$C1130),
    0),
    MATCH($G1130,'GIR Log'!$E$1:$V$1,0)
  ),
"")</f>
        <v>0</v>
      </c>
    </row>
    <row r="1131" spans="1:17" x14ac:dyDescent="0.25">
      <c r="A1131" s="51" t="s">
        <v>130</v>
      </c>
      <c r="B1131" s="2">
        <v>45172</v>
      </c>
      <c r="C1131" s="51" t="s">
        <v>3</v>
      </c>
      <c r="D1131" s="51" t="s">
        <v>3</v>
      </c>
      <c r="E1131" s="51" t="s">
        <v>34</v>
      </c>
      <c r="F1131">
        <v>82</v>
      </c>
      <c r="G1131" s="12" t="s">
        <v>60</v>
      </c>
      <c r="H1131" s="9">
        <f t="shared" si="72"/>
        <v>14</v>
      </c>
      <c r="I1131" cm="1">
        <f t="array" ref="I1131">IFERROR(INDEX(CourseYardages[[Hole 1]:[Hole 18]],
  MATCH(1, (CourseYardages[Course]=C1131)*(CourseYardages[Tees]=E1131), 0),
  MATCH(G1131, CourseYardages[[#Headers],[Hole 1]:[Hole 18]], 0)
),"")</f>
        <v>366</v>
      </c>
      <c r="J1131" cm="1">
        <f t="array" ref="J1131">IFERROR(INDEX(CourseHandicap[[Hole 1]:[Hole 18]],
  MATCH(1, (CourseHandicap[Course]=C1131)*(CourseHandicap[Tees]=E1131), 0),
  MATCH(G1131, CourseHandicap[[#Headers],[Hole 1]:[Hole 18]], 0)
),"")</f>
        <v>14</v>
      </c>
      <c r="K1131" cm="1">
        <f t="array" ref="K1131">IFERROR(INDEX(CourseRatings[[Hole 1]:[Hole 18]],
  MATCH(1, (CourseRatings[Course]=C1131)*(CourseRatings[Tees]=E1131), 0),
  MATCH(G1131, CourseRatings[[#Headers],[Hole 1]:[Hole 18]], 0)
),"")</f>
        <v>4</v>
      </c>
      <c r="L1131" cm="1">
        <f t="array" ref="L1131">IFERROR(
  INDEX('Golf Log'!$E$2:$V$72,
    MATCH(1,
      ('Golf Log'!$A$2:$A$72=$A1131)*
      ('Golf Log'!$B$2:$B$72=$B1131)*
      ('Golf Log'!$C$2:$C$72=$C1131),
    0),
    MATCH($G1131,'Golf Log'!$E$1:$V$1,0)
  ),
"")</f>
        <v>5</v>
      </c>
      <c r="M1131">
        <f t="shared" si="73"/>
        <v>1</v>
      </c>
      <c r="N1131" t="str">
        <f t="shared" si="74"/>
        <v>Bogey</v>
      </c>
      <c r="O1131" cm="1">
        <f t="array" ref="O1131">IFERROR(
  INDEX('Putt Log'!$E$2:$V$72,
    MATCH(1,
      ('Putt Log'!$A$2:$A$72=$A1131)*
      ('Putt Log'!$B$2:$B$72=$B1131)*
      ('Putt Log'!$C$2:$C$72=$C1131),
    0),
    MATCH($G1131,'Putt Log'!$E$1:$V$1,0)
  ),
"")</f>
        <v>2</v>
      </c>
      <c r="P1131" t="str" cm="1">
        <f t="array" ref="P1131">IF(K1131=3,"",
  IFERROR(
    INDEX('Fairway Log'!$E$2:$V$72,
      MATCH(1,
        ('Fairway Log'!$A$2:$A$72=$A1131)*
        ('Fairway Log'!$B$2:$B$72=$B1131)*
        ('Fairway Log'!$C$2:$C1202=$C1131),
      0),
      MATCH($G1131,'Fairway Log'!$E$1:$V$1,0)
    ),
  "")
)</f>
        <v>→</v>
      </c>
      <c r="Q1131" cm="1">
        <f t="array" ref="Q1131">IFERROR(
  INDEX('GIR Log'!$E$2:$V$72,
    MATCH(1,
      ('GIR Log'!$A$2:$A$72=$A1131)*
      ('GIR Log'!$B$2:$B$72=$B1131)*
      ('GIR Log'!$C$2:$C$72=$C1131),
    0),
    MATCH($G1131,'GIR Log'!$E$1:$V$1,0)
  ),
"")</f>
        <v>0</v>
      </c>
    </row>
    <row r="1132" spans="1:17" x14ac:dyDescent="0.25">
      <c r="A1132" s="51" t="s">
        <v>130</v>
      </c>
      <c r="B1132" s="2">
        <v>45172</v>
      </c>
      <c r="C1132" s="51" t="s">
        <v>3</v>
      </c>
      <c r="D1132" s="51" t="s">
        <v>3</v>
      </c>
      <c r="E1132" s="51" t="s">
        <v>34</v>
      </c>
      <c r="F1132">
        <v>82</v>
      </c>
      <c r="G1132" s="12" t="s">
        <v>61</v>
      </c>
      <c r="H1132" s="9">
        <f t="shared" si="72"/>
        <v>15</v>
      </c>
      <c r="I1132" cm="1">
        <f t="array" ref="I1132">IFERROR(INDEX(CourseYardages[[Hole 1]:[Hole 18]],
  MATCH(1, (CourseYardages[Course]=C1132)*(CourseYardages[Tees]=E1132), 0),
  MATCH(G1132, CourseYardages[[#Headers],[Hole 1]:[Hole 18]], 0)
),"")</f>
        <v>207</v>
      </c>
      <c r="J1132" cm="1">
        <f t="array" ref="J1132">IFERROR(INDEX(CourseHandicap[[Hole 1]:[Hole 18]],
  MATCH(1, (CourseHandicap[Course]=C1132)*(CourseHandicap[Tees]=E1132), 0),
  MATCH(G1132, CourseHandicap[[#Headers],[Hole 1]:[Hole 18]], 0)
),"")</f>
        <v>8</v>
      </c>
      <c r="K1132" cm="1">
        <f t="array" ref="K1132">IFERROR(INDEX(CourseRatings[[Hole 1]:[Hole 18]],
  MATCH(1, (CourseRatings[Course]=C1132)*(CourseRatings[Tees]=E1132), 0),
  MATCH(G1132, CourseRatings[[#Headers],[Hole 1]:[Hole 18]], 0)
),"")</f>
        <v>3</v>
      </c>
      <c r="L1132" cm="1">
        <f t="array" ref="L1132">IFERROR(
  INDEX('Golf Log'!$E$2:$V$72,
    MATCH(1,
      ('Golf Log'!$A$2:$A$72=$A1132)*
      ('Golf Log'!$B$2:$B$72=$B1132)*
      ('Golf Log'!$C$2:$C$72=$C1132),
    0),
    MATCH($G1132,'Golf Log'!$E$1:$V$1,0)
  ),
"")</f>
        <v>3</v>
      </c>
      <c r="M1132">
        <f t="shared" si="73"/>
        <v>0</v>
      </c>
      <c r="N1132" t="str">
        <f t="shared" si="74"/>
        <v>Par</v>
      </c>
      <c r="O1132" cm="1">
        <f t="array" ref="O1132">IFERROR(
  INDEX('Putt Log'!$E$2:$V$72,
    MATCH(1,
      ('Putt Log'!$A$2:$A$72=$A1132)*
      ('Putt Log'!$B$2:$B$72=$B1132)*
      ('Putt Log'!$C$2:$C$72=$C1132),
    0),
    MATCH($G1132,'Putt Log'!$E$1:$V$1,0)
  ),
"")</f>
        <v>1</v>
      </c>
      <c r="P1132" t="str" cm="1">
        <f t="array" ref="P1132">IF(K1132=3,"",
  IFERROR(
    INDEX('Fairway Log'!$E$2:$V$72,
      MATCH(1,
        ('Fairway Log'!$A$2:$A$72=$A1132)*
        ('Fairway Log'!$B$2:$B$72=$B1132)*
        ('Fairway Log'!$C$2:$C1203=$C1132),
      0),
      MATCH($G1132,'Fairway Log'!$E$1:$V$1,0)
    ),
  "")
)</f>
        <v/>
      </c>
      <c r="Q1132" cm="1">
        <f t="array" ref="Q1132">IFERROR(
  INDEX('GIR Log'!$E$2:$V$72,
    MATCH(1,
      ('GIR Log'!$A$2:$A$72=$A1132)*
      ('GIR Log'!$B$2:$B$72=$B1132)*
      ('GIR Log'!$C$2:$C$72=$C1132),
    0),
    MATCH($G1132,'GIR Log'!$E$1:$V$1,0)
  ),
"")</f>
        <v>0</v>
      </c>
    </row>
    <row r="1133" spans="1:17" x14ac:dyDescent="0.25">
      <c r="A1133" s="51" t="s">
        <v>130</v>
      </c>
      <c r="B1133" s="2">
        <v>45172</v>
      </c>
      <c r="C1133" s="51" t="s">
        <v>3</v>
      </c>
      <c r="D1133" s="51" t="s">
        <v>3</v>
      </c>
      <c r="E1133" s="51" t="s">
        <v>34</v>
      </c>
      <c r="F1133">
        <v>82</v>
      </c>
      <c r="G1133" s="12" t="s">
        <v>62</v>
      </c>
      <c r="H1133" s="9">
        <f t="shared" si="72"/>
        <v>16</v>
      </c>
      <c r="I1133" cm="1">
        <f t="array" ref="I1133">IFERROR(INDEX(CourseYardages[[Hole 1]:[Hole 18]],
  MATCH(1, (CourseYardages[Course]=C1133)*(CourseYardages[Tees]=E1133), 0),
  MATCH(G1133, CourseYardages[[#Headers],[Hole 1]:[Hole 18]], 0)
),"")</f>
        <v>358</v>
      </c>
      <c r="J1133" cm="1">
        <f t="array" ref="J1133">IFERROR(INDEX(CourseHandicap[[Hole 1]:[Hole 18]],
  MATCH(1, (CourseHandicap[Course]=C1133)*(CourseHandicap[Tees]=E1133), 0),
  MATCH(G1133, CourseHandicap[[#Headers],[Hole 1]:[Hole 18]], 0)
),"")</f>
        <v>10</v>
      </c>
      <c r="K1133" cm="1">
        <f t="array" ref="K1133">IFERROR(INDEX(CourseRatings[[Hole 1]:[Hole 18]],
  MATCH(1, (CourseRatings[Course]=C1133)*(CourseRatings[Tees]=E1133), 0),
  MATCH(G1133, CourseRatings[[#Headers],[Hole 1]:[Hole 18]], 0)
),"")</f>
        <v>4</v>
      </c>
      <c r="L1133" cm="1">
        <f t="array" ref="L1133">IFERROR(
  INDEX('Golf Log'!$E$2:$V$72,
    MATCH(1,
      ('Golf Log'!$A$2:$A$72=$A1133)*
      ('Golf Log'!$B$2:$B$72=$B1133)*
      ('Golf Log'!$C$2:$C$72=$C1133),
    0),
    MATCH($G1133,'Golf Log'!$E$1:$V$1,0)
  ),
"")</f>
        <v>4</v>
      </c>
      <c r="M1133">
        <f t="shared" si="73"/>
        <v>0</v>
      </c>
      <c r="N1133" t="str">
        <f t="shared" si="74"/>
        <v>Par</v>
      </c>
      <c r="O1133" cm="1">
        <f t="array" ref="O1133">IFERROR(
  INDEX('Putt Log'!$E$2:$V$72,
    MATCH(1,
      ('Putt Log'!$A$2:$A$72=$A1133)*
      ('Putt Log'!$B$2:$B$72=$B1133)*
      ('Putt Log'!$C$2:$C$72=$C1133),
    0),
    MATCH($G1133,'Putt Log'!$E$1:$V$1,0)
  ),
"")</f>
        <v>1</v>
      </c>
      <c r="P1133" cm="1">
        <f t="array" ref="P1133">IF(K1133=3,"",
  IFERROR(
    INDEX('Fairway Log'!$E$2:$V$72,
      MATCH(1,
        ('Fairway Log'!$A$2:$A$72=$A1133)*
        ('Fairway Log'!$B$2:$B$72=$B1133)*
        ('Fairway Log'!$C$2:$C1204=$C1133),
      0),
      MATCH($G1133,'Fairway Log'!$E$1:$V$1,0)
    ),
  "")
)</f>
        <v>1</v>
      </c>
      <c r="Q1133" cm="1">
        <f t="array" ref="Q1133">IFERROR(
  INDEX('GIR Log'!$E$2:$V$72,
    MATCH(1,
      ('GIR Log'!$A$2:$A$72=$A1133)*
      ('GIR Log'!$B$2:$B$72=$B1133)*
      ('GIR Log'!$C$2:$C$72=$C1133),
    0),
    MATCH($G1133,'GIR Log'!$E$1:$V$1,0)
  ),
"")</f>
        <v>0</v>
      </c>
    </row>
    <row r="1134" spans="1:17" x14ac:dyDescent="0.25">
      <c r="A1134" s="51" t="s">
        <v>130</v>
      </c>
      <c r="B1134" s="2">
        <v>45172</v>
      </c>
      <c r="C1134" s="51" t="s">
        <v>3</v>
      </c>
      <c r="D1134" s="51" t="s">
        <v>3</v>
      </c>
      <c r="E1134" s="51" t="s">
        <v>34</v>
      </c>
      <c r="F1134">
        <v>82</v>
      </c>
      <c r="G1134" s="12" t="s">
        <v>63</v>
      </c>
      <c r="H1134" s="9">
        <f t="shared" si="72"/>
        <v>17</v>
      </c>
      <c r="I1134" cm="1">
        <f t="array" ref="I1134">IFERROR(INDEX(CourseYardages[[Hole 1]:[Hole 18]],
  MATCH(1, (CourseYardages[Course]=C1134)*(CourseYardages[Tees]=E1134), 0),
  MATCH(G1134, CourseYardages[[#Headers],[Hole 1]:[Hole 18]], 0)
),"")</f>
        <v>418</v>
      </c>
      <c r="J1134" cm="1">
        <f t="array" ref="J1134">IFERROR(INDEX(CourseHandicap[[Hole 1]:[Hole 18]],
  MATCH(1, (CourseHandicap[Course]=C1134)*(CourseHandicap[Tees]=E1134), 0),
  MATCH(G1134, CourseHandicap[[#Headers],[Hole 1]:[Hole 18]], 0)
),"")</f>
        <v>4</v>
      </c>
      <c r="K1134" cm="1">
        <f t="array" ref="K1134">IFERROR(INDEX(CourseRatings[[Hole 1]:[Hole 18]],
  MATCH(1, (CourseRatings[Course]=C1134)*(CourseRatings[Tees]=E1134), 0),
  MATCH(G1134, CourseRatings[[#Headers],[Hole 1]:[Hole 18]], 0)
),"")</f>
        <v>4</v>
      </c>
      <c r="L1134" cm="1">
        <f t="array" ref="L1134">IFERROR(
  INDEX('Golf Log'!$E$2:$V$72,
    MATCH(1,
      ('Golf Log'!$A$2:$A$72=$A1134)*
      ('Golf Log'!$B$2:$B$72=$B1134)*
      ('Golf Log'!$C$2:$C$72=$C1134),
    0),
    MATCH($G1134,'Golf Log'!$E$1:$V$1,0)
  ),
"")</f>
        <v>5</v>
      </c>
      <c r="M1134">
        <f t="shared" si="73"/>
        <v>1</v>
      </c>
      <c r="N1134" t="str">
        <f t="shared" si="74"/>
        <v>Bogey</v>
      </c>
      <c r="O1134" cm="1">
        <f t="array" ref="O1134">IFERROR(
  INDEX('Putt Log'!$E$2:$V$72,
    MATCH(1,
      ('Putt Log'!$A$2:$A$72=$A1134)*
      ('Putt Log'!$B$2:$B$72=$B1134)*
      ('Putt Log'!$C$2:$C$72=$C1134),
    0),
    MATCH($G1134,'Putt Log'!$E$1:$V$1,0)
  ),
"")</f>
        <v>2</v>
      </c>
      <c r="P1134" t="str" cm="1">
        <f t="array" ref="P1134">IF(K1134=3,"",
  IFERROR(
    INDEX('Fairway Log'!$E$2:$V$72,
      MATCH(1,
        ('Fairway Log'!$A$2:$A$72=$A1134)*
        ('Fairway Log'!$B$2:$B$72=$B1134)*
        ('Fairway Log'!$C$2:$C1205=$C1134),
      0),
      MATCH($G1134,'Fairway Log'!$E$1:$V$1,0)
    ),
  "")
)</f>
        <v>↑</v>
      </c>
      <c r="Q1134" cm="1">
        <f t="array" ref="Q1134">IFERROR(
  INDEX('GIR Log'!$E$2:$V$72,
    MATCH(1,
      ('GIR Log'!$A$2:$A$72=$A1134)*
      ('GIR Log'!$B$2:$B$72=$B1134)*
      ('GIR Log'!$C$2:$C$72=$C1134),
    0),
    MATCH($G1134,'GIR Log'!$E$1:$V$1,0)
  ),
"")</f>
        <v>0</v>
      </c>
    </row>
    <row r="1135" spans="1:17" x14ac:dyDescent="0.25">
      <c r="A1135" s="51" t="s">
        <v>130</v>
      </c>
      <c r="B1135" s="2">
        <v>45172</v>
      </c>
      <c r="C1135" s="51" t="s">
        <v>3</v>
      </c>
      <c r="D1135" s="51" t="s">
        <v>3</v>
      </c>
      <c r="E1135" s="51" t="s">
        <v>34</v>
      </c>
      <c r="F1135">
        <v>82</v>
      </c>
      <c r="G1135" s="12" t="s">
        <v>64</v>
      </c>
      <c r="H1135" s="9">
        <f t="shared" si="72"/>
        <v>18</v>
      </c>
      <c r="I1135" cm="1">
        <f t="array" ref="I1135">IFERROR(INDEX(CourseYardages[[Hole 1]:[Hole 18]],
  MATCH(1, (CourseYardages[Course]=C1135)*(CourseYardages[Tees]=E1135), 0),
  MATCH(G1135, CourseYardages[[#Headers],[Hole 1]:[Hole 18]], 0)
),"")</f>
        <v>398</v>
      </c>
      <c r="J1135" cm="1">
        <f t="array" ref="J1135">IFERROR(INDEX(CourseHandicap[[Hole 1]:[Hole 18]],
  MATCH(1, (CourseHandicap[Course]=C1135)*(CourseHandicap[Tees]=E1135), 0),
  MATCH(G1135, CourseHandicap[[#Headers],[Hole 1]:[Hole 18]], 0)
),"")</f>
        <v>6</v>
      </c>
      <c r="K1135" cm="1">
        <f t="array" ref="K1135">IFERROR(INDEX(CourseRatings[[Hole 1]:[Hole 18]],
  MATCH(1, (CourseRatings[Course]=C1135)*(CourseRatings[Tees]=E1135), 0),
  MATCH(G1135, CourseRatings[[#Headers],[Hole 1]:[Hole 18]], 0)
),"")</f>
        <v>4</v>
      </c>
      <c r="L1135" cm="1">
        <f t="array" ref="L1135">IFERROR(
  INDEX('Golf Log'!$E$2:$V$72,
    MATCH(1,
      ('Golf Log'!$A$2:$A$72=$A1135)*
      ('Golf Log'!$B$2:$B$72=$B1135)*
      ('Golf Log'!$C$2:$C$72=$C1135),
    0),
    MATCH($G1135,'Golf Log'!$E$1:$V$1,0)
  ),
"")</f>
        <v>5</v>
      </c>
      <c r="M1135">
        <f t="shared" si="73"/>
        <v>1</v>
      </c>
      <c r="N1135" t="str">
        <f t="shared" si="74"/>
        <v>Bogey</v>
      </c>
      <c r="O1135" cm="1">
        <f t="array" ref="O1135">IFERROR(
  INDEX('Putt Log'!$E$2:$V$72,
    MATCH(1,
      ('Putt Log'!$A$2:$A$72=$A1135)*
      ('Putt Log'!$B$2:$B$72=$B1135)*
      ('Putt Log'!$C$2:$C$72=$C1135),
    0),
    MATCH($G1135,'Putt Log'!$E$1:$V$1,0)
  ),
"")</f>
        <v>2</v>
      </c>
      <c r="P1135" t="str" cm="1">
        <f t="array" ref="P1135">IF(K1135=3,"",
  IFERROR(
    INDEX('Fairway Log'!$E$2:$V$72,
      MATCH(1,
        ('Fairway Log'!$A$2:$A$72=$A1135)*
        ('Fairway Log'!$B$2:$B$72=$B1135)*
        ('Fairway Log'!$C$2:$C1206=$C1135),
      0),
      MATCH($G1135,'Fairway Log'!$E$1:$V$1,0)
    ),
  "")
)</f>
        <v>→</v>
      </c>
      <c r="Q1135" cm="1">
        <f t="array" ref="Q1135">IFERROR(
  INDEX('GIR Log'!$E$2:$V$72,
    MATCH(1,
      ('GIR Log'!$A$2:$A$72=$A1135)*
      ('GIR Log'!$B$2:$B$72=$B1135)*
      ('GIR Log'!$C$2:$C$72=$C1135),
    0),
    MATCH($G1135,'GIR Log'!$E$1:$V$1,0)
  ),
"")</f>
        <v>0</v>
      </c>
    </row>
    <row r="1136" spans="1:17" x14ac:dyDescent="0.25">
      <c r="A1136" s="68" t="s">
        <v>126</v>
      </c>
      <c r="B1136" s="2">
        <v>45941</v>
      </c>
      <c r="C1136" s="68" t="s">
        <v>12</v>
      </c>
      <c r="D1136" s="68" t="s">
        <v>76</v>
      </c>
      <c r="E1136" s="68" t="s">
        <v>36</v>
      </c>
      <c r="F1136">
        <v>91</v>
      </c>
      <c r="G1136" t="s">
        <v>47</v>
      </c>
      <c r="H1136" s="9">
        <f t="shared" si="72"/>
        <v>1</v>
      </c>
      <c r="I1136" cm="1">
        <f t="array" ref="I1136">IFERROR(INDEX(CourseYardages[[Hole 1]:[Hole 18]],
  MATCH(1, (CourseYardages[Course]=C1136)*(CourseYardages[Tees]=E1136), 0),
  MATCH(G1136, CourseYardages[[#Headers],[Hole 1]:[Hole 18]], 0)
),"")</f>
        <v>359</v>
      </c>
      <c r="J1136" cm="1">
        <f t="array" ref="J1136">IFERROR(INDEX(CourseHandicap[[Hole 1]:[Hole 18]],
  MATCH(1, (CourseHandicap[Course]=C1136)*(CourseHandicap[Tees]=E1136), 0),
  MATCH(G1136, CourseHandicap[[#Headers],[Hole 1]:[Hole 18]], 0)
),"")</f>
        <v>9</v>
      </c>
      <c r="K1136" cm="1">
        <f t="array" ref="K1136">IFERROR(INDEX(CourseRatings[[Hole 1]:[Hole 18]],
  MATCH(1, (CourseRatings[Course]=C1136)*(CourseRatings[Tees]=E1136), 0),
  MATCH(G1136, CourseRatings[[#Headers],[Hole 1]:[Hole 18]], 0)
),"")</f>
        <v>4</v>
      </c>
      <c r="L1136" cm="1">
        <f t="array" ref="L1136">IFERROR(
  INDEX('Golf Log'!$E$2:$V$72,
    MATCH(1,
      ('Golf Log'!$A$2:$A$72=$A1136)*
      ('Golf Log'!$B$2:$B$72=$B1136)*
      ('Golf Log'!$C$2:$C$72=$C1136),
    0),
    MATCH($G1136,'Golf Log'!$E$1:$V$1,0)
  ),
"")</f>
        <v>6</v>
      </c>
      <c r="M1136">
        <f t="shared" ref="M1136:M1153" si="75">IFERROR(L1136-K1136,"")</f>
        <v>2</v>
      </c>
      <c r="N1136" t="str">
        <f t="shared" ref="N1136:N1153" si="76">IF(M1136="","",(IF(M1136=-2,"Eagle",IF(M1136=-1,"Birdie",IF(M1136=0,"Par",IF(M1136=1,"Bogey",IF(M1136=2,"Double Bogey",IF(M1136=3,"Triple Bogey",IF(M1136&gt;3,"Quad Bogey+")))))))))</f>
        <v>Double Bogey</v>
      </c>
      <c r="O1136" cm="1">
        <f t="array" ref="O1136">IFERROR(
  INDEX('Putt Log'!$E$2:$V$72,
    MATCH(1,
      ('Putt Log'!$A$2:$A$72=$A1136)*
      ('Putt Log'!$B$2:$B$72=$B1136)*
      ('Putt Log'!$C$2:$C$72=$C1136),
    0),
    MATCH($G1136,'Putt Log'!$E$1:$V$1,0)
  ),
"")</f>
        <v>2</v>
      </c>
      <c r="P1136" t="str" cm="1">
        <f t="array" ref="P1136">IF(K1136=3,"",
  IFERROR(
    INDEX('Fairway Log'!$E$2:$V$72,
      MATCH(1,
        ('Fairway Log'!$A$2:$A$72=$A1136)*
        ('Fairway Log'!$B$2:$B$72=$B1136)*
        ('Fairway Log'!$C$2:$C1207=$C1136),
      0),
      MATCH($G1136,'Fairway Log'!$E$1:$V$1,0)
    ),
  "")
)</f>
        <v>←</v>
      </c>
      <c r="Q1136" t="str" cm="1">
        <f t="array" ref="Q1136">IFERROR(
  INDEX('GIR Log'!$E$2:$V$72,
    MATCH(1,
      ('GIR Log'!$A$2:$A$72=$A1136)*
      ('GIR Log'!$B$2:$B$72=$B1136)*
      ('GIR Log'!$C$2:$C$72=$C1136),
    0),
    MATCH($G1136,'GIR Log'!$E$1:$V$1,0)
  ),
"")</f>
        <v>↓</v>
      </c>
    </row>
    <row r="1137" spans="1:17" x14ac:dyDescent="0.25">
      <c r="A1137" s="68" t="s">
        <v>126</v>
      </c>
      <c r="B1137" s="2">
        <v>45941</v>
      </c>
      <c r="C1137" s="68" t="s">
        <v>12</v>
      </c>
      <c r="D1137" s="68" t="s">
        <v>76</v>
      </c>
      <c r="E1137" s="68" t="s">
        <v>36</v>
      </c>
      <c r="F1137">
        <v>91</v>
      </c>
      <c r="G1137" t="s">
        <v>48</v>
      </c>
      <c r="H1137" s="9">
        <f t="shared" si="72"/>
        <v>2</v>
      </c>
      <c r="I1137" cm="1">
        <f t="array" ref="I1137">IFERROR(INDEX(CourseYardages[[Hole 1]:[Hole 18]],
  MATCH(1, (CourseYardages[Course]=C1137)*(CourseYardages[Tees]=E1137), 0),
  MATCH(G1137, CourseYardages[[#Headers],[Hole 1]:[Hole 18]], 0)
),"")</f>
        <v>440</v>
      </c>
      <c r="J1137" cm="1">
        <f t="array" ref="J1137">IFERROR(INDEX(CourseHandicap[[Hole 1]:[Hole 18]],
  MATCH(1, (CourseHandicap[Course]=C1137)*(CourseHandicap[Tees]=E1137), 0),
  MATCH(G1137, CourseHandicap[[#Headers],[Hole 1]:[Hole 18]], 0)
),"")</f>
        <v>5</v>
      </c>
      <c r="K1137" cm="1">
        <f t="array" ref="K1137">IFERROR(INDEX(CourseRatings[[Hole 1]:[Hole 18]],
  MATCH(1, (CourseRatings[Course]=C1137)*(CourseRatings[Tees]=E1137), 0),
  MATCH(G1137, CourseRatings[[#Headers],[Hole 1]:[Hole 18]], 0)
),"")</f>
        <v>5</v>
      </c>
      <c r="L1137" cm="1">
        <f t="array" ref="L1137">IFERROR(
  INDEX('Golf Log'!$E$2:$V$72,
    MATCH(1,
      ('Golf Log'!$A$2:$A$72=$A1137)*
      ('Golf Log'!$B$2:$B$72=$B1137)*
      ('Golf Log'!$C$2:$C$72=$C1137),
    0),
    MATCH($G1137,'Golf Log'!$E$1:$V$1,0)
  ),
"")</f>
        <v>7</v>
      </c>
      <c r="M1137">
        <f t="shared" si="75"/>
        <v>2</v>
      </c>
      <c r="N1137" t="str">
        <f t="shared" si="76"/>
        <v>Double Bogey</v>
      </c>
      <c r="O1137" cm="1">
        <f t="array" ref="O1137">IFERROR(
  INDEX('Putt Log'!$E$2:$V$72,
    MATCH(1,
      ('Putt Log'!$A$2:$A$72=$A1137)*
      ('Putt Log'!$B$2:$B$72=$B1137)*
      ('Putt Log'!$C$2:$C$72=$C1137),
    0),
    MATCH($G1137,'Putt Log'!$E$1:$V$1,0)
  ),
"")</f>
        <v>2</v>
      </c>
      <c r="P1137" cm="1">
        <f t="array" ref="P1137">IF(K1137=3,"",
  IFERROR(
    INDEX('Fairway Log'!$E$2:$V$72,
      MATCH(1,
        ('Fairway Log'!$A$2:$A$72=$A1137)*
        ('Fairway Log'!$B$2:$B$72=$B1137)*
        ('Fairway Log'!$C$2:$C1208=$C1137),
      0),
      MATCH($G1137,'Fairway Log'!$E$1:$V$1,0)
    ),
  "")
)</f>
        <v>1</v>
      </c>
      <c r="Q1137" t="str" cm="1">
        <f t="array" ref="Q1137">IFERROR(
  INDEX('GIR Log'!$E$2:$V$72,
    MATCH(1,
      ('GIR Log'!$A$2:$A$72=$A1137)*
      ('GIR Log'!$B$2:$B$72=$B1137)*
      ('GIR Log'!$C$2:$C$72=$C1137),
    0),
    MATCH($G1137,'GIR Log'!$E$1:$V$1,0)
  ),
"")</f>
        <v>↑</v>
      </c>
    </row>
    <row r="1138" spans="1:17" x14ac:dyDescent="0.25">
      <c r="A1138" s="68" t="s">
        <v>126</v>
      </c>
      <c r="B1138" s="2">
        <v>45941</v>
      </c>
      <c r="C1138" s="68" t="s">
        <v>12</v>
      </c>
      <c r="D1138" s="68" t="s">
        <v>76</v>
      </c>
      <c r="E1138" s="68" t="s">
        <v>36</v>
      </c>
      <c r="F1138">
        <v>91</v>
      </c>
      <c r="G1138" t="s">
        <v>49</v>
      </c>
      <c r="H1138" s="9">
        <f t="shared" si="72"/>
        <v>3</v>
      </c>
      <c r="I1138" cm="1">
        <f t="array" ref="I1138">IFERROR(INDEX(CourseYardages[[Hole 1]:[Hole 18]],
  MATCH(1, (CourseYardages[Course]=C1138)*(CourseYardages[Tees]=E1138), 0),
  MATCH(G1138, CourseYardages[[#Headers],[Hole 1]:[Hole 18]], 0)
),"")</f>
        <v>325</v>
      </c>
      <c r="J1138" cm="1">
        <f t="array" ref="J1138">IFERROR(INDEX(CourseHandicap[[Hole 1]:[Hole 18]],
  MATCH(1, (CourseHandicap[Course]=C1138)*(CourseHandicap[Tees]=E1138), 0),
  MATCH(G1138, CourseHandicap[[#Headers],[Hole 1]:[Hole 18]], 0)
),"")</f>
        <v>13</v>
      </c>
      <c r="K1138" cm="1">
        <f t="array" ref="K1138">IFERROR(INDEX(CourseRatings[[Hole 1]:[Hole 18]],
  MATCH(1, (CourseRatings[Course]=C1138)*(CourseRatings[Tees]=E1138), 0),
  MATCH(G1138, CourseRatings[[#Headers],[Hole 1]:[Hole 18]], 0)
),"")</f>
        <v>4</v>
      </c>
      <c r="L1138" cm="1">
        <f t="array" ref="L1138">IFERROR(
  INDEX('Golf Log'!$E$2:$V$72,
    MATCH(1,
      ('Golf Log'!$A$2:$A$72=$A1138)*
      ('Golf Log'!$B$2:$B$72=$B1138)*
      ('Golf Log'!$C$2:$C$72=$C1138),
    0),
    MATCH($G1138,'Golf Log'!$E$1:$V$1,0)
  ),
"")</f>
        <v>5</v>
      </c>
      <c r="M1138">
        <f t="shared" si="75"/>
        <v>1</v>
      </c>
      <c r="N1138" t="str">
        <f t="shared" si="76"/>
        <v>Bogey</v>
      </c>
      <c r="O1138" cm="1">
        <f t="array" ref="O1138">IFERROR(
  INDEX('Putt Log'!$E$2:$V$72,
    MATCH(1,
      ('Putt Log'!$A$2:$A$72=$A1138)*
      ('Putt Log'!$B$2:$B$72=$B1138)*
      ('Putt Log'!$C$2:$C$72=$C1138),
    0),
    MATCH($G1138,'Putt Log'!$E$1:$V$1,0)
  ),
"")</f>
        <v>2</v>
      </c>
      <c r="P1138" t="str" cm="1">
        <f t="array" ref="P1138">IF(K1138=3,"",
  IFERROR(
    INDEX('Fairway Log'!$E$2:$V$72,
      MATCH(1,
        ('Fairway Log'!$A$2:$A$72=$A1138)*
        ('Fairway Log'!$B$2:$B$72=$B1138)*
        ('Fairway Log'!$C$2:$C1209=$C1138),
      0),
      MATCH($G1138,'Fairway Log'!$E$1:$V$1,0)
    ),
  "")
)</f>
        <v>→</v>
      </c>
      <c r="Q1138" t="str" cm="1">
        <f t="array" ref="Q1138">IFERROR(
  INDEX('GIR Log'!$E$2:$V$72,
    MATCH(1,
      ('GIR Log'!$A$2:$A$72=$A1138)*
      ('GIR Log'!$B$2:$B$72=$B1138)*
      ('GIR Log'!$C$2:$C$72=$C1138),
    0),
    MATCH($G1138,'GIR Log'!$E$1:$V$1,0)
  ),
"")</f>
        <v>↓</v>
      </c>
    </row>
    <row r="1139" spans="1:17" x14ac:dyDescent="0.25">
      <c r="A1139" s="68" t="s">
        <v>126</v>
      </c>
      <c r="B1139" s="2">
        <v>45941</v>
      </c>
      <c r="C1139" s="68" t="s">
        <v>12</v>
      </c>
      <c r="D1139" s="68" t="s">
        <v>76</v>
      </c>
      <c r="E1139" s="68" t="s">
        <v>36</v>
      </c>
      <c r="F1139">
        <v>91</v>
      </c>
      <c r="G1139" t="s">
        <v>50</v>
      </c>
      <c r="H1139" s="9">
        <f t="shared" si="72"/>
        <v>4</v>
      </c>
      <c r="I1139" cm="1">
        <f t="array" ref="I1139">IFERROR(INDEX(CourseYardages[[Hole 1]:[Hole 18]],
  MATCH(1, (CourseYardages[Course]=C1139)*(CourseYardages[Tees]=E1139), 0),
  MATCH(G1139, CourseYardages[[#Headers],[Hole 1]:[Hole 18]], 0)
),"")</f>
        <v>353</v>
      </c>
      <c r="J1139" cm="1">
        <f t="array" ref="J1139">IFERROR(INDEX(CourseHandicap[[Hole 1]:[Hole 18]],
  MATCH(1, (CourseHandicap[Course]=C1139)*(CourseHandicap[Tees]=E1139), 0),
  MATCH(G1139, CourseHandicap[[#Headers],[Hole 1]:[Hole 18]], 0)
),"")</f>
        <v>11</v>
      </c>
      <c r="K1139" cm="1">
        <f t="array" ref="K1139">IFERROR(INDEX(CourseRatings[[Hole 1]:[Hole 18]],
  MATCH(1, (CourseRatings[Course]=C1139)*(CourseRatings[Tees]=E1139), 0),
  MATCH(G1139, CourseRatings[[#Headers],[Hole 1]:[Hole 18]], 0)
),"")</f>
        <v>4</v>
      </c>
      <c r="L1139" cm="1">
        <f t="array" ref="L1139">IFERROR(
  INDEX('Golf Log'!$E$2:$V$72,
    MATCH(1,
      ('Golf Log'!$A$2:$A$72=$A1139)*
      ('Golf Log'!$B$2:$B$72=$B1139)*
      ('Golf Log'!$C$2:$C$72=$C1139),
    0),
    MATCH($G1139,'Golf Log'!$E$1:$V$1,0)
  ),
"")</f>
        <v>6</v>
      </c>
      <c r="M1139">
        <f t="shared" si="75"/>
        <v>2</v>
      </c>
      <c r="N1139" t="str">
        <f t="shared" si="76"/>
        <v>Double Bogey</v>
      </c>
      <c r="O1139" cm="1">
        <f t="array" ref="O1139">IFERROR(
  INDEX('Putt Log'!$E$2:$V$72,
    MATCH(1,
      ('Putt Log'!$A$2:$A$72=$A1139)*
      ('Putt Log'!$B$2:$B$72=$B1139)*
      ('Putt Log'!$C$2:$C$72=$C1139),
    0),
    MATCH($G1139,'Putt Log'!$E$1:$V$1,0)
  ),
"")</f>
        <v>2</v>
      </c>
      <c r="P1139" t="str" cm="1">
        <f t="array" ref="P1139">IF(K1139=3,"",
  IFERROR(
    INDEX('Fairway Log'!$E$2:$V$72,
      MATCH(1,
        ('Fairway Log'!$A$2:$A$72=$A1139)*
        ('Fairway Log'!$B$2:$B$72=$B1139)*
        ('Fairway Log'!$C$2:$C1210=$C1139),
      0),
      MATCH($G1139,'Fairway Log'!$E$1:$V$1,0)
    ),
  "")
)</f>
        <v>←</v>
      </c>
      <c r="Q1139" t="str" cm="1">
        <f t="array" ref="Q1139">IFERROR(
  INDEX('GIR Log'!$E$2:$V$72,
    MATCH(1,
      ('GIR Log'!$A$2:$A$72=$A1139)*
      ('GIR Log'!$B$2:$B$72=$B1139)*
      ('GIR Log'!$C$2:$C$72=$C1139),
    0),
    MATCH($G1139,'GIR Log'!$E$1:$V$1,0)
  ),
"")</f>
        <v>↓</v>
      </c>
    </row>
    <row r="1140" spans="1:17" x14ac:dyDescent="0.25">
      <c r="A1140" s="68" t="s">
        <v>126</v>
      </c>
      <c r="B1140" s="2">
        <v>45941</v>
      </c>
      <c r="C1140" s="68" t="s">
        <v>12</v>
      </c>
      <c r="D1140" s="68" t="s">
        <v>76</v>
      </c>
      <c r="E1140" s="68" t="s">
        <v>36</v>
      </c>
      <c r="F1140">
        <v>91</v>
      </c>
      <c r="G1140" t="s">
        <v>51</v>
      </c>
      <c r="H1140" s="9">
        <f t="shared" si="72"/>
        <v>5</v>
      </c>
      <c r="I1140" cm="1">
        <f t="array" ref="I1140">IFERROR(INDEX(CourseYardages[[Hole 1]:[Hole 18]],
  MATCH(1, (CourseYardages[Course]=C1140)*(CourseYardages[Tees]=E1140), 0),
  MATCH(G1140, CourseYardages[[#Headers],[Hole 1]:[Hole 18]], 0)
),"")</f>
        <v>457</v>
      </c>
      <c r="J1140" cm="1">
        <f t="array" ref="J1140">IFERROR(INDEX(CourseHandicap[[Hole 1]:[Hole 18]],
  MATCH(1, (CourseHandicap[Course]=C1140)*(CourseHandicap[Tees]=E1140), 0),
  MATCH(G1140, CourseHandicap[[#Headers],[Hole 1]:[Hole 18]], 0)
),"")</f>
        <v>7</v>
      </c>
      <c r="K1140" cm="1">
        <f t="array" ref="K1140">IFERROR(INDEX(CourseRatings[[Hole 1]:[Hole 18]],
  MATCH(1, (CourseRatings[Course]=C1140)*(CourseRatings[Tees]=E1140), 0),
  MATCH(G1140, CourseRatings[[#Headers],[Hole 1]:[Hole 18]], 0)
),"")</f>
        <v>5</v>
      </c>
      <c r="L1140" cm="1">
        <f t="array" ref="L1140">IFERROR(
  INDEX('Golf Log'!$E$2:$V$72,
    MATCH(1,
      ('Golf Log'!$A$2:$A$72=$A1140)*
      ('Golf Log'!$B$2:$B$72=$B1140)*
      ('Golf Log'!$C$2:$C$72=$C1140),
    0),
    MATCH($G1140,'Golf Log'!$E$1:$V$1,0)
  ),
"")</f>
        <v>6</v>
      </c>
      <c r="M1140">
        <f t="shared" si="75"/>
        <v>1</v>
      </c>
      <c r="N1140" t="str">
        <f t="shared" si="76"/>
        <v>Bogey</v>
      </c>
      <c r="O1140" cm="1">
        <f t="array" ref="O1140">IFERROR(
  INDEX('Putt Log'!$E$2:$V$72,
    MATCH(1,
      ('Putt Log'!$A$2:$A$72=$A1140)*
      ('Putt Log'!$B$2:$B$72=$B1140)*
      ('Putt Log'!$C$2:$C$72=$C1140),
    0),
    MATCH($G1140,'Putt Log'!$E$1:$V$1,0)
  ),
"")</f>
        <v>1</v>
      </c>
      <c r="P1140" t="str" cm="1">
        <f t="array" ref="P1140">IF(K1140=3,"",
  IFERROR(
    INDEX('Fairway Log'!$E$2:$V$72,
      MATCH(1,
        ('Fairway Log'!$A$2:$A$72=$A1140)*
        ('Fairway Log'!$B$2:$B$72=$B1140)*
        ('Fairway Log'!$C$2:$C1211=$C1140),
      0),
      MATCH($G1140,'Fairway Log'!$E$1:$V$1,0)
    ),
  "")
)</f>
        <v>→</v>
      </c>
      <c r="Q1140" t="str" cm="1">
        <f t="array" ref="Q1140">IFERROR(
  INDEX('GIR Log'!$E$2:$V$72,
    MATCH(1,
      ('GIR Log'!$A$2:$A$72=$A1140)*
      ('GIR Log'!$B$2:$B$72=$B1140)*
      ('GIR Log'!$C$2:$C$72=$C1140),
    0),
    MATCH($G1140,'GIR Log'!$E$1:$V$1,0)
  ),
"")</f>
        <v>↓</v>
      </c>
    </row>
    <row r="1141" spans="1:17" x14ac:dyDescent="0.25">
      <c r="A1141" s="68" t="s">
        <v>126</v>
      </c>
      <c r="B1141" s="2">
        <v>45941</v>
      </c>
      <c r="C1141" s="68" t="s">
        <v>12</v>
      </c>
      <c r="D1141" s="68" t="s">
        <v>76</v>
      </c>
      <c r="E1141" s="68" t="s">
        <v>36</v>
      </c>
      <c r="F1141">
        <v>91</v>
      </c>
      <c r="G1141" t="s">
        <v>52</v>
      </c>
      <c r="H1141" s="9">
        <f t="shared" si="72"/>
        <v>6</v>
      </c>
      <c r="I1141" cm="1">
        <f t="array" ref="I1141">IFERROR(INDEX(CourseYardages[[Hole 1]:[Hole 18]],
  MATCH(1, (CourseYardages[Course]=C1141)*(CourseYardages[Tees]=E1141), 0),
  MATCH(G1141, CourseYardages[[#Headers],[Hole 1]:[Hole 18]], 0)
),"")</f>
        <v>155</v>
      </c>
      <c r="J1141" cm="1">
        <f t="array" ref="J1141">IFERROR(INDEX(CourseHandicap[[Hole 1]:[Hole 18]],
  MATCH(1, (CourseHandicap[Course]=C1141)*(CourseHandicap[Tees]=E1141), 0),
  MATCH(G1141, CourseHandicap[[#Headers],[Hole 1]:[Hole 18]], 0)
),"")</f>
        <v>17</v>
      </c>
      <c r="K1141" cm="1">
        <f t="array" ref="K1141">IFERROR(INDEX(CourseRatings[[Hole 1]:[Hole 18]],
  MATCH(1, (CourseRatings[Course]=C1141)*(CourseRatings[Tees]=E1141), 0),
  MATCH(G1141, CourseRatings[[#Headers],[Hole 1]:[Hole 18]], 0)
),"")</f>
        <v>3</v>
      </c>
      <c r="L1141" cm="1">
        <f t="array" ref="L1141">IFERROR(
  INDEX('Golf Log'!$E$2:$V$72,
    MATCH(1,
      ('Golf Log'!$A$2:$A$72=$A1141)*
      ('Golf Log'!$B$2:$B$72=$B1141)*
      ('Golf Log'!$C$2:$C$72=$C1141),
    0),
    MATCH($G1141,'Golf Log'!$E$1:$V$1,0)
  ),
"")</f>
        <v>3</v>
      </c>
      <c r="M1141">
        <f t="shared" si="75"/>
        <v>0</v>
      </c>
      <c r="N1141" t="str">
        <f t="shared" si="76"/>
        <v>Par</v>
      </c>
      <c r="O1141" cm="1">
        <f t="array" ref="O1141">IFERROR(
  INDEX('Putt Log'!$E$2:$V$72,
    MATCH(1,
      ('Putt Log'!$A$2:$A$72=$A1141)*
      ('Putt Log'!$B$2:$B$72=$B1141)*
      ('Putt Log'!$C$2:$C$72=$C1141),
    0),
    MATCH($G1141,'Putt Log'!$E$1:$V$1,0)
  ),
"")</f>
        <v>1</v>
      </c>
      <c r="P1141" t="str" cm="1">
        <f t="array" ref="P1141">IF(K1141=3,"",
  IFERROR(
    INDEX('Fairway Log'!$E$2:$V$72,
      MATCH(1,
        ('Fairway Log'!$A$2:$A$72=$A1141)*
        ('Fairway Log'!$B$2:$B$72=$B1141)*
        ('Fairway Log'!$C$2:$C1212=$C1141),
      0),
      MATCH($G1141,'Fairway Log'!$E$1:$V$1,0)
    ),
  "")
)</f>
        <v/>
      </c>
      <c r="Q1141" t="str" cm="1">
        <f t="array" ref="Q1141">IFERROR(
  INDEX('GIR Log'!$E$2:$V$72,
    MATCH(1,
      ('GIR Log'!$A$2:$A$72=$A1141)*
      ('GIR Log'!$B$2:$B$72=$B1141)*
      ('GIR Log'!$C$2:$C$72=$C1141),
    0),
    MATCH($G1141,'GIR Log'!$E$1:$V$1,0)
  ),
"")</f>
        <v>↓</v>
      </c>
    </row>
    <row r="1142" spans="1:17" x14ac:dyDescent="0.25">
      <c r="A1142" s="68" t="s">
        <v>126</v>
      </c>
      <c r="B1142" s="2">
        <v>45941</v>
      </c>
      <c r="C1142" s="68" t="s">
        <v>12</v>
      </c>
      <c r="D1142" s="68" t="s">
        <v>76</v>
      </c>
      <c r="E1142" s="68" t="s">
        <v>36</v>
      </c>
      <c r="F1142">
        <v>91</v>
      </c>
      <c r="G1142" t="s">
        <v>53</v>
      </c>
      <c r="H1142" s="9">
        <f t="shared" si="72"/>
        <v>7</v>
      </c>
      <c r="I1142" cm="1">
        <f t="array" ref="I1142">IFERROR(INDEX(CourseYardages[[Hole 1]:[Hole 18]],
  MATCH(1, (CourseYardages[Course]=C1142)*(CourseYardages[Tees]=E1142), 0),
  MATCH(G1142, CourseYardages[[#Headers],[Hole 1]:[Hole 18]], 0)
),"")</f>
        <v>408</v>
      </c>
      <c r="J1142" cm="1">
        <f t="array" ref="J1142">IFERROR(INDEX(CourseHandicap[[Hole 1]:[Hole 18]],
  MATCH(1, (CourseHandicap[Course]=C1142)*(CourseHandicap[Tees]=E1142), 0),
  MATCH(G1142, CourseHandicap[[#Headers],[Hole 1]:[Hole 18]], 0)
),"")</f>
        <v>1</v>
      </c>
      <c r="K1142" cm="1">
        <f t="array" ref="K1142">IFERROR(INDEX(CourseRatings[[Hole 1]:[Hole 18]],
  MATCH(1, (CourseRatings[Course]=C1142)*(CourseRatings[Tees]=E1142), 0),
  MATCH(G1142, CourseRatings[[#Headers],[Hole 1]:[Hole 18]], 0)
),"")</f>
        <v>4</v>
      </c>
      <c r="L1142" cm="1">
        <f t="array" ref="L1142">IFERROR(
  INDEX('Golf Log'!$E$2:$V$72,
    MATCH(1,
      ('Golf Log'!$A$2:$A$72=$A1142)*
      ('Golf Log'!$B$2:$B$72=$B1142)*
      ('Golf Log'!$C$2:$C$72=$C1142),
    0),
    MATCH($G1142,'Golf Log'!$E$1:$V$1,0)
  ),
"")</f>
        <v>5</v>
      </c>
      <c r="M1142">
        <f t="shared" si="75"/>
        <v>1</v>
      </c>
      <c r="N1142" t="str">
        <f t="shared" si="76"/>
        <v>Bogey</v>
      </c>
      <c r="O1142" cm="1">
        <f t="array" ref="O1142">IFERROR(
  INDEX('Putt Log'!$E$2:$V$72,
    MATCH(1,
      ('Putt Log'!$A$2:$A$72=$A1142)*
      ('Putt Log'!$B$2:$B$72=$B1142)*
      ('Putt Log'!$C$2:$C$72=$C1142),
    0),
    MATCH($G1142,'Putt Log'!$E$1:$V$1,0)
  ),
"")</f>
        <v>1</v>
      </c>
      <c r="P1142" t="str" cm="1">
        <f t="array" ref="P1142">IF(K1142=3,"",
  IFERROR(
    INDEX('Fairway Log'!$E$2:$V$72,
      MATCH(1,
        ('Fairway Log'!$A$2:$A$72=$A1142)*
        ('Fairway Log'!$B$2:$B$72=$B1142)*
        ('Fairway Log'!$C$2:$C1213=$C1142),
      0),
      MATCH($G1142,'Fairway Log'!$E$1:$V$1,0)
    ),
  "")
)</f>
        <v>→</v>
      </c>
      <c r="Q1142" t="str" cm="1">
        <f t="array" ref="Q1142">IFERROR(
  INDEX('GIR Log'!$E$2:$V$72,
    MATCH(1,
      ('GIR Log'!$A$2:$A$72=$A1142)*
      ('GIR Log'!$B$2:$B$72=$B1142)*
      ('GIR Log'!$C$2:$C$72=$C1142),
    0),
    MATCH($G1142,'GIR Log'!$E$1:$V$1,0)
  ),
"")</f>
        <v>↓</v>
      </c>
    </row>
    <row r="1143" spans="1:17" x14ac:dyDescent="0.25">
      <c r="A1143" s="68" t="s">
        <v>126</v>
      </c>
      <c r="B1143" s="2">
        <v>45941</v>
      </c>
      <c r="C1143" s="68" t="s">
        <v>12</v>
      </c>
      <c r="D1143" s="68" t="s">
        <v>76</v>
      </c>
      <c r="E1143" s="68" t="s">
        <v>36</v>
      </c>
      <c r="F1143">
        <v>91</v>
      </c>
      <c r="G1143" t="s">
        <v>54</v>
      </c>
      <c r="H1143" s="9">
        <f t="shared" si="72"/>
        <v>8</v>
      </c>
      <c r="I1143" cm="1">
        <f t="array" ref="I1143">IFERROR(INDEX(CourseYardages[[Hole 1]:[Hole 18]],
  MATCH(1, (CourseYardages[Course]=C1143)*(CourseYardages[Tees]=E1143), 0),
  MATCH(G1143, CourseYardages[[#Headers],[Hole 1]:[Hole 18]], 0)
),"")</f>
        <v>154</v>
      </c>
      <c r="J1143" cm="1">
        <f t="array" ref="J1143">IFERROR(INDEX(CourseHandicap[[Hole 1]:[Hole 18]],
  MATCH(1, (CourseHandicap[Course]=C1143)*(CourseHandicap[Tees]=E1143), 0),
  MATCH(G1143, CourseHandicap[[#Headers],[Hole 1]:[Hole 18]], 0)
),"")</f>
        <v>15</v>
      </c>
      <c r="K1143" cm="1">
        <f t="array" ref="K1143">IFERROR(INDEX(CourseRatings[[Hole 1]:[Hole 18]],
  MATCH(1, (CourseRatings[Course]=C1143)*(CourseRatings[Tees]=E1143), 0),
  MATCH(G1143, CourseRatings[[#Headers],[Hole 1]:[Hole 18]], 0)
),"")</f>
        <v>3</v>
      </c>
      <c r="L1143" cm="1">
        <f t="array" ref="L1143">IFERROR(
  INDEX('Golf Log'!$E$2:$V$72,
    MATCH(1,
      ('Golf Log'!$A$2:$A$72=$A1143)*
      ('Golf Log'!$B$2:$B$72=$B1143)*
      ('Golf Log'!$C$2:$C$72=$C1143),
    0),
    MATCH($G1143,'Golf Log'!$E$1:$V$1,0)
  ),
"")</f>
        <v>3</v>
      </c>
      <c r="M1143">
        <f t="shared" si="75"/>
        <v>0</v>
      </c>
      <c r="N1143" t="str">
        <f t="shared" si="76"/>
        <v>Par</v>
      </c>
      <c r="O1143" cm="1">
        <f t="array" ref="O1143">IFERROR(
  INDEX('Putt Log'!$E$2:$V$72,
    MATCH(1,
      ('Putt Log'!$A$2:$A$72=$A1143)*
      ('Putt Log'!$B$2:$B$72=$B1143)*
      ('Putt Log'!$C$2:$C$72=$C1143),
    0),
    MATCH($G1143,'Putt Log'!$E$1:$V$1,0)
  ),
"")</f>
        <v>1</v>
      </c>
      <c r="P1143" t="str" cm="1">
        <f t="array" ref="P1143">IF(K1143=3,"",
  IFERROR(
    INDEX('Fairway Log'!$E$2:$V$72,
      MATCH(1,
        ('Fairway Log'!$A$2:$A$72=$A1143)*
        ('Fairway Log'!$B$2:$B$72=$B1143)*
        ('Fairway Log'!$C$2:$C1214=$C1143),
      0),
      MATCH($G1143,'Fairway Log'!$E$1:$V$1,0)
    ),
  "")
)</f>
        <v/>
      </c>
      <c r="Q1143" t="str" cm="1">
        <f t="array" ref="Q1143">IFERROR(
  INDEX('GIR Log'!$E$2:$V$72,
    MATCH(1,
      ('GIR Log'!$A$2:$A$72=$A1143)*
      ('GIR Log'!$B$2:$B$72=$B1143)*
      ('GIR Log'!$C$2:$C$72=$C1143),
    0),
    MATCH($G1143,'GIR Log'!$E$1:$V$1,0)
  ),
"")</f>
        <v>←</v>
      </c>
    </row>
    <row r="1144" spans="1:17" x14ac:dyDescent="0.25">
      <c r="A1144" s="68" t="s">
        <v>126</v>
      </c>
      <c r="B1144" s="2">
        <v>45941</v>
      </c>
      <c r="C1144" s="68" t="s">
        <v>12</v>
      </c>
      <c r="D1144" s="68" t="s">
        <v>76</v>
      </c>
      <c r="E1144" s="68" t="s">
        <v>36</v>
      </c>
      <c r="F1144">
        <v>91</v>
      </c>
      <c r="G1144" t="s">
        <v>55</v>
      </c>
      <c r="H1144" s="9">
        <f t="shared" si="72"/>
        <v>9</v>
      </c>
      <c r="I1144" cm="1">
        <f t="array" ref="I1144">IFERROR(INDEX(CourseYardages[[Hole 1]:[Hole 18]],
  MATCH(1, (CourseYardages[Course]=C1144)*(CourseYardages[Tees]=E1144), 0),
  MATCH(G1144, CourseYardages[[#Headers],[Hole 1]:[Hole 18]], 0)
),"")</f>
        <v>372</v>
      </c>
      <c r="J1144" cm="1">
        <f t="array" ref="J1144">IFERROR(INDEX(CourseHandicap[[Hole 1]:[Hole 18]],
  MATCH(1, (CourseHandicap[Course]=C1144)*(CourseHandicap[Tees]=E1144), 0),
  MATCH(G1144, CourseHandicap[[#Headers],[Hole 1]:[Hole 18]], 0)
),"")</f>
        <v>3</v>
      </c>
      <c r="K1144" cm="1">
        <f t="array" ref="K1144">IFERROR(INDEX(CourseRatings[[Hole 1]:[Hole 18]],
  MATCH(1, (CourseRatings[Course]=C1144)*(CourseRatings[Tees]=E1144), 0),
  MATCH(G1144, CourseRatings[[#Headers],[Hole 1]:[Hole 18]], 0)
),"")</f>
        <v>4</v>
      </c>
      <c r="L1144" cm="1">
        <f t="array" ref="L1144">IFERROR(
  INDEX('Golf Log'!$E$2:$V$72,
    MATCH(1,
      ('Golf Log'!$A$2:$A$72=$A1144)*
      ('Golf Log'!$B$2:$B$72=$B1144)*
      ('Golf Log'!$C$2:$C$72=$C1144),
    0),
    MATCH($G1144,'Golf Log'!$E$1:$V$1,0)
  ),
"")</f>
        <v>5</v>
      </c>
      <c r="M1144">
        <f t="shared" si="75"/>
        <v>1</v>
      </c>
      <c r="N1144" t="str">
        <f t="shared" si="76"/>
        <v>Bogey</v>
      </c>
      <c r="O1144" cm="1">
        <f t="array" ref="O1144">IFERROR(
  INDEX('Putt Log'!$E$2:$V$72,
    MATCH(1,
      ('Putt Log'!$A$2:$A$72=$A1144)*
      ('Putt Log'!$B$2:$B$72=$B1144)*
      ('Putt Log'!$C$2:$C$72=$C1144),
    0),
    MATCH($G1144,'Putt Log'!$E$1:$V$1,0)
  ),
"")</f>
        <v>2</v>
      </c>
      <c r="P1144" t="str" cm="1">
        <f t="array" ref="P1144">IF(K1144=3,"",
  IFERROR(
    INDEX('Fairway Log'!$E$2:$V$72,
      MATCH(1,
        ('Fairway Log'!$A$2:$A$72=$A1144)*
        ('Fairway Log'!$B$2:$B$72=$B1144)*
        ('Fairway Log'!$C$2:$C1215=$C1144),
      0),
      MATCH($G1144,'Fairway Log'!$E$1:$V$1,0)
    ),
  "")
)</f>
        <v>→</v>
      </c>
      <c r="Q1144" t="str" cm="1">
        <f t="array" ref="Q1144">IFERROR(
  INDEX('GIR Log'!$E$2:$V$72,
    MATCH(1,
      ('GIR Log'!$A$2:$A$72=$A1144)*
      ('GIR Log'!$B$2:$B$72=$B1144)*
      ('GIR Log'!$C$2:$C$72=$C1144),
    0),
    MATCH($G1144,'GIR Log'!$E$1:$V$1,0)
  ),
"")</f>
        <v>↓</v>
      </c>
    </row>
    <row r="1145" spans="1:17" x14ac:dyDescent="0.25">
      <c r="A1145" s="68" t="s">
        <v>126</v>
      </c>
      <c r="B1145" s="2">
        <v>45941</v>
      </c>
      <c r="C1145" s="68" t="s">
        <v>12</v>
      </c>
      <c r="D1145" s="68" t="s">
        <v>76</v>
      </c>
      <c r="E1145" s="68" t="s">
        <v>36</v>
      </c>
      <c r="F1145">
        <v>91</v>
      </c>
      <c r="G1145" t="s">
        <v>56</v>
      </c>
      <c r="H1145" s="9">
        <f t="shared" si="72"/>
        <v>10</v>
      </c>
      <c r="I1145" cm="1">
        <f t="array" ref="I1145">IFERROR(INDEX(CourseYardages[[Hole 1]:[Hole 18]],
  MATCH(1, (CourseYardages[Course]=C1145)*(CourseYardages[Tees]=E1145), 0),
  MATCH(G1145, CourseYardages[[#Headers],[Hole 1]:[Hole 18]], 0)
),"")</f>
        <v>468</v>
      </c>
      <c r="J1145" cm="1">
        <f t="array" ref="J1145">IFERROR(INDEX(CourseHandicap[[Hole 1]:[Hole 18]],
  MATCH(1, (CourseHandicap[Course]=C1145)*(CourseHandicap[Tees]=E1145), 0),
  MATCH(G1145, CourseHandicap[[#Headers],[Hole 1]:[Hole 18]], 0)
),"")</f>
        <v>4</v>
      </c>
      <c r="K1145" cm="1">
        <f t="array" ref="K1145">IFERROR(INDEX(CourseRatings[[Hole 1]:[Hole 18]],
  MATCH(1, (CourseRatings[Course]=C1145)*(CourseRatings[Tees]=E1145), 0),
  MATCH(G1145, CourseRatings[[#Headers],[Hole 1]:[Hole 18]], 0)
),"")</f>
        <v>5</v>
      </c>
      <c r="L1145" cm="1">
        <f t="array" ref="L1145">IFERROR(
  INDEX('Golf Log'!$E$2:$V$72,
    MATCH(1,
      ('Golf Log'!$A$2:$A$72=$A1145)*
      ('Golf Log'!$B$2:$B$72=$B1145)*
      ('Golf Log'!$C$2:$C$72=$C1145),
    0),
    MATCH($G1145,'Golf Log'!$E$1:$V$1,0)
  ),
"")</f>
        <v>4</v>
      </c>
      <c r="M1145">
        <f t="shared" si="75"/>
        <v>-1</v>
      </c>
      <c r="N1145" t="str">
        <f t="shared" si="76"/>
        <v>Birdie</v>
      </c>
      <c r="O1145" cm="1">
        <f t="array" ref="O1145">IFERROR(
  INDEX('Putt Log'!$E$2:$V$72,
    MATCH(1,
      ('Putt Log'!$A$2:$A$72=$A1145)*
      ('Putt Log'!$B$2:$B$72=$B1145)*
      ('Putt Log'!$C$2:$C$72=$C1145),
    0),
    MATCH($G1145,'Putt Log'!$E$1:$V$1,0)
  ),
"")</f>
        <v>1</v>
      </c>
      <c r="P1145" t="str" cm="1">
        <f t="array" ref="P1145">IF(K1145=3,"",
  IFERROR(
    INDEX('Fairway Log'!$E$2:$V$72,
      MATCH(1,
        ('Fairway Log'!$A$2:$A$72=$A1145)*
        ('Fairway Log'!$B$2:$B$72=$B1145)*
        ('Fairway Log'!$C$2:$C1216=$C1145),
      0),
      MATCH($G1145,'Fairway Log'!$E$1:$V$1,0)
    ),
  "")
)</f>
        <v>→</v>
      </c>
      <c r="Q1145" t="str" cm="1">
        <f t="array" ref="Q1145">IFERROR(
  INDEX('GIR Log'!$E$2:$V$72,
    MATCH(1,
      ('GIR Log'!$A$2:$A$72=$A1145)*
      ('GIR Log'!$B$2:$B$72=$B1145)*
      ('GIR Log'!$C$2:$C$72=$C1145),
    0),
    MATCH($G1145,'GIR Log'!$E$1:$V$1,0)
  ),
"")</f>
        <v>↑</v>
      </c>
    </row>
    <row r="1146" spans="1:17" x14ac:dyDescent="0.25">
      <c r="A1146" s="68" t="s">
        <v>126</v>
      </c>
      <c r="B1146" s="2">
        <v>45941</v>
      </c>
      <c r="C1146" s="68" t="s">
        <v>12</v>
      </c>
      <c r="D1146" s="68" t="s">
        <v>76</v>
      </c>
      <c r="E1146" s="68" t="s">
        <v>36</v>
      </c>
      <c r="F1146">
        <v>91</v>
      </c>
      <c r="G1146" t="s">
        <v>57</v>
      </c>
      <c r="H1146" s="9">
        <f t="shared" ref="H1146:H1171" si="77">VALUE(RIGHT(G1146, LEN(G1146) - 5))</f>
        <v>11</v>
      </c>
      <c r="I1146" cm="1">
        <f t="array" ref="I1146">IFERROR(INDEX(CourseYardages[[Hole 1]:[Hole 18]],
  MATCH(1, (CourseYardages[Course]=C1146)*(CourseYardages[Tees]=E1146), 0),
  MATCH(G1146, CourseYardages[[#Headers],[Hole 1]:[Hole 18]], 0)
),"")</f>
        <v>282</v>
      </c>
      <c r="J1146" cm="1">
        <f t="array" ref="J1146">IFERROR(INDEX(CourseHandicap[[Hole 1]:[Hole 18]],
  MATCH(1, (CourseHandicap[Course]=C1146)*(CourseHandicap[Tees]=E1146), 0),
  MATCH(G1146, CourseHandicap[[#Headers],[Hole 1]:[Hole 18]], 0)
),"")</f>
        <v>16</v>
      </c>
      <c r="K1146" cm="1">
        <f t="array" ref="K1146">IFERROR(INDEX(CourseRatings[[Hole 1]:[Hole 18]],
  MATCH(1, (CourseRatings[Course]=C1146)*(CourseRatings[Tees]=E1146), 0),
  MATCH(G1146, CourseRatings[[#Headers],[Hole 1]:[Hole 18]], 0)
),"")</f>
        <v>4</v>
      </c>
      <c r="L1146" cm="1">
        <f t="array" ref="L1146">IFERROR(
  INDEX('Golf Log'!$E$2:$V$72,
    MATCH(1,
      ('Golf Log'!$A$2:$A$72=$A1146)*
      ('Golf Log'!$B$2:$B$72=$B1146)*
      ('Golf Log'!$C$2:$C$72=$C1146),
    0),
    MATCH($G1146,'Golf Log'!$E$1:$V$1,0)
  ),
"")</f>
        <v>4</v>
      </c>
      <c r="M1146">
        <f t="shared" si="75"/>
        <v>0</v>
      </c>
      <c r="N1146" t="str">
        <f t="shared" si="76"/>
        <v>Par</v>
      </c>
      <c r="O1146" cm="1">
        <f t="array" ref="O1146">IFERROR(
  INDEX('Putt Log'!$E$2:$V$72,
    MATCH(1,
      ('Putt Log'!$A$2:$A$72=$A1146)*
      ('Putt Log'!$B$2:$B$72=$B1146)*
      ('Putt Log'!$C$2:$C$72=$C1146),
    0),
    MATCH($G1146,'Putt Log'!$E$1:$V$1,0)
  ),
"")</f>
        <v>1</v>
      </c>
      <c r="P1146" t="str" cm="1">
        <f t="array" ref="P1146">IF(K1146=3,"",
  IFERROR(
    INDEX('Fairway Log'!$E$2:$V$72,
      MATCH(1,
        ('Fairway Log'!$A$2:$A$72=$A1146)*
        ('Fairway Log'!$B$2:$B$72=$B1146)*
        ('Fairway Log'!$C$2:$C1217=$C1146),
      0),
      MATCH($G1146,'Fairway Log'!$E$1:$V$1,0)
    ),
  "")
)</f>
        <v>→</v>
      </c>
      <c r="Q1146" t="str" cm="1">
        <f t="array" ref="Q1146">IFERROR(
  INDEX('GIR Log'!$E$2:$V$72,
    MATCH(1,
      ('GIR Log'!$A$2:$A$72=$A1146)*
      ('GIR Log'!$B$2:$B$72=$B1146)*
      ('GIR Log'!$C$2:$C$72=$C1146),
    0),
    MATCH($G1146,'GIR Log'!$E$1:$V$1,0)
  ),
"")</f>
        <v>↓</v>
      </c>
    </row>
    <row r="1147" spans="1:17" x14ac:dyDescent="0.25">
      <c r="A1147" s="68" t="s">
        <v>126</v>
      </c>
      <c r="B1147" s="2">
        <v>45941</v>
      </c>
      <c r="C1147" s="68" t="s">
        <v>12</v>
      </c>
      <c r="D1147" s="68" t="s">
        <v>76</v>
      </c>
      <c r="E1147" s="68" t="s">
        <v>36</v>
      </c>
      <c r="F1147">
        <v>91</v>
      </c>
      <c r="G1147" t="s">
        <v>58</v>
      </c>
      <c r="H1147" s="9">
        <f t="shared" si="77"/>
        <v>12</v>
      </c>
      <c r="I1147" cm="1">
        <f t="array" ref="I1147">IFERROR(INDEX(CourseYardages[[Hole 1]:[Hole 18]],
  MATCH(1, (CourseYardages[Course]=C1147)*(CourseYardages[Tees]=E1147), 0),
  MATCH(G1147, CourseYardages[[#Headers],[Hole 1]:[Hole 18]], 0)
),"")</f>
        <v>123</v>
      </c>
      <c r="J1147" cm="1">
        <f t="array" ref="J1147">IFERROR(INDEX(CourseHandicap[[Hole 1]:[Hole 18]],
  MATCH(1, (CourseHandicap[Course]=C1147)*(CourseHandicap[Tees]=E1147), 0),
  MATCH(G1147, CourseHandicap[[#Headers],[Hole 1]:[Hole 18]], 0)
),"")</f>
        <v>18</v>
      </c>
      <c r="K1147" cm="1">
        <f t="array" ref="K1147">IFERROR(INDEX(CourseRatings[[Hole 1]:[Hole 18]],
  MATCH(1, (CourseRatings[Course]=C1147)*(CourseRatings[Tees]=E1147), 0),
  MATCH(G1147, CourseRatings[[#Headers],[Hole 1]:[Hole 18]], 0)
),"")</f>
        <v>3</v>
      </c>
      <c r="L1147" cm="1">
        <f t="array" ref="L1147">IFERROR(
  INDEX('Golf Log'!$E$2:$V$72,
    MATCH(1,
      ('Golf Log'!$A$2:$A$72=$A1147)*
      ('Golf Log'!$B$2:$B$72=$B1147)*
      ('Golf Log'!$C$2:$C$72=$C1147),
    0),
    MATCH($G1147,'Golf Log'!$E$1:$V$1,0)
  ),
"")</f>
        <v>4</v>
      </c>
      <c r="M1147">
        <f t="shared" si="75"/>
        <v>1</v>
      </c>
      <c r="N1147" t="str">
        <f t="shared" si="76"/>
        <v>Bogey</v>
      </c>
      <c r="O1147" cm="1">
        <f t="array" ref="O1147">IFERROR(
  INDEX('Putt Log'!$E$2:$V$72,
    MATCH(1,
      ('Putt Log'!$A$2:$A$72=$A1147)*
      ('Putt Log'!$B$2:$B$72=$B1147)*
      ('Putt Log'!$C$2:$C$72=$C1147),
    0),
    MATCH($G1147,'Putt Log'!$E$1:$V$1,0)
  ),
"")</f>
        <v>2</v>
      </c>
      <c r="P1147" t="str" cm="1">
        <f t="array" ref="P1147">IF(K1147=3,"",
  IFERROR(
    INDEX('Fairway Log'!$E$2:$V$72,
      MATCH(1,
        ('Fairway Log'!$A$2:$A$72=$A1147)*
        ('Fairway Log'!$B$2:$B$72=$B1147)*
        ('Fairway Log'!$C$2:$C1218=$C1147),
      0),
      MATCH($G1147,'Fairway Log'!$E$1:$V$1,0)
    ),
  "")
)</f>
        <v/>
      </c>
      <c r="Q1147" t="str" cm="1">
        <f t="array" ref="Q1147">IFERROR(
  INDEX('GIR Log'!$E$2:$V$72,
    MATCH(1,
      ('GIR Log'!$A$2:$A$72=$A1147)*
      ('GIR Log'!$B$2:$B$72=$B1147)*
      ('GIR Log'!$C$2:$C$72=$C1147),
    0),
    MATCH($G1147,'GIR Log'!$E$1:$V$1,0)
  ),
"")</f>
        <v>↓</v>
      </c>
    </row>
    <row r="1148" spans="1:17" x14ac:dyDescent="0.25">
      <c r="A1148" s="68" t="s">
        <v>126</v>
      </c>
      <c r="B1148" s="2">
        <v>45941</v>
      </c>
      <c r="C1148" s="68" t="s">
        <v>12</v>
      </c>
      <c r="D1148" s="68" t="s">
        <v>76</v>
      </c>
      <c r="E1148" s="68" t="s">
        <v>36</v>
      </c>
      <c r="F1148">
        <v>91</v>
      </c>
      <c r="G1148" t="s">
        <v>59</v>
      </c>
      <c r="H1148" s="9">
        <f t="shared" si="77"/>
        <v>13</v>
      </c>
      <c r="I1148" cm="1">
        <f t="array" ref="I1148">IFERROR(INDEX(CourseYardages[[Hole 1]:[Hole 18]],
  MATCH(1, (CourseYardages[Course]=C1148)*(CourseYardages[Tees]=E1148), 0),
  MATCH(G1148, CourseYardages[[#Headers],[Hole 1]:[Hole 18]], 0)
),"")</f>
        <v>359</v>
      </c>
      <c r="J1148" cm="1">
        <f t="array" ref="J1148">IFERROR(INDEX(CourseHandicap[[Hole 1]:[Hole 18]],
  MATCH(1, (CourseHandicap[Course]=C1148)*(CourseHandicap[Tees]=E1148), 0),
  MATCH(G1148, CourseHandicap[[#Headers],[Hole 1]:[Hole 18]], 0)
),"")</f>
        <v>14</v>
      </c>
      <c r="K1148" cm="1">
        <f t="array" ref="K1148">IFERROR(INDEX(CourseRatings[[Hole 1]:[Hole 18]],
  MATCH(1, (CourseRatings[Course]=C1148)*(CourseRatings[Tees]=E1148), 0),
  MATCH(G1148, CourseRatings[[#Headers],[Hole 1]:[Hole 18]], 0)
),"")</f>
        <v>4</v>
      </c>
      <c r="L1148" cm="1">
        <f t="array" ref="L1148">IFERROR(
  INDEX('Golf Log'!$E$2:$V$72,
    MATCH(1,
      ('Golf Log'!$A$2:$A$72=$A1148)*
      ('Golf Log'!$B$2:$B$72=$B1148)*
      ('Golf Log'!$C$2:$C$72=$C1148),
    0),
    MATCH($G1148,'Golf Log'!$E$1:$V$1,0)
  ),
"")</f>
        <v>5</v>
      </c>
      <c r="M1148">
        <f t="shared" si="75"/>
        <v>1</v>
      </c>
      <c r="N1148" t="str">
        <f t="shared" si="76"/>
        <v>Bogey</v>
      </c>
      <c r="O1148" cm="1">
        <f t="array" ref="O1148">IFERROR(
  INDEX('Putt Log'!$E$2:$V$72,
    MATCH(1,
      ('Putt Log'!$A$2:$A$72=$A1148)*
      ('Putt Log'!$B$2:$B$72=$B1148)*
      ('Putt Log'!$C$2:$C$72=$C1148),
    0),
    MATCH($G1148,'Putt Log'!$E$1:$V$1,0)
  ),
"")</f>
        <v>3</v>
      </c>
      <c r="P1148" cm="1">
        <f t="array" ref="P1148">IF(K1148=3,"",
  IFERROR(
    INDEX('Fairway Log'!$E$2:$V$72,
      MATCH(1,
        ('Fairway Log'!$A$2:$A$72=$A1148)*
        ('Fairway Log'!$B$2:$B$72=$B1148)*
        ('Fairway Log'!$C$2:$C1219=$C1148),
      0),
      MATCH($G1148,'Fairway Log'!$E$1:$V$1,0)
    ),
  "")
)</f>
        <v>1</v>
      </c>
      <c r="Q1148" cm="1">
        <f t="array" ref="Q1148">IFERROR(
  INDEX('GIR Log'!$E$2:$V$72,
    MATCH(1,
      ('GIR Log'!$A$2:$A$72=$A1148)*
      ('GIR Log'!$B$2:$B$72=$B1148)*
      ('GIR Log'!$C$2:$C$72=$C1148),
    0),
    MATCH($G1148,'GIR Log'!$E$1:$V$1,0)
  ),
"")</f>
        <v>1</v>
      </c>
    </row>
    <row r="1149" spans="1:17" x14ac:dyDescent="0.25">
      <c r="A1149" s="68" t="s">
        <v>126</v>
      </c>
      <c r="B1149" s="2">
        <v>45941</v>
      </c>
      <c r="C1149" s="68" t="s">
        <v>12</v>
      </c>
      <c r="D1149" s="68" t="s">
        <v>76</v>
      </c>
      <c r="E1149" s="68" t="s">
        <v>36</v>
      </c>
      <c r="F1149">
        <v>91</v>
      </c>
      <c r="G1149" t="s">
        <v>60</v>
      </c>
      <c r="H1149" s="9">
        <f t="shared" si="77"/>
        <v>14</v>
      </c>
      <c r="I1149" cm="1">
        <f t="array" ref="I1149">IFERROR(INDEX(CourseYardages[[Hole 1]:[Hole 18]],
  MATCH(1, (CourseYardages[Course]=C1149)*(CourseYardages[Tees]=E1149), 0),
  MATCH(G1149, CourseYardages[[#Headers],[Hole 1]:[Hole 18]], 0)
),"")</f>
        <v>194</v>
      </c>
      <c r="J1149" cm="1">
        <f t="array" ref="J1149">IFERROR(INDEX(CourseHandicap[[Hole 1]:[Hole 18]],
  MATCH(1, (CourseHandicap[Course]=C1149)*(CourseHandicap[Tees]=E1149), 0),
  MATCH(G1149, CourseHandicap[[#Headers],[Hole 1]:[Hole 18]], 0)
),"")</f>
        <v>12</v>
      </c>
      <c r="K1149" cm="1">
        <f t="array" ref="K1149">IFERROR(INDEX(CourseRatings[[Hole 1]:[Hole 18]],
  MATCH(1, (CourseRatings[Course]=C1149)*(CourseRatings[Tees]=E1149), 0),
  MATCH(G1149, CourseRatings[[#Headers],[Hole 1]:[Hole 18]], 0)
),"")</f>
        <v>3</v>
      </c>
      <c r="L1149" cm="1">
        <f t="array" ref="L1149">IFERROR(
  INDEX('Golf Log'!$E$2:$V$72,
    MATCH(1,
      ('Golf Log'!$A$2:$A$72=$A1149)*
      ('Golf Log'!$B$2:$B$72=$B1149)*
      ('Golf Log'!$C$2:$C$72=$C1149),
    0),
    MATCH($G1149,'Golf Log'!$E$1:$V$1,0)
  ),
"")</f>
        <v>5</v>
      </c>
      <c r="M1149">
        <f t="shared" si="75"/>
        <v>2</v>
      </c>
      <c r="N1149" t="str">
        <f t="shared" si="76"/>
        <v>Double Bogey</v>
      </c>
      <c r="O1149" cm="1">
        <f t="array" ref="O1149">IFERROR(
  INDEX('Putt Log'!$E$2:$V$72,
    MATCH(1,
      ('Putt Log'!$A$2:$A$72=$A1149)*
      ('Putt Log'!$B$2:$B$72=$B1149)*
      ('Putt Log'!$C$2:$C$72=$C1149),
    0),
    MATCH($G1149,'Putt Log'!$E$1:$V$1,0)
  ),
"")</f>
        <v>2</v>
      </c>
      <c r="P1149" t="str" cm="1">
        <f t="array" ref="P1149">IF(K1149=3,"",
  IFERROR(
    INDEX('Fairway Log'!$E$2:$V$72,
      MATCH(1,
        ('Fairway Log'!$A$2:$A$72=$A1149)*
        ('Fairway Log'!$B$2:$B$72=$B1149)*
        ('Fairway Log'!$C$2:$C1220=$C1149),
      0),
      MATCH($G1149,'Fairway Log'!$E$1:$V$1,0)
    ),
  "")
)</f>
        <v/>
      </c>
      <c r="Q1149" t="str" cm="1">
        <f t="array" ref="Q1149">IFERROR(
  INDEX('GIR Log'!$E$2:$V$72,
    MATCH(1,
      ('GIR Log'!$A$2:$A$72=$A1149)*
      ('GIR Log'!$B$2:$B$72=$B1149)*
      ('GIR Log'!$C$2:$C$72=$C1149),
    0),
    MATCH($G1149,'GIR Log'!$E$1:$V$1,0)
  ),
"")</f>
        <v>→</v>
      </c>
    </row>
    <row r="1150" spans="1:17" x14ac:dyDescent="0.25">
      <c r="A1150" s="68" t="s">
        <v>126</v>
      </c>
      <c r="B1150" s="2">
        <v>45941</v>
      </c>
      <c r="C1150" s="68" t="s">
        <v>12</v>
      </c>
      <c r="D1150" s="68" t="s">
        <v>76</v>
      </c>
      <c r="E1150" s="68" t="s">
        <v>36</v>
      </c>
      <c r="F1150">
        <v>91</v>
      </c>
      <c r="G1150" t="s">
        <v>61</v>
      </c>
      <c r="H1150" s="9">
        <f t="shared" si="77"/>
        <v>15</v>
      </c>
      <c r="I1150" cm="1">
        <f t="array" ref="I1150">IFERROR(INDEX(CourseYardages[[Hole 1]:[Hole 18]],
  MATCH(1, (CourseYardages[Course]=C1150)*(CourseYardages[Tees]=E1150), 0),
  MATCH(G1150, CourseYardages[[#Headers],[Hole 1]:[Hole 18]], 0)
),"")</f>
        <v>545</v>
      </c>
      <c r="J1150" cm="1">
        <f t="array" ref="J1150">IFERROR(INDEX(CourseHandicap[[Hole 1]:[Hole 18]],
  MATCH(1, (CourseHandicap[Course]=C1150)*(CourseHandicap[Tees]=E1150), 0),
  MATCH(G1150, CourseHandicap[[#Headers],[Hole 1]:[Hole 18]], 0)
),"")</f>
        <v>2</v>
      </c>
      <c r="K1150" cm="1">
        <f t="array" ref="K1150">IFERROR(INDEX(CourseRatings[[Hole 1]:[Hole 18]],
  MATCH(1, (CourseRatings[Course]=C1150)*(CourseRatings[Tees]=E1150), 0),
  MATCH(G1150, CourseRatings[[#Headers],[Hole 1]:[Hole 18]], 0)
),"")</f>
        <v>5</v>
      </c>
      <c r="L1150" cm="1">
        <f t="array" ref="L1150">IFERROR(
  INDEX('Golf Log'!$E$2:$V$72,
    MATCH(1,
      ('Golf Log'!$A$2:$A$72=$A1150)*
      ('Golf Log'!$B$2:$B$72=$B1150)*
      ('Golf Log'!$C$2:$C$72=$C1150),
    0),
    MATCH($G1150,'Golf Log'!$E$1:$V$1,0)
  ),
"")</f>
        <v>6</v>
      </c>
      <c r="M1150">
        <f t="shared" si="75"/>
        <v>1</v>
      </c>
      <c r="N1150" t="str">
        <f t="shared" si="76"/>
        <v>Bogey</v>
      </c>
      <c r="O1150" cm="1">
        <f t="array" ref="O1150">IFERROR(
  INDEX('Putt Log'!$E$2:$V$72,
    MATCH(1,
      ('Putt Log'!$A$2:$A$72=$A1150)*
      ('Putt Log'!$B$2:$B$72=$B1150)*
      ('Putt Log'!$C$2:$C$72=$C1150),
    0),
    MATCH($G1150,'Putt Log'!$E$1:$V$1,0)
  ),
"")</f>
        <v>2</v>
      </c>
      <c r="P1150" t="str" cm="1">
        <f t="array" ref="P1150">IF(K1150=3,"",
  IFERROR(
    INDEX('Fairway Log'!$E$2:$V$72,
      MATCH(1,
        ('Fairway Log'!$A$2:$A$72=$A1150)*
        ('Fairway Log'!$B$2:$B$72=$B1150)*
        ('Fairway Log'!$C$2:$C1221=$C1150),
      0),
      MATCH($G1150,'Fairway Log'!$E$1:$V$1,0)
    ),
  "")
)</f>
        <v>→</v>
      </c>
      <c r="Q1150" t="str" cm="1">
        <f t="array" ref="Q1150">IFERROR(
  INDEX('GIR Log'!$E$2:$V$72,
    MATCH(1,
      ('GIR Log'!$A$2:$A$72=$A1150)*
      ('GIR Log'!$B$2:$B$72=$B1150)*
      ('GIR Log'!$C$2:$C$72=$C1150),
    0),
    MATCH($G1150,'GIR Log'!$E$1:$V$1,0)
  ),
"")</f>
        <v>↓</v>
      </c>
    </row>
    <row r="1151" spans="1:17" x14ac:dyDescent="0.25">
      <c r="A1151" s="68" t="s">
        <v>126</v>
      </c>
      <c r="B1151" s="2">
        <v>45941</v>
      </c>
      <c r="C1151" s="68" t="s">
        <v>12</v>
      </c>
      <c r="D1151" s="68" t="s">
        <v>76</v>
      </c>
      <c r="E1151" s="68" t="s">
        <v>36</v>
      </c>
      <c r="F1151">
        <v>91</v>
      </c>
      <c r="G1151" t="s">
        <v>62</v>
      </c>
      <c r="H1151" s="9">
        <f t="shared" si="77"/>
        <v>16</v>
      </c>
      <c r="I1151" cm="1">
        <f t="array" ref="I1151">IFERROR(INDEX(CourseYardages[[Hole 1]:[Hole 18]],
  MATCH(1, (CourseYardages[Course]=C1151)*(CourseYardages[Tees]=E1151), 0),
  MATCH(G1151, CourseYardages[[#Headers],[Hole 1]:[Hole 18]], 0)
),"")</f>
        <v>306</v>
      </c>
      <c r="J1151" cm="1">
        <f t="array" ref="J1151">IFERROR(INDEX(CourseHandicap[[Hole 1]:[Hole 18]],
  MATCH(1, (CourseHandicap[Course]=C1151)*(CourseHandicap[Tees]=E1151), 0),
  MATCH(G1151, CourseHandicap[[#Headers],[Hole 1]:[Hole 18]], 0)
),"")</f>
        <v>10</v>
      </c>
      <c r="K1151" cm="1">
        <f t="array" ref="K1151">IFERROR(INDEX(CourseRatings[[Hole 1]:[Hole 18]],
  MATCH(1, (CourseRatings[Course]=C1151)*(CourseRatings[Tees]=E1151), 0),
  MATCH(G1151, CourseRatings[[#Headers],[Hole 1]:[Hole 18]], 0)
),"")</f>
        <v>4</v>
      </c>
      <c r="L1151" cm="1">
        <f t="array" ref="L1151">IFERROR(
  INDEX('Golf Log'!$E$2:$V$72,
    MATCH(1,
      ('Golf Log'!$A$2:$A$72=$A1151)*
      ('Golf Log'!$B$2:$B$72=$B1151)*
      ('Golf Log'!$C$2:$C$72=$C1151),
    0),
    MATCH($G1151,'Golf Log'!$E$1:$V$1,0)
  ),
"")</f>
        <v>6</v>
      </c>
      <c r="M1151">
        <f t="shared" si="75"/>
        <v>2</v>
      </c>
      <c r="N1151" t="str">
        <f t="shared" si="76"/>
        <v>Double Bogey</v>
      </c>
      <c r="O1151" cm="1">
        <f t="array" ref="O1151">IFERROR(
  INDEX('Putt Log'!$E$2:$V$72,
    MATCH(1,
      ('Putt Log'!$A$2:$A$72=$A1151)*
      ('Putt Log'!$B$2:$B$72=$B1151)*
      ('Putt Log'!$C$2:$C$72=$C1151),
    0),
    MATCH($G1151,'Putt Log'!$E$1:$V$1,0)
  ),
"")</f>
        <v>1</v>
      </c>
      <c r="P1151" t="str" cm="1">
        <f t="array" ref="P1151">IF(K1151=3,"",
  IFERROR(
    INDEX('Fairway Log'!$E$2:$V$72,
      MATCH(1,
        ('Fairway Log'!$A$2:$A$72=$A1151)*
        ('Fairway Log'!$B$2:$B$72=$B1151)*
        ('Fairway Log'!$C$2:$C1222=$C1151),
      0),
      MATCH($G1151,'Fairway Log'!$E$1:$V$1,0)
    ),
  "")
)</f>
        <v>→</v>
      </c>
      <c r="Q1151" t="str" cm="1">
        <f t="array" ref="Q1151">IFERROR(
  INDEX('GIR Log'!$E$2:$V$72,
    MATCH(1,
      ('GIR Log'!$A$2:$A$72=$A1151)*
      ('GIR Log'!$B$2:$B$72=$B1151)*
      ('GIR Log'!$C$2:$C$72=$C1151),
    0),
    MATCH($G1151,'GIR Log'!$E$1:$V$1,0)
  ),
"")</f>
        <v>↓</v>
      </c>
    </row>
    <row r="1152" spans="1:17" x14ac:dyDescent="0.25">
      <c r="A1152" s="68" t="s">
        <v>126</v>
      </c>
      <c r="B1152" s="2">
        <v>45941</v>
      </c>
      <c r="C1152" s="68" t="s">
        <v>12</v>
      </c>
      <c r="D1152" s="68" t="s">
        <v>76</v>
      </c>
      <c r="E1152" s="68" t="s">
        <v>36</v>
      </c>
      <c r="F1152">
        <v>91</v>
      </c>
      <c r="G1152" t="s">
        <v>63</v>
      </c>
      <c r="H1152" s="9">
        <f t="shared" si="77"/>
        <v>17</v>
      </c>
      <c r="I1152" cm="1">
        <f t="array" ref="I1152">IFERROR(INDEX(CourseYardages[[Hole 1]:[Hole 18]],
  MATCH(1, (CourseYardages[Course]=C1152)*(CourseYardages[Tees]=E1152), 0),
  MATCH(G1152, CourseYardages[[#Headers],[Hole 1]:[Hole 18]], 0)
),"")</f>
        <v>405</v>
      </c>
      <c r="J1152" cm="1">
        <f t="array" ref="J1152">IFERROR(INDEX(CourseHandicap[[Hole 1]:[Hole 18]],
  MATCH(1, (CourseHandicap[Course]=C1152)*(CourseHandicap[Tees]=E1152), 0),
  MATCH(G1152, CourseHandicap[[#Headers],[Hole 1]:[Hole 18]], 0)
),"")</f>
        <v>6</v>
      </c>
      <c r="K1152" cm="1">
        <f t="array" ref="K1152">IFERROR(INDEX(CourseRatings[[Hole 1]:[Hole 18]],
  MATCH(1, (CourseRatings[Course]=C1152)*(CourseRatings[Tees]=E1152), 0),
  MATCH(G1152, CourseRatings[[#Headers],[Hole 1]:[Hole 18]], 0)
),"")</f>
        <v>4</v>
      </c>
      <c r="L1152" cm="1">
        <f t="array" ref="L1152">IFERROR(
  INDEX('Golf Log'!$E$2:$V$72,
    MATCH(1,
      ('Golf Log'!$A$2:$A$72=$A1152)*
      ('Golf Log'!$B$2:$B$72=$B1152)*
      ('Golf Log'!$C$2:$C$72=$C1152),
    0),
    MATCH($G1152,'Golf Log'!$E$1:$V$1,0)
  ),
"")</f>
        <v>6</v>
      </c>
      <c r="M1152">
        <f t="shared" si="75"/>
        <v>2</v>
      </c>
      <c r="N1152" t="str">
        <f t="shared" si="76"/>
        <v>Double Bogey</v>
      </c>
      <c r="O1152" cm="1">
        <f t="array" ref="O1152">IFERROR(
  INDEX('Putt Log'!$E$2:$V$72,
    MATCH(1,
      ('Putt Log'!$A$2:$A$72=$A1152)*
      ('Putt Log'!$B$2:$B$72=$B1152)*
      ('Putt Log'!$C$2:$C$72=$C1152),
    0),
    MATCH($G1152,'Putt Log'!$E$1:$V$1,0)
  ),
"")</f>
        <v>2</v>
      </c>
      <c r="P1152" t="str" cm="1">
        <f t="array" ref="P1152">IF(K1152=3,"",
  IFERROR(
    INDEX('Fairway Log'!$E$2:$V$72,
      MATCH(1,
        ('Fairway Log'!$A$2:$A$72=$A1152)*
        ('Fairway Log'!$B$2:$B$72=$B1152)*
        ('Fairway Log'!$C$2:$C1223=$C1152),
      0),
      MATCH($G1152,'Fairway Log'!$E$1:$V$1,0)
    ),
  "")
)</f>
        <v>→</v>
      </c>
      <c r="Q1152" t="str" cm="1">
        <f t="array" ref="Q1152">IFERROR(
  INDEX('GIR Log'!$E$2:$V$72,
    MATCH(1,
      ('GIR Log'!$A$2:$A$72=$A1152)*
      ('GIR Log'!$B$2:$B$72=$B1152)*
      ('GIR Log'!$C$2:$C$72=$C1152),
    0),
    MATCH($G1152,'GIR Log'!$E$1:$V$1,0)
  ),
"")</f>
        <v>↓</v>
      </c>
    </row>
    <row r="1153" spans="1:17" x14ac:dyDescent="0.25">
      <c r="A1153" s="68" t="s">
        <v>126</v>
      </c>
      <c r="B1153" s="2">
        <v>45941</v>
      </c>
      <c r="C1153" s="68" t="s">
        <v>12</v>
      </c>
      <c r="D1153" s="68" t="s">
        <v>76</v>
      </c>
      <c r="E1153" s="68" t="s">
        <v>36</v>
      </c>
      <c r="F1153">
        <v>91</v>
      </c>
      <c r="G1153" t="s">
        <v>64</v>
      </c>
      <c r="H1153" s="9">
        <f t="shared" si="77"/>
        <v>18</v>
      </c>
      <c r="I1153" cm="1">
        <f t="array" ref="I1153">IFERROR(INDEX(CourseYardages[[Hole 1]:[Hole 18]],
  MATCH(1, (CourseYardages[Course]=C1153)*(CourseYardages[Tees]=E1153), 0),
  MATCH(G1153, CourseYardages[[#Headers],[Hole 1]:[Hole 18]], 0)
),"")</f>
        <v>325</v>
      </c>
      <c r="J1153" cm="1">
        <f t="array" ref="J1153">IFERROR(INDEX(CourseHandicap[[Hole 1]:[Hole 18]],
  MATCH(1, (CourseHandicap[Course]=C1153)*(CourseHandicap[Tees]=E1153), 0),
  MATCH(G1153, CourseHandicap[[#Headers],[Hole 1]:[Hole 18]], 0)
),"")</f>
        <v>8</v>
      </c>
      <c r="K1153" cm="1">
        <f t="array" ref="K1153">IFERROR(INDEX(CourseRatings[[Hole 1]:[Hole 18]],
  MATCH(1, (CourseRatings[Course]=C1153)*(CourseRatings[Tees]=E1153), 0),
  MATCH(G1153, CourseRatings[[#Headers],[Hole 1]:[Hole 18]], 0)
),"")</f>
        <v>4</v>
      </c>
      <c r="L1153" cm="1">
        <f t="array" ref="L1153">IFERROR(
  INDEX('Golf Log'!$E$2:$V$72,
    MATCH(1,
      ('Golf Log'!$A$2:$A$72=$A1153)*
      ('Golf Log'!$B$2:$B$72=$B1153)*
      ('Golf Log'!$C$2:$C$72=$C1153),
    0),
    MATCH($G1153,'Golf Log'!$E$1:$V$1,0)
  ),
"")</f>
        <v>5</v>
      </c>
      <c r="M1153">
        <f t="shared" si="75"/>
        <v>1</v>
      </c>
      <c r="N1153" t="str">
        <f t="shared" si="76"/>
        <v>Bogey</v>
      </c>
      <c r="O1153" cm="1">
        <f t="array" ref="O1153">IFERROR(
  INDEX('Putt Log'!$E$2:$V$72,
    MATCH(1,
      ('Putt Log'!$A$2:$A$72=$A1153)*
      ('Putt Log'!$B$2:$B$72=$B1153)*
      ('Putt Log'!$C$2:$C$72=$C1153),
    0),
    MATCH($G1153,'Putt Log'!$E$1:$V$1,0)
  ),
"")</f>
        <v>2</v>
      </c>
      <c r="P1153" cm="1">
        <f t="array" ref="P1153">IF(K1153=3,"",
  IFERROR(
    INDEX('Fairway Log'!$E$2:$V$72,
      MATCH(1,
        ('Fairway Log'!$A$2:$A$72=$A1153)*
        ('Fairway Log'!$B$2:$B$72=$B1153)*
        ('Fairway Log'!$C$2:$C1224=$C1153),
      0),
      MATCH($G1153,'Fairway Log'!$E$1:$V$1,0)
    ),
  "")
)</f>
        <v>1</v>
      </c>
      <c r="Q1153" t="str" cm="1">
        <f t="array" ref="Q1153">IFERROR(
  INDEX('GIR Log'!$E$2:$V$72,
    MATCH(1,
      ('GIR Log'!$A$2:$A$72=$A1153)*
      ('GIR Log'!$B$2:$B$72=$B1153)*
      ('GIR Log'!$C$2:$C$72=$C1153),
    0),
    MATCH($G1153,'GIR Log'!$E$1:$V$1,0)
  ),
"")</f>
        <v>↓</v>
      </c>
    </row>
    <row r="1154" spans="1:17" x14ac:dyDescent="0.25">
      <c r="A1154" s="78" t="s">
        <v>130</v>
      </c>
      <c r="B1154" s="2">
        <v>45941</v>
      </c>
      <c r="C1154" s="68" t="s">
        <v>12</v>
      </c>
      <c r="D1154" s="68" t="s">
        <v>76</v>
      </c>
      <c r="E1154" s="68" t="s">
        <v>36</v>
      </c>
      <c r="F1154">
        <v>91</v>
      </c>
      <c r="G1154" s="12" t="s">
        <v>47</v>
      </c>
      <c r="H1154" s="9">
        <f t="shared" si="77"/>
        <v>1</v>
      </c>
      <c r="I1154" cm="1">
        <f t="array" ref="I1154">IFERROR(INDEX(CourseYardages[[Hole 1]:[Hole 18]],
  MATCH(1, (CourseYardages[Course]=C1154)*(CourseYardages[Tees]=E1154), 0),
  MATCH(G1154, CourseYardages[[#Headers],[Hole 1]:[Hole 18]], 0)
),"")</f>
        <v>359</v>
      </c>
      <c r="J1154" cm="1">
        <f t="array" ref="J1154">IFERROR(INDEX(CourseHandicap[[Hole 1]:[Hole 18]],
  MATCH(1, (CourseHandicap[Course]=C1154)*(CourseHandicap[Tees]=E1154), 0),
  MATCH(G1154, CourseHandicap[[#Headers],[Hole 1]:[Hole 18]], 0)
),"")</f>
        <v>9</v>
      </c>
      <c r="K1154" cm="1">
        <f t="array" ref="K1154">IFERROR(INDEX(CourseRatings[[Hole 1]:[Hole 18]],
  MATCH(1, (CourseRatings[Course]=C1154)*(CourseRatings[Tees]=E1154), 0),
  MATCH(G1154, CourseRatings[[#Headers],[Hole 1]:[Hole 18]], 0)
),"")</f>
        <v>4</v>
      </c>
      <c r="L1154" cm="1">
        <f t="array" ref="L1154">IFERROR(
  INDEX('Golf Log'!$E$2:$V$72,
    MATCH(1,
      ('Golf Log'!$A$2:$A$72=$A1154)*
      ('Golf Log'!$B$2:$B$72=$B1154)*
      ('Golf Log'!$C$2:$C$72=$C1154),
    0),
    MATCH($G1154,'Golf Log'!$E$1:$V$1,0)
  ),
"")</f>
        <v>5</v>
      </c>
      <c r="M1154">
        <f t="shared" ref="M1154:M1171" si="78">IFERROR(L1154-K1154,"")</f>
        <v>1</v>
      </c>
      <c r="N1154" t="str">
        <f t="shared" ref="N1154:N1171" si="79">IF(M1154="","",(IF(M1154=-2,"Eagle",IF(M1154=-1,"Birdie",IF(M1154=0,"Par",IF(M1154=1,"Bogey",IF(M1154=2,"Double Bogey",IF(M1154=3,"Triple Bogey",IF(M1154&gt;3,"Quad Bogey+")))))))))</f>
        <v>Bogey</v>
      </c>
      <c r="O1154" cm="1">
        <f t="array" ref="O1154">IFERROR(
  INDEX('Putt Log'!$E$2:$V$72,
    MATCH(1,
      ('Putt Log'!$A$2:$A$72=$A1154)*
      ('Putt Log'!$B$2:$B$72=$B1154)*
      ('Putt Log'!$C$2:$C$72=$C1154),
    0),
    MATCH($G1154,'Putt Log'!$E$1:$V$1,0)
  ),
"")</f>
        <v>2</v>
      </c>
      <c r="P1154" cm="1">
        <f t="array" ref="P1154">IF(K1154=3,"",
  IFERROR(
    INDEX('Fairway Log'!$E$2:$V$72,
      MATCH(1,
        ('Fairway Log'!$A$2:$A$72=$A1154)*
        ('Fairway Log'!$B$2:$B$72=$B1154)*
        ('Fairway Log'!$C$2:$C1225=$C1154),
      0),
      MATCH($G1154,'Fairway Log'!$E$1:$V$1,0)
    ),
  "")
)</f>
        <v>1</v>
      </c>
      <c r="Q1154" t="str" cm="1">
        <f t="array" ref="Q1154">IFERROR(
  INDEX('GIR Log'!$E$2:$V$72,
    MATCH(1,
      ('GIR Log'!$A$2:$A$72=$A1154)*
      ('GIR Log'!$B$2:$B$72=$B1154)*
      ('GIR Log'!$C$2:$C$72=$C1154),
    0),
    MATCH($G1154,'GIR Log'!$E$1:$V$1,0)
  ),
"")</f>
        <v>←</v>
      </c>
    </row>
    <row r="1155" spans="1:17" x14ac:dyDescent="0.25">
      <c r="A1155" s="78" t="s">
        <v>130</v>
      </c>
      <c r="B1155" s="2">
        <v>45941</v>
      </c>
      <c r="C1155" s="68" t="s">
        <v>12</v>
      </c>
      <c r="D1155" s="68" t="s">
        <v>76</v>
      </c>
      <c r="E1155" s="68" t="s">
        <v>36</v>
      </c>
      <c r="F1155">
        <v>91</v>
      </c>
      <c r="G1155" s="12" t="s">
        <v>48</v>
      </c>
      <c r="H1155" s="9">
        <f t="shared" si="77"/>
        <v>2</v>
      </c>
      <c r="I1155" cm="1">
        <f t="array" ref="I1155">IFERROR(INDEX(CourseYardages[[Hole 1]:[Hole 18]],
  MATCH(1, (CourseYardages[Course]=C1155)*(CourseYardages[Tees]=E1155), 0),
  MATCH(G1155, CourseYardages[[#Headers],[Hole 1]:[Hole 18]], 0)
),"")</f>
        <v>440</v>
      </c>
      <c r="J1155" cm="1">
        <f t="array" ref="J1155">IFERROR(INDEX(CourseHandicap[[Hole 1]:[Hole 18]],
  MATCH(1, (CourseHandicap[Course]=C1155)*(CourseHandicap[Tees]=E1155), 0),
  MATCH(G1155, CourseHandicap[[#Headers],[Hole 1]:[Hole 18]], 0)
),"")</f>
        <v>5</v>
      </c>
      <c r="K1155" cm="1">
        <f t="array" ref="K1155">IFERROR(INDEX(CourseRatings[[Hole 1]:[Hole 18]],
  MATCH(1, (CourseRatings[Course]=C1155)*(CourseRatings[Tees]=E1155), 0),
  MATCH(G1155, CourseRatings[[#Headers],[Hole 1]:[Hole 18]], 0)
),"")</f>
        <v>5</v>
      </c>
      <c r="L1155" cm="1">
        <f t="array" ref="L1155">IFERROR(
  INDEX('Golf Log'!$E$2:$V$72,
    MATCH(1,
      ('Golf Log'!$A$2:$A$72=$A1155)*
      ('Golf Log'!$B$2:$B$72=$B1155)*
      ('Golf Log'!$C$2:$C$72=$C1155),
    0),
    MATCH($G1155,'Golf Log'!$E$1:$V$1,0)
  ),
"")</f>
        <v>6</v>
      </c>
      <c r="M1155">
        <f t="shared" si="78"/>
        <v>1</v>
      </c>
      <c r="N1155" t="str">
        <f t="shared" si="79"/>
        <v>Bogey</v>
      </c>
      <c r="O1155" cm="1">
        <f t="array" ref="O1155">IFERROR(
  INDEX('Putt Log'!$E$2:$V$72,
    MATCH(1,
      ('Putt Log'!$A$2:$A$72=$A1155)*
      ('Putt Log'!$B$2:$B$72=$B1155)*
      ('Putt Log'!$C$2:$C$72=$C1155),
    0),
    MATCH($G1155,'Putt Log'!$E$1:$V$1,0)
  ),
"")</f>
        <v>2</v>
      </c>
      <c r="P1155" cm="1">
        <f t="array" ref="P1155">IF(K1155=3,"",
  IFERROR(
    INDEX('Fairway Log'!$E$2:$V$72,
      MATCH(1,
        ('Fairway Log'!$A$2:$A$72=$A1155)*
        ('Fairway Log'!$B$2:$B$72=$B1155)*
        ('Fairway Log'!$C$2:$C1226=$C1155),
      0),
      MATCH($G1155,'Fairway Log'!$E$1:$V$1,0)
    ),
  "")
)</f>
        <v>1</v>
      </c>
      <c r="Q1155" t="str" cm="1">
        <f t="array" ref="Q1155">IFERROR(
  INDEX('GIR Log'!$E$2:$V$72,
    MATCH(1,
      ('GIR Log'!$A$2:$A$72=$A1155)*
      ('GIR Log'!$B$2:$B$72=$B1155)*
      ('GIR Log'!$C$2:$C$72=$C1155),
    0),
    MATCH($G1155,'GIR Log'!$E$1:$V$1,0)
  ),
"")</f>
        <v>↑</v>
      </c>
    </row>
    <row r="1156" spans="1:17" x14ac:dyDescent="0.25">
      <c r="A1156" s="78" t="s">
        <v>130</v>
      </c>
      <c r="B1156" s="2">
        <v>45941</v>
      </c>
      <c r="C1156" s="68" t="s">
        <v>12</v>
      </c>
      <c r="D1156" s="68" t="s">
        <v>76</v>
      </c>
      <c r="E1156" s="68" t="s">
        <v>36</v>
      </c>
      <c r="F1156">
        <v>91</v>
      </c>
      <c r="G1156" s="12" t="s">
        <v>49</v>
      </c>
      <c r="H1156" s="9">
        <f t="shared" si="77"/>
        <v>3</v>
      </c>
      <c r="I1156" cm="1">
        <f t="array" ref="I1156">IFERROR(INDEX(CourseYardages[[Hole 1]:[Hole 18]],
  MATCH(1, (CourseYardages[Course]=C1156)*(CourseYardages[Tees]=E1156), 0),
  MATCH(G1156, CourseYardages[[#Headers],[Hole 1]:[Hole 18]], 0)
),"")</f>
        <v>325</v>
      </c>
      <c r="J1156" cm="1">
        <f t="array" ref="J1156">IFERROR(INDEX(CourseHandicap[[Hole 1]:[Hole 18]],
  MATCH(1, (CourseHandicap[Course]=C1156)*(CourseHandicap[Tees]=E1156), 0),
  MATCH(G1156, CourseHandicap[[#Headers],[Hole 1]:[Hole 18]], 0)
),"")</f>
        <v>13</v>
      </c>
      <c r="K1156" cm="1">
        <f t="array" ref="K1156">IFERROR(INDEX(CourseRatings[[Hole 1]:[Hole 18]],
  MATCH(1, (CourseRatings[Course]=C1156)*(CourseRatings[Tees]=E1156), 0),
  MATCH(G1156, CourseRatings[[#Headers],[Hole 1]:[Hole 18]], 0)
),"")</f>
        <v>4</v>
      </c>
      <c r="L1156" cm="1">
        <f t="array" ref="L1156">IFERROR(
  INDEX('Golf Log'!$E$2:$V$72,
    MATCH(1,
      ('Golf Log'!$A$2:$A$72=$A1156)*
      ('Golf Log'!$B$2:$B$72=$B1156)*
      ('Golf Log'!$C$2:$C$72=$C1156),
    0),
    MATCH($G1156,'Golf Log'!$E$1:$V$1,0)
  ),
"")</f>
        <v>6</v>
      </c>
      <c r="M1156">
        <f t="shared" si="78"/>
        <v>2</v>
      </c>
      <c r="N1156" t="str">
        <f t="shared" si="79"/>
        <v>Double Bogey</v>
      </c>
      <c r="O1156" cm="1">
        <f t="array" ref="O1156">IFERROR(
  INDEX('Putt Log'!$E$2:$V$72,
    MATCH(1,
      ('Putt Log'!$A$2:$A$72=$A1156)*
      ('Putt Log'!$B$2:$B$72=$B1156)*
      ('Putt Log'!$C$2:$C$72=$C1156),
    0),
    MATCH($G1156,'Putt Log'!$E$1:$V$1,0)
  ),
"")</f>
        <v>2</v>
      </c>
      <c r="P1156" cm="1">
        <f t="array" ref="P1156">IF(K1156=3,"",
  IFERROR(
    INDEX('Fairway Log'!$E$2:$V$72,
      MATCH(1,
        ('Fairway Log'!$A$2:$A$72=$A1156)*
        ('Fairway Log'!$B$2:$B$72=$B1156)*
        ('Fairway Log'!$C$2:$C1227=$C1156),
      0),
      MATCH($G1156,'Fairway Log'!$E$1:$V$1,0)
    ),
  "")
)</f>
        <v>1</v>
      </c>
      <c r="Q1156" t="str" cm="1">
        <f t="array" ref="Q1156">IFERROR(
  INDEX('GIR Log'!$E$2:$V$72,
    MATCH(1,
      ('GIR Log'!$A$2:$A$72=$A1156)*
      ('GIR Log'!$B$2:$B$72=$B1156)*
      ('GIR Log'!$C$2:$C$72=$C1156),
    0),
    MATCH($G1156,'GIR Log'!$E$1:$V$1,0)
  ),
"")</f>
        <v>↑</v>
      </c>
    </row>
    <row r="1157" spans="1:17" x14ac:dyDescent="0.25">
      <c r="A1157" s="78" t="s">
        <v>130</v>
      </c>
      <c r="B1157" s="2">
        <v>45941</v>
      </c>
      <c r="C1157" s="68" t="s">
        <v>12</v>
      </c>
      <c r="D1157" s="68" t="s">
        <v>76</v>
      </c>
      <c r="E1157" s="68" t="s">
        <v>36</v>
      </c>
      <c r="F1157">
        <v>91</v>
      </c>
      <c r="G1157" s="12" t="s">
        <v>50</v>
      </c>
      <c r="H1157" s="9">
        <f t="shared" si="77"/>
        <v>4</v>
      </c>
      <c r="I1157" cm="1">
        <f t="array" ref="I1157">IFERROR(INDEX(CourseYardages[[Hole 1]:[Hole 18]],
  MATCH(1, (CourseYardages[Course]=C1157)*(CourseYardages[Tees]=E1157), 0),
  MATCH(G1157, CourseYardages[[#Headers],[Hole 1]:[Hole 18]], 0)
),"")</f>
        <v>353</v>
      </c>
      <c r="J1157" cm="1">
        <f t="array" ref="J1157">IFERROR(INDEX(CourseHandicap[[Hole 1]:[Hole 18]],
  MATCH(1, (CourseHandicap[Course]=C1157)*(CourseHandicap[Tees]=E1157), 0),
  MATCH(G1157, CourseHandicap[[#Headers],[Hole 1]:[Hole 18]], 0)
),"")</f>
        <v>11</v>
      </c>
      <c r="K1157" cm="1">
        <f t="array" ref="K1157">IFERROR(INDEX(CourseRatings[[Hole 1]:[Hole 18]],
  MATCH(1, (CourseRatings[Course]=C1157)*(CourseRatings[Tees]=E1157), 0),
  MATCH(G1157, CourseRatings[[#Headers],[Hole 1]:[Hole 18]], 0)
),"")</f>
        <v>4</v>
      </c>
      <c r="L1157" cm="1">
        <f t="array" ref="L1157">IFERROR(
  INDEX('Golf Log'!$E$2:$V$72,
    MATCH(1,
      ('Golf Log'!$A$2:$A$72=$A1157)*
      ('Golf Log'!$B$2:$B$72=$B1157)*
      ('Golf Log'!$C$2:$C$72=$C1157),
    0),
    MATCH($G1157,'Golf Log'!$E$1:$V$1,0)
  ),
"")</f>
        <v>4</v>
      </c>
      <c r="M1157">
        <f t="shared" si="78"/>
        <v>0</v>
      </c>
      <c r="N1157" t="str">
        <f t="shared" si="79"/>
        <v>Par</v>
      </c>
      <c r="O1157" cm="1">
        <f t="array" ref="O1157">IFERROR(
  INDEX('Putt Log'!$E$2:$V$72,
    MATCH(1,
      ('Putt Log'!$A$2:$A$72=$A1157)*
      ('Putt Log'!$B$2:$B$72=$B1157)*
      ('Putt Log'!$C$2:$C$72=$C1157),
    0),
    MATCH($G1157,'Putt Log'!$E$1:$V$1,0)
  ),
"")</f>
        <v>1</v>
      </c>
      <c r="P1157" cm="1">
        <f t="array" ref="P1157">IF(K1157=3,"",
  IFERROR(
    INDEX('Fairway Log'!$E$2:$V$72,
      MATCH(1,
        ('Fairway Log'!$A$2:$A$72=$A1157)*
        ('Fairway Log'!$B$2:$B$72=$B1157)*
        ('Fairway Log'!$C$2:$C1228=$C1157),
      0),
      MATCH($G1157,'Fairway Log'!$E$1:$V$1,0)
    ),
  "")
)</f>
        <v>0</v>
      </c>
      <c r="Q1157" t="str" cm="1">
        <f t="array" ref="Q1157">IFERROR(
  INDEX('GIR Log'!$E$2:$V$72,
    MATCH(1,
      ('GIR Log'!$A$2:$A$72=$A1157)*
      ('GIR Log'!$B$2:$B$72=$B1157)*
      ('GIR Log'!$C$2:$C$72=$C1157),
    0),
    MATCH($G1157,'GIR Log'!$E$1:$V$1,0)
  ),
"")</f>
        <v>↓</v>
      </c>
    </row>
    <row r="1158" spans="1:17" x14ac:dyDescent="0.25">
      <c r="A1158" s="78" t="s">
        <v>130</v>
      </c>
      <c r="B1158" s="2">
        <v>45941</v>
      </c>
      <c r="C1158" s="68" t="s">
        <v>12</v>
      </c>
      <c r="D1158" s="68" t="s">
        <v>76</v>
      </c>
      <c r="E1158" s="68" t="s">
        <v>36</v>
      </c>
      <c r="F1158">
        <v>91</v>
      </c>
      <c r="G1158" s="12" t="s">
        <v>51</v>
      </c>
      <c r="H1158" s="9">
        <f t="shared" si="77"/>
        <v>5</v>
      </c>
      <c r="I1158" cm="1">
        <f t="array" ref="I1158">IFERROR(INDEX(CourseYardages[[Hole 1]:[Hole 18]],
  MATCH(1, (CourseYardages[Course]=C1158)*(CourseYardages[Tees]=E1158), 0),
  MATCH(G1158, CourseYardages[[#Headers],[Hole 1]:[Hole 18]], 0)
),"")</f>
        <v>457</v>
      </c>
      <c r="J1158" cm="1">
        <f t="array" ref="J1158">IFERROR(INDEX(CourseHandicap[[Hole 1]:[Hole 18]],
  MATCH(1, (CourseHandicap[Course]=C1158)*(CourseHandicap[Tees]=E1158), 0),
  MATCH(G1158, CourseHandicap[[#Headers],[Hole 1]:[Hole 18]], 0)
),"")</f>
        <v>7</v>
      </c>
      <c r="K1158" cm="1">
        <f t="array" ref="K1158">IFERROR(INDEX(CourseRatings[[Hole 1]:[Hole 18]],
  MATCH(1, (CourseRatings[Course]=C1158)*(CourseRatings[Tees]=E1158), 0),
  MATCH(G1158, CourseRatings[[#Headers],[Hole 1]:[Hole 18]], 0)
),"")</f>
        <v>5</v>
      </c>
      <c r="L1158" cm="1">
        <f t="array" ref="L1158">IFERROR(
  INDEX('Golf Log'!$E$2:$V$72,
    MATCH(1,
      ('Golf Log'!$A$2:$A$72=$A1158)*
      ('Golf Log'!$B$2:$B$72=$B1158)*
      ('Golf Log'!$C$2:$C$72=$C1158),
    0),
    MATCH($G1158,'Golf Log'!$E$1:$V$1,0)
  ),
"")</f>
        <v>5</v>
      </c>
      <c r="M1158">
        <f t="shared" si="78"/>
        <v>0</v>
      </c>
      <c r="N1158" t="str">
        <f t="shared" si="79"/>
        <v>Par</v>
      </c>
      <c r="O1158" cm="1">
        <f t="array" ref="O1158">IFERROR(
  INDEX('Putt Log'!$E$2:$V$72,
    MATCH(1,
      ('Putt Log'!$A$2:$A$72=$A1158)*
      ('Putt Log'!$B$2:$B$72=$B1158)*
      ('Putt Log'!$C$2:$C$72=$C1158),
    0),
    MATCH($G1158,'Putt Log'!$E$1:$V$1,0)
  ),
"")</f>
        <v>2</v>
      </c>
      <c r="P1158" cm="1">
        <f t="array" ref="P1158">IF(K1158=3,"",
  IFERROR(
    INDEX('Fairway Log'!$E$2:$V$72,
      MATCH(1,
        ('Fairway Log'!$A$2:$A$72=$A1158)*
        ('Fairway Log'!$B$2:$B$72=$B1158)*
        ('Fairway Log'!$C$2:$C1229=$C1158),
      0),
      MATCH($G1158,'Fairway Log'!$E$1:$V$1,0)
    ),
  "")
)</f>
        <v>1</v>
      </c>
      <c r="Q1158" cm="1">
        <f t="array" ref="Q1158">IFERROR(
  INDEX('GIR Log'!$E$2:$V$72,
    MATCH(1,
      ('GIR Log'!$A$2:$A$72=$A1158)*
      ('GIR Log'!$B$2:$B$72=$B1158)*
      ('GIR Log'!$C$2:$C$72=$C1158),
    0),
    MATCH($G1158,'GIR Log'!$E$1:$V$1,0)
  ),
"")</f>
        <v>1</v>
      </c>
    </row>
    <row r="1159" spans="1:17" x14ac:dyDescent="0.25">
      <c r="A1159" s="78" t="s">
        <v>130</v>
      </c>
      <c r="B1159" s="2">
        <v>45941</v>
      </c>
      <c r="C1159" s="68" t="s">
        <v>12</v>
      </c>
      <c r="D1159" s="68" t="s">
        <v>76</v>
      </c>
      <c r="E1159" s="68" t="s">
        <v>36</v>
      </c>
      <c r="F1159">
        <v>91</v>
      </c>
      <c r="G1159" s="12" t="s">
        <v>52</v>
      </c>
      <c r="H1159" s="9">
        <f t="shared" si="77"/>
        <v>6</v>
      </c>
      <c r="I1159" cm="1">
        <f t="array" ref="I1159">IFERROR(INDEX(CourseYardages[[Hole 1]:[Hole 18]],
  MATCH(1, (CourseYardages[Course]=C1159)*(CourseYardages[Tees]=E1159), 0),
  MATCH(G1159, CourseYardages[[#Headers],[Hole 1]:[Hole 18]], 0)
),"")</f>
        <v>155</v>
      </c>
      <c r="J1159" cm="1">
        <f t="array" ref="J1159">IFERROR(INDEX(CourseHandicap[[Hole 1]:[Hole 18]],
  MATCH(1, (CourseHandicap[Course]=C1159)*(CourseHandicap[Tees]=E1159), 0),
  MATCH(G1159, CourseHandicap[[#Headers],[Hole 1]:[Hole 18]], 0)
),"")</f>
        <v>17</v>
      </c>
      <c r="K1159" cm="1">
        <f t="array" ref="K1159">IFERROR(INDEX(CourseRatings[[Hole 1]:[Hole 18]],
  MATCH(1, (CourseRatings[Course]=C1159)*(CourseRatings[Tees]=E1159), 0),
  MATCH(G1159, CourseRatings[[#Headers],[Hole 1]:[Hole 18]], 0)
),"")</f>
        <v>3</v>
      </c>
      <c r="L1159" cm="1">
        <f t="array" ref="L1159">IFERROR(
  INDEX('Golf Log'!$E$2:$V$72,
    MATCH(1,
      ('Golf Log'!$A$2:$A$72=$A1159)*
      ('Golf Log'!$B$2:$B$72=$B1159)*
      ('Golf Log'!$C$2:$C$72=$C1159),
    0),
    MATCH($G1159,'Golf Log'!$E$1:$V$1,0)
  ),
"")</f>
        <v>6</v>
      </c>
      <c r="M1159">
        <f t="shared" si="78"/>
        <v>3</v>
      </c>
      <c r="N1159" t="str">
        <f t="shared" si="79"/>
        <v>Triple Bogey</v>
      </c>
      <c r="O1159" cm="1">
        <f t="array" ref="O1159">IFERROR(
  INDEX('Putt Log'!$E$2:$V$72,
    MATCH(1,
      ('Putt Log'!$A$2:$A$72=$A1159)*
      ('Putt Log'!$B$2:$B$72=$B1159)*
      ('Putt Log'!$C$2:$C$72=$C1159),
    0),
    MATCH($G1159,'Putt Log'!$E$1:$V$1,0)
  ),
"")</f>
        <v>3</v>
      </c>
      <c r="P1159" t="str" cm="1">
        <f t="array" ref="P1159">IF(K1159=3,"",
  IFERROR(
    INDEX('Fairway Log'!$E$2:$V$72,
      MATCH(1,
        ('Fairway Log'!$A$2:$A$72=$A1159)*
        ('Fairway Log'!$B$2:$B$72=$B1159)*
        ('Fairway Log'!$C$2:$C1230=$C1159),
      0),
      MATCH($G1159,'Fairway Log'!$E$1:$V$1,0)
    ),
  "")
)</f>
        <v/>
      </c>
      <c r="Q1159" t="str" cm="1">
        <f t="array" ref="Q1159">IFERROR(
  INDEX('GIR Log'!$E$2:$V$72,
    MATCH(1,
      ('GIR Log'!$A$2:$A$72=$A1159)*
      ('GIR Log'!$B$2:$B$72=$B1159)*
      ('GIR Log'!$C$2:$C$72=$C1159),
    0),
    MATCH($G1159,'GIR Log'!$E$1:$V$1,0)
  ),
"")</f>
        <v>↓</v>
      </c>
    </row>
    <row r="1160" spans="1:17" x14ac:dyDescent="0.25">
      <c r="A1160" s="78" t="s">
        <v>130</v>
      </c>
      <c r="B1160" s="2">
        <v>45941</v>
      </c>
      <c r="C1160" s="68" t="s">
        <v>12</v>
      </c>
      <c r="D1160" s="68" t="s">
        <v>76</v>
      </c>
      <c r="E1160" s="68" t="s">
        <v>36</v>
      </c>
      <c r="F1160">
        <v>91</v>
      </c>
      <c r="G1160" s="12" t="s">
        <v>53</v>
      </c>
      <c r="H1160" s="9">
        <f t="shared" si="77"/>
        <v>7</v>
      </c>
      <c r="I1160" cm="1">
        <f t="array" ref="I1160">IFERROR(INDEX(CourseYardages[[Hole 1]:[Hole 18]],
  MATCH(1, (CourseYardages[Course]=C1160)*(CourseYardages[Tees]=E1160), 0),
  MATCH(G1160, CourseYardages[[#Headers],[Hole 1]:[Hole 18]], 0)
),"")</f>
        <v>408</v>
      </c>
      <c r="J1160" cm="1">
        <f t="array" ref="J1160">IFERROR(INDEX(CourseHandicap[[Hole 1]:[Hole 18]],
  MATCH(1, (CourseHandicap[Course]=C1160)*(CourseHandicap[Tees]=E1160), 0),
  MATCH(G1160, CourseHandicap[[#Headers],[Hole 1]:[Hole 18]], 0)
),"")</f>
        <v>1</v>
      </c>
      <c r="K1160" cm="1">
        <f t="array" ref="K1160">IFERROR(INDEX(CourseRatings[[Hole 1]:[Hole 18]],
  MATCH(1, (CourseRatings[Course]=C1160)*(CourseRatings[Tees]=E1160), 0),
  MATCH(G1160, CourseRatings[[#Headers],[Hole 1]:[Hole 18]], 0)
),"")</f>
        <v>4</v>
      </c>
      <c r="L1160" cm="1">
        <f t="array" ref="L1160">IFERROR(
  INDEX('Golf Log'!$E$2:$V$72,
    MATCH(1,
      ('Golf Log'!$A$2:$A$72=$A1160)*
      ('Golf Log'!$B$2:$B$72=$B1160)*
      ('Golf Log'!$C$2:$C$72=$C1160),
    0),
    MATCH($G1160,'Golf Log'!$E$1:$V$1,0)
  ),
"")</f>
        <v>5</v>
      </c>
      <c r="M1160">
        <f t="shared" si="78"/>
        <v>1</v>
      </c>
      <c r="N1160" t="str">
        <f t="shared" si="79"/>
        <v>Bogey</v>
      </c>
      <c r="O1160" cm="1">
        <f t="array" ref="O1160">IFERROR(
  INDEX('Putt Log'!$E$2:$V$72,
    MATCH(1,
      ('Putt Log'!$A$2:$A$72=$A1160)*
      ('Putt Log'!$B$2:$B$72=$B1160)*
      ('Putt Log'!$C$2:$C$72=$C1160),
    0),
    MATCH($G1160,'Putt Log'!$E$1:$V$1,0)
  ),
"")</f>
        <v>2</v>
      </c>
      <c r="P1160" cm="1">
        <f t="array" ref="P1160">IF(K1160=3,"",
  IFERROR(
    INDEX('Fairway Log'!$E$2:$V$72,
      MATCH(1,
        ('Fairway Log'!$A$2:$A$72=$A1160)*
        ('Fairway Log'!$B$2:$B$72=$B1160)*
        ('Fairway Log'!$C$2:$C1231=$C1160),
      0),
      MATCH($G1160,'Fairway Log'!$E$1:$V$1,0)
    ),
  "")
)</f>
        <v>0</v>
      </c>
      <c r="Q1160" t="str" cm="1">
        <f t="array" ref="Q1160">IFERROR(
  INDEX('GIR Log'!$E$2:$V$72,
    MATCH(1,
      ('GIR Log'!$A$2:$A$72=$A1160)*
      ('GIR Log'!$B$2:$B$72=$B1160)*
      ('GIR Log'!$C$2:$C$72=$C1160),
    0),
    MATCH($G1160,'GIR Log'!$E$1:$V$1,0)
  ),
"")</f>
        <v>↓</v>
      </c>
    </row>
    <row r="1161" spans="1:17" x14ac:dyDescent="0.25">
      <c r="A1161" s="78" t="s">
        <v>130</v>
      </c>
      <c r="B1161" s="2">
        <v>45941</v>
      </c>
      <c r="C1161" s="68" t="s">
        <v>12</v>
      </c>
      <c r="D1161" s="68" t="s">
        <v>76</v>
      </c>
      <c r="E1161" s="68" t="s">
        <v>36</v>
      </c>
      <c r="F1161">
        <v>91</v>
      </c>
      <c r="G1161" s="12" t="s">
        <v>54</v>
      </c>
      <c r="H1161" s="9">
        <f t="shared" si="77"/>
        <v>8</v>
      </c>
      <c r="I1161" cm="1">
        <f t="array" ref="I1161">IFERROR(INDEX(CourseYardages[[Hole 1]:[Hole 18]],
  MATCH(1, (CourseYardages[Course]=C1161)*(CourseYardages[Tees]=E1161), 0),
  MATCH(G1161, CourseYardages[[#Headers],[Hole 1]:[Hole 18]], 0)
),"")</f>
        <v>154</v>
      </c>
      <c r="J1161" cm="1">
        <f t="array" ref="J1161">IFERROR(INDEX(CourseHandicap[[Hole 1]:[Hole 18]],
  MATCH(1, (CourseHandicap[Course]=C1161)*(CourseHandicap[Tees]=E1161), 0),
  MATCH(G1161, CourseHandicap[[#Headers],[Hole 1]:[Hole 18]], 0)
),"")</f>
        <v>15</v>
      </c>
      <c r="K1161" cm="1">
        <f t="array" ref="K1161">IFERROR(INDEX(CourseRatings[[Hole 1]:[Hole 18]],
  MATCH(1, (CourseRatings[Course]=C1161)*(CourseRatings[Tees]=E1161), 0),
  MATCH(G1161, CourseRatings[[#Headers],[Hole 1]:[Hole 18]], 0)
),"")</f>
        <v>3</v>
      </c>
      <c r="L1161" cm="1">
        <f t="array" ref="L1161">IFERROR(
  INDEX('Golf Log'!$E$2:$V$72,
    MATCH(1,
      ('Golf Log'!$A$2:$A$72=$A1161)*
      ('Golf Log'!$B$2:$B$72=$B1161)*
      ('Golf Log'!$C$2:$C$72=$C1161),
    0),
    MATCH($G1161,'Golf Log'!$E$1:$V$1,0)
  ),
"")</f>
        <v>3</v>
      </c>
      <c r="M1161">
        <f t="shared" si="78"/>
        <v>0</v>
      </c>
      <c r="N1161" t="str">
        <f t="shared" si="79"/>
        <v>Par</v>
      </c>
      <c r="O1161" cm="1">
        <f t="array" ref="O1161">IFERROR(
  INDEX('Putt Log'!$E$2:$V$72,
    MATCH(1,
      ('Putt Log'!$A$2:$A$72=$A1161)*
      ('Putt Log'!$B$2:$B$72=$B1161)*
      ('Putt Log'!$C$2:$C$72=$C1161),
    0),
    MATCH($G1161,'Putt Log'!$E$1:$V$1,0)
  ),
"")</f>
        <v>1</v>
      </c>
      <c r="P1161" t="str" cm="1">
        <f t="array" ref="P1161">IF(K1161=3,"",
  IFERROR(
    INDEX('Fairway Log'!$E$2:$V$72,
      MATCH(1,
        ('Fairway Log'!$A$2:$A$72=$A1161)*
        ('Fairway Log'!$B$2:$B$72=$B1161)*
        ('Fairway Log'!$C$2:$C1232=$C1161),
      0),
      MATCH($G1161,'Fairway Log'!$E$1:$V$1,0)
    ),
  "")
)</f>
        <v/>
      </c>
      <c r="Q1161" t="str" cm="1">
        <f t="array" ref="Q1161">IFERROR(
  INDEX('GIR Log'!$E$2:$V$72,
    MATCH(1,
      ('GIR Log'!$A$2:$A$72=$A1161)*
      ('GIR Log'!$B$2:$B$72=$B1161)*
      ('GIR Log'!$C$2:$C$72=$C1161),
    0),
    MATCH($G1161,'GIR Log'!$E$1:$V$1,0)
  ),
"")</f>
        <v>↓</v>
      </c>
    </row>
    <row r="1162" spans="1:17" x14ac:dyDescent="0.25">
      <c r="A1162" s="78" t="s">
        <v>130</v>
      </c>
      <c r="B1162" s="2">
        <v>45941</v>
      </c>
      <c r="C1162" s="68" t="s">
        <v>12</v>
      </c>
      <c r="D1162" s="68" t="s">
        <v>76</v>
      </c>
      <c r="E1162" s="68" t="s">
        <v>36</v>
      </c>
      <c r="F1162">
        <v>91</v>
      </c>
      <c r="G1162" s="12" t="s">
        <v>55</v>
      </c>
      <c r="H1162" s="9">
        <f t="shared" si="77"/>
        <v>9</v>
      </c>
      <c r="I1162" cm="1">
        <f t="array" ref="I1162">IFERROR(INDEX(CourseYardages[[Hole 1]:[Hole 18]],
  MATCH(1, (CourseYardages[Course]=C1162)*(CourseYardages[Tees]=E1162), 0),
  MATCH(G1162, CourseYardages[[#Headers],[Hole 1]:[Hole 18]], 0)
),"")</f>
        <v>372</v>
      </c>
      <c r="J1162" cm="1">
        <f t="array" ref="J1162">IFERROR(INDEX(CourseHandicap[[Hole 1]:[Hole 18]],
  MATCH(1, (CourseHandicap[Course]=C1162)*(CourseHandicap[Tees]=E1162), 0),
  MATCH(G1162, CourseHandicap[[#Headers],[Hole 1]:[Hole 18]], 0)
),"")</f>
        <v>3</v>
      </c>
      <c r="K1162" cm="1">
        <f t="array" ref="K1162">IFERROR(INDEX(CourseRatings[[Hole 1]:[Hole 18]],
  MATCH(1, (CourseRatings[Course]=C1162)*(CourseRatings[Tees]=E1162), 0),
  MATCH(G1162, CourseRatings[[#Headers],[Hole 1]:[Hole 18]], 0)
),"")</f>
        <v>4</v>
      </c>
      <c r="L1162" cm="1">
        <f t="array" ref="L1162">IFERROR(
  INDEX('Golf Log'!$E$2:$V$72,
    MATCH(1,
      ('Golf Log'!$A$2:$A$72=$A1162)*
      ('Golf Log'!$B$2:$B$72=$B1162)*
      ('Golf Log'!$C$2:$C$72=$C1162),
    0),
    MATCH($G1162,'Golf Log'!$E$1:$V$1,0)
  ),
"")</f>
        <v>6</v>
      </c>
      <c r="M1162">
        <f t="shared" si="78"/>
        <v>2</v>
      </c>
      <c r="N1162" t="str">
        <f t="shared" si="79"/>
        <v>Double Bogey</v>
      </c>
      <c r="O1162" cm="1">
        <f t="array" ref="O1162">IFERROR(
  INDEX('Putt Log'!$E$2:$V$72,
    MATCH(1,
      ('Putt Log'!$A$2:$A$72=$A1162)*
      ('Putt Log'!$B$2:$B$72=$B1162)*
      ('Putt Log'!$C$2:$C$72=$C1162),
    0),
    MATCH($G1162,'Putt Log'!$E$1:$V$1,0)
  ),
"")</f>
        <v>3</v>
      </c>
      <c r="P1162" cm="1">
        <f t="array" ref="P1162">IF(K1162=3,"",
  IFERROR(
    INDEX('Fairway Log'!$E$2:$V$72,
      MATCH(1,
        ('Fairway Log'!$A$2:$A$72=$A1162)*
        ('Fairway Log'!$B$2:$B$72=$B1162)*
        ('Fairway Log'!$C$2:$C1233=$C1162),
      0),
      MATCH($G1162,'Fairway Log'!$E$1:$V$1,0)
    ),
  "")
)</f>
        <v>1</v>
      </c>
      <c r="Q1162" t="str" cm="1">
        <f t="array" ref="Q1162">IFERROR(
  INDEX('GIR Log'!$E$2:$V$72,
    MATCH(1,
      ('GIR Log'!$A$2:$A$72=$A1162)*
      ('GIR Log'!$B$2:$B$72=$B1162)*
      ('GIR Log'!$C$2:$C$72=$C1162),
    0),
    MATCH($G1162,'GIR Log'!$E$1:$V$1,0)
  ),
"")</f>
        <v>↓</v>
      </c>
    </row>
    <row r="1163" spans="1:17" x14ac:dyDescent="0.25">
      <c r="A1163" s="78" t="s">
        <v>130</v>
      </c>
      <c r="B1163" s="2">
        <v>45941</v>
      </c>
      <c r="C1163" s="68" t="s">
        <v>12</v>
      </c>
      <c r="D1163" s="68" t="s">
        <v>76</v>
      </c>
      <c r="E1163" s="68" t="s">
        <v>36</v>
      </c>
      <c r="F1163">
        <v>91</v>
      </c>
      <c r="G1163" s="12" t="s">
        <v>56</v>
      </c>
      <c r="H1163" s="9">
        <f t="shared" si="77"/>
        <v>10</v>
      </c>
      <c r="I1163" cm="1">
        <f t="array" ref="I1163">IFERROR(INDEX(CourseYardages[[Hole 1]:[Hole 18]],
  MATCH(1, (CourseYardages[Course]=C1163)*(CourseYardages[Tees]=E1163), 0),
  MATCH(G1163, CourseYardages[[#Headers],[Hole 1]:[Hole 18]], 0)
),"")</f>
        <v>468</v>
      </c>
      <c r="J1163" cm="1">
        <f t="array" ref="J1163">IFERROR(INDEX(CourseHandicap[[Hole 1]:[Hole 18]],
  MATCH(1, (CourseHandicap[Course]=C1163)*(CourseHandicap[Tees]=E1163), 0),
  MATCH(G1163, CourseHandicap[[#Headers],[Hole 1]:[Hole 18]], 0)
),"")</f>
        <v>4</v>
      </c>
      <c r="K1163" cm="1">
        <f t="array" ref="K1163">IFERROR(INDEX(CourseRatings[[Hole 1]:[Hole 18]],
  MATCH(1, (CourseRatings[Course]=C1163)*(CourseRatings[Tees]=E1163), 0),
  MATCH(G1163, CourseRatings[[#Headers],[Hole 1]:[Hole 18]], 0)
),"")</f>
        <v>5</v>
      </c>
      <c r="L1163" cm="1">
        <f t="array" ref="L1163">IFERROR(
  INDEX('Golf Log'!$E$2:$V$72,
    MATCH(1,
      ('Golf Log'!$A$2:$A$72=$A1163)*
      ('Golf Log'!$B$2:$B$72=$B1163)*
      ('Golf Log'!$C$2:$C$72=$C1163),
    0),
    MATCH($G1163,'Golf Log'!$E$1:$V$1,0)
  ),
"")</f>
        <v>7</v>
      </c>
      <c r="M1163">
        <f t="shared" si="78"/>
        <v>2</v>
      </c>
      <c r="N1163" t="str">
        <f t="shared" si="79"/>
        <v>Double Bogey</v>
      </c>
      <c r="O1163" cm="1">
        <f t="array" ref="O1163">IFERROR(
  INDEX('Putt Log'!$E$2:$V$72,
    MATCH(1,
      ('Putt Log'!$A$2:$A$72=$A1163)*
      ('Putt Log'!$B$2:$B$72=$B1163)*
      ('Putt Log'!$C$2:$C$72=$C1163),
    0),
    MATCH($G1163,'Putt Log'!$E$1:$V$1,0)
  ),
"")</f>
        <v>2</v>
      </c>
      <c r="P1163" cm="1">
        <f t="array" ref="P1163">IF(K1163=3,"",
  IFERROR(
    INDEX('Fairway Log'!$E$2:$V$72,
      MATCH(1,
        ('Fairway Log'!$A$2:$A$72=$A1163)*
        ('Fairway Log'!$B$2:$B$72=$B1163)*
        ('Fairway Log'!$C$2:$C1234=$C1163),
      0),
      MATCH($G1163,'Fairway Log'!$E$1:$V$1,0)
    ),
  "")
)</f>
        <v>1</v>
      </c>
      <c r="Q1163" t="str" cm="1">
        <f t="array" ref="Q1163">IFERROR(
  INDEX('GIR Log'!$E$2:$V$72,
    MATCH(1,
      ('GIR Log'!$A$2:$A$72=$A1163)*
      ('GIR Log'!$B$2:$B$72=$B1163)*
      ('GIR Log'!$C$2:$C$72=$C1163),
    0),
    MATCH($G1163,'GIR Log'!$E$1:$V$1,0)
  ),
"")</f>
        <v>↑</v>
      </c>
    </row>
    <row r="1164" spans="1:17" x14ac:dyDescent="0.25">
      <c r="A1164" s="78" t="s">
        <v>130</v>
      </c>
      <c r="B1164" s="2">
        <v>45941</v>
      </c>
      <c r="C1164" s="68" t="s">
        <v>12</v>
      </c>
      <c r="D1164" s="68" t="s">
        <v>76</v>
      </c>
      <c r="E1164" s="68" t="s">
        <v>36</v>
      </c>
      <c r="F1164">
        <v>91</v>
      </c>
      <c r="G1164" s="12" t="s">
        <v>57</v>
      </c>
      <c r="H1164" s="9">
        <f t="shared" si="77"/>
        <v>11</v>
      </c>
      <c r="I1164" cm="1">
        <f t="array" ref="I1164">IFERROR(INDEX(CourseYardages[[Hole 1]:[Hole 18]],
  MATCH(1, (CourseYardages[Course]=C1164)*(CourseYardages[Tees]=E1164), 0),
  MATCH(G1164, CourseYardages[[#Headers],[Hole 1]:[Hole 18]], 0)
),"")</f>
        <v>282</v>
      </c>
      <c r="J1164" cm="1">
        <f t="array" ref="J1164">IFERROR(INDEX(CourseHandicap[[Hole 1]:[Hole 18]],
  MATCH(1, (CourseHandicap[Course]=C1164)*(CourseHandicap[Tees]=E1164), 0),
  MATCH(G1164, CourseHandicap[[#Headers],[Hole 1]:[Hole 18]], 0)
),"")</f>
        <v>16</v>
      </c>
      <c r="K1164" cm="1">
        <f t="array" ref="K1164">IFERROR(INDEX(CourseRatings[[Hole 1]:[Hole 18]],
  MATCH(1, (CourseRatings[Course]=C1164)*(CourseRatings[Tees]=E1164), 0),
  MATCH(G1164, CourseRatings[[#Headers],[Hole 1]:[Hole 18]], 0)
),"")</f>
        <v>4</v>
      </c>
      <c r="L1164" cm="1">
        <f t="array" ref="L1164">IFERROR(
  INDEX('Golf Log'!$E$2:$V$72,
    MATCH(1,
      ('Golf Log'!$A$2:$A$72=$A1164)*
      ('Golf Log'!$B$2:$B$72=$B1164)*
      ('Golf Log'!$C$2:$C$72=$C1164),
    0),
    MATCH($G1164,'Golf Log'!$E$1:$V$1,0)
  ),
"")</f>
        <v>4</v>
      </c>
      <c r="M1164">
        <f t="shared" si="78"/>
        <v>0</v>
      </c>
      <c r="N1164" t="str">
        <f t="shared" si="79"/>
        <v>Par</v>
      </c>
      <c r="O1164" cm="1">
        <f t="array" ref="O1164">IFERROR(
  INDEX('Putt Log'!$E$2:$V$72,
    MATCH(1,
      ('Putt Log'!$A$2:$A$72=$A1164)*
      ('Putt Log'!$B$2:$B$72=$B1164)*
      ('Putt Log'!$C$2:$C$72=$C1164),
    0),
    MATCH($G1164,'Putt Log'!$E$1:$V$1,0)
  ),
"")</f>
        <v>1</v>
      </c>
      <c r="P1164" t="str" cm="1">
        <f t="array" ref="P1164">IF(K1164=3,"",
  IFERROR(
    INDEX('Fairway Log'!$E$2:$V$72,
      MATCH(1,
        ('Fairway Log'!$A$2:$A$72=$A1164)*
        ('Fairway Log'!$B$2:$B$72=$B1164)*
        ('Fairway Log'!$C$2:$C1235=$C1164),
      0),
      MATCH($G1164,'Fairway Log'!$E$1:$V$1,0)
    ),
  "")
)</f>
        <v>←</v>
      </c>
      <c r="Q1164" t="str" cm="1">
        <f t="array" ref="Q1164">IFERROR(
  INDEX('GIR Log'!$E$2:$V$72,
    MATCH(1,
      ('GIR Log'!$A$2:$A$72=$A1164)*
      ('GIR Log'!$B$2:$B$72=$B1164)*
      ('GIR Log'!$C$2:$C$72=$C1164),
    0),
    MATCH($G1164,'GIR Log'!$E$1:$V$1,0)
  ),
"")</f>
        <v>↑</v>
      </c>
    </row>
    <row r="1165" spans="1:17" x14ac:dyDescent="0.25">
      <c r="A1165" s="78" t="s">
        <v>130</v>
      </c>
      <c r="B1165" s="2">
        <v>45941</v>
      </c>
      <c r="C1165" s="68" t="s">
        <v>12</v>
      </c>
      <c r="D1165" s="68" t="s">
        <v>76</v>
      </c>
      <c r="E1165" s="68" t="s">
        <v>36</v>
      </c>
      <c r="F1165">
        <v>91</v>
      </c>
      <c r="G1165" s="12" t="s">
        <v>58</v>
      </c>
      <c r="H1165" s="9">
        <f t="shared" si="77"/>
        <v>12</v>
      </c>
      <c r="I1165" cm="1">
        <f t="array" ref="I1165">IFERROR(INDEX(CourseYardages[[Hole 1]:[Hole 18]],
  MATCH(1, (CourseYardages[Course]=C1165)*(CourseYardages[Tees]=E1165), 0),
  MATCH(G1165, CourseYardages[[#Headers],[Hole 1]:[Hole 18]], 0)
),"")</f>
        <v>123</v>
      </c>
      <c r="J1165" cm="1">
        <f t="array" ref="J1165">IFERROR(INDEX(CourseHandicap[[Hole 1]:[Hole 18]],
  MATCH(1, (CourseHandicap[Course]=C1165)*(CourseHandicap[Tees]=E1165), 0),
  MATCH(G1165, CourseHandicap[[#Headers],[Hole 1]:[Hole 18]], 0)
),"")</f>
        <v>18</v>
      </c>
      <c r="K1165" cm="1">
        <f t="array" ref="K1165">IFERROR(INDEX(CourseRatings[[Hole 1]:[Hole 18]],
  MATCH(1, (CourseRatings[Course]=C1165)*(CourseRatings[Tees]=E1165), 0),
  MATCH(G1165, CourseRatings[[#Headers],[Hole 1]:[Hole 18]], 0)
),"")</f>
        <v>3</v>
      </c>
      <c r="L1165" cm="1">
        <f t="array" ref="L1165">IFERROR(
  INDEX('Golf Log'!$E$2:$V$72,
    MATCH(1,
      ('Golf Log'!$A$2:$A$72=$A1165)*
      ('Golf Log'!$B$2:$B$72=$B1165)*
      ('Golf Log'!$C$2:$C$72=$C1165),
    0),
    MATCH($G1165,'Golf Log'!$E$1:$V$1,0)
  ),
"")</f>
        <v>4</v>
      </c>
      <c r="M1165">
        <f t="shared" si="78"/>
        <v>1</v>
      </c>
      <c r="N1165" t="str">
        <f t="shared" si="79"/>
        <v>Bogey</v>
      </c>
      <c r="O1165" cm="1">
        <f t="array" ref="O1165">IFERROR(
  INDEX('Putt Log'!$E$2:$V$72,
    MATCH(1,
      ('Putt Log'!$A$2:$A$72=$A1165)*
      ('Putt Log'!$B$2:$B$72=$B1165)*
      ('Putt Log'!$C$2:$C$72=$C1165),
    0),
    MATCH($G1165,'Putt Log'!$E$1:$V$1,0)
  ),
"")</f>
        <v>2</v>
      </c>
      <c r="P1165" t="str" cm="1">
        <f t="array" ref="P1165">IF(K1165=3,"",
  IFERROR(
    INDEX('Fairway Log'!$E$2:$V$72,
      MATCH(1,
        ('Fairway Log'!$A$2:$A$72=$A1165)*
        ('Fairway Log'!$B$2:$B$72=$B1165)*
        ('Fairway Log'!$C$2:$C1236=$C1165),
      0),
      MATCH($G1165,'Fairway Log'!$E$1:$V$1,0)
    ),
  "")
)</f>
        <v/>
      </c>
      <c r="Q1165" t="str" cm="1">
        <f t="array" ref="Q1165">IFERROR(
  INDEX('GIR Log'!$E$2:$V$72,
    MATCH(1,
      ('GIR Log'!$A$2:$A$72=$A1165)*
      ('GIR Log'!$B$2:$B$72=$B1165)*
      ('GIR Log'!$C$2:$C$72=$C1165),
    0),
    MATCH($G1165,'GIR Log'!$E$1:$V$1,0)
  ),
"")</f>
        <v>↑</v>
      </c>
    </row>
    <row r="1166" spans="1:17" x14ac:dyDescent="0.25">
      <c r="A1166" s="78" t="s">
        <v>130</v>
      </c>
      <c r="B1166" s="2">
        <v>45941</v>
      </c>
      <c r="C1166" s="68" t="s">
        <v>12</v>
      </c>
      <c r="D1166" s="68" t="s">
        <v>76</v>
      </c>
      <c r="E1166" s="68" t="s">
        <v>36</v>
      </c>
      <c r="F1166">
        <v>91</v>
      </c>
      <c r="G1166" s="12" t="s">
        <v>59</v>
      </c>
      <c r="H1166" s="9">
        <f t="shared" si="77"/>
        <v>13</v>
      </c>
      <c r="I1166" cm="1">
        <f t="array" ref="I1166">IFERROR(INDEX(CourseYardages[[Hole 1]:[Hole 18]],
  MATCH(1, (CourseYardages[Course]=C1166)*(CourseYardages[Tees]=E1166), 0),
  MATCH(G1166, CourseYardages[[#Headers],[Hole 1]:[Hole 18]], 0)
),"")</f>
        <v>359</v>
      </c>
      <c r="J1166" cm="1">
        <f t="array" ref="J1166">IFERROR(INDEX(CourseHandicap[[Hole 1]:[Hole 18]],
  MATCH(1, (CourseHandicap[Course]=C1166)*(CourseHandicap[Tees]=E1166), 0),
  MATCH(G1166, CourseHandicap[[#Headers],[Hole 1]:[Hole 18]], 0)
),"")</f>
        <v>14</v>
      </c>
      <c r="K1166" cm="1">
        <f t="array" ref="K1166">IFERROR(INDEX(CourseRatings[[Hole 1]:[Hole 18]],
  MATCH(1, (CourseRatings[Course]=C1166)*(CourseRatings[Tees]=E1166), 0),
  MATCH(G1166, CourseRatings[[#Headers],[Hole 1]:[Hole 18]], 0)
),"")</f>
        <v>4</v>
      </c>
      <c r="L1166" cm="1">
        <f t="array" ref="L1166">IFERROR(
  INDEX('Golf Log'!$E$2:$V$72,
    MATCH(1,
      ('Golf Log'!$A$2:$A$72=$A1166)*
      ('Golf Log'!$B$2:$B$72=$B1166)*
      ('Golf Log'!$C$2:$C$72=$C1166),
    0),
    MATCH($G1166,'Golf Log'!$E$1:$V$1,0)
  ),
"")</f>
        <v>5</v>
      </c>
      <c r="M1166">
        <f t="shared" si="78"/>
        <v>1</v>
      </c>
      <c r="N1166" t="str">
        <f t="shared" si="79"/>
        <v>Bogey</v>
      </c>
      <c r="O1166" cm="1">
        <f t="array" ref="O1166">IFERROR(
  INDEX('Putt Log'!$E$2:$V$72,
    MATCH(1,
      ('Putt Log'!$A$2:$A$72=$A1166)*
      ('Putt Log'!$B$2:$B$72=$B1166)*
      ('Putt Log'!$C$2:$C$72=$C1166),
    0),
    MATCH($G1166,'Putt Log'!$E$1:$V$1,0)
  ),
"")</f>
        <v>1</v>
      </c>
      <c r="P1166" t="str" cm="1">
        <f t="array" ref="P1166">IF(K1166=3,"",
  IFERROR(
    INDEX('Fairway Log'!$E$2:$V$72,
      MATCH(1,
        ('Fairway Log'!$A$2:$A$72=$A1166)*
        ('Fairway Log'!$B$2:$B$72=$B1166)*
        ('Fairway Log'!$C$2:$C1237=$C1166),
      0),
      MATCH($G1166,'Fairway Log'!$E$1:$V$1,0)
    ),
  "")
)</f>
        <v>←</v>
      </c>
      <c r="Q1166" t="str" cm="1">
        <f t="array" ref="Q1166">IFERROR(
  INDEX('GIR Log'!$E$2:$V$72,
    MATCH(1,
      ('GIR Log'!$A$2:$A$72=$A1166)*
      ('GIR Log'!$B$2:$B$72=$B1166)*
      ('GIR Log'!$C$2:$C$72=$C1166),
    0),
    MATCH($G1166,'GIR Log'!$E$1:$V$1,0)
  ),
"")</f>
        <v>→</v>
      </c>
    </row>
    <row r="1167" spans="1:17" x14ac:dyDescent="0.25">
      <c r="A1167" s="78" t="s">
        <v>130</v>
      </c>
      <c r="B1167" s="2">
        <v>45941</v>
      </c>
      <c r="C1167" s="68" t="s">
        <v>12</v>
      </c>
      <c r="D1167" s="68" t="s">
        <v>76</v>
      </c>
      <c r="E1167" s="68" t="s">
        <v>36</v>
      </c>
      <c r="F1167">
        <v>91</v>
      </c>
      <c r="G1167" s="12" t="s">
        <v>60</v>
      </c>
      <c r="H1167" s="9">
        <f t="shared" si="77"/>
        <v>14</v>
      </c>
      <c r="I1167" cm="1">
        <f t="array" ref="I1167">IFERROR(INDEX(CourseYardages[[Hole 1]:[Hole 18]],
  MATCH(1, (CourseYardages[Course]=C1167)*(CourseYardages[Tees]=E1167), 0),
  MATCH(G1167, CourseYardages[[#Headers],[Hole 1]:[Hole 18]], 0)
),"")</f>
        <v>194</v>
      </c>
      <c r="J1167" cm="1">
        <f t="array" ref="J1167">IFERROR(INDEX(CourseHandicap[[Hole 1]:[Hole 18]],
  MATCH(1, (CourseHandicap[Course]=C1167)*(CourseHandicap[Tees]=E1167), 0),
  MATCH(G1167, CourseHandicap[[#Headers],[Hole 1]:[Hole 18]], 0)
),"")</f>
        <v>12</v>
      </c>
      <c r="K1167" cm="1">
        <f t="array" ref="K1167">IFERROR(INDEX(CourseRatings[[Hole 1]:[Hole 18]],
  MATCH(1, (CourseRatings[Course]=C1167)*(CourseRatings[Tees]=E1167), 0),
  MATCH(G1167, CourseRatings[[#Headers],[Hole 1]:[Hole 18]], 0)
),"")</f>
        <v>3</v>
      </c>
      <c r="L1167" cm="1">
        <f t="array" ref="L1167">IFERROR(
  INDEX('Golf Log'!$E$2:$V$72,
    MATCH(1,
      ('Golf Log'!$A$2:$A$72=$A1167)*
      ('Golf Log'!$B$2:$B$72=$B1167)*
      ('Golf Log'!$C$2:$C$72=$C1167),
    0),
    MATCH($G1167,'Golf Log'!$E$1:$V$1,0)
  ),
"")</f>
        <v>4</v>
      </c>
      <c r="M1167">
        <f t="shared" si="78"/>
        <v>1</v>
      </c>
      <c r="N1167" t="str">
        <f t="shared" si="79"/>
        <v>Bogey</v>
      </c>
      <c r="O1167" cm="1">
        <f t="array" ref="O1167">IFERROR(
  INDEX('Putt Log'!$E$2:$V$72,
    MATCH(1,
      ('Putt Log'!$A$2:$A$72=$A1167)*
      ('Putt Log'!$B$2:$B$72=$B1167)*
      ('Putt Log'!$C$2:$C$72=$C1167),
    0),
    MATCH($G1167,'Putt Log'!$E$1:$V$1,0)
  ),
"")</f>
        <v>1</v>
      </c>
      <c r="P1167" t="str" cm="1">
        <f t="array" ref="P1167">IF(K1167=3,"",
  IFERROR(
    INDEX('Fairway Log'!$E$2:$V$72,
      MATCH(1,
        ('Fairway Log'!$A$2:$A$72=$A1167)*
        ('Fairway Log'!$B$2:$B$72=$B1167)*
        ('Fairway Log'!$C$2:$C1238=$C1167),
      0),
      MATCH($G1167,'Fairway Log'!$E$1:$V$1,0)
    ),
  "")
)</f>
        <v/>
      </c>
      <c r="Q1167" t="str" cm="1">
        <f t="array" ref="Q1167">IFERROR(
  INDEX('GIR Log'!$E$2:$V$72,
    MATCH(1,
      ('GIR Log'!$A$2:$A$72=$A1167)*
      ('GIR Log'!$B$2:$B$72=$B1167)*
      ('GIR Log'!$C$2:$C$72=$C1167),
    0),
    MATCH($G1167,'GIR Log'!$E$1:$V$1,0)
  ),
"")</f>
        <v>←</v>
      </c>
    </row>
    <row r="1168" spans="1:17" x14ac:dyDescent="0.25">
      <c r="A1168" s="78" t="s">
        <v>130</v>
      </c>
      <c r="B1168" s="2">
        <v>45941</v>
      </c>
      <c r="C1168" s="68" t="s">
        <v>12</v>
      </c>
      <c r="D1168" s="68" t="s">
        <v>76</v>
      </c>
      <c r="E1168" s="68" t="s">
        <v>36</v>
      </c>
      <c r="F1168">
        <v>91</v>
      </c>
      <c r="G1168" s="12" t="s">
        <v>61</v>
      </c>
      <c r="H1168" s="9">
        <f t="shared" si="77"/>
        <v>15</v>
      </c>
      <c r="I1168" cm="1">
        <f t="array" ref="I1168">IFERROR(INDEX(CourseYardages[[Hole 1]:[Hole 18]],
  MATCH(1, (CourseYardages[Course]=C1168)*(CourseYardages[Tees]=E1168), 0),
  MATCH(G1168, CourseYardages[[#Headers],[Hole 1]:[Hole 18]], 0)
),"")</f>
        <v>545</v>
      </c>
      <c r="J1168" cm="1">
        <f t="array" ref="J1168">IFERROR(INDEX(CourseHandicap[[Hole 1]:[Hole 18]],
  MATCH(1, (CourseHandicap[Course]=C1168)*(CourseHandicap[Tees]=E1168), 0),
  MATCH(G1168, CourseHandicap[[#Headers],[Hole 1]:[Hole 18]], 0)
),"")</f>
        <v>2</v>
      </c>
      <c r="K1168" cm="1">
        <f t="array" ref="K1168">IFERROR(INDEX(CourseRatings[[Hole 1]:[Hole 18]],
  MATCH(1, (CourseRatings[Course]=C1168)*(CourseRatings[Tees]=E1168), 0),
  MATCH(G1168, CourseRatings[[#Headers],[Hole 1]:[Hole 18]], 0)
),"")</f>
        <v>5</v>
      </c>
      <c r="L1168" cm="1">
        <f t="array" ref="L1168">IFERROR(
  INDEX('Golf Log'!$E$2:$V$72,
    MATCH(1,
      ('Golf Log'!$A$2:$A$72=$A1168)*
      ('Golf Log'!$B$2:$B$72=$B1168)*
      ('Golf Log'!$C$2:$C$72=$C1168),
    0),
    MATCH($G1168,'Golf Log'!$E$1:$V$1,0)
  ),
"")</f>
        <v>6</v>
      </c>
      <c r="M1168">
        <f t="shared" si="78"/>
        <v>1</v>
      </c>
      <c r="N1168" t="str">
        <f t="shared" si="79"/>
        <v>Bogey</v>
      </c>
      <c r="O1168" cm="1">
        <f t="array" ref="O1168">IFERROR(
  INDEX('Putt Log'!$E$2:$V$72,
    MATCH(1,
      ('Putt Log'!$A$2:$A$72=$A1168)*
      ('Putt Log'!$B$2:$B$72=$B1168)*
      ('Putt Log'!$C$2:$C$72=$C1168),
    0),
    MATCH($G1168,'Putt Log'!$E$1:$V$1,0)
  ),
"")</f>
        <v>2</v>
      </c>
      <c r="P1168" t="str" cm="1">
        <f t="array" ref="P1168">IF(K1168=3,"",
  IFERROR(
    INDEX('Fairway Log'!$E$2:$V$72,
      MATCH(1,
        ('Fairway Log'!$A$2:$A$72=$A1168)*
        ('Fairway Log'!$B$2:$B$72=$B1168)*
        ('Fairway Log'!$C$2:$C1239=$C1168),
      0),
      MATCH($G1168,'Fairway Log'!$E$1:$V$1,0)
    ),
  "")
)</f>
        <v>←</v>
      </c>
      <c r="Q1168" t="str" cm="1">
        <f t="array" ref="Q1168">IFERROR(
  INDEX('GIR Log'!$E$2:$V$72,
    MATCH(1,
      ('GIR Log'!$A$2:$A$72=$A1168)*
      ('GIR Log'!$B$2:$B$72=$B1168)*
      ('GIR Log'!$C$2:$C$72=$C1168),
    0),
    MATCH($G1168,'GIR Log'!$E$1:$V$1,0)
  ),
"")</f>
        <v>↓</v>
      </c>
    </row>
    <row r="1169" spans="1:17" x14ac:dyDescent="0.25">
      <c r="A1169" s="78" t="s">
        <v>130</v>
      </c>
      <c r="B1169" s="2">
        <v>45941</v>
      </c>
      <c r="C1169" s="68" t="s">
        <v>12</v>
      </c>
      <c r="D1169" s="68" t="s">
        <v>76</v>
      </c>
      <c r="E1169" s="68" t="s">
        <v>36</v>
      </c>
      <c r="F1169">
        <v>91</v>
      </c>
      <c r="G1169" s="12" t="s">
        <v>62</v>
      </c>
      <c r="H1169" s="9">
        <f t="shared" si="77"/>
        <v>16</v>
      </c>
      <c r="I1169" cm="1">
        <f t="array" ref="I1169">IFERROR(INDEX(CourseYardages[[Hole 1]:[Hole 18]],
  MATCH(1, (CourseYardages[Course]=C1169)*(CourseYardages[Tees]=E1169), 0),
  MATCH(G1169, CourseYardages[[#Headers],[Hole 1]:[Hole 18]], 0)
),"")</f>
        <v>306</v>
      </c>
      <c r="J1169" cm="1">
        <f t="array" ref="J1169">IFERROR(INDEX(CourseHandicap[[Hole 1]:[Hole 18]],
  MATCH(1, (CourseHandicap[Course]=C1169)*(CourseHandicap[Tees]=E1169), 0),
  MATCH(G1169, CourseHandicap[[#Headers],[Hole 1]:[Hole 18]], 0)
),"")</f>
        <v>10</v>
      </c>
      <c r="K1169" cm="1">
        <f t="array" ref="K1169">IFERROR(INDEX(CourseRatings[[Hole 1]:[Hole 18]],
  MATCH(1, (CourseRatings[Course]=C1169)*(CourseRatings[Tees]=E1169), 0),
  MATCH(G1169, CourseRatings[[#Headers],[Hole 1]:[Hole 18]], 0)
),"")</f>
        <v>4</v>
      </c>
      <c r="L1169" cm="1">
        <f t="array" ref="L1169">IFERROR(
  INDEX('Golf Log'!$E$2:$V$72,
    MATCH(1,
      ('Golf Log'!$A$2:$A$72=$A1169)*
      ('Golf Log'!$B$2:$B$72=$B1169)*
      ('Golf Log'!$C$2:$C$72=$C1169),
    0),
    MATCH($G1169,'Golf Log'!$E$1:$V$1,0)
  ),
"")</f>
        <v>5</v>
      </c>
      <c r="M1169">
        <f t="shared" si="78"/>
        <v>1</v>
      </c>
      <c r="N1169" t="str">
        <f t="shared" si="79"/>
        <v>Bogey</v>
      </c>
      <c r="O1169" cm="1">
        <f t="array" ref="O1169">IFERROR(
  INDEX('Putt Log'!$E$2:$V$72,
    MATCH(1,
      ('Putt Log'!$A$2:$A$72=$A1169)*
      ('Putt Log'!$B$2:$B$72=$B1169)*
      ('Putt Log'!$C$2:$C$72=$C1169),
    0),
    MATCH($G1169,'Putt Log'!$E$1:$V$1,0)
  ),
"")</f>
        <v>2</v>
      </c>
      <c r="P1169" cm="1">
        <f t="array" ref="P1169">IF(K1169=3,"",
  IFERROR(
    INDEX('Fairway Log'!$E$2:$V$72,
      MATCH(1,
        ('Fairway Log'!$A$2:$A$72=$A1169)*
        ('Fairway Log'!$B$2:$B$72=$B1169)*
        ('Fairway Log'!$C$2:$C1240=$C1169),
      0),
      MATCH($G1169,'Fairway Log'!$E$1:$V$1,0)
    ),
  "")
)</f>
        <v>1</v>
      </c>
      <c r="Q1169" t="str" cm="1">
        <f t="array" ref="Q1169">IFERROR(
  INDEX('GIR Log'!$E$2:$V$72,
    MATCH(1,
      ('GIR Log'!$A$2:$A$72=$A1169)*
      ('GIR Log'!$B$2:$B$72=$B1169)*
      ('GIR Log'!$C$2:$C$72=$C1169),
    0),
    MATCH($G1169,'GIR Log'!$E$1:$V$1,0)
  ),
"")</f>
        <v>↓</v>
      </c>
    </row>
    <row r="1170" spans="1:17" x14ac:dyDescent="0.25">
      <c r="A1170" s="78" t="s">
        <v>130</v>
      </c>
      <c r="B1170" s="2">
        <v>45941</v>
      </c>
      <c r="C1170" s="68" t="s">
        <v>12</v>
      </c>
      <c r="D1170" s="68" t="s">
        <v>76</v>
      </c>
      <c r="E1170" s="68" t="s">
        <v>36</v>
      </c>
      <c r="F1170">
        <v>91</v>
      </c>
      <c r="G1170" s="12" t="s">
        <v>63</v>
      </c>
      <c r="H1170" s="9">
        <f t="shared" si="77"/>
        <v>17</v>
      </c>
      <c r="I1170" cm="1">
        <f t="array" ref="I1170">IFERROR(INDEX(CourseYardages[[Hole 1]:[Hole 18]],
  MATCH(1, (CourseYardages[Course]=C1170)*(CourseYardages[Tees]=E1170), 0),
  MATCH(G1170, CourseYardages[[#Headers],[Hole 1]:[Hole 18]], 0)
),"")</f>
        <v>405</v>
      </c>
      <c r="J1170" cm="1">
        <f t="array" ref="J1170">IFERROR(INDEX(CourseHandicap[[Hole 1]:[Hole 18]],
  MATCH(1, (CourseHandicap[Course]=C1170)*(CourseHandicap[Tees]=E1170), 0),
  MATCH(G1170, CourseHandicap[[#Headers],[Hole 1]:[Hole 18]], 0)
),"")</f>
        <v>6</v>
      </c>
      <c r="K1170" cm="1">
        <f t="array" ref="K1170">IFERROR(INDEX(CourseRatings[[Hole 1]:[Hole 18]],
  MATCH(1, (CourseRatings[Course]=C1170)*(CourseRatings[Tees]=E1170), 0),
  MATCH(G1170, CourseRatings[[#Headers],[Hole 1]:[Hole 18]], 0)
),"")</f>
        <v>4</v>
      </c>
      <c r="L1170" cm="1">
        <f t="array" ref="L1170">IFERROR(
  INDEX('Golf Log'!$E$2:$V$72,
    MATCH(1,
      ('Golf Log'!$A$2:$A$72=$A1170)*
      ('Golf Log'!$B$2:$B$72=$B1170)*
      ('Golf Log'!$C$2:$C$72=$C1170),
    0),
    MATCH($G1170,'Golf Log'!$E$1:$V$1,0)
  ),
"")</f>
        <v>5</v>
      </c>
      <c r="M1170">
        <f t="shared" si="78"/>
        <v>1</v>
      </c>
      <c r="N1170" t="str">
        <f t="shared" si="79"/>
        <v>Bogey</v>
      </c>
      <c r="O1170" cm="1">
        <f t="array" ref="O1170">IFERROR(
  INDEX('Putt Log'!$E$2:$V$72,
    MATCH(1,
      ('Putt Log'!$A$2:$A$72=$A1170)*
      ('Putt Log'!$B$2:$B$72=$B1170)*
      ('Putt Log'!$C$2:$C$72=$C1170),
    0),
    MATCH($G1170,'Putt Log'!$E$1:$V$1,0)
  ),
"")</f>
        <v>2</v>
      </c>
      <c r="P1170" t="str" cm="1">
        <f t="array" ref="P1170">IF(K1170=3,"",
  IFERROR(
    INDEX('Fairway Log'!$E$2:$V$72,
      MATCH(1,
        ('Fairway Log'!$A$2:$A$72=$A1170)*
        ('Fairway Log'!$B$2:$B$72=$B1170)*
        ('Fairway Log'!$C$2:$C1241=$C1170),
      0),
      MATCH($G1170,'Fairway Log'!$E$1:$V$1,0)
    ),
  "")
)</f>
        <v>←</v>
      </c>
      <c r="Q1170" t="str" cm="1">
        <f t="array" ref="Q1170">IFERROR(
  INDEX('GIR Log'!$E$2:$V$72,
    MATCH(1,
      ('GIR Log'!$A$2:$A$72=$A1170)*
      ('GIR Log'!$B$2:$B$72=$B1170)*
      ('GIR Log'!$C$2:$C$72=$C1170),
    0),
    MATCH($G1170,'GIR Log'!$E$1:$V$1,0)
  ),
"")</f>
        <v>↓</v>
      </c>
    </row>
    <row r="1171" spans="1:17" x14ac:dyDescent="0.25">
      <c r="A1171" s="78" t="s">
        <v>130</v>
      </c>
      <c r="B1171" s="2">
        <v>45941</v>
      </c>
      <c r="C1171" s="68" t="s">
        <v>12</v>
      </c>
      <c r="D1171" s="68" t="s">
        <v>76</v>
      </c>
      <c r="E1171" s="68" t="s">
        <v>36</v>
      </c>
      <c r="F1171">
        <v>91</v>
      </c>
      <c r="G1171" s="12" t="s">
        <v>64</v>
      </c>
      <c r="H1171" s="9">
        <f t="shared" si="77"/>
        <v>18</v>
      </c>
      <c r="I1171" cm="1">
        <f t="array" ref="I1171">IFERROR(INDEX(CourseYardages[[Hole 1]:[Hole 18]],
  MATCH(1, (CourseYardages[Course]=C1171)*(CourseYardages[Tees]=E1171), 0),
  MATCH(G1171, CourseYardages[[#Headers],[Hole 1]:[Hole 18]], 0)
),"")</f>
        <v>325</v>
      </c>
      <c r="J1171" cm="1">
        <f t="array" ref="J1171">IFERROR(INDEX(CourseHandicap[[Hole 1]:[Hole 18]],
  MATCH(1, (CourseHandicap[Course]=C1171)*(CourseHandicap[Tees]=E1171), 0),
  MATCH(G1171, CourseHandicap[[#Headers],[Hole 1]:[Hole 18]], 0)
),"")</f>
        <v>8</v>
      </c>
      <c r="K1171" cm="1">
        <f t="array" ref="K1171">IFERROR(INDEX(CourseRatings[[Hole 1]:[Hole 18]],
  MATCH(1, (CourseRatings[Course]=C1171)*(CourseRatings[Tees]=E1171), 0),
  MATCH(G1171, CourseRatings[[#Headers],[Hole 1]:[Hole 18]], 0)
),"")</f>
        <v>4</v>
      </c>
      <c r="L1171" cm="1">
        <f t="array" ref="L1171">IFERROR(
  INDEX('Golf Log'!$E$2:$V$72,
    MATCH(1,
      ('Golf Log'!$A$2:$A$72=$A1171)*
      ('Golf Log'!$B$2:$B$72=$B1171)*
      ('Golf Log'!$C$2:$C$72=$C1171),
    0),
    MATCH($G1171,'Golf Log'!$E$1:$V$1,0)
  ),
"")</f>
        <v>5</v>
      </c>
      <c r="M1171">
        <f t="shared" si="78"/>
        <v>1</v>
      </c>
      <c r="N1171" t="str">
        <f t="shared" si="79"/>
        <v>Bogey</v>
      </c>
      <c r="O1171" cm="1">
        <f t="array" ref="O1171">IFERROR(
  INDEX('Putt Log'!$E$2:$V$72,
    MATCH(1,
      ('Putt Log'!$A$2:$A$72=$A1171)*
      ('Putt Log'!$B$2:$B$72=$B1171)*
      ('Putt Log'!$C$2:$C$72=$C1171),
    0),
    MATCH($G1171,'Putt Log'!$E$1:$V$1,0)
  ),
"")</f>
        <v>2</v>
      </c>
      <c r="P1171" t="str" cm="1">
        <f t="array" ref="P1171">IF(K1171=3,"",
  IFERROR(
    INDEX('Fairway Log'!$E$2:$V$72,
      MATCH(1,
        ('Fairway Log'!$A$2:$A$72=$A1171)*
        ('Fairway Log'!$B$2:$B$72=$B1171)*
        ('Fairway Log'!$C$2:$C1242=$C1171),
      0),
      MATCH($G1171,'Fairway Log'!$E$1:$V$1,0)
    ),
  "")
)</f>
        <v>←</v>
      </c>
      <c r="Q1171" t="str" cm="1">
        <f t="array" ref="Q1171">IFERROR(
  INDEX('GIR Log'!$E$2:$V$72,
    MATCH(1,
      ('GIR Log'!$A$2:$A$72=$A1171)*
      ('GIR Log'!$B$2:$B$72=$B1171)*
      ('GIR Log'!$C$2:$C$72=$C1171),
    0),
    MATCH($G1171,'GIR Log'!$E$1:$V$1,0)
  ),
"")</f>
        <v>↓</v>
      </c>
    </row>
    <row r="1172" spans="1:17" x14ac:dyDescent="0.25">
      <c r="A1172" s="78" t="s">
        <v>130</v>
      </c>
      <c r="B1172" s="2">
        <v>45136</v>
      </c>
      <c r="C1172" s="78" t="s">
        <v>5</v>
      </c>
      <c r="D1172" s="78" t="s">
        <v>5</v>
      </c>
      <c r="E1172" s="78" t="s">
        <v>34</v>
      </c>
      <c r="F1172">
        <v>87</v>
      </c>
      <c r="G1172" s="12" t="s">
        <v>47</v>
      </c>
      <c r="H1172" s="9">
        <f t="shared" ref="H1172:H1207" si="80">VALUE(RIGHT(G1172, LEN(G1172) - 5))</f>
        <v>1</v>
      </c>
      <c r="I1172" cm="1">
        <f t="array" ref="I1172">IFERROR(INDEX(CourseYardages[[Hole 1]:[Hole 18]],
  MATCH(1, (CourseYardages[Course]=C1172)*(CourseYardages[Tees]=E1172), 0),
  MATCH(G1172, CourseYardages[[#Headers],[Hole 1]:[Hole 18]], 0)
),"")</f>
        <v>432</v>
      </c>
      <c r="J1172" cm="1">
        <f t="array" ref="J1172">IFERROR(INDEX(CourseHandicap[[Hole 1]:[Hole 18]],
  MATCH(1, (CourseHandicap[Course]=C1172)*(CourseHandicap[Tees]=E1172), 0),
  MATCH(G1172, CourseHandicap[[#Headers],[Hole 1]:[Hole 18]], 0)
),"")</f>
        <v>7</v>
      </c>
      <c r="K1172" cm="1">
        <f t="array" ref="K1172">IFERROR(INDEX(CourseRatings[[Hole 1]:[Hole 18]],
  MATCH(1, (CourseRatings[Course]=C1172)*(CourseRatings[Tees]=E1172), 0),
  MATCH(G1172, CourseRatings[[#Headers],[Hole 1]:[Hole 18]], 0)
),"")</f>
        <v>4</v>
      </c>
      <c r="L1172" cm="1">
        <f t="array" ref="L1172">IFERROR(
  INDEX('Golf Log'!$E$2:$V$72,
    MATCH(1,
      ('Golf Log'!$A$2:$A$72=$A1172)*
      ('Golf Log'!$B$2:$B$72=$B1172)*
      ('Golf Log'!$C$2:$C$72=$C1172),
    0),
    MATCH($G1172,'Golf Log'!$E$1:$V$1,0)
  ),
"")</f>
        <v>4</v>
      </c>
      <c r="M1172">
        <f t="shared" ref="M1172:M1207" si="81">IFERROR(L1172-K1172,"")</f>
        <v>0</v>
      </c>
      <c r="N1172" t="str">
        <f t="shared" ref="N1172:N1207" si="82">IF(M1172="","",(IF(M1172=-2,"Eagle",IF(M1172=-1,"Birdie",IF(M1172=0,"Par",IF(M1172=1,"Bogey",IF(M1172=2,"Double Bogey",IF(M1172=3,"Triple Bogey",IF(M1172&gt;3,"Quad Bogey+")))))))))</f>
        <v>Par</v>
      </c>
      <c r="O1172" cm="1">
        <f t="array" ref="O1172">IFERROR(
  INDEX('Putt Log'!$E$2:$V$72,
    MATCH(1,
      ('Putt Log'!$A$2:$A$72=$A1172)*
      ('Putt Log'!$B$2:$B$72=$B1172)*
      ('Putt Log'!$C$2:$C$72=$C1172),
    0),
    MATCH($G1172,'Putt Log'!$E$1:$V$1,0)
  ),
"")</f>
        <v>2</v>
      </c>
      <c r="P1172" cm="1">
        <f t="array" ref="P1172">IF(K1172=3,"",
  IFERROR(
    INDEX('Fairway Log'!$E$2:$V$72,
      MATCH(1,
        ('Fairway Log'!$A$2:$A$72=$A1172)*
        ('Fairway Log'!$B$2:$B$72=$B1172)*
        ('Fairway Log'!$C$2:$C1243=$C1172),
      0),
      MATCH($G1172,'Fairway Log'!$E$1:$V$1,0)
    ),
  "")
)</f>
        <v>1</v>
      </c>
      <c r="Q1172" cm="1">
        <f t="array" ref="Q1172">IFERROR(
  INDEX('GIR Log'!$E$2:$V$72,
    MATCH(1,
      ('GIR Log'!$A$2:$A$72=$A1172)*
      ('GIR Log'!$B$2:$B$72=$B1172)*
      ('GIR Log'!$C$2:$C$72=$C1172),
    0),
    MATCH($G1172,'GIR Log'!$E$1:$V$1,0)
  ),
"")</f>
        <v>1</v>
      </c>
    </row>
    <row r="1173" spans="1:17" x14ac:dyDescent="0.25">
      <c r="A1173" s="78" t="s">
        <v>130</v>
      </c>
      <c r="B1173" s="2">
        <v>45136</v>
      </c>
      <c r="C1173" s="78" t="s">
        <v>5</v>
      </c>
      <c r="D1173" s="78" t="s">
        <v>5</v>
      </c>
      <c r="E1173" s="78" t="s">
        <v>34</v>
      </c>
      <c r="F1173">
        <v>87</v>
      </c>
      <c r="G1173" s="12" t="s">
        <v>48</v>
      </c>
      <c r="H1173" s="9">
        <f t="shared" si="80"/>
        <v>2</v>
      </c>
      <c r="I1173" cm="1">
        <f t="array" ref="I1173">IFERROR(INDEX(CourseYardages[[Hole 1]:[Hole 18]],
  MATCH(1, (CourseYardages[Course]=C1173)*(CourseYardages[Tees]=E1173), 0),
  MATCH(G1173, CourseYardages[[#Headers],[Hole 1]:[Hole 18]], 0)
),"")</f>
        <v>451</v>
      </c>
      <c r="J1173" cm="1">
        <f t="array" ref="J1173">IFERROR(INDEX(CourseHandicap[[Hole 1]:[Hole 18]],
  MATCH(1, (CourseHandicap[Course]=C1173)*(CourseHandicap[Tees]=E1173), 0),
  MATCH(G1173, CourseHandicap[[#Headers],[Hole 1]:[Hole 18]], 0)
),"")</f>
        <v>3</v>
      </c>
      <c r="K1173" cm="1">
        <f t="array" ref="K1173">IFERROR(INDEX(CourseRatings[[Hole 1]:[Hole 18]],
  MATCH(1, (CourseRatings[Course]=C1173)*(CourseRatings[Tees]=E1173), 0),
  MATCH(G1173, CourseRatings[[#Headers],[Hole 1]:[Hole 18]], 0)
),"")</f>
        <v>4</v>
      </c>
      <c r="L1173" cm="1">
        <f t="array" ref="L1173">IFERROR(
  INDEX('Golf Log'!$E$2:$V$72,
    MATCH(1,
      ('Golf Log'!$A$2:$A$72=$A1173)*
      ('Golf Log'!$B$2:$B$72=$B1173)*
      ('Golf Log'!$C$2:$C$72=$C1173),
    0),
    MATCH($G1173,'Golf Log'!$E$1:$V$1,0)
  ),
"")</f>
        <v>6</v>
      </c>
      <c r="M1173">
        <f t="shared" si="81"/>
        <v>2</v>
      </c>
      <c r="N1173" t="str">
        <f t="shared" si="82"/>
        <v>Double Bogey</v>
      </c>
      <c r="O1173" cm="1">
        <f t="array" ref="O1173">IFERROR(
  INDEX('Putt Log'!$E$2:$V$72,
    MATCH(1,
      ('Putt Log'!$A$2:$A$72=$A1173)*
      ('Putt Log'!$B$2:$B$72=$B1173)*
      ('Putt Log'!$C$2:$C$72=$C1173),
    0),
    MATCH($G1173,'Putt Log'!$E$1:$V$1,0)
  ),
"")</f>
        <v>2</v>
      </c>
      <c r="P1173" cm="1">
        <f t="array" ref="P1173">IF(K1173=3,"",
  IFERROR(
    INDEX('Fairway Log'!$E$2:$V$72,
      MATCH(1,
        ('Fairway Log'!$A$2:$A$72=$A1173)*
        ('Fairway Log'!$B$2:$B$72=$B1173)*
        ('Fairway Log'!$C$2:$C1244=$C1173),
      0),
      MATCH($G1173,'Fairway Log'!$E$1:$V$1,0)
    ),
  "")
)</f>
        <v>0</v>
      </c>
      <c r="Q1173" cm="1">
        <f t="array" ref="Q1173">IFERROR(
  INDEX('GIR Log'!$E$2:$V$72,
    MATCH(1,
      ('GIR Log'!$A$2:$A$72=$A1173)*
      ('GIR Log'!$B$2:$B$72=$B1173)*
      ('GIR Log'!$C$2:$C$72=$C1173),
    0),
    MATCH($G1173,'GIR Log'!$E$1:$V$1,0)
  ),
"")</f>
        <v>1</v>
      </c>
    </row>
    <row r="1174" spans="1:17" x14ac:dyDescent="0.25">
      <c r="A1174" s="78" t="s">
        <v>130</v>
      </c>
      <c r="B1174" s="2">
        <v>45136</v>
      </c>
      <c r="C1174" s="78" t="s">
        <v>5</v>
      </c>
      <c r="D1174" s="78" t="s">
        <v>5</v>
      </c>
      <c r="E1174" s="78" t="s">
        <v>34</v>
      </c>
      <c r="F1174">
        <v>87</v>
      </c>
      <c r="G1174" s="12" t="s">
        <v>49</v>
      </c>
      <c r="H1174" s="9">
        <f t="shared" si="80"/>
        <v>3</v>
      </c>
      <c r="I1174" cm="1">
        <f t="array" ref="I1174">IFERROR(INDEX(CourseYardages[[Hole 1]:[Hole 18]],
  MATCH(1, (CourseYardages[Course]=C1174)*(CourseYardages[Tees]=E1174), 0),
  MATCH(G1174, CourseYardages[[#Headers],[Hole 1]:[Hole 18]], 0)
),"")</f>
        <v>195</v>
      </c>
      <c r="J1174" cm="1">
        <f t="array" ref="J1174">IFERROR(INDEX(CourseHandicap[[Hole 1]:[Hole 18]],
  MATCH(1, (CourseHandicap[Course]=C1174)*(CourseHandicap[Tees]=E1174), 0),
  MATCH(G1174, CourseHandicap[[#Headers],[Hole 1]:[Hole 18]], 0)
),"")</f>
        <v>13</v>
      </c>
      <c r="K1174" cm="1">
        <f t="array" ref="K1174">IFERROR(INDEX(CourseRatings[[Hole 1]:[Hole 18]],
  MATCH(1, (CourseRatings[Course]=C1174)*(CourseRatings[Tees]=E1174), 0),
  MATCH(G1174, CourseRatings[[#Headers],[Hole 1]:[Hole 18]], 0)
),"")</f>
        <v>3</v>
      </c>
      <c r="L1174" cm="1">
        <f t="array" ref="L1174">IFERROR(
  INDEX('Golf Log'!$E$2:$V$72,
    MATCH(1,
      ('Golf Log'!$A$2:$A$72=$A1174)*
      ('Golf Log'!$B$2:$B$72=$B1174)*
      ('Golf Log'!$C$2:$C$72=$C1174),
    0),
    MATCH($G1174,'Golf Log'!$E$1:$V$1,0)
  ),
"")</f>
        <v>3</v>
      </c>
      <c r="M1174">
        <f t="shared" si="81"/>
        <v>0</v>
      </c>
      <c r="N1174" t="str">
        <f t="shared" si="82"/>
        <v>Par</v>
      </c>
      <c r="O1174" cm="1">
        <f t="array" ref="O1174">IFERROR(
  INDEX('Putt Log'!$E$2:$V$72,
    MATCH(1,
      ('Putt Log'!$A$2:$A$72=$A1174)*
      ('Putt Log'!$B$2:$B$72=$B1174)*
      ('Putt Log'!$C$2:$C$72=$C1174),
    0),
    MATCH($G1174,'Putt Log'!$E$1:$V$1,0)
  ),
"")</f>
        <v>1</v>
      </c>
      <c r="P1174" t="str" cm="1">
        <f t="array" ref="P1174">IF(K1174=3,"",
  IFERROR(
    INDEX('Fairway Log'!$E$2:$V$72,
      MATCH(1,
        ('Fairway Log'!$A$2:$A$72=$A1174)*
        ('Fairway Log'!$B$2:$B$72=$B1174)*
        ('Fairway Log'!$C$2:$C1245=$C1174),
      0),
      MATCH($G1174,'Fairway Log'!$E$1:$V$1,0)
    ),
  "")
)</f>
        <v/>
      </c>
      <c r="Q1174" cm="1">
        <f t="array" ref="Q1174">IFERROR(
  INDEX('GIR Log'!$E$2:$V$72,
    MATCH(1,
      ('GIR Log'!$A$2:$A$72=$A1174)*
      ('GIR Log'!$B$2:$B$72=$B1174)*
      ('GIR Log'!$C$2:$C$72=$C1174),
    0),
    MATCH($G1174,'GIR Log'!$E$1:$V$1,0)
  ),
"")</f>
        <v>0</v>
      </c>
    </row>
    <row r="1175" spans="1:17" x14ac:dyDescent="0.25">
      <c r="A1175" s="78" t="s">
        <v>130</v>
      </c>
      <c r="B1175" s="2">
        <v>45136</v>
      </c>
      <c r="C1175" s="78" t="s">
        <v>5</v>
      </c>
      <c r="D1175" s="78" t="s">
        <v>5</v>
      </c>
      <c r="E1175" s="78" t="s">
        <v>34</v>
      </c>
      <c r="F1175">
        <v>87</v>
      </c>
      <c r="G1175" s="12" t="s">
        <v>50</v>
      </c>
      <c r="H1175" s="9">
        <f t="shared" si="80"/>
        <v>4</v>
      </c>
      <c r="I1175" cm="1">
        <f t="array" ref="I1175">IFERROR(INDEX(CourseYardages[[Hole 1]:[Hole 18]],
  MATCH(1, (CourseYardages[Course]=C1175)*(CourseYardages[Tees]=E1175), 0),
  MATCH(G1175, CourseYardages[[#Headers],[Hole 1]:[Hole 18]], 0)
),"")</f>
        <v>493</v>
      </c>
      <c r="J1175" cm="1">
        <f t="array" ref="J1175">IFERROR(INDEX(CourseHandicap[[Hole 1]:[Hole 18]],
  MATCH(1, (CourseHandicap[Course]=C1175)*(CourseHandicap[Tees]=E1175), 0),
  MATCH(G1175, CourseHandicap[[#Headers],[Hole 1]:[Hole 18]], 0)
),"")</f>
        <v>15</v>
      </c>
      <c r="K1175" cm="1">
        <f t="array" ref="K1175">IFERROR(INDEX(CourseRatings[[Hole 1]:[Hole 18]],
  MATCH(1, (CourseRatings[Course]=C1175)*(CourseRatings[Tees]=E1175), 0),
  MATCH(G1175, CourseRatings[[#Headers],[Hole 1]:[Hole 18]], 0)
),"")</f>
        <v>5</v>
      </c>
      <c r="L1175" cm="1">
        <f t="array" ref="L1175">IFERROR(
  INDEX('Golf Log'!$E$2:$V$72,
    MATCH(1,
      ('Golf Log'!$A$2:$A$72=$A1175)*
      ('Golf Log'!$B$2:$B$72=$B1175)*
      ('Golf Log'!$C$2:$C$72=$C1175),
    0),
    MATCH($G1175,'Golf Log'!$E$1:$V$1,0)
  ),
"")</f>
        <v>5</v>
      </c>
      <c r="M1175">
        <f t="shared" si="81"/>
        <v>0</v>
      </c>
      <c r="N1175" t="str">
        <f t="shared" si="82"/>
        <v>Par</v>
      </c>
      <c r="O1175" cm="1">
        <f t="array" ref="O1175">IFERROR(
  INDEX('Putt Log'!$E$2:$V$72,
    MATCH(1,
      ('Putt Log'!$A$2:$A$72=$A1175)*
      ('Putt Log'!$B$2:$B$72=$B1175)*
      ('Putt Log'!$C$2:$C$72=$C1175),
    0),
    MATCH($G1175,'Putt Log'!$E$1:$V$1,0)
  ),
"")</f>
        <v>2</v>
      </c>
      <c r="P1175" cm="1">
        <f t="array" ref="P1175">IF(K1175=3,"",
  IFERROR(
    INDEX('Fairway Log'!$E$2:$V$72,
      MATCH(1,
        ('Fairway Log'!$A$2:$A$72=$A1175)*
        ('Fairway Log'!$B$2:$B$72=$B1175)*
        ('Fairway Log'!$C$2:$C1246=$C1175),
      0),
      MATCH($G1175,'Fairway Log'!$E$1:$V$1,0)
    ),
  "")
)</f>
        <v>1</v>
      </c>
      <c r="Q1175" cm="1">
        <f t="array" ref="Q1175">IFERROR(
  INDEX('GIR Log'!$E$2:$V$72,
    MATCH(1,
      ('GIR Log'!$A$2:$A$72=$A1175)*
      ('GIR Log'!$B$2:$B$72=$B1175)*
      ('GIR Log'!$C$2:$C$72=$C1175),
    0),
    MATCH($G1175,'GIR Log'!$E$1:$V$1,0)
  ),
"")</f>
        <v>1</v>
      </c>
    </row>
    <row r="1176" spans="1:17" x14ac:dyDescent="0.25">
      <c r="A1176" s="78" t="s">
        <v>130</v>
      </c>
      <c r="B1176" s="2">
        <v>45136</v>
      </c>
      <c r="C1176" s="78" t="s">
        <v>5</v>
      </c>
      <c r="D1176" s="78" t="s">
        <v>5</v>
      </c>
      <c r="E1176" s="78" t="s">
        <v>34</v>
      </c>
      <c r="F1176">
        <v>87</v>
      </c>
      <c r="G1176" s="12" t="s">
        <v>51</v>
      </c>
      <c r="H1176" s="9">
        <f t="shared" si="80"/>
        <v>5</v>
      </c>
      <c r="I1176" cm="1">
        <f t="array" ref="I1176">IFERROR(INDEX(CourseYardages[[Hole 1]:[Hole 18]],
  MATCH(1, (CourseYardages[Course]=C1176)*(CourseYardages[Tees]=E1176), 0),
  MATCH(G1176, CourseYardages[[#Headers],[Hole 1]:[Hole 18]], 0)
),"")</f>
        <v>306</v>
      </c>
      <c r="J1176" cm="1">
        <f t="array" ref="J1176">IFERROR(INDEX(CourseHandicap[[Hole 1]:[Hole 18]],
  MATCH(1, (CourseHandicap[Course]=C1176)*(CourseHandicap[Tees]=E1176), 0),
  MATCH(G1176, CourseHandicap[[#Headers],[Hole 1]:[Hole 18]], 0)
),"")</f>
        <v>17</v>
      </c>
      <c r="K1176" cm="1">
        <f t="array" ref="K1176">IFERROR(INDEX(CourseRatings[[Hole 1]:[Hole 18]],
  MATCH(1, (CourseRatings[Course]=C1176)*(CourseRatings[Tees]=E1176), 0),
  MATCH(G1176, CourseRatings[[#Headers],[Hole 1]:[Hole 18]], 0)
),"")</f>
        <v>4</v>
      </c>
      <c r="L1176" cm="1">
        <f t="array" ref="L1176">IFERROR(
  INDEX('Golf Log'!$E$2:$V$72,
    MATCH(1,
      ('Golf Log'!$A$2:$A$72=$A1176)*
      ('Golf Log'!$B$2:$B$72=$B1176)*
      ('Golf Log'!$C$2:$C$72=$C1176),
    0),
    MATCH($G1176,'Golf Log'!$E$1:$V$1,0)
  ),
"")</f>
        <v>4</v>
      </c>
      <c r="M1176">
        <f t="shared" si="81"/>
        <v>0</v>
      </c>
      <c r="N1176" t="str">
        <f t="shared" si="82"/>
        <v>Par</v>
      </c>
      <c r="O1176" cm="1">
        <f t="array" ref="O1176">IFERROR(
  INDEX('Putt Log'!$E$2:$V$72,
    MATCH(1,
      ('Putt Log'!$A$2:$A$72=$A1176)*
      ('Putt Log'!$B$2:$B$72=$B1176)*
      ('Putt Log'!$C$2:$C$72=$C1176),
    0),
    MATCH($G1176,'Putt Log'!$E$1:$V$1,0)
  ),
"")</f>
        <v>2</v>
      </c>
      <c r="P1176" cm="1">
        <f t="array" ref="P1176">IF(K1176=3,"",
  IFERROR(
    INDEX('Fairway Log'!$E$2:$V$72,
      MATCH(1,
        ('Fairway Log'!$A$2:$A$72=$A1176)*
        ('Fairway Log'!$B$2:$B$72=$B1176)*
        ('Fairway Log'!$C$2:$C1247=$C1176),
      0),
      MATCH($G1176,'Fairway Log'!$E$1:$V$1,0)
    ),
  "")
)</f>
        <v>1</v>
      </c>
      <c r="Q1176" cm="1">
        <f t="array" ref="Q1176">IFERROR(
  INDEX('GIR Log'!$E$2:$V$72,
    MATCH(1,
      ('GIR Log'!$A$2:$A$72=$A1176)*
      ('GIR Log'!$B$2:$B$72=$B1176)*
      ('GIR Log'!$C$2:$C$72=$C1176),
    0),
    MATCH($G1176,'GIR Log'!$E$1:$V$1,0)
  ),
"")</f>
        <v>1</v>
      </c>
    </row>
    <row r="1177" spans="1:17" x14ac:dyDescent="0.25">
      <c r="A1177" s="78" t="s">
        <v>130</v>
      </c>
      <c r="B1177" s="2">
        <v>45136</v>
      </c>
      <c r="C1177" s="78" t="s">
        <v>5</v>
      </c>
      <c r="D1177" s="78" t="s">
        <v>5</v>
      </c>
      <c r="E1177" s="78" t="s">
        <v>34</v>
      </c>
      <c r="F1177">
        <v>87</v>
      </c>
      <c r="G1177" s="12" t="s">
        <v>52</v>
      </c>
      <c r="H1177" s="9">
        <f t="shared" si="80"/>
        <v>6</v>
      </c>
      <c r="I1177" cm="1">
        <f t="array" ref="I1177">IFERROR(INDEX(CourseYardages[[Hole 1]:[Hole 18]],
  MATCH(1, (CourseYardages[Course]=C1177)*(CourseYardages[Tees]=E1177), 0),
  MATCH(G1177, CourseYardages[[#Headers],[Hole 1]:[Hole 18]], 0)
),"")</f>
        <v>462</v>
      </c>
      <c r="J1177" cm="1">
        <f t="array" ref="J1177">IFERROR(INDEX(CourseHandicap[[Hole 1]:[Hole 18]],
  MATCH(1, (CourseHandicap[Course]=C1177)*(CourseHandicap[Tees]=E1177), 0),
  MATCH(G1177, CourseHandicap[[#Headers],[Hole 1]:[Hole 18]], 0)
),"")</f>
        <v>1</v>
      </c>
      <c r="K1177" cm="1">
        <f t="array" ref="K1177">IFERROR(INDEX(CourseRatings[[Hole 1]:[Hole 18]],
  MATCH(1, (CourseRatings[Course]=C1177)*(CourseRatings[Tees]=E1177), 0),
  MATCH(G1177, CourseRatings[[#Headers],[Hole 1]:[Hole 18]], 0)
),"")</f>
        <v>4</v>
      </c>
      <c r="L1177" cm="1">
        <f t="array" ref="L1177">IFERROR(
  INDEX('Golf Log'!$E$2:$V$72,
    MATCH(1,
      ('Golf Log'!$A$2:$A$72=$A1177)*
      ('Golf Log'!$B$2:$B$72=$B1177)*
      ('Golf Log'!$C$2:$C$72=$C1177),
    0),
    MATCH($G1177,'Golf Log'!$E$1:$V$1,0)
  ),
"")</f>
        <v>5</v>
      </c>
      <c r="M1177">
        <f t="shared" si="81"/>
        <v>1</v>
      </c>
      <c r="N1177" t="str">
        <f t="shared" si="82"/>
        <v>Bogey</v>
      </c>
      <c r="O1177" cm="1">
        <f t="array" ref="O1177">IFERROR(
  INDEX('Putt Log'!$E$2:$V$72,
    MATCH(1,
      ('Putt Log'!$A$2:$A$72=$A1177)*
      ('Putt Log'!$B$2:$B$72=$B1177)*
      ('Putt Log'!$C$2:$C$72=$C1177),
    0),
    MATCH($G1177,'Putt Log'!$E$1:$V$1,0)
  ),
"")</f>
        <v>2</v>
      </c>
      <c r="P1177" t="str" cm="1">
        <f t="array" ref="P1177">IF(K1177=3,"",
  IFERROR(
    INDEX('Fairway Log'!$E$2:$V$72,
      MATCH(1,
        ('Fairway Log'!$A$2:$A$72=$A1177)*
        ('Fairway Log'!$B$2:$B$72=$B1177)*
        ('Fairway Log'!$C$2:$C1248=$C1177),
      0),
      MATCH($G1177,'Fairway Log'!$E$1:$V$1,0)
    ),
  "")
)</f>
        <v>→</v>
      </c>
      <c r="Q1177" cm="1">
        <f t="array" ref="Q1177">IFERROR(
  INDEX('GIR Log'!$E$2:$V$72,
    MATCH(1,
      ('GIR Log'!$A$2:$A$72=$A1177)*
      ('GIR Log'!$B$2:$B$72=$B1177)*
      ('GIR Log'!$C$2:$C$72=$C1177),
    0),
    MATCH($G1177,'GIR Log'!$E$1:$V$1,0)
  ),
"")</f>
        <v>0</v>
      </c>
    </row>
    <row r="1178" spans="1:17" x14ac:dyDescent="0.25">
      <c r="A1178" s="78" t="s">
        <v>130</v>
      </c>
      <c r="B1178" s="2">
        <v>45136</v>
      </c>
      <c r="C1178" s="78" t="s">
        <v>5</v>
      </c>
      <c r="D1178" s="78" t="s">
        <v>5</v>
      </c>
      <c r="E1178" s="78" t="s">
        <v>34</v>
      </c>
      <c r="F1178">
        <v>87</v>
      </c>
      <c r="G1178" s="12" t="s">
        <v>53</v>
      </c>
      <c r="H1178" s="9">
        <f t="shared" si="80"/>
        <v>7</v>
      </c>
      <c r="I1178" cm="1">
        <f t="array" ref="I1178">IFERROR(INDEX(CourseYardages[[Hole 1]:[Hole 18]],
  MATCH(1, (CourseYardages[Course]=C1178)*(CourseYardages[Tees]=E1178), 0),
  MATCH(G1178, CourseYardages[[#Headers],[Hole 1]:[Hole 18]], 0)
),"")</f>
        <v>186</v>
      </c>
      <c r="J1178" cm="1">
        <f t="array" ref="J1178">IFERROR(INDEX(CourseHandicap[[Hole 1]:[Hole 18]],
  MATCH(1, (CourseHandicap[Course]=C1178)*(CourseHandicap[Tees]=E1178), 0),
  MATCH(G1178, CourseHandicap[[#Headers],[Hole 1]:[Hole 18]], 0)
),"")</f>
        <v>11</v>
      </c>
      <c r="K1178" cm="1">
        <f t="array" ref="K1178">IFERROR(INDEX(CourseRatings[[Hole 1]:[Hole 18]],
  MATCH(1, (CourseRatings[Course]=C1178)*(CourseRatings[Tees]=E1178), 0),
  MATCH(G1178, CourseRatings[[#Headers],[Hole 1]:[Hole 18]], 0)
),"")</f>
        <v>3</v>
      </c>
      <c r="L1178" cm="1">
        <f t="array" ref="L1178">IFERROR(
  INDEX('Golf Log'!$E$2:$V$72,
    MATCH(1,
      ('Golf Log'!$A$2:$A$72=$A1178)*
      ('Golf Log'!$B$2:$B$72=$B1178)*
      ('Golf Log'!$C$2:$C$72=$C1178),
    0),
    MATCH($G1178,'Golf Log'!$E$1:$V$1,0)
  ),
"")</f>
        <v>3</v>
      </c>
      <c r="M1178">
        <f t="shared" si="81"/>
        <v>0</v>
      </c>
      <c r="N1178" t="str">
        <f t="shared" si="82"/>
        <v>Par</v>
      </c>
      <c r="O1178" cm="1">
        <f t="array" ref="O1178">IFERROR(
  INDEX('Putt Log'!$E$2:$V$72,
    MATCH(1,
      ('Putt Log'!$A$2:$A$72=$A1178)*
      ('Putt Log'!$B$2:$B$72=$B1178)*
      ('Putt Log'!$C$2:$C$72=$C1178),
    0),
    MATCH($G1178,'Putt Log'!$E$1:$V$1,0)
  ),
"")</f>
        <v>2</v>
      </c>
      <c r="P1178" t="str" cm="1">
        <f t="array" ref="P1178">IF(K1178=3,"",
  IFERROR(
    INDEX('Fairway Log'!$E$2:$V$72,
      MATCH(1,
        ('Fairway Log'!$A$2:$A$72=$A1178)*
        ('Fairway Log'!$B$2:$B$72=$B1178)*
        ('Fairway Log'!$C$2:$C1249=$C1178),
      0),
      MATCH($G1178,'Fairway Log'!$E$1:$V$1,0)
    ),
  "")
)</f>
        <v/>
      </c>
      <c r="Q1178" cm="1">
        <f t="array" ref="Q1178">IFERROR(
  INDEX('GIR Log'!$E$2:$V$72,
    MATCH(1,
      ('GIR Log'!$A$2:$A$72=$A1178)*
      ('GIR Log'!$B$2:$B$72=$B1178)*
      ('GIR Log'!$C$2:$C$72=$C1178),
    0),
    MATCH($G1178,'GIR Log'!$E$1:$V$1,0)
  ),
"")</f>
        <v>0</v>
      </c>
    </row>
    <row r="1179" spans="1:17" x14ac:dyDescent="0.25">
      <c r="A1179" s="78" t="s">
        <v>130</v>
      </c>
      <c r="B1179" s="2">
        <v>45136</v>
      </c>
      <c r="C1179" s="78" t="s">
        <v>5</v>
      </c>
      <c r="D1179" s="78" t="s">
        <v>5</v>
      </c>
      <c r="E1179" s="78" t="s">
        <v>34</v>
      </c>
      <c r="F1179">
        <v>87</v>
      </c>
      <c r="G1179" s="12" t="s">
        <v>54</v>
      </c>
      <c r="H1179" s="9">
        <f t="shared" si="80"/>
        <v>8</v>
      </c>
      <c r="I1179" cm="1">
        <f t="array" ref="I1179">IFERROR(INDEX(CourseYardages[[Hole 1]:[Hole 18]],
  MATCH(1, (CourseYardages[Course]=C1179)*(CourseYardages[Tees]=E1179), 0),
  MATCH(G1179, CourseYardages[[#Headers],[Hole 1]:[Hole 18]], 0)
),"")</f>
        <v>565</v>
      </c>
      <c r="J1179" cm="1">
        <f t="array" ref="J1179">IFERROR(INDEX(CourseHandicap[[Hole 1]:[Hole 18]],
  MATCH(1, (CourseHandicap[Course]=C1179)*(CourseHandicap[Tees]=E1179), 0),
  MATCH(G1179, CourseHandicap[[#Headers],[Hole 1]:[Hole 18]], 0)
),"")</f>
        <v>5</v>
      </c>
      <c r="K1179" cm="1">
        <f t="array" ref="K1179">IFERROR(INDEX(CourseRatings[[Hole 1]:[Hole 18]],
  MATCH(1, (CourseRatings[Course]=C1179)*(CourseRatings[Tees]=E1179), 0),
  MATCH(G1179, CourseRatings[[#Headers],[Hole 1]:[Hole 18]], 0)
),"")</f>
        <v>5</v>
      </c>
      <c r="L1179" cm="1">
        <f t="array" ref="L1179">IFERROR(
  INDEX('Golf Log'!$E$2:$V$72,
    MATCH(1,
      ('Golf Log'!$A$2:$A$72=$A1179)*
      ('Golf Log'!$B$2:$B$72=$B1179)*
      ('Golf Log'!$C$2:$C$72=$C1179),
    0),
    MATCH($G1179,'Golf Log'!$E$1:$V$1,0)
  ),
"")</f>
        <v>7</v>
      </c>
      <c r="M1179">
        <f t="shared" si="81"/>
        <v>2</v>
      </c>
      <c r="N1179" t="str">
        <f t="shared" si="82"/>
        <v>Double Bogey</v>
      </c>
      <c r="O1179" cm="1">
        <f t="array" ref="O1179">IFERROR(
  INDEX('Putt Log'!$E$2:$V$72,
    MATCH(1,
      ('Putt Log'!$A$2:$A$72=$A1179)*
      ('Putt Log'!$B$2:$B$72=$B1179)*
      ('Putt Log'!$C$2:$C$72=$C1179),
    0),
    MATCH($G1179,'Putt Log'!$E$1:$V$1,0)
  ),
"")</f>
        <v>2</v>
      </c>
      <c r="P1179" t="str" cm="1">
        <f t="array" ref="P1179">IF(K1179=3,"",
  IFERROR(
    INDEX('Fairway Log'!$E$2:$V$72,
      MATCH(1,
        ('Fairway Log'!$A$2:$A$72=$A1179)*
        ('Fairway Log'!$B$2:$B$72=$B1179)*
        ('Fairway Log'!$C$2:$C1250=$C1179),
      0),
      MATCH($G1179,'Fairway Log'!$E$1:$V$1,0)
    ),
  "")
)</f>
        <v>→</v>
      </c>
      <c r="Q1179" cm="1">
        <f t="array" ref="Q1179">IFERROR(
  INDEX('GIR Log'!$E$2:$V$72,
    MATCH(1,
      ('GIR Log'!$A$2:$A$72=$A1179)*
      ('GIR Log'!$B$2:$B$72=$B1179)*
      ('GIR Log'!$C$2:$C$72=$C1179),
    0),
    MATCH($G1179,'GIR Log'!$E$1:$V$1,0)
  ),
"")</f>
        <v>0</v>
      </c>
    </row>
    <row r="1180" spans="1:17" x14ac:dyDescent="0.25">
      <c r="A1180" s="78" t="s">
        <v>130</v>
      </c>
      <c r="B1180" s="2">
        <v>45136</v>
      </c>
      <c r="C1180" s="78" t="s">
        <v>5</v>
      </c>
      <c r="D1180" s="78" t="s">
        <v>5</v>
      </c>
      <c r="E1180" s="78" t="s">
        <v>34</v>
      </c>
      <c r="F1180">
        <v>87</v>
      </c>
      <c r="G1180" s="12" t="s">
        <v>55</v>
      </c>
      <c r="H1180" s="9">
        <f t="shared" si="80"/>
        <v>9</v>
      </c>
      <c r="I1180" cm="1">
        <f t="array" ref="I1180">IFERROR(INDEX(CourseYardages[[Hole 1]:[Hole 18]],
  MATCH(1, (CourseYardages[Course]=C1180)*(CourseYardages[Tees]=E1180), 0),
  MATCH(G1180, CourseYardages[[#Headers],[Hole 1]:[Hole 18]], 0)
),"")</f>
        <v>360</v>
      </c>
      <c r="J1180" cm="1">
        <f t="array" ref="J1180">IFERROR(INDEX(CourseHandicap[[Hole 1]:[Hole 18]],
  MATCH(1, (CourseHandicap[Course]=C1180)*(CourseHandicap[Tees]=E1180), 0),
  MATCH(G1180, CourseHandicap[[#Headers],[Hole 1]:[Hole 18]], 0)
),"")</f>
        <v>9</v>
      </c>
      <c r="K1180" cm="1">
        <f t="array" ref="K1180">IFERROR(INDEX(CourseRatings[[Hole 1]:[Hole 18]],
  MATCH(1, (CourseRatings[Course]=C1180)*(CourseRatings[Tees]=E1180), 0),
  MATCH(G1180, CourseRatings[[#Headers],[Hole 1]:[Hole 18]], 0)
),"")</f>
        <v>4</v>
      </c>
      <c r="L1180" cm="1">
        <f t="array" ref="L1180">IFERROR(
  INDEX('Golf Log'!$E$2:$V$72,
    MATCH(1,
      ('Golf Log'!$A$2:$A$72=$A1180)*
      ('Golf Log'!$B$2:$B$72=$B1180)*
      ('Golf Log'!$C$2:$C$72=$C1180),
    0),
    MATCH($G1180,'Golf Log'!$E$1:$V$1,0)
  ),
"")</f>
        <v>6</v>
      </c>
      <c r="M1180">
        <f t="shared" si="81"/>
        <v>2</v>
      </c>
      <c r="N1180" t="str">
        <f t="shared" si="82"/>
        <v>Double Bogey</v>
      </c>
      <c r="O1180" cm="1">
        <f t="array" ref="O1180">IFERROR(
  INDEX('Putt Log'!$E$2:$V$72,
    MATCH(1,
      ('Putt Log'!$A$2:$A$72=$A1180)*
      ('Putt Log'!$B$2:$B$72=$B1180)*
      ('Putt Log'!$C$2:$C$72=$C1180),
    0),
    MATCH($G1180,'Putt Log'!$E$1:$V$1,0)
  ),
"")</f>
        <v>2</v>
      </c>
      <c r="P1180" t="str" cm="1">
        <f t="array" ref="P1180">IF(K1180=3,"",
  IFERROR(
    INDEX('Fairway Log'!$E$2:$V$72,
      MATCH(1,
        ('Fairway Log'!$A$2:$A$72=$A1180)*
        ('Fairway Log'!$B$2:$B$72=$B1180)*
        ('Fairway Log'!$C$2:$C1251=$C1180),
      0),
      MATCH($G1180,'Fairway Log'!$E$1:$V$1,0)
    ),
  "")
)</f>
        <v>→</v>
      </c>
      <c r="Q1180" cm="1">
        <f t="array" ref="Q1180">IFERROR(
  INDEX('GIR Log'!$E$2:$V$72,
    MATCH(1,
      ('GIR Log'!$A$2:$A$72=$A1180)*
      ('GIR Log'!$B$2:$B$72=$B1180)*
      ('GIR Log'!$C$2:$C$72=$C1180),
    0),
    MATCH($G1180,'GIR Log'!$E$1:$V$1,0)
  ),
"")</f>
        <v>0</v>
      </c>
    </row>
    <row r="1181" spans="1:17" x14ac:dyDescent="0.25">
      <c r="A1181" s="78" t="s">
        <v>130</v>
      </c>
      <c r="B1181" s="2">
        <v>45136</v>
      </c>
      <c r="C1181" s="78" t="s">
        <v>5</v>
      </c>
      <c r="D1181" s="78" t="s">
        <v>5</v>
      </c>
      <c r="E1181" s="78" t="s">
        <v>34</v>
      </c>
      <c r="F1181">
        <v>87</v>
      </c>
      <c r="G1181" s="12" t="s">
        <v>56</v>
      </c>
      <c r="H1181" s="9">
        <f t="shared" si="80"/>
        <v>10</v>
      </c>
      <c r="I1181" cm="1">
        <f t="array" ref="I1181">IFERROR(INDEX(CourseYardages[[Hole 1]:[Hole 18]],
  MATCH(1, (CourseYardages[Course]=C1181)*(CourseYardages[Tees]=E1181), 0),
  MATCH(G1181, CourseYardages[[#Headers],[Hole 1]:[Hole 18]], 0)
),"")</f>
        <v>381</v>
      </c>
      <c r="J1181" cm="1">
        <f t="array" ref="J1181">IFERROR(INDEX(CourseHandicap[[Hole 1]:[Hole 18]],
  MATCH(1, (CourseHandicap[Course]=C1181)*(CourseHandicap[Tees]=E1181), 0),
  MATCH(G1181, CourseHandicap[[#Headers],[Hole 1]:[Hole 18]], 0)
),"")</f>
        <v>12</v>
      </c>
      <c r="K1181" cm="1">
        <f t="array" ref="K1181">IFERROR(INDEX(CourseRatings[[Hole 1]:[Hole 18]],
  MATCH(1, (CourseRatings[Course]=C1181)*(CourseRatings[Tees]=E1181), 0),
  MATCH(G1181, CourseRatings[[#Headers],[Hole 1]:[Hole 18]], 0)
),"")</f>
        <v>4</v>
      </c>
      <c r="L1181" cm="1">
        <f t="array" ref="L1181">IFERROR(
  INDEX('Golf Log'!$E$2:$V$72,
    MATCH(1,
      ('Golf Log'!$A$2:$A$72=$A1181)*
      ('Golf Log'!$B$2:$B$72=$B1181)*
      ('Golf Log'!$C$2:$C$72=$C1181),
    0),
    MATCH($G1181,'Golf Log'!$E$1:$V$1,0)
  ),
"")</f>
        <v>4</v>
      </c>
      <c r="M1181">
        <f t="shared" si="81"/>
        <v>0</v>
      </c>
      <c r="N1181" t="str">
        <f t="shared" si="82"/>
        <v>Par</v>
      </c>
      <c r="O1181" cm="1">
        <f t="array" ref="O1181">IFERROR(
  INDEX('Putt Log'!$E$2:$V$72,
    MATCH(1,
      ('Putt Log'!$A$2:$A$72=$A1181)*
      ('Putt Log'!$B$2:$B$72=$B1181)*
      ('Putt Log'!$C$2:$C$72=$C1181),
    0),
    MATCH($G1181,'Putt Log'!$E$1:$V$1,0)
  ),
"")</f>
        <v>1</v>
      </c>
      <c r="P1181" t="str" cm="1">
        <f t="array" ref="P1181">IF(K1181=3,"",
  IFERROR(
    INDEX('Fairway Log'!$E$2:$V$72,
      MATCH(1,
        ('Fairway Log'!$A$2:$A$72=$A1181)*
        ('Fairway Log'!$B$2:$B$72=$B1181)*
        ('Fairway Log'!$C$2:$C1252=$C1181),
      0),
      MATCH($G1181,'Fairway Log'!$E$1:$V$1,0)
    ),
  "")
)</f>
        <v>→</v>
      </c>
      <c r="Q1181" cm="1">
        <f t="array" ref="Q1181">IFERROR(
  INDEX('GIR Log'!$E$2:$V$72,
    MATCH(1,
      ('GIR Log'!$A$2:$A$72=$A1181)*
      ('GIR Log'!$B$2:$B$72=$B1181)*
      ('GIR Log'!$C$2:$C$72=$C1181),
    0),
    MATCH($G1181,'GIR Log'!$E$1:$V$1,0)
  ),
"")</f>
        <v>0</v>
      </c>
    </row>
    <row r="1182" spans="1:17" x14ac:dyDescent="0.25">
      <c r="A1182" s="78" t="s">
        <v>130</v>
      </c>
      <c r="B1182" s="2">
        <v>45136</v>
      </c>
      <c r="C1182" s="78" t="s">
        <v>5</v>
      </c>
      <c r="D1182" s="78" t="s">
        <v>5</v>
      </c>
      <c r="E1182" s="78" t="s">
        <v>34</v>
      </c>
      <c r="F1182">
        <v>87</v>
      </c>
      <c r="G1182" s="12" t="s">
        <v>57</v>
      </c>
      <c r="H1182" s="9">
        <f t="shared" si="80"/>
        <v>11</v>
      </c>
      <c r="I1182" cm="1">
        <f t="array" ref="I1182">IFERROR(INDEX(CourseYardages[[Hole 1]:[Hole 18]],
  MATCH(1, (CourseYardages[Course]=C1182)*(CourseYardages[Tees]=E1182), 0),
  MATCH(G1182, CourseYardages[[#Headers],[Hole 1]:[Hole 18]], 0)
),"")</f>
        <v>200</v>
      </c>
      <c r="J1182" cm="1">
        <f t="array" ref="J1182">IFERROR(INDEX(CourseHandicap[[Hole 1]:[Hole 18]],
  MATCH(1, (CourseHandicap[Course]=C1182)*(CourseHandicap[Tees]=E1182), 0),
  MATCH(G1182, CourseHandicap[[#Headers],[Hole 1]:[Hole 18]], 0)
),"")</f>
        <v>16</v>
      </c>
      <c r="K1182" cm="1">
        <f t="array" ref="K1182">IFERROR(INDEX(CourseRatings[[Hole 1]:[Hole 18]],
  MATCH(1, (CourseRatings[Course]=C1182)*(CourseRatings[Tees]=E1182), 0),
  MATCH(G1182, CourseRatings[[#Headers],[Hole 1]:[Hole 18]], 0)
),"")</f>
        <v>3</v>
      </c>
      <c r="L1182" cm="1">
        <f t="array" ref="L1182">IFERROR(
  INDEX('Golf Log'!$E$2:$V$72,
    MATCH(1,
      ('Golf Log'!$A$2:$A$72=$A1182)*
      ('Golf Log'!$B$2:$B$72=$B1182)*
      ('Golf Log'!$C$2:$C$72=$C1182),
    0),
    MATCH($G1182,'Golf Log'!$E$1:$V$1,0)
  ),
"")</f>
        <v>4</v>
      </c>
      <c r="M1182">
        <f t="shared" si="81"/>
        <v>1</v>
      </c>
      <c r="N1182" t="str">
        <f t="shared" si="82"/>
        <v>Bogey</v>
      </c>
      <c r="O1182" cm="1">
        <f t="array" ref="O1182">IFERROR(
  INDEX('Putt Log'!$E$2:$V$72,
    MATCH(1,
      ('Putt Log'!$A$2:$A$72=$A1182)*
      ('Putt Log'!$B$2:$B$72=$B1182)*
      ('Putt Log'!$C$2:$C$72=$C1182),
    0),
    MATCH($G1182,'Putt Log'!$E$1:$V$1,0)
  ),
"")</f>
        <v>2</v>
      </c>
      <c r="P1182" t="str" cm="1">
        <f t="array" ref="P1182">IF(K1182=3,"",
  IFERROR(
    INDEX('Fairway Log'!$E$2:$V$72,
      MATCH(1,
        ('Fairway Log'!$A$2:$A$72=$A1182)*
        ('Fairway Log'!$B$2:$B$72=$B1182)*
        ('Fairway Log'!$C$2:$C1253=$C1182),
      0),
      MATCH($G1182,'Fairway Log'!$E$1:$V$1,0)
    ),
  "")
)</f>
        <v/>
      </c>
      <c r="Q1182" cm="1">
        <f t="array" ref="Q1182">IFERROR(
  INDEX('GIR Log'!$E$2:$V$72,
    MATCH(1,
      ('GIR Log'!$A$2:$A$72=$A1182)*
      ('GIR Log'!$B$2:$B$72=$B1182)*
      ('GIR Log'!$C$2:$C$72=$C1182),
    0),
    MATCH($G1182,'GIR Log'!$E$1:$V$1,0)
  ),
"")</f>
        <v>0</v>
      </c>
    </row>
    <row r="1183" spans="1:17" x14ac:dyDescent="0.25">
      <c r="A1183" s="78" t="s">
        <v>130</v>
      </c>
      <c r="B1183" s="2">
        <v>45136</v>
      </c>
      <c r="C1183" s="78" t="s">
        <v>5</v>
      </c>
      <c r="D1183" s="78" t="s">
        <v>5</v>
      </c>
      <c r="E1183" s="78" t="s">
        <v>34</v>
      </c>
      <c r="F1183">
        <v>87</v>
      </c>
      <c r="G1183" s="12" t="s">
        <v>58</v>
      </c>
      <c r="H1183" s="9">
        <f t="shared" si="80"/>
        <v>12</v>
      </c>
      <c r="I1183" cm="1">
        <f t="array" ref="I1183">IFERROR(INDEX(CourseYardages[[Hole 1]:[Hole 18]],
  MATCH(1, (CourseYardages[Course]=C1183)*(CourseYardages[Tees]=E1183), 0),
  MATCH(G1183, CourseYardages[[#Headers],[Hole 1]:[Hole 18]], 0)
),"")</f>
        <v>473</v>
      </c>
      <c r="J1183" cm="1">
        <f t="array" ref="J1183">IFERROR(INDEX(CourseHandicap[[Hole 1]:[Hole 18]],
  MATCH(1, (CourseHandicap[Course]=C1183)*(CourseHandicap[Tees]=E1183), 0),
  MATCH(G1183, CourseHandicap[[#Headers],[Hole 1]:[Hole 18]], 0)
),"")</f>
        <v>10</v>
      </c>
      <c r="K1183" cm="1">
        <f t="array" ref="K1183">IFERROR(INDEX(CourseRatings[[Hole 1]:[Hole 18]],
  MATCH(1, (CourseRatings[Course]=C1183)*(CourseRatings[Tees]=E1183), 0),
  MATCH(G1183, CourseRatings[[#Headers],[Hole 1]:[Hole 18]], 0)
),"")</f>
        <v>5</v>
      </c>
      <c r="L1183" cm="1">
        <f t="array" ref="L1183">IFERROR(
  INDEX('Golf Log'!$E$2:$V$72,
    MATCH(1,
      ('Golf Log'!$A$2:$A$72=$A1183)*
      ('Golf Log'!$B$2:$B$72=$B1183)*
      ('Golf Log'!$C$2:$C$72=$C1183),
    0),
    MATCH($G1183,'Golf Log'!$E$1:$V$1,0)
  ),
"")</f>
        <v>7</v>
      </c>
      <c r="M1183">
        <f t="shared" si="81"/>
        <v>2</v>
      </c>
      <c r="N1183" t="str">
        <f t="shared" si="82"/>
        <v>Double Bogey</v>
      </c>
      <c r="O1183" cm="1">
        <f t="array" ref="O1183">IFERROR(
  INDEX('Putt Log'!$E$2:$V$72,
    MATCH(1,
      ('Putt Log'!$A$2:$A$72=$A1183)*
      ('Putt Log'!$B$2:$B$72=$B1183)*
      ('Putt Log'!$C$2:$C$72=$C1183),
    0),
    MATCH($G1183,'Putt Log'!$E$1:$V$1,0)
  ),
"")</f>
        <v>2</v>
      </c>
      <c r="P1183" t="str" cm="1">
        <f t="array" ref="P1183">IF(K1183=3,"",
  IFERROR(
    INDEX('Fairway Log'!$E$2:$V$72,
      MATCH(1,
        ('Fairway Log'!$A$2:$A$72=$A1183)*
        ('Fairway Log'!$B$2:$B$72=$B1183)*
        ('Fairway Log'!$C$2:$C1254=$C1183),
      0),
      MATCH($G1183,'Fairway Log'!$E$1:$V$1,0)
    ),
  "")
)</f>
        <v>→</v>
      </c>
      <c r="Q1183" cm="1">
        <f t="array" ref="Q1183">IFERROR(
  INDEX('GIR Log'!$E$2:$V$72,
    MATCH(1,
      ('GIR Log'!$A$2:$A$72=$A1183)*
      ('GIR Log'!$B$2:$B$72=$B1183)*
      ('GIR Log'!$C$2:$C$72=$C1183),
    0),
    MATCH($G1183,'GIR Log'!$E$1:$V$1,0)
  ),
"")</f>
        <v>0</v>
      </c>
    </row>
    <row r="1184" spans="1:17" x14ac:dyDescent="0.25">
      <c r="A1184" s="78" t="s">
        <v>130</v>
      </c>
      <c r="B1184" s="2">
        <v>45136</v>
      </c>
      <c r="C1184" s="78" t="s">
        <v>5</v>
      </c>
      <c r="D1184" s="78" t="s">
        <v>5</v>
      </c>
      <c r="E1184" s="78" t="s">
        <v>34</v>
      </c>
      <c r="F1184">
        <v>87</v>
      </c>
      <c r="G1184" s="12" t="s">
        <v>59</v>
      </c>
      <c r="H1184" s="9">
        <f t="shared" si="80"/>
        <v>13</v>
      </c>
      <c r="I1184" cm="1">
        <f t="array" ref="I1184">IFERROR(INDEX(CourseYardages[[Hole 1]:[Hole 18]],
  MATCH(1, (CourseYardages[Course]=C1184)*(CourseYardages[Tees]=E1184), 0),
  MATCH(G1184, CourseYardages[[#Headers],[Hole 1]:[Hole 18]], 0)
),"")</f>
        <v>362</v>
      </c>
      <c r="J1184" cm="1">
        <f t="array" ref="J1184">IFERROR(INDEX(CourseHandicap[[Hole 1]:[Hole 18]],
  MATCH(1, (CourseHandicap[Course]=C1184)*(CourseHandicap[Tees]=E1184), 0),
  MATCH(G1184, CourseHandicap[[#Headers],[Hole 1]:[Hole 18]], 0)
),"")</f>
        <v>18</v>
      </c>
      <c r="K1184" cm="1">
        <f t="array" ref="K1184">IFERROR(INDEX(CourseRatings[[Hole 1]:[Hole 18]],
  MATCH(1, (CourseRatings[Course]=C1184)*(CourseRatings[Tees]=E1184), 0),
  MATCH(G1184, CourseRatings[[#Headers],[Hole 1]:[Hole 18]], 0)
),"")</f>
        <v>4</v>
      </c>
      <c r="L1184" cm="1">
        <f t="array" ref="L1184">IFERROR(
  INDEX('Golf Log'!$E$2:$V$72,
    MATCH(1,
      ('Golf Log'!$A$2:$A$72=$A1184)*
      ('Golf Log'!$B$2:$B$72=$B1184)*
      ('Golf Log'!$C$2:$C$72=$C1184),
    0),
    MATCH($G1184,'Golf Log'!$E$1:$V$1,0)
  ),
"")</f>
        <v>4</v>
      </c>
      <c r="M1184">
        <f t="shared" si="81"/>
        <v>0</v>
      </c>
      <c r="N1184" t="str">
        <f t="shared" si="82"/>
        <v>Par</v>
      </c>
      <c r="O1184" cm="1">
        <f t="array" ref="O1184">IFERROR(
  INDEX('Putt Log'!$E$2:$V$72,
    MATCH(1,
      ('Putt Log'!$A$2:$A$72=$A1184)*
      ('Putt Log'!$B$2:$B$72=$B1184)*
      ('Putt Log'!$C$2:$C$72=$C1184),
    0),
    MATCH($G1184,'Putt Log'!$E$1:$V$1,0)
  ),
"")</f>
        <v>2</v>
      </c>
      <c r="P1184" t="str" cm="1">
        <f t="array" ref="P1184">IF(K1184=3,"",
  IFERROR(
    INDEX('Fairway Log'!$E$2:$V$72,
      MATCH(1,
        ('Fairway Log'!$A$2:$A$72=$A1184)*
        ('Fairway Log'!$B$2:$B$72=$B1184)*
        ('Fairway Log'!$C$2:$C1255=$C1184),
      0),
      MATCH($G1184,'Fairway Log'!$E$1:$V$1,0)
    ),
  "")
)</f>
        <v>←</v>
      </c>
      <c r="Q1184" cm="1">
        <f t="array" ref="Q1184">IFERROR(
  INDEX('GIR Log'!$E$2:$V$72,
    MATCH(1,
      ('GIR Log'!$A$2:$A$72=$A1184)*
      ('GIR Log'!$B$2:$B$72=$B1184)*
      ('GIR Log'!$C$2:$C$72=$C1184),
    0),
    MATCH($G1184,'GIR Log'!$E$1:$V$1,0)
  ),
"")</f>
        <v>1</v>
      </c>
    </row>
    <row r="1185" spans="1:17" x14ac:dyDescent="0.25">
      <c r="A1185" s="78" t="s">
        <v>130</v>
      </c>
      <c r="B1185" s="2">
        <v>45136</v>
      </c>
      <c r="C1185" s="78" t="s">
        <v>5</v>
      </c>
      <c r="D1185" s="78" t="s">
        <v>5</v>
      </c>
      <c r="E1185" s="78" t="s">
        <v>34</v>
      </c>
      <c r="F1185">
        <v>87</v>
      </c>
      <c r="G1185" s="12" t="s">
        <v>60</v>
      </c>
      <c r="H1185" s="9">
        <f t="shared" si="80"/>
        <v>14</v>
      </c>
      <c r="I1185" cm="1">
        <f t="array" ref="I1185">IFERROR(INDEX(CourseYardages[[Hole 1]:[Hole 18]],
  MATCH(1, (CourseYardages[Course]=C1185)*(CourseYardages[Tees]=E1185), 0),
  MATCH(G1185, CourseYardages[[#Headers],[Hole 1]:[Hole 18]], 0)
),"")</f>
        <v>383</v>
      </c>
      <c r="J1185" cm="1">
        <f t="array" ref="J1185">IFERROR(INDEX(CourseHandicap[[Hole 1]:[Hole 18]],
  MATCH(1, (CourseHandicap[Course]=C1185)*(CourseHandicap[Tees]=E1185), 0),
  MATCH(G1185, CourseHandicap[[#Headers],[Hole 1]:[Hole 18]], 0)
),"")</f>
        <v>8</v>
      </c>
      <c r="K1185" cm="1">
        <f t="array" ref="K1185">IFERROR(INDEX(CourseRatings[[Hole 1]:[Hole 18]],
  MATCH(1, (CourseRatings[Course]=C1185)*(CourseRatings[Tees]=E1185), 0),
  MATCH(G1185, CourseRatings[[#Headers],[Hole 1]:[Hole 18]], 0)
),"")</f>
        <v>4</v>
      </c>
      <c r="L1185" cm="1">
        <f t="array" ref="L1185">IFERROR(
  INDEX('Golf Log'!$E$2:$V$72,
    MATCH(1,
      ('Golf Log'!$A$2:$A$72=$A1185)*
      ('Golf Log'!$B$2:$B$72=$B1185)*
      ('Golf Log'!$C$2:$C$72=$C1185),
    0),
    MATCH($G1185,'Golf Log'!$E$1:$V$1,0)
  ),
"")</f>
        <v>5</v>
      </c>
      <c r="M1185">
        <f t="shared" si="81"/>
        <v>1</v>
      </c>
      <c r="N1185" t="str">
        <f t="shared" si="82"/>
        <v>Bogey</v>
      </c>
      <c r="O1185" cm="1">
        <f t="array" ref="O1185">IFERROR(
  INDEX('Putt Log'!$E$2:$V$72,
    MATCH(1,
      ('Putt Log'!$A$2:$A$72=$A1185)*
      ('Putt Log'!$B$2:$B$72=$B1185)*
      ('Putt Log'!$C$2:$C$72=$C1185),
    0),
    MATCH($G1185,'Putt Log'!$E$1:$V$1,0)
  ),
"")</f>
        <v>2</v>
      </c>
      <c r="P1185" t="str" cm="1">
        <f t="array" ref="P1185">IF(K1185=3,"",
  IFERROR(
    INDEX('Fairway Log'!$E$2:$V$72,
      MATCH(1,
        ('Fairway Log'!$A$2:$A$72=$A1185)*
        ('Fairway Log'!$B$2:$B$72=$B1185)*
        ('Fairway Log'!$C$2:$C1256=$C1185),
      0),
      MATCH($G1185,'Fairway Log'!$E$1:$V$1,0)
    ),
  "")
)</f>
        <v>←</v>
      </c>
      <c r="Q1185" cm="1">
        <f t="array" ref="Q1185">IFERROR(
  INDEX('GIR Log'!$E$2:$V$72,
    MATCH(1,
      ('GIR Log'!$A$2:$A$72=$A1185)*
      ('GIR Log'!$B$2:$B$72=$B1185)*
      ('GIR Log'!$C$2:$C$72=$C1185),
    0),
    MATCH($G1185,'GIR Log'!$E$1:$V$1,0)
  ),
"")</f>
        <v>0</v>
      </c>
    </row>
    <row r="1186" spans="1:17" x14ac:dyDescent="0.25">
      <c r="A1186" s="78" t="s">
        <v>130</v>
      </c>
      <c r="B1186" s="2">
        <v>45136</v>
      </c>
      <c r="C1186" s="78" t="s">
        <v>5</v>
      </c>
      <c r="D1186" s="78" t="s">
        <v>5</v>
      </c>
      <c r="E1186" s="78" t="s">
        <v>34</v>
      </c>
      <c r="F1186">
        <v>87</v>
      </c>
      <c r="G1186" s="12" t="s">
        <v>61</v>
      </c>
      <c r="H1186" s="9">
        <f t="shared" si="80"/>
        <v>15</v>
      </c>
      <c r="I1186" cm="1">
        <f t="array" ref="I1186">IFERROR(INDEX(CourseYardages[[Hole 1]:[Hole 18]],
  MATCH(1, (CourseYardages[Course]=C1186)*(CourseYardages[Tees]=E1186), 0),
  MATCH(G1186, CourseYardages[[#Headers],[Hole 1]:[Hole 18]], 0)
),"")</f>
        <v>387</v>
      </c>
      <c r="J1186" cm="1">
        <f t="array" ref="J1186">IFERROR(INDEX(CourseHandicap[[Hole 1]:[Hole 18]],
  MATCH(1, (CourseHandicap[Course]=C1186)*(CourseHandicap[Tees]=E1186), 0),
  MATCH(G1186, CourseHandicap[[#Headers],[Hole 1]:[Hole 18]], 0)
),"")</f>
        <v>2</v>
      </c>
      <c r="K1186" cm="1">
        <f t="array" ref="K1186">IFERROR(INDEX(CourseRatings[[Hole 1]:[Hole 18]],
  MATCH(1, (CourseRatings[Course]=C1186)*(CourseRatings[Tees]=E1186), 0),
  MATCH(G1186, CourseRatings[[#Headers],[Hole 1]:[Hole 18]], 0)
),"")</f>
        <v>4</v>
      </c>
      <c r="L1186" cm="1">
        <f t="array" ref="L1186">IFERROR(
  INDEX('Golf Log'!$E$2:$V$72,
    MATCH(1,
      ('Golf Log'!$A$2:$A$72=$A1186)*
      ('Golf Log'!$B$2:$B$72=$B1186)*
      ('Golf Log'!$C$2:$C$72=$C1186),
    0),
    MATCH($G1186,'Golf Log'!$E$1:$V$1,0)
  ),
"")</f>
        <v>5</v>
      </c>
      <c r="M1186">
        <f t="shared" si="81"/>
        <v>1</v>
      </c>
      <c r="N1186" t="str">
        <f t="shared" si="82"/>
        <v>Bogey</v>
      </c>
      <c r="O1186" cm="1">
        <f t="array" ref="O1186">IFERROR(
  INDEX('Putt Log'!$E$2:$V$72,
    MATCH(1,
      ('Putt Log'!$A$2:$A$72=$A1186)*
      ('Putt Log'!$B$2:$B$72=$B1186)*
      ('Putt Log'!$C$2:$C$72=$C1186),
    0),
    MATCH($G1186,'Putt Log'!$E$1:$V$1,0)
  ),
"")</f>
        <v>2</v>
      </c>
      <c r="P1186" t="str" cm="1">
        <f t="array" ref="P1186">IF(K1186=3,"",
  IFERROR(
    INDEX('Fairway Log'!$E$2:$V$72,
      MATCH(1,
        ('Fairway Log'!$A$2:$A$72=$A1186)*
        ('Fairway Log'!$B$2:$B$72=$B1186)*
        ('Fairway Log'!$C$2:$C1257=$C1186),
      0),
      MATCH($G1186,'Fairway Log'!$E$1:$V$1,0)
    ),
  "")
)</f>
        <v>←</v>
      </c>
      <c r="Q1186" cm="1">
        <f t="array" ref="Q1186">IFERROR(
  INDEX('GIR Log'!$E$2:$V$72,
    MATCH(1,
      ('GIR Log'!$A$2:$A$72=$A1186)*
      ('GIR Log'!$B$2:$B$72=$B1186)*
      ('GIR Log'!$C$2:$C$72=$C1186),
    0),
    MATCH($G1186,'GIR Log'!$E$1:$V$1,0)
  ),
"")</f>
        <v>0</v>
      </c>
    </row>
    <row r="1187" spans="1:17" x14ac:dyDescent="0.25">
      <c r="A1187" s="78" t="s">
        <v>130</v>
      </c>
      <c r="B1187" s="2">
        <v>45136</v>
      </c>
      <c r="C1187" s="78" t="s">
        <v>5</v>
      </c>
      <c r="D1187" s="78" t="s">
        <v>5</v>
      </c>
      <c r="E1187" s="78" t="s">
        <v>34</v>
      </c>
      <c r="F1187">
        <v>87</v>
      </c>
      <c r="G1187" s="12" t="s">
        <v>62</v>
      </c>
      <c r="H1187" s="9">
        <f t="shared" si="80"/>
        <v>16</v>
      </c>
      <c r="I1187" cm="1">
        <f t="array" ref="I1187">IFERROR(INDEX(CourseYardages[[Hole 1]:[Hole 18]],
  MATCH(1, (CourseYardages[Course]=C1187)*(CourseYardages[Tees]=E1187), 0),
  MATCH(G1187, CourseYardages[[#Headers],[Hole 1]:[Hole 18]], 0)
),"")</f>
        <v>501</v>
      </c>
      <c r="J1187" cm="1">
        <f t="array" ref="J1187">IFERROR(INDEX(CourseHandicap[[Hole 1]:[Hole 18]],
  MATCH(1, (CourseHandicap[Course]=C1187)*(CourseHandicap[Tees]=E1187), 0),
  MATCH(G1187, CourseHandicap[[#Headers],[Hole 1]:[Hole 18]], 0)
),"")</f>
        <v>4</v>
      </c>
      <c r="K1187" cm="1">
        <f t="array" ref="K1187">IFERROR(INDEX(CourseRatings[[Hole 1]:[Hole 18]],
  MATCH(1, (CourseRatings[Course]=C1187)*(CourseRatings[Tees]=E1187), 0),
  MATCH(G1187, CourseRatings[[#Headers],[Hole 1]:[Hole 18]], 0)
),"")</f>
        <v>5</v>
      </c>
      <c r="L1187" cm="1">
        <f t="array" ref="L1187">IFERROR(
  INDEX('Golf Log'!$E$2:$V$72,
    MATCH(1,
      ('Golf Log'!$A$2:$A$72=$A1187)*
      ('Golf Log'!$B$2:$B$72=$B1187)*
      ('Golf Log'!$C$2:$C$72=$C1187),
    0),
    MATCH($G1187,'Golf Log'!$E$1:$V$1,0)
  ),
"")</f>
        <v>6</v>
      </c>
      <c r="M1187">
        <f t="shared" si="81"/>
        <v>1</v>
      </c>
      <c r="N1187" t="str">
        <f t="shared" si="82"/>
        <v>Bogey</v>
      </c>
      <c r="O1187" cm="1">
        <f t="array" ref="O1187">IFERROR(
  INDEX('Putt Log'!$E$2:$V$72,
    MATCH(1,
      ('Putt Log'!$A$2:$A$72=$A1187)*
      ('Putt Log'!$B$2:$B$72=$B1187)*
      ('Putt Log'!$C$2:$C$72=$C1187),
    0),
    MATCH($G1187,'Putt Log'!$E$1:$V$1,0)
  ),
"")</f>
        <v>2</v>
      </c>
      <c r="P1187" t="str" cm="1">
        <f t="array" ref="P1187">IF(K1187=3,"",
  IFERROR(
    INDEX('Fairway Log'!$E$2:$V$72,
      MATCH(1,
        ('Fairway Log'!$A$2:$A$72=$A1187)*
        ('Fairway Log'!$B$2:$B$72=$B1187)*
        ('Fairway Log'!$C$2:$C1258=$C1187),
      0),
      MATCH($G1187,'Fairway Log'!$E$1:$V$1,0)
    ),
  "")
)</f>
        <v>←</v>
      </c>
      <c r="Q1187" cm="1">
        <f t="array" ref="Q1187">IFERROR(
  INDEX('GIR Log'!$E$2:$V$72,
    MATCH(1,
      ('GIR Log'!$A$2:$A$72=$A1187)*
      ('GIR Log'!$B$2:$B$72=$B1187)*
      ('GIR Log'!$C$2:$C$72=$C1187),
    0),
    MATCH($G1187,'GIR Log'!$E$1:$V$1,0)
  ),
"")</f>
        <v>0</v>
      </c>
    </row>
    <row r="1188" spans="1:17" x14ac:dyDescent="0.25">
      <c r="A1188" s="78" t="s">
        <v>130</v>
      </c>
      <c r="B1188" s="2">
        <v>45136</v>
      </c>
      <c r="C1188" s="78" t="s">
        <v>5</v>
      </c>
      <c r="D1188" s="78" t="s">
        <v>5</v>
      </c>
      <c r="E1188" s="78" t="s">
        <v>34</v>
      </c>
      <c r="F1188">
        <v>87</v>
      </c>
      <c r="G1188" s="12" t="s">
        <v>63</v>
      </c>
      <c r="H1188" s="9">
        <f t="shared" si="80"/>
        <v>17</v>
      </c>
      <c r="I1188" cm="1">
        <f t="array" ref="I1188">IFERROR(INDEX(CourseYardages[[Hole 1]:[Hole 18]],
  MATCH(1, (CourseYardages[Course]=C1188)*(CourseYardages[Tees]=E1188), 0),
  MATCH(G1188, CourseYardages[[#Headers],[Hole 1]:[Hole 18]], 0)
),"")</f>
        <v>175</v>
      </c>
      <c r="J1188" cm="1">
        <f t="array" ref="J1188">IFERROR(INDEX(CourseHandicap[[Hole 1]:[Hole 18]],
  MATCH(1, (CourseHandicap[Course]=C1188)*(CourseHandicap[Tees]=E1188), 0),
  MATCH(G1188, CourseHandicap[[#Headers],[Hole 1]:[Hole 18]], 0)
),"")</f>
        <v>14</v>
      </c>
      <c r="K1188" cm="1">
        <f t="array" ref="K1188">IFERROR(INDEX(CourseRatings[[Hole 1]:[Hole 18]],
  MATCH(1, (CourseRatings[Course]=C1188)*(CourseRatings[Tees]=E1188), 0),
  MATCH(G1188, CourseRatings[[#Headers],[Hole 1]:[Hole 18]], 0)
),"")</f>
        <v>3</v>
      </c>
      <c r="L1188" cm="1">
        <f t="array" ref="L1188">IFERROR(
  INDEX('Golf Log'!$E$2:$V$72,
    MATCH(1,
      ('Golf Log'!$A$2:$A$72=$A1188)*
      ('Golf Log'!$B$2:$B$72=$B1188)*
      ('Golf Log'!$C$2:$C$72=$C1188),
    0),
    MATCH($G1188,'Golf Log'!$E$1:$V$1,0)
  ),
"")</f>
        <v>5</v>
      </c>
      <c r="M1188">
        <f t="shared" si="81"/>
        <v>2</v>
      </c>
      <c r="N1188" t="str">
        <f t="shared" si="82"/>
        <v>Double Bogey</v>
      </c>
      <c r="O1188" cm="1">
        <f t="array" ref="O1188">IFERROR(
  INDEX('Putt Log'!$E$2:$V$72,
    MATCH(1,
      ('Putt Log'!$A$2:$A$72=$A1188)*
      ('Putt Log'!$B$2:$B$72=$B1188)*
      ('Putt Log'!$C$2:$C$72=$C1188),
    0),
    MATCH($G1188,'Putt Log'!$E$1:$V$1,0)
  ),
"")</f>
        <v>2</v>
      </c>
      <c r="P1188" t="str" cm="1">
        <f t="array" ref="P1188">IF(K1188=3,"",
  IFERROR(
    INDEX('Fairway Log'!$E$2:$V$72,
      MATCH(1,
        ('Fairway Log'!$A$2:$A$72=$A1188)*
        ('Fairway Log'!$B$2:$B$72=$B1188)*
        ('Fairway Log'!$C$2:$C1259=$C1188),
      0),
      MATCH($G1188,'Fairway Log'!$E$1:$V$1,0)
    ),
  "")
)</f>
        <v/>
      </c>
      <c r="Q1188" cm="1">
        <f t="array" ref="Q1188">IFERROR(
  INDEX('GIR Log'!$E$2:$V$72,
    MATCH(1,
      ('GIR Log'!$A$2:$A$72=$A1188)*
      ('GIR Log'!$B$2:$B$72=$B1188)*
      ('GIR Log'!$C$2:$C$72=$C1188),
    0),
    MATCH($G1188,'GIR Log'!$E$1:$V$1,0)
  ),
"")</f>
        <v>0</v>
      </c>
    </row>
    <row r="1189" spans="1:17" x14ac:dyDescent="0.25">
      <c r="A1189" s="78" t="s">
        <v>130</v>
      </c>
      <c r="B1189" s="2">
        <v>45136</v>
      </c>
      <c r="C1189" s="78" t="s">
        <v>5</v>
      </c>
      <c r="D1189" s="78" t="s">
        <v>5</v>
      </c>
      <c r="E1189" s="78" t="s">
        <v>34</v>
      </c>
      <c r="F1189">
        <v>87</v>
      </c>
      <c r="G1189" s="12" t="s">
        <v>64</v>
      </c>
      <c r="H1189" s="9">
        <f t="shared" si="80"/>
        <v>18</v>
      </c>
      <c r="I1189" cm="1">
        <f t="array" ref="I1189">IFERROR(INDEX(CourseYardages[[Hole 1]:[Hole 18]],
  MATCH(1, (CourseYardages[Course]=C1189)*(CourseYardages[Tees]=E1189), 0),
  MATCH(G1189, CourseYardages[[#Headers],[Hole 1]:[Hole 18]], 0)
),"")</f>
        <v>364</v>
      </c>
      <c r="J1189" cm="1">
        <f t="array" ref="J1189">IFERROR(INDEX(CourseHandicap[[Hole 1]:[Hole 18]],
  MATCH(1, (CourseHandicap[Course]=C1189)*(CourseHandicap[Tees]=E1189), 0),
  MATCH(G1189, CourseHandicap[[#Headers],[Hole 1]:[Hole 18]], 0)
),"")</f>
        <v>6</v>
      </c>
      <c r="K1189" cm="1">
        <f t="array" ref="K1189">IFERROR(INDEX(CourseRatings[[Hole 1]:[Hole 18]],
  MATCH(1, (CourseRatings[Course]=C1189)*(CourseRatings[Tees]=E1189), 0),
  MATCH(G1189, CourseRatings[[#Headers],[Hole 1]:[Hole 18]], 0)
),"")</f>
        <v>4</v>
      </c>
      <c r="L1189" cm="1">
        <f t="array" ref="L1189">IFERROR(
  INDEX('Golf Log'!$E$2:$V$72,
    MATCH(1,
      ('Golf Log'!$A$2:$A$72=$A1189)*
      ('Golf Log'!$B$2:$B$72=$B1189)*
      ('Golf Log'!$C$2:$C$72=$C1189),
    0),
    MATCH($G1189,'Golf Log'!$E$1:$V$1,0)
  ),
"")</f>
        <v>4</v>
      </c>
      <c r="M1189">
        <f t="shared" si="81"/>
        <v>0</v>
      </c>
      <c r="N1189" t="str">
        <f t="shared" si="82"/>
        <v>Par</v>
      </c>
      <c r="O1189" cm="1">
        <f t="array" ref="O1189">IFERROR(
  INDEX('Putt Log'!$E$2:$V$72,
    MATCH(1,
      ('Putt Log'!$A$2:$A$72=$A1189)*
      ('Putt Log'!$B$2:$B$72=$B1189)*
      ('Putt Log'!$C$2:$C$72=$C1189),
    0),
    MATCH($G1189,'Putt Log'!$E$1:$V$1,0)
  ),
"")</f>
        <v>2</v>
      </c>
      <c r="P1189" cm="1">
        <f t="array" ref="P1189">IF(K1189=3,"",
  IFERROR(
    INDEX('Fairway Log'!$E$2:$V$72,
      MATCH(1,
        ('Fairway Log'!$A$2:$A$72=$A1189)*
        ('Fairway Log'!$B$2:$B$72=$B1189)*
        ('Fairway Log'!$C$2:$C1260=$C1189),
      0),
      MATCH($G1189,'Fairway Log'!$E$1:$V$1,0)
    ),
  "")
)</f>
        <v>1</v>
      </c>
      <c r="Q1189" cm="1">
        <f t="array" ref="Q1189">IFERROR(
  INDEX('GIR Log'!$E$2:$V$72,
    MATCH(1,
      ('GIR Log'!$A$2:$A$72=$A1189)*
      ('GIR Log'!$B$2:$B$72=$B1189)*
      ('GIR Log'!$C$2:$C$72=$C1189),
    0),
    MATCH($G1189,'GIR Log'!$E$1:$V$1,0)
  ),
"")</f>
        <v>1</v>
      </c>
    </row>
    <row r="1190" spans="1:17" x14ac:dyDescent="0.25">
      <c r="A1190" s="78" t="s">
        <v>130</v>
      </c>
      <c r="B1190" s="2">
        <v>45143</v>
      </c>
      <c r="C1190" s="78" t="s">
        <v>9</v>
      </c>
      <c r="D1190" s="78" t="s">
        <v>9</v>
      </c>
      <c r="E1190" s="78" t="s">
        <v>34</v>
      </c>
      <c r="F1190">
        <v>84</v>
      </c>
      <c r="G1190" s="12" t="s">
        <v>47</v>
      </c>
      <c r="H1190" s="9">
        <f t="shared" si="80"/>
        <v>1</v>
      </c>
      <c r="I1190" cm="1">
        <f t="array" ref="I1190">IFERROR(INDEX(CourseYardages[[Hole 1]:[Hole 18]],
  MATCH(1, (CourseYardages[Course]=C1190)*(CourseYardages[Tees]=E1190), 0),
  MATCH(G1190, CourseYardages[[#Headers],[Hole 1]:[Hole 18]], 0)
),"")</f>
        <v>393</v>
      </c>
      <c r="J1190" cm="1">
        <f t="array" ref="J1190">IFERROR(INDEX(CourseHandicap[[Hole 1]:[Hole 18]],
  MATCH(1, (CourseHandicap[Course]=C1190)*(CourseHandicap[Tees]=E1190), 0),
  MATCH(G1190, CourseHandicap[[#Headers],[Hole 1]:[Hole 18]], 0)
),"")</f>
        <v>2</v>
      </c>
      <c r="K1190" cm="1">
        <f t="array" ref="K1190">IFERROR(INDEX(CourseRatings[[Hole 1]:[Hole 18]],
  MATCH(1, (CourseRatings[Course]=C1190)*(CourseRatings[Tees]=E1190), 0),
  MATCH(G1190, CourseRatings[[#Headers],[Hole 1]:[Hole 18]], 0)
),"")</f>
        <v>4</v>
      </c>
      <c r="L1190" cm="1">
        <f t="array" ref="L1190">IFERROR(
  INDEX('Golf Log'!$E$2:$V$72,
    MATCH(1,
      ('Golf Log'!$A$2:$A$72=$A1190)*
      ('Golf Log'!$B$2:$B$72=$B1190)*
      ('Golf Log'!$C$2:$C$72=$C1190),
    0),
    MATCH($G1190,'Golf Log'!$E$1:$V$1,0)
  ),
"")</f>
        <v>5</v>
      </c>
      <c r="M1190">
        <f t="shared" si="81"/>
        <v>1</v>
      </c>
      <c r="N1190" t="str">
        <f t="shared" si="82"/>
        <v>Bogey</v>
      </c>
      <c r="O1190" cm="1">
        <f t="array" ref="O1190">IFERROR(
  INDEX('Putt Log'!$E$2:$V$72,
    MATCH(1,
      ('Putt Log'!$A$2:$A$72=$A1190)*
      ('Putt Log'!$B$2:$B$72=$B1190)*
      ('Putt Log'!$C$2:$C$72=$C1190),
    0),
    MATCH($G1190,'Putt Log'!$E$1:$V$1,0)
  ),
"")</f>
        <v>3</v>
      </c>
      <c r="P1190" t="str" cm="1">
        <f t="array" ref="P1190">IF(K1190=3,"",
  IFERROR(
    INDEX('Fairway Log'!$E$2:$V$72,
      MATCH(1,
        ('Fairway Log'!$A$2:$A$72=$A1190)*
        ('Fairway Log'!$B$2:$B$72=$B1190)*
        ('Fairway Log'!$C$2:$C1261=$C1190),
      0),
      MATCH($G1190,'Fairway Log'!$E$1:$V$1,0)
    ),
  "")
)</f>
        <v>↑</v>
      </c>
      <c r="Q1190" cm="1">
        <f t="array" ref="Q1190">IFERROR(
  INDEX('GIR Log'!$E$2:$V$72,
    MATCH(1,
      ('GIR Log'!$A$2:$A$72=$A1190)*
      ('GIR Log'!$B$2:$B$72=$B1190)*
      ('GIR Log'!$C$2:$C$72=$C1190),
    0),
    MATCH($G1190,'GIR Log'!$E$1:$V$1,0)
  ),
"")</f>
        <v>1</v>
      </c>
    </row>
    <row r="1191" spans="1:17" x14ac:dyDescent="0.25">
      <c r="A1191" s="78" t="s">
        <v>130</v>
      </c>
      <c r="B1191" s="2">
        <v>45143</v>
      </c>
      <c r="C1191" s="78" t="s">
        <v>9</v>
      </c>
      <c r="D1191" s="78" t="s">
        <v>9</v>
      </c>
      <c r="E1191" s="78" t="s">
        <v>34</v>
      </c>
      <c r="F1191">
        <v>84</v>
      </c>
      <c r="G1191" s="12" t="s">
        <v>48</v>
      </c>
      <c r="H1191" s="9">
        <f t="shared" si="80"/>
        <v>2</v>
      </c>
      <c r="I1191" cm="1">
        <f t="array" ref="I1191">IFERROR(INDEX(CourseYardages[[Hole 1]:[Hole 18]],
  MATCH(1, (CourseYardages[Course]=C1191)*(CourseYardages[Tees]=E1191), 0),
  MATCH(G1191, CourseYardages[[#Headers],[Hole 1]:[Hole 18]], 0)
),"")</f>
        <v>398</v>
      </c>
      <c r="J1191" cm="1">
        <f t="array" ref="J1191">IFERROR(INDEX(CourseHandicap[[Hole 1]:[Hole 18]],
  MATCH(1, (CourseHandicap[Course]=C1191)*(CourseHandicap[Tees]=E1191), 0),
  MATCH(G1191, CourseHandicap[[#Headers],[Hole 1]:[Hole 18]], 0)
),"")</f>
        <v>4</v>
      </c>
      <c r="K1191" cm="1">
        <f t="array" ref="K1191">IFERROR(INDEX(CourseRatings[[Hole 1]:[Hole 18]],
  MATCH(1, (CourseRatings[Course]=C1191)*(CourseRatings[Tees]=E1191), 0),
  MATCH(G1191, CourseRatings[[#Headers],[Hole 1]:[Hole 18]], 0)
),"")</f>
        <v>4</v>
      </c>
      <c r="L1191" cm="1">
        <f t="array" ref="L1191">IFERROR(
  INDEX('Golf Log'!$E$2:$V$72,
    MATCH(1,
      ('Golf Log'!$A$2:$A$72=$A1191)*
      ('Golf Log'!$B$2:$B$72=$B1191)*
      ('Golf Log'!$C$2:$C$72=$C1191),
    0),
    MATCH($G1191,'Golf Log'!$E$1:$V$1,0)
  ),
"")</f>
        <v>6</v>
      </c>
      <c r="M1191">
        <f t="shared" si="81"/>
        <v>2</v>
      </c>
      <c r="N1191" t="str">
        <f t="shared" si="82"/>
        <v>Double Bogey</v>
      </c>
      <c r="O1191" cm="1">
        <f t="array" ref="O1191">IFERROR(
  INDEX('Putt Log'!$E$2:$V$72,
    MATCH(1,
      ('Putt Log'!$A$2:$A$72=$A1191)*
      ('Putt Log'!$B$2:$B$72=$B1191)*
      ('Putt Log'!$C$2:$C$72=$C1191),
    0),
    MATCH($G1191,'Putt Log'!$E$1:$V$1,0)
  ),
"")</f>
        <v>3</v>
      </c>
      <c r="P1191" t="str" cm="1">
        <f t="array" ref="P1191">IF(K1191=3,"",
  IFERROR(
    INDEX('Fairway Log'!$E$2:$V$72,
      MATCH(1,
        ('Fairway Log'!$A$2:$A$72=$A1191)*
        ('Fairway Log'!$B$2:$B$72=$B1191)*
        ('Fairway Log'!$C$2:$C1262=$C1191),
      0),
      MATCH($G1191,'Fairway Log'!$E$1:$V$1,0)
    ),
  "")
)</f>
        <v>↓</v>
      </c>
      <c r="Q1191" cm="1">
        <f t="array" ref="Q1191">IFERROR(
  INDEX('GIR Log'!$E$2:$V$72,
    MATCH(1,
      ('GIR Log'!$A$2:$A$72=$A1191)*
      ('GIR Log'!$B$2:$B$72=$B1191)*
      ('GIR Log'!$C$2:$C$72=$C1191),
    0),
    MATCH($G1191,'GIR Log'!$E$1:$V$1,0)
  ),
"")</f>
        <v>0</v>
      </c>
    </row>
    <row r="1192" spans="1:17" x14ac:dyDescent="0.25">
      <c r="A1192" s="78" t="s">
        <v>130</v>
      </c>
      <c r="B1192" s="2">
        <v>45143</v>
      </c>
      <c r="C1192" s="78" t="s">
        <v>9</v>
      </c>
      <c r="D1192" s="78" t="s">
        <v>9</v>
      </c>
      <c r="E1192" s="78" t="s">
        <v>34</v>
      </c>
      <c r="F1192">
        <v>84</v>
      </c>
      <c r="G1192" s="12" t="s">
        <v>49</v>
      </c>
      <c r="H1192" s="9">
        <f t="shared" si="80"/>
        <v>3</v>
      </c>
      <c r="I1192" cm="1">
        <f t="array" ref="I1192">IFERROR(INDEX(CourseYardages[[Hole 1]:[Hole 18]],
  MATCH(1, (CourseYardages[Course]=C1192)*(CourseYardages[Tees]=E1192), 0),
  MATCH(G1192, CourseYardages[[#Headers],[Hole 1]:[Hole 18]], 0)
),"")</f>
        <v>390</v>
      </c>
      <c r="J1192" cm="1">
        <f t="array" ref="J1192">IFERROR(INDEX(CourseHandicap[[Hole 1]:[Hole 18]],
  MATCH(1, (CourseHandicap[Course]=C1192)*(CourseHandicap[Tees]=E1192), 0),
  MATCH(G1192, CourseHandicap[[#Headers],[Hole 1]:[Hole 18]], 0)
),"")</f>
        <v>6</v>
      </c>
      <c r="K1192" cm="1">
        <f t="array" ref="K1192">IFERROR(INDEX(CourseRatings[[Hole 1]:[Hole 18]],
  MATCH(1, (CourseRatings[Course]=C1192)*(CourseRatings[Tees]=E1192), 0),
  MATCH(G1192, CourseRatings[[#Headers],[Hole 1]:[Hole 18]], 0)
),"")</f>
        <v>4</v>
      </c>
      <c r="L1192" cm="1">
        <f t="array" ref="L1192">IFERROR(
  INDEX('Golf Log'!$E$2:$V$72,
    MATCH(1,
      ('Golf Log'!$A$2:$A$72=$A1192)*
      ('Golf Log'!$B$2:$B$72=$B1192)*
      ('Golf Log'!$C$2:$C$72=$C1192),
    0),
    MATCH($G1192,'Golf Log'!$E$1:$V$1,0)
  ),
"")</f>
        <v>4</v>
      </c>
      <c r="M1192">
        <f t="shared" si="81"/>
        <v>0</v>
      </c>
      <c r="N1192" t="str">
        <f t="shared" si="82"/>
        <v>Par</v>
      </c>
      <c r="O1192" cm="1">
        <f t="array" ref="O1192">IFERROR(
  INDEX('Putt Log'!$E$2:$V$72,
    MATCH(1,
      ('Putt Log'!$A$2:$A$72=$A1192)*
      ('Putt Log'!$B$2:$B$72=$B1192)*
      ('Putt Log'!$C$2:$C$72=$C1192),
    0),
    MATCH($G1192,'Putt Log'!$E$1:$V$1,0)
  ),
"")</f>
        <v>2</v>
      </c>
      <c r="P1192" cm="1">
        <f t="array" ref="P1192">IF(K1192=3,"",
  IFERROR(
    INDEX('Fairway Log'!$E$2:$V$72,
      MATCH(1,
        ('Fairway Log'!$A$2:$A$72=$A1192)*
        ('Fairway Log'!$B$2:$B$72=$B1192)*
        ('Fairway Log'!$C$2:$C1263=$C1192),
      0),
      MATCH($G1192,'Fairway Log'!$E$1:$V$1,0)
    ),
  "")
)</f>
        <v>0</v>
      </c>
      <c r="Q1192" cm="1">
        <f t="array" ref="Q1192">IFERROR(
  INDEX('GIR Log'!$E$2:$V$72,
    MATCH(1,
      ('GIR Log'!$A$2:$A$72=$A1192)*
      ('GIR Log'!$B$2:$B$72=$B1192)*
      ('GIR Log'!$C$2:$C$72=$C1192),
    0),
    MATCH($G1192,'GIR Log'!$E$1:$V$1,0)
  ),
"")</f>
        <v>1</v>
      </c>
    </row>
    <row r="1193" spans="1:17" x14ac:dyDescent="0.25">
      <c r="A1193" s="78" t="s">
        <v>130</v>
      </c>
      <c r="B1193" s="2">
        <v>45143</v>
      </c>
      <c r="C1193" s="78" t="s">
        <v>9</v>
      </c>
      <c r="D1193" s="78" t="s">
        <v>9</v>
      </c>
      <c r="E1193" s="78" t="s">
        <v>34</v>
      </c>
      <c r="F1193">
        <v>84</v>
      </c>
      <c r="G1193" s="12" t="s">
        <v>50</v>
      </c>
      <c r="H1193" s="9">
        <f t="shared" si="80"/>
        <v>4</v>
      </c>
      <c r="I1193" cm="1">
        <f t="array" ref="I1193">IFERROR(INDEX(CourseYardages[[Hole 1]:[Hole 18]],
  MATCH(1, (CourseYardages[Course]=C1193)*(CourseYardages[Tees]=E1193), 0),
  MATCH(G1193, CourseYardages[[#Headers],[Hole 1]:[Hole 18]], 0)
),"")</f>
        <v>166</v>
      </c>
      <c r="J1193" cm="1">
        <f t="array" ref="J1193">IFERROR(INDEX(CourseHandicap[[Hole 1]:[Hole 18]],
  MATCH(1, (CourseHandicap[Course]=C1193)*(CourseHandicap[Tees]=E1193), 0),
  MATCH(G1193, CourseHandicap[[#Headers],[Hole 1]:[Hole 18]], 0)
),"")</f>
        <v>14</v>
      </c>
      <c r="K1193" cm="1">
        <f t="array" ref="K1193">IFERROR(INDEX(CourseRatings[[Hole 1]:[Hole 18]],
  MATCH(1, (CourseRatings[Course]=C1193)*(CourseRatings[Tees]=E1193), 0),
  MATCH(G1193, CourseRatings[[#Headers],[Hole 1]:[Hole 18]], 0)
),"")</f>
        <v>3</v>
      </c>
      <c r="L1193" cm="1">
        <f t="array" ref="L1193">IFERROR(
  INDEX('Golf Log'!$E$2:$V$72,
    MATCH(1,
      ('Golf Log'!$A$2:$A$72=$A1193)*
      ('Golf Log'!$B$2:$B$72=$B1193)*
      ('Golf Log'!$C$2:$C$72=$C1193),
    0),
    MATCH($G1193,'Golf Log'!$E$1:$V$1,0)
  ),
"")</f>
        <v>3</v>
      </c>
      <c r="M1193">
        <f t="shared" si="81"/>
        <v>0</v>
      </c>
      <c r="N1193" t="str">
        <f t="shared" si="82"/>
        <v>Par</v>
      </c>
      <c r="O1193" cm="1">
        <f t="array" ref="O1193">IFERROR(
  INDEX('Putt Log'!$E$2:$V$72,
    MATCH(1,
      ('Putt Log'!$A$2:$A$72=$A1193)*
      ('Putt Log'!$B$2:$B$72=$B1193)*
      ('Putt Log'!$C$2:$C$72=$C1193),
    0),
    MATCH($G1193,'Putt Log'!$E$1:$V$1,0)
  ),
"")</f>
        <v>1</v>
      </c>
      <c r="P1193" t="str" cm="1">
        <f t="array" ref="P1193">IF(K1193=3,"",
  IFERROR(
    INDEX('Fairway Log'!$E$2:$V$72,
      MATCH(1,
        ('Fairway Log'!$A$2:$A$72=$A1193)*
        ('Fairway Log'!$B$2:$B$72=$B1193)*
        ('Fairway Log'!$C$2:$C1264=$C1193),
      0),
      MATCH($G1193,'Fairway Log'!$E$1:$V$1,0)
    ),
  "")
)</f>
        <v/>
      </c>
      <c r="Q1193" cm="1">
        <f t="array" ref="Q1193">IFERROR(
  INDEX('GIR Log'!$E$2:$V$72,
    MATCH(1,
      ('GIR Log'!$A$2:$A$72=$A1193)*
      ('GIR Log'!$B$2:$B$72=$B1193)*
      ('GIR Log'!$C$2:$C$72=$C1193),
    0),
    MATCH($G1193,'GIR Log'!$E$1:$V$1,0)
  ),
"")</f>
        <v>0</v>
      </c>
    </row>
    <row r="1194" spans="1:17" x14ac:dyDescent="0.25">
      <c r="A1194" s="78" t="s">
        <v>130</v>
      </c>
      <c r="B1194" s="2">
        <v>45143</v>
      </c>
      <c r="C1194" s="78" t="s">
        <v>9</v>
      </c>
      <c r="D1194" s="78" t="s">
        <v>9</v>
      </c>
      <c r="E1194" s="78" t="s">
        <v>34</v>
      </c>
      <c r="F1194">
        <v>84</v>
      </c>
      <c r="G1194" s="12" t="s">
        <v>51</v>
      </c>
      <c r="H1194" s="9">
        <f t="shared" si="80"/>
        <v>5</v>
      </c>
      <c r="I1194" cm="1">
        <f t="array" ref="I1194">IFERROR(INDEX(CourseYardages[[Hole 1]:[Hole 18]],
  MATCH(1, (CourseYardages[Course]=C1194)*(CourseYardages[Tees]=E1194), 0),
  MATCH(G1194, CourseYardages[[#Headers],[Hole 1]:[Hole 18]], 0)
),"")</f>
        <v>347</v>
      </c>
      <c r="J1194" cm="1">
        <f t="array" ref="J1194">IFERROR(INDEX(CourseHandicap[[Hole 1]:[Hole 18]],
  MATCH(1, (CourseHandicap[Course]=C1194)*(CourseHandicap[Tees]=E1194), 0),
  MATCH(G1194, CourseHandicap[[#Headers],[Hole 1]:[Hole 18]], 0)
),"")</f>
        <v>10</v>
      </c>
      <c r="K1194" cm="1">
        <f t="array" ref="K1194">IFERROR(INDEX(CourseRatings[[Hole 1]:[Hole 18]],
  MATCH(1, (CourseRatings[Course]=C1194)*(CourseRatings[Tees]=E1194), 0),
  MATCH(G1194, CourseRatings[[#Headers],[Hole 1]:[Hole 18]], 0)
),"")</f>
        <v>4</v>
      </c>
      <c r="L1194" cm="1">
        <f t="array" ref="L1194">IFERROR(
  INDEX('Golf Log'!$E$2:$V$72,
    MATCH(1,
      ('Golf Log'!$A$2:$A$72=$A1194)*
      ('Golf Log'!$B$2:$B$72=$B1194)*
      ('Golf Log'!$C$2:$C$72=$C1194),
    0),
    MATCH($G1194,'Golf Log'!$E$1:$V$1,0)
  ),
"")</f>
        <v>5</v>
      </c>
      <c r="M1194">
        <f t="shared" si="81"/>
        <v>1</v>
      </c>
      <c r="N1194" t="str">
        <f t="shared" si="82"/>
        <v>Bogey</v>
      </c>
      <c r="O1194" cm="1">
        <f t="array" ref="O1194">IFERROR(
  INDEX('Putt Log'!$E$2:$V$72,
    MATCH(1,
      ('Putt Log'!$A$2:$A$72=$A1194)*
      ('Putt Log'!$B$2:$B$72=$B1194)*
      ('Putt Log'!$C$2:$C$72=$C1194),
    0),
    MATCH($G1194,'Putt Log'!$E$1:$V$1,0)
  ),
"")</f>
        <v>3</v>
      </c>
      <c r="P1194" t="str" cm="1">
        <f t="array" ref="P1194">IF(K1194=3,"",
  IFERROR(
    INDEX('Fairway Log'!$E$2:$V$72,
      MATCH(1,
        ('Fairway Log'!$A$2:$A$72=$A1194)*
        ('Fairway Log'!$B$2:$B$72=$B1194)*
        ('Fairway Log'!$C$2:$C1265=$C1194),
      0),
      MATCH($G1194,'Fairway Log'!$E$1:$V$1,0)
    ),
  "")
)</f>
        <v>→</v>
      </c>
      <c r="Q1194" cm="1">
        <f t="array" ref="Q1194">IFERROR(
  INDEX('GIR Log'!$E$2:$V$72,
    MATCH(1,
      ('GIR Log'!$A$2:$A$72=$A1194)*
      ('GIR Log'!$B$2:$B$72=$B1194)*
      ('GIR Log'!$C$2:$C$72=$C1194),
    0),
    MATCH($G1194,'GIR Log'!$E$1:$V$1,0)
  ),
"")</f>
        <v>1</v>
      </c>
    </row>
    <row r="1195" spans="1:17" x14ac:dyDescent="0.25">
      <c r="A1195" s="78" t="s">
        <v>130</v>
      </c>
      <c r="B1195" s="2">
        <v>45143</v>
      </c>
      <c r="C1195" s="78" t="s">
        <v>9</v>
      </c>
      <c r="D1195" s="78" t="s">
        <v>9</v>
      </c>
      <c r="E1195" s="78" t="s">
        <v>34</v>
      </c>
      <c r="F1195">
        <v>84</v>
      </c>
      <c r="G1195" s="12" t="s">
        <v>52</v>
      </c>
      <c r="H1195" s="9">
        <f t="shared" si="80"/>
        <v>6</v>
      </c>
      <c r="I1195" cm="1">
        <f t="array" ref="I1195">IFERROR(INDEX(CourseYardages[[Hole 1]:[Hole 18]],
  MATCH(1, (CourseYardages[Course]=C1195)*(CourseYardages[Tees]=E1195), 0),
  MATCH(G1195, CourseYardages[[#Headers],[Hole 1]:[Hole 18]], 0)
),"")</f>
        <v>487</v>
      </c>
      <c r="J1195" cm="1">
        <f t="array" ref="J1195">IFERROR(INDEX(CourseHandicap[[Hole 1]:[Hole 18]],
  MATCH(1, (CourseHandicap[Course]=C1195)*(CourseHandicap[Tees]=E1195), 0),
  MATCH(G1195, CourseHandicap[[#Headers],[Hole 1]:[Hole 18]], 0)
),"")</f>
        <v>8</v>
      </c>
      <c r="K1195" cm="1">
        <f t="array" ref="K1195">IFERROR(INDEX(CourseRatings[[Hole 1]:[Hole 18]],
  MATCH(1, (CourseRatings[Course]=C1195)*(CourseRatings[Tees]=E1195), 0),
  MATCH(G1195, CourseRatings[[#Headers],[Hole 1]:[Hole 18]], 0)
),"")</f>
        <v>5</v>
      </c>
      <c r="L1195" cm="1">
        <f t="array" ref="L1195">IFERROR(
  INDEX('Golf Log'!$E$2:$V$72,
    MATCH(1,
      ('Golf Log'!$A$2:$A$72=$A1195)*
      ('Golf Log'!$B$2:$B$72=$B1195)*
      ('Golf Log'!$C$2:$C$72=$C1195),
    0),
    MATCH($G1195,'Golf Log'!$E$1:$V$1,0)
  ),
"")</f>
        <v>5</v>
      </c>
      <c r="M1195">
        <f t="shared" si="81"/>
        <v>0</v>
      </c>
      <c r="N1195" t="str">
        <f t="shared" si="82"/>
        <v>Par</v>
      </c>
      <c r="O1195" cm="1">
        <f t="array" ref="O1195">IFERROR(
  INDEX('Putt Log'!$E$2:$V$72,
    MATCH(1,
      ('Putt Log'!$A$2:$A$72=$A1195)*
      ('Putt Log'!$B$2:$B$72=$B1195)*
      ('Putt Log'!$C$2:$C$72=$C1195),
    0),
    MATCH($G1195,'Putt Log'!$E$1:$V$1,0)
  ),
"")</f>
        <v>2</v>
      </c>
      <c r="P1195" cm="1">
        <f t="array" ref="P1195">IF(K1195=3,"",
  IFERROR(
    INDEX('Fairway Log'!$E$2:$V$72,
      MATCH(1,
        ('Fairway Log'!$A$2:$A$72=$A1195)*
        ('Fairway Log'!$B$2:$B$72=$B1195)*
        ('Fairway Log'!$C$2:$C1266=$C1195),
      0),
      MATCH($G1195,'Fairway Log'!$E$1:$V$1,0)
    ),
  "")
)</f>
        <v>1</v>
      </c>
      <c r="Q1195" cm="1">
        <f t="array" ref="Q1195">IFERROR(
  INDEX('GIR Log'!$E$2:$V$72,
    MATCH(1,
      ('GIR Log'!$A$2:$A$72=$A1195)*
      ('GIR Log'!$B$2:$B$72=$B1195)*
      ('GIR Log'!$C$2:$C$72=$C1195),
    0),
    MATCH($G1195,'GIR Log'!$E$1:$V$1,0)
  ),
"")</f>
        <v>1</v>
      </c>
    </row>
    <row r="1196" spans="1:17" x14ac:dyDescent="0.25">
      <c r="A1196" s="78" t="s">
        <v>130</v>
      </c>
      <c r="B1196" s="2">
        <v>45143</v>
      </c>
      <c r="C1196" s="78" t="s">
        <v>9</v>
      </c>
      <c r="D1196" s="78" t="s">
        <v>9</v>
      </c>
      <c r="E1196" s="78" t="s">
        <v>34</v>
      </c>
      <c r="F1196">
        <v>84</v>
      </c>
      <c r="G1196" s="12" t="s">
        <v>53</v>
      </c>
      <c r="H1196" s="9">
        <f t="shared" si="80"/>
        <v>7</v>
      </c>
      <c r="I1196" cm="1">
        <f t="array" ref="I1196">IFERROR(INDEX(CourseYardages[[Hole 1]:[Hole 18]],
  MATCH(1, (CourseYardages[Course]=C1196)*(CourseYardages[Tees]=E1196), 0),
  MATCH(G1196, CourseYardages[[#Headers],[Hole 1]:[Hole 18]], 0)
),"")</f>
        <v>174</v>
      </c>
      <c r="J1196" cm="1">
        <f t="array" ref="J1196">IFERROR(INDEX(CourseHandicap[[Hole 1]:[Hole 18]],
  MATCH(1, (CourseHandicap[Course]=C1196)*(CourseHandicap[Tees]=E1196), 0),
  MATCH(G1196, CourseHandicap[[#Headers],[Hole 1]:[Hole 18]], 0)
),"")</f>
        <v>16</v>
      </c>
      <c r="K1196" cm="1">
        <f t="array" ref="K1196">IFERROR(INDEX(CourseRatings[[Hole 1]:[Hole 18]],
  MATCH(1, (CourseRatings[Course]=C1196)*(CourseRatings[Tees]=E1196), 0),
  MATCH(G1196, CourseRatings[[#Headers],[Hole 1]:[Hole 18]], 0)
),"")</f>
        <v>3</v>
      </c>
      <c r="L1196" cm="1">
        <f t="array" ref="L1196">IFERROR(
  INDEX('Golf Log'!$E$2:$V$72,
    MATCH(1,
      ('Golf Log'!$A$2:$A$72=$A1196)*
      ('Golf Log'!$B$2:$B$72=$B1196)*
      ('Golf Log'!$C$2:$C$72=$C1196),
    0),
    MATCH($G1196,'Golf Log'!$E$1:$V$1,0)
  ),
"")</f>
        <v>3</v>
      </c>
      <c r="M1196">
        <f t="shared" si="81"/>
        <v>0</v>
      </c>
      <c r="N1196" t="str">
        <f t="shared" si="82"/>
        <v>Par</v>
      </c>
      <c r="O1196" cm="1">
        <f t="array" ref="O1196">IFERROR(
  INDEX('Putt Log'!$E$2:$V$72,
    MATCH(1,
      ('Putt Log'!$A$2:$A$72=$A1196)*
      ('Putt Log'!$B$2:$B$72=$B1196)*
      ('Putt Log'!$C$2:$C$72=$C1196),
    0),
    MATCH($G1196,'Putt Log'!$E$1:$V$1,0)
  ),
"")</f>
        <v>2</v>
      </c>
      <c r="P1196" t="str" cm="1">
        <f t="array" ref="P1196">IF(K1196=3,"",
  IFERROR(
    INDEX('Fairway Log'!$E$2:$V$72,
      MATCH(1,
        ('Fairway Log'!$A$2:$A$72=$A1196)*
        ('Fairway Log'!$B$2:$B$72=$B1196)*
        ('Fairway Log'!$C$2:$C1267=$C1196),
      0),
      MATCH($G1196,'Fairway Log'!$E$1:$V$1,0)
    ),
  "")
)</f>
        <v/>
      </c>
      <c r="Q1196" cm="1">
        <f t="array" ref="Q1196">IFERROR(
  INDEX('GIR Log'!$E$2:$V$72,
    MATCH(1,
      ('GIR Log'!$A$2:$A$72=$A1196)*
      ('GIR Log'!$B$2:$B$72=$B1196)*
      ('GIR Log'!$C$2:$C$72=$C1196),
    0),
    MATCH($G1196,'GIR Log'!$E$1:$V$1,0)
  ),
"")</f>
        <v>1</v>
      </c>
    </row>
    <row r="1197" spans="1:17" x14ac:dyDescent="0.25">
      <c r="A1197" s="78" t="s">
        <v>130</v>
      </c>
      <c r="B1197" s="2">
        <v>45143</v>
      </c>
      <c r="C1197" s="78" t="s">
        <v>9</v>
      </c>
      <c r="D1197" s="78" t="s">
        <v>9</v>
      </c>
      <c r="E1197" s="78" t="s">
        <v>34</v>
      </c>
      <c r="F1197">
        <v>84</v>
      </c>
      <c r="G1197" s="12" t="s">
        <v>54</v>
      </c>
      <c r="H1197" s="9">
        <f t="shared" si="80"/>
        <v>8</v>
      </c>
      <c r="I1197" cm="1">
        <f t="array" ref="I1197">IFERROR(INDEX(CourseYardages[[Hole 1]:[Hole 18]],
  MATCH(1, (CourseYardages[Course]=C1197)*(CourseYardages[Tees]=E1197), 0),
  MATCH(G1197, CourseYardages[[#Headers],[Hole 1]:[Hole 18]], 0)
),"")</f>
        <v>360</v>
      </c>
      <c r="J1197" cm="1">
        <f t="array" ref="J1197">IFERROR(INDEX(CourseHandicap[[Hole 1]:[Hole 18]],
  MATCH(1, (CourseHandicap[Course]=C1197)*(CourseHandicap[Tees]=E1197), 0),
  MATCH(G1197, CourseHandicap[[#Headers],[Hole 1]:[Hole 18]], 0)
),"")</f>
        <v>12</v>
      </c>
      <c r="K1197" cm="1">
        <f t="array" ref="K1197">IFERROR(INDEX(CourseRatings[[Hole 1]:[Hole 18]],
  MATCH(1, (CourseRatings[Course]=C1197)*(CourseRatings[Tees]=E1197), 0),
  MATCH(G1197, CourseRatings[[#Headers],[Hole 1]:[Hole 18]], 0)
),"")</f>
        <v>4</v>
      </c>
      <c r="L1197" cm="1">
        <f t="array" ref="L1197">IFERROR(
  INDEX('Golf Log'!$E$2:$V$72,
    MATCH(1,
      ('Golf Log'!$A$2:$A$72=$A1197)*
      ('Golf Log'!$B$2:$B$72=$B1197)*
      ('Golf Log'!$C$2:$C$72=$C1197),
    0),
    MATCH($G1197,'Golf Log'!$E$1:$V$1,0)
  ),
"")</f>
        <v>4</v>
      </c>
      <c r="M1197">
        <f t="shared" si="81"/>
        <v>0</v>
      </c>
      <c r="N1197" t="str">
        <f t="shared" si="82"/>
        <v>Par</v>
      </c>
      <c r="O1197" cm="1">
        <f t="array" ref="O1197">IFERROR(
  INDEX('Putt Log'!$E$2:$V$72,
    MATCH(1,
      ('Putt Log'!$A$2:$A$72=$A1197)*
      ('Putt Log'!$B$2:$B$72=$B1197)*
      ('Putt Log'!$C$2:$C$72=$C1197),
    0),
    MATCH($G1197,'Putt Log'!$E$1:$V$1,0)
  ),
"")</f>
        <v>2</v>
      </c>
      <c r="P1197" t="str" cm="1">
        <f t="array" ref="P1197">IF(K1197=3,"",
  IFERROR(
    INDEX('Fairway Log'!$E$2:$V$72,
      MATCH(1,
        ('Fairway Log'!$A$2:$A$72=$A1197)*
        ('Fairway Log'!$B$2:$B$72=$B1197)*
        ('Fairway Log'!$C$2:$C1268=$C1197),
      0),
      MATCH($G1197,'Fairway Log'!$E$1:$V$1,0)
    ),
  "")
)</f>
        <v>→</v>
      </c>
      <c r="Q1197" cm="1">
        <f t="array" ref="Q1197">IFERROR(
  INDEX('GIR Log'!$E$2:$V$72,
    MATCH(1,
      ('GIR Log'!$A$2:$A$72=$A1197)*
      ('GIR Log'!$B$2:$B$72=$B1197)*
      ('GIR Log'!$C$2:$C$72=$C1197),
    0),
    MATCH($G1197,'GIR Log'!$E$1:$V$1,0)
  ),
"")</f>
        <v>1</v>
      </c>
    </row>
    <row r="1198" spans="1:17" x14ac:dyDescent="0.25">
      <c r="A1198" s="78" t="s">
        <v>130</v>
      </c>
      <c r="B1198" s="2">
        <v>45143</v>
      </c>
      <c r="C1198" s="78" t="s">
        <v>9</v>
      </c>
      <c r="D1198" s="78" t="s">
        <v>9</v>
      </c>
      <c r="E1198" s="78" t="s">
        <v>34</v>
      </c>
      <c r="F1198">
        <v>84</v>
      </c>
      <c r="G1198" s="12" t="s">
        <v>55</v>
      </c>
      <c r="H1198" s="9">
        <f t="shared" si="80"/>
        <v>9</v>
      </c>
      <c r="I1198" cm="1">
        <f t="array" ref="I1198">IFERROR(INDEX(CourseYardages[[Hole 1]:[Hole 18]],
  MATCH(1, (CourseYardages[Course]=C1198)*(CourseYardages[Tees]=E1198), 0),
  MATCH(G1198, CourseYardages[[#Headers],[Hole 1]:[Hole 18]], 0)
),"")</f>
        <v>386</v>
      </c>
      <c r="J1198" cm="1">
        <f t="array" ref="J1198">IFERROR(INDEX(CourseHandicap[[Hole 1]:[Hole 18]],
  MATCH(1, (CourseHandicap[Course]=C1198)*(CourseHandicap[Tees]=E1198), 0),
  MATCH(G1198, CourseHandicap[[#Headers],[Hole 1]:[Hole 18]], 0)
),"")</f>
        <v>18</v>
      </c>
      <c r="K1198" cm="1">
        <f t="array" ref="K1198">IFERROR(INDEX(CourseRatings[[Hole 1]:[Hole 18]],
  MATCH(1, (CourseRatings[Course]=C1198)*(CourseRatings[Tees]=E1198), 0),
  MATCH(G1198, CourseRatings[[#Headers],[Hole 1]:[Hole 18]], 0)
),"")</f>
        <v>4</v>
      </c>
      <c r="L1198" cm="1">
        <f t="array" ref="L1198">IFERROR(
  INDEX('Golf Log'!$E$2:$V$72,
    MATCH(1,
      ('Golf Log'!$A$2:$A$72=$A1198)*
      ('Golf Log'!$B$2:$B$72=$B1198)*
      ('Golf Log'!$C$2:$C$72=$C1198),
    0),
    MATCH($G1198,'Golf Log'!$E$1:$V$1,0)
  ),
"")</f>
        <v>5</v>
      </c>
      <c r="M1198">
        <f t="shared" si="81"/>
        <v>1</v>
      </c>
      <c r="N1198" t="str">
        <f t="shared" si="82"/>
        <v>Bogey</v>
      </c>
      <c r="O1198" cm="1">
        <f t="array" ref="O1198">IFERROR(
  INDEX('Putt Log'!$E$2:$V$72,
    MATCH(1,
      ('Putt Log'!$A$2:$A$72=$A1198)*
      ('Putt Log'!$B$2:$B$72=$B1198)*
      ('Putt Log'!$C$2:$C$72=$C1198),
    0),
    MATCH($G1198,'Putt Log'!$E$1:$V$1,0)
  ),
"")</f>
        <v>2</v>
      </c>
      <c r="P1198" cm="1">
        <f t="array" ref="P1198">IF(K1198=3,"",
  IFERROR(
    INDEX('Fairway Log'!$E$2:$V$72,
      MATCH(1,
        ('Fairway Log'!$A$2:$A$72=$A1198)*
        ('Fairway Log'!$B$2:$B$72=$B1198)*
        ('Fairway Log'!$C$2:$C1269=$C1198),
      0),
      MATCH($G1198,'Fairway Log'!$E$1:$V$1,0)
    ),
  "")
)</f>
        <v>1</v>
      </c>
      <c r="Q1198" cm="1">
        <f t="array" ref="Q1198">IFERROR(
  INDEX('GIR Log'!$E$2:$V$72,
    MATCH(1,
      ('GIR Log'!$A$2:$A$72=$A1198)*
      ('GIR Log'!$B$2:$B$72=$B1198)*
      ('GIR Log'!$C$2:$C$72=$C1198),
    0),
    MATCH($G1198,'GIR Log'!$E$1:$V$1,0)
  ),
"")</f>
        <v>0</v>
      </c>
    </row>
    <row r="1199" spans="1:17" x14ac:dyDescent="0.25">
      <c r="A1199" s="78" t="s">
        <v>130</v>
      </c>
      <c r="B1199" s="2">
        <v>45143</v>
      </c>
      <c r="C1199" s="78" t="s">
        <v>9</v>
      </c>
      <c r="D1199" s="78" t="s">
        <v>9</v>
      </c>
      <c r="E1199" s="78" t="s">
        <v>34</v>
      </c>
      <c r="F1199">
        <v>84</v>
      </c>
      <c r="G1199" s="12" t="s">
        <v>56</v>
      </c>
      <c r="H1199" s="9">
        <f t="shared" si="80"/>
        <v>10</v>
      </c>
      <c r="I1199" cm="1">
        <f t="array" ref="I1199">IFERROR(INDEX(CourseYardages[[Hole 1]:[Hole 18]],
  MATCH(1, (CourseYardages[Course]=C1199)*(CourseYardages[Tees]=E1199), 0),
  MATCH(G1199, CourseYardages[[#Headers],[Hole 1]:[Hole 18]], 0)
),"")</f>
        <v>524</v>
      </c>
      <c r="J1199" cm="1">
        <f t="array" ref="J1199">IFERROR(INDEX(CourseHandicap[[Hole 1]:[Hole 18]],
  MATCH(1, (CourseHandicap[Course]=C1199)*(CourseHandicap[Tees]=E1199), 0),
  MATCH(G1199, CourseHandicap[[#Headers],[Hole 1]:[Hole 18]], 0)
),"")</f>
        <v>3</v>
      </c>
      <c r="K1199" cm="1">
        <f t="array" ref="K1199">IFERROR(INDEX(CourseRatings[[Hole 1]:[Hole 18]],
  MATCH(1, (CourseRatings[Course]=C1199)*(CourseRatings[Tees]=E1199), 0),
  MATCH(G1199, CourseRatings[[#Headers],[Hole 1]:[Hole 18]], 0)
),"")</f>
        <v>5</v>
      </c>
      <c r="L1199" cm="1">
        <f t="array" ref="L1199">IFERROR(
  INDEX('Golf Log'!$E$2:$V$72,
    MATCH(1,
      ('Golf Log'!$A$2:$A$72=$A1199)*
      ('Golf Log'!$B$2:$B$72=$B1199)*
      ('Golf Log'!$C$2:$C$72=$C1199),
    0),
    MATCH($G1199,'Golf Log'!$E$1:$V$1,0)
  ),
"")</f>
        <v>7</v>
      </c>
      <c r="M1199">
        <f t="shared" si="81"/>
        <v>2</v>
      </c>
      <c r="N1199" t="str">
        <f t="shared" si="82"/>
        <v>Double Bogey</v>
      </c>
      <c r="O1199" cm="1">
        <f t="array" ref="O1199">IFERROR(
  INDEX('Putt Log'!$E$2:$V$72,
    MATCH(1,
      ('Putt Log'!$A$2:$A$72=$A1199)*
      ('Putt Log'!$B$2:$B$72=$B1199)*
      ('Putt Log'!$C$2:$C$72=$C1199),
    0),
    MATCH($G1199,'Putt Log'!$E$1:$V$1,0)
  ),
"")</f>
        <v>2</v>
      </c>
      <c r="P1199" t="str" cm="1">
        <f t="array" ref="P1199">IF(K1199=3,"",
  IFERROR(
    INDEX('Fairway Log'!$E$2:$V$72,
      MATCH(1,
        ('Fairway Log'!$A$2:$A$72=$A1199)*
        ('Fairway Log'!$B$2:$B$72=$B1199)*
        ('Fairway Log'!$C$2:$C1270=$C1199),
      0),
      MATCH($G1199,'Fairway Log'!$E$1:$V$1,0)
    ),
  "")
)</f>
        <v>←</v>
      </c>
      <c r="Q1199" cm="1">
        <f t="array" ref="Q1199">IFERROR(
  INDEX('GIR Log'!$E$2:$V$72,
    MATCH(1,
      ('GIR Log'!$A$2:$A$72=$A1199)*
      ('GIR Log'!$B$2:$B$72=$B1199)*
      ('GIR Log'!$C$2:$C$72=$C1199),
    0),
    MATCH($G1199,'GIR Log'!$E$1:$V$1,0)
  ),
"")</f>
        <v>0</v>
      </c>
    </row>
    <row r="1200" spans="1:17" x14ac:dyDescent="0.25">
      <c r="A1200" s="78" t="s">
        <v>130</v>
      </c>
      <c r="B1200" s="2">
        <v>45143</v>
      </c>
      <c r="C1200" s="78" t="s">
        <v>9</v>
      </c>
      <c r="D1200" s="78" t="s">
        <v>9</v>
      </c>
      <c r="E1200" s="78" t="s">
        <v>34</v>
      </c>
      <c r="F1200">
        <v>84</v>
      </c>
      <c r="G1200" s="12" t="s">
        <v>57</v>
      </c>
      <c r="H1200" s="9">
        <f t="shared" si="80"/>
        <v>11</v>
      </c>
      <c r="I1200" cm="1">
        <f t="array" ref="I1200">IFERROR(INDEX(CourseYardages[[Hole 1]:[Hole 18]],
  MATCH(1, (CourseYardages[Course]=C1200)*(CourseYardages[Tees]=E1200), 0),
  MATCH(G1200, CourseYardages[[#Headers],[Hole 1]:[Hole 18]], 0)
),"")</f>
        <v>188</v>
      </c>
      <c r="J1200" cm="1">
        <f t="array" ref="J1200">IFERROR(INDEX(CourseHandicap[[Hole 1]:[Hole 18]],
  MATCH(1, (CourseHandicap[Course]=C1200)*(CourseHandicap[Tees]=E1200), 0),
  MATCH(G1200, CourseHandicap[[#Headers],[Hole 1]:[Hole 18]], 0)
),"")</f>
        <v>11</v>
      </c>
      <c r="K1200" cm="1">
        <f t="array" ref="K1200">IFERROR(INDEX(CourseRatings[[Hole 1]:[Hole 18]],
  MATCH(1, (CourseRatings[Course]=C1200)*(CourseRatings[Tees]=E1200), 0),
  MATCH(G1200, CourseRatings[[#Headers],[Hole 1]:[Hole 18]], 0)
),"")</f>
        <v>3</v>
      </c>
      <c r="L1200" cm="1">
        <f t="array" ref="L1200">IFERROR(
  INDEX('Golf Log'!$E$2:$V$72,
    MATCH(1,
      ('Golf Log'!$A$2:$A$72=$A1200)*
      ('Golf Log'!$B$2:$B$72=$B1200)*
      ('Golf Log'!$C$2:$C$72=$C1200),
    0),
    MATCH($G1200,'Golf Log'!$E$1:$V$1,0)
  ),
"")</f>
        <v>4</v>
      </c>
      <c r="M1200">
        <f t="shared" si="81"/>
        <v>1</v>
      </c>
      <c r="N1200" t="str">
        <f t="shared" si="82"/>
        <v>Bogey</v>
      </c>
      <c r="O1200" cm="1">
        <f t="array" ref="O1200">IFERROR(
  INDEX('Putt Log'!$E$2:$V$72,
    MATCH(1,
      ('Putt Log'!$A$2:$A$72=$A1200)*
      ('Putt Log'!$B$2:$B$72=$B1200)*
      ('Putt Log'!$C$2:$C$72=$C1200),
    0),
    MATCH($G1200,'Putt Log'!$E$1:$V$1,0)
  ),
"")</f>
        <v>2</v>
      </c>
      <c r="P1200" t="str" cm="1">
        <f t="array" ref="P1200">IF(K1200=3,"",
  IFERROR(
    INDEX('Fairway Log'!$E$2:$V$72,
      MATCH(1,
        ('Fairway Log'!$A$2:$A$72=$A1200)*
        ('Fairway Log'!$B$2:$B$72=$B1200)*
        ('Fairway Log'!$C$2:$C1271=$C1200),
      0),
      MATCH($G1200,'Fairway Log'!$E$1:$V$1,0)
    ),
  "")
)</f>
        <v/>
      </c>
      <c r="Q1200" cm="1">
        <f t="array" ref="Q1200">IFERROR(
  INDEX('GIR Log'!$E$2:$V$72,
    MATCH(1,
      ('GIR Log'!$A$2:$A$72=$A1200)*
      ('GIR Log'!$B$2:$B$72=$B1200)*
      ('GIR Log'!$C$2:$C$72=$C1200),
    0),
    MATCH($G1200,'GIR Log'!$E$1:$V$1,0)
  ),
"")</f>
        <v>0</v>
      </c>
    </row>
    <row r="1201" spans="1:17" x14ac:dyDescent="0.25">
      <c r="A1201" s="78" t="s">
        <v>130</v>
      </c>
      <c r="B1201" s="2">
        <v>45143</v>
      </c>
      <c r="C1201" s="78" t="s">
        <v>9</v>
      </c>
      <c r="D1201" s="78" t="s">
        <v>9</v>
      </c>
      <c r="E1201" s="78" t="s">
        <v>34</v>
      </c>
      <c r="F1201">
        <v>84</v>
      </c>
      <c r="G1201" s="12" t="s">
        <v>58</v>
      </c>
      <c r="H1201" s="9">
        <f t="shared" si="80"/>
        <v>12</v>
      </c>
      <c r="I1201" cm="1">
        <f t="array" ref="I1201">IFERROR(INDEX(CourseYardages[[Hole 1]:[Hole 18]],
  MATCH(1, (CourseYardages[Course]=C1201)*(CourseYardages[Tees]=E1201), 0),
  MATCH(G1201, CourseYardages[[#Headers],[Hole 1]:[Hole 18]], 0)
),"")</f>
        <v>313</v>
      </c>
      <c r="J1201" cm="1">
        <f t="array" ref="J1201">IFERROR(INDEX(CourseHandicap[[Hole 1]:[Hole 18]],
  MATCH(1, (CourseHandicap[Course]=C1201)*(CourseHandicap[Tees]=E1201), 0),
  MATCH(G1201, CourseHandicap[[#Headers],[Hole 1]:[Hole 18]], 0)
),"")</f>
        <v>17</v>
      </c>
      <c r="K1201" cm="1">
        <f t="array" ref="K1201">IFERROR(INDEX(CourseRatings[[Hole 1]:[Hole 18]],
  MATCH(1, (CourseRatings[Course]=C1201)*(CourseRatings[Tees]=E1201), 0),
  MATCH(G1201, CourseRatings[[#Headers],[Hole 1]:[Hole 18]], 0)
),"")</f>
        <v>4</v>
      </c>
      <c r="L1201" cm="1">
        <f t="array" ref="L1201">IFERROR(
  INDEX('Golf Log'!$E$2:$V$72,
    MATCH(1,
      ('Golf Log'!$A$2:$A$72=$A1201)*
      ('Golf Log'!$B$2:$B$72=$B1201)*
      ('Golf Log'!$C$2:$C$72=$C1201),
    0),
    MATCH($G1201,'Golf Log'!$E$1:$V$1,0)
  ),
"")</f>
        <v>5</v>
      </c>
      <c r="M1201">
        <f t="shared" si="81"/>
        <v>1</v>
      </c>
      <c r="N1201" t="str">
        <f t="shared" si="82"/>
        <v>Bogey</v>
      </c>
      <c r="O1201" cm="1">
        <f t="array" ref="O1201">IFERROR(
  INDEX('Putt Log'!$E$2:$V$72,
    MATCH(1,
      ('Putt Log'!$A$2:$A$72=$A1201)*
      ('Putt Log'!$B$2:$B$72=$B1201)*
      ('Putt Log'!$C$2:$C$72=$C1201),
    0),
    MATCH($G1201,'Putt Log'!$E$1:$V$1,0)
  ),
"")</f>
        <v>2</v>
      </c>
      <c r="P1201" t="str" cm="1">
        <f t="array" ref="P1201">IF(K1201=3,"",
  IFERROR(
    INDEX('Fairway Log'!$E$2:$V$72,
      MATCH(1,
        ('Fairway Log'!$A$2:$A$72=$A1201)*
        ('Fairway Log'!$B$2:$B$72=$B1201)*
        ('Fairway Log'!$C$2:$C1272=$C1201),
      0),
      MATCH($G1201,'Fairway Log'!$E$1:$V$1,0)
    ),
  "")
)</f>
        <v>→</v>
      </c>
      <c r="Q1201" cm="1">
        <f t="array" ref="Q1201">IFERROR(
  INDEX('GIR Log'!$E$2:$V$72,
    MATCH(1,
      ('GIR Log'!$A$2:$A$72=$A1201)*
      ('GIR Log'!$B$2:$B$72=$B1201)*
      ('GIR Log'!$C$2:$C$72=$C1201),
    0),
    MATCH($G1201,'GIR Log'!$E$1:$V$1,0)
  ),
"")</f>
        <v>0</v>
      </c>
    </row>
    <row r="1202" spans="1:17" x14ac:dyDescent="0.25">
      <c r="A1202" s="78" t="s">
        <v>130</v>
      </c>
      <c r="B1202" s="2">
        <v>45143</v>
      </c>
      <c r="C1202" s="78" t="s">
        <v>9</v>
      </c>
      <c r="D1202" s="78" t="s">
        <v>9</v>
      </c>
      <c r="E1202" s="78" t="s">
        <v>34</v>
      </c>
      <c r="F1202">
        <v>84</v>
      </c>
      <c r="G1202" s="12" t="s">
        <v>59</v>
      </c>
      <c r="H1202" s="9">
        <f t="shared" si="80"/>
        <v>13</v>
      </c>
      <c r="I1202" cm="1">
        <f t="array" ref="I1202">IFERROR(INDEX(CourseYardages[[Hole 1]:[Hole 18]],
  MATCH(1, (CourseYardages[Course]=C1202)*(CourseYardages[Tees]=E1202), 0),
  MATCH(G1202, CourseYardages[[#Headers],[Hole 1]:[Hole 18]], 0)
),"")</f>
        <v>429</v>
      </c>
      <c r="J1202" cm="1">
        <f t="array" ref="J1202">IFERROR(INDEX(CourseHandicap[[Hole 1]:[Hole 18]],
  MATCH(1, (CourseHandicap[Course]=C1202)*(CourseHandicap[Tees]=E1202), 0),
  MATCH(G1202, CourseHandicap[[#Headers],[Hole 1]:[Hole 18]], 0)
),"")</f>
        <v>1</v>
      </c>
      <c r="K1202" cm="1">
        <f t="array" ref="K1202">IFERROR(INDEX(CourseRatings[[Hole 1]:[Hole 18]],
  MATCH(1, (CourseRatings[Course]=C1202)*(CourseRatings[Tees]=E1202), 0),
  MATCH(G1202, CourseRatings[[#Headers],[Hole 1]:[Hole 18]], 0)
),"")</f>
        <v>4</v>
      </c>
      <c r="L1202" cm="1">
        <f t="array" ref="L1202">IFERROR(
  INDEX('Golf Log'!$E$2:$V$72,
    MATCH(1,
      ('Golf Log'!$A$2:$A$72=$A1202)*
      ('Golf Log'!$B$2:$B$72=$B1202)*
      ('Golf Log'!$C$2:$C$72=$C1202),
    0),
    MATCH($G1202,'Golf Log'!$E$1:$V$1,0)
  ),
"")</f>
        <v>5</v>
      </c>
      <c r="M1202">
        <f t="shared" si="81"/>
        <v>1</v>
      </c>
      <c r="N1202" t="str">
        <f t="shared" si="82"/>
        <v>Bogey</v>
      </c>
      <c r="O1202" cm="1">
        <f t="array" ref="O1202">IFERROR(
  INDEX('Putt Log'!$E$2:$V$72,
    MATCH(1,
      ('Putt Log'!$A$2:$A$72=$A1202)*
      ('Putt Log'!$B$2:$B$72=$B1202)*
      ('Putt Log'!$C$2:$C$72=$C1202),
    0),
    MATCH($G1202,'Putt Log'!$E$1:$V$1,0)
  ),
"")</f>
        <v>2</v>
      </c>
      <c r="P1202" t="str" cm="1">
        <f t="array" ref="P1202">IF(K1202=3,"",
  IFERROR(
    INDEX('Fairway Log'!$E$2:$V$72,
      MATCH(1,
        ('Fairway Log'!$A$2:$A$72=$A1202)*
        ('Fairway Log'!$B$2:$B$72=$B1202)*
        ('Fairway Log'!$C$2:$C1273=$C1202),
      0),
      MATCH($G1202,'Fairway Log'!$E$1:$V$1,0)
    ),
  "")
)</f>
        <v>←</v>
      </c>
      <c r="Q1202" cm="1">
        <f t="array" ref="Q1202">IFERROR(
  INDEX('GIR Log'!$E$2:$V$72,
    MATCH(1,
      ('GIR Log'!$A$2:$A$72=$A1202)*
      ('GIR Log'!$B$2:$B$72=$B1202)*
      ('GIR Log'!$C$2:$C$72=$C1202),
    0),
    MATCH($G1202,'GIR Log'!$E$1:$V$1,0)
  ),
"")</f>
        <v>0</v>
      </c>
    </row>
    <row r="1203" spans="1:17" x14ac:dyDescent="0.25">
      <c r="A1203" s="78" t="s">
        <v>130</v>
      </c>
      <c r="B1203" s="2">
        <v>45143</v>
      </c>
      <c r="C1203" s="78" t="s">
        <v>9</v>
      </c>
      <c r="D1203" s="78" t="s">
        <v>9</v>
      </c>
      <c r="E1203" s="78" t="s">
        <v>34</v>
      </c>
      <c r="F1203">
        <v>84</v>
      </c>
      <c r="G1203" s="12" t="s">
        <v>60</v>
      </c>
      <c r="H1203" s="9">
        <f t="shared" si="80"/>
        <v>14</v>
      </c>
      <c r="I1203" cm="1">
        <f t="array" ref="I1203">IFERROR(INDEX(CourseYardages[[Hole 1]:[Hole 18]],
  MATCH(1, (CourseYardages[Course]=C1203)*(CourseYardages[Tees]=E1203), 0),
  MATCH(G1203, CourseYardages[[#Headers],[Hole 1]:[Hole 18]], 0)
),"")</f>
        <v>188</v>
      </c>
      <c r="J1203" cm="1">
        <f t="array" ref="J1203">IFERROR(INDEX(CourseHandicap[[Hole 1]:[Hole 18]],
  MATCH(1, (CourseHandicap[Course]=C1203)*(CourseHandicap[Tees]=E1203), 0),
  MATCH(G1203, CourseHandicap[[#Headers],[Hole 1]:[Hole 18]], 0)
),"")</f>
        <v>9</v>
      </c>
      <c r="K1203" cm="1">
        <f t="array" ref="K1203">IFERROR(INDEX(CourseRatings[[Hole 1]:[Hole 18]],
  MATCH(1, (CourseRatings[Course]=C1203)*(CourseRatings[Tees]=E1203), 0),
  MATCH(G1203, CourseRatings[[#Headers],[Hole 1]:[Hole 18]], 0)
),"")</f>
        <v>3</v>
      </c>
      <c r="L1203" cm="1">
        <f t="array" ref="L1203">IFERROR(
  INDEX('Golf Log'!$E$2:$V$72,
    MATCH(1,
      ('Golf Log'!$A$2:$A$72=$A1203)*
      ('Golf Log'!$B$2:$B$72=$B1203)*
      ('Golf Log'!$C$2:$C$72=$C1203),
    0),
    MATCH($G1203,'Golf Log'!$E$1:$V$1,0)
  ),
"")</f>
        <v>5</v>
      </c>
      <c r="M1203">
        <f t="shared" si="81"/>
        <v>2</v>
      </c>
      <c r="N1203" t="str">
        <f t="shared" si="82"/>
        <v>Double Bogey</v>
      </c>
      <c r="O1203" cm="1">
        <f t="array" ref="O1203">IFERROR(
  INDEX('Putt Log'!$E$2:$V$72,
    MATCH(1,
      ('Putt Log'!$A$2:$A$72=$A1203)*
      ('Putt Log'!$B$2:$B$72=$B1203)*
      ('Putt Log'!$C$2:$C$72=$C1203),
    0),
    MATCH($G1203,'Putt Log'!$E$1:$V$1,0)
  ),
"")</f>
        <v>2</v>
      </c>
      <c r="P1203" t="str" cm="1">
        <f t="array" ref="P1203">IF(K1203=3,"",
  IFERROR(
    INDEX('Fairway Log'!$E$2:$V$72,
      MATCH(1,
        ('Fairway Log'!$A$2:$A$72=$A1203)*
        ('Fairway Log'!$B$2:$B$72=$B1203)*
        ('Fairway Log'!$C$2:$C1274=$C1203),
      0),
      MATCH($G1203,'Fairway Log'!$E$1:$V$1,0)
    ),
  "")
)</f>
        <v/>
      </c>
      <c r="Q1203" cm="1">
        <f t="array" ref="Q1203">IFERROR(
  INDEX('GIR Log'!$E$2:$V$72,
    MATCH(1,
      ('GIR Log'!$A$2:$A$72=$A1203)*
      ('GIR Log'!$B$2:$B$72=$B1203)*
      ('GIR Log'!$C$2:$C$72=$C1203),
    0),
    MATCH($G1203,'GIR Log'!$E$1:$V$1,0)
  ),
"")</f>
        <v>0</v>
      </c>
    </row>
    <row r="1204" spans="1:17" x14ac:dyDescent="0.25">
      <c r="A1204" s="78" t="s">
        <v>130</v>
      </c>
      <c r="B1204" s="2">
        <v>45143</v>
      </c>
      <c r="C1204" s="78" t="s">
        <v>9</v>
      </c>
      <c r="D1204" s="78" t="s">
        <v>9</v>
      </c>
      <c r="E1204" s="78" t="s">
        <v>34</v>
      </c>
      <c r="F1204">
        <v>84</v>
      </c>
      <c r="G1204" s="12" t="s">
        <v>61</v>
      </c>
      <c r="H1204" s="9">
        <f t="shared" si="80"/>
        <v>15</v>
      </c>
      <c r="I1204" cm="1">
        <f t="array" ref="I1204">IFERROR(INDEX(CourseYardages[[Hole 1]:[Hole 18]],
  MATCH(1, (CourseYardages[Course]=C1204)*(CourseYardages[Tees]=E1204), 0),
  MATCH(G1204, CourseYardages[[#Headers],[Hole 1]:[Hole 18]], 0)
),"")</f>
        <v>363</v>
      </c>
      <c r="J1204" cm="1">
        <f t="array" ref="J1204">IFERROR(INDEX(CourseHandicap[[Hole 1]:[Hole 18]],
  MATCH(1, (CourseHandicap[Course]=C1204)*(CourseHandicap[Tees]=E1204), 0),
  MATCH(G1204, CourseHandicap[[#Headers],[Hole 1]:[Hole 18]], 0)
),"")</f>
        <v>7</v>
      </c>
      <c r="K1204" cm="1">
        <f t="array" ref="K1204">IFERROR(INDEX(CourseRatings[[Hole 1]:[Hole 18]],
  MATCH(1, (CourseRatings[Course]=C1204)*(CourseRatings[Tees]=E1204), 0),
  MATCH(G1204, CourseRatings[[#Headers],[Hole 1]:[Hole 18]], 0)
),"")</f>
        <v>4</v>
      </c>
      <c r="L1204" cm="1">
        <f t="array" ref="L1204">IFERROR(
  INDEX('Golf Log'!$E$2:$V$72,
    MATCH(1,
      ('Golf Log'!$A$2:$A$72=$A1204)*
      ('Golf Log'!$B$2:$B$72=$B1204)*
      ('Golf Log'!$C$2:$C$72=$C1204),
    0),
    MATCH($G1204,'Golf Log'!$E$1:$V$1,0)
  ),
"")</f>
        <v>4</v>
      </c>
      <c r="M1204">
        <f t="shared" si="81"/>
        <v>0</v>
      </c>
      <c r="N1204" t="str">
        <f t="shared" si="82"/>
        <v>Par</v>
      </c>
      <c r="O1204" cm="1">
        <f t="array" ref="O1204">IFERROR(
  INDEX('Putt Log'!$E$2:$V$72,
    MATCH(1,
      ('Putt Log'!$A$2:$A$72=$A1204)*
      ('Putt Log'!$B$2:$B$72=$B1204)*
      ('Putt Log'!$C$2:$C$72=$C1204),
    0),
    MATCH($G1204,'Putt Log'!$E$1:$V$1,0)
  ),
"")</f>
        <v>2</v>
      </c>
      <c r="P1204" t="str" cm="1">
        <f t="array" ref="P1204">IF(K1204=3,"",
  IFERROR(
    INDEX('Fairway Log'!$E$2:$V$72,
      MATCH(1,
        ('Fairway Log'!$A$2:$A$72=$A1204)*
        ('Fairway Log'!$B$2:$B$72=$B1204)*
        ('Fairway Log'!$C$2:$C1275=$C1204),
      0),
      MATCH($G1204,'Fairway Log'!$E$1:$V$1,0)
    ),
  "")
)</f>
        <v>→</v>
      </c>
      <c r="Q1204" cm="1">
        <f t="array" ref="Q1204">IFERROR(
  INDEX('GIR Log'!$E$2:$V$72,
    MATCH(1,
      ('GIR Log'!$A$2:$A$72=$A1204)*
      ('GIR Log'!$B$2:$B$72=$B1204)*
      ('GIR Log'!$C$2:$C$72=$C1204),
    0),
    MATCH($G1204,'GIR Log'!$E$1:$V$1,0)
  ),
"")</f>
        <v>1</v>
      </c>
    </row>
    <row r="1205" spans="1:17" x14ac:dyDescent="0.25">
      <c r="A1205" s="78" t="s">
        <v>130</v>
      </c>
      <c r="B1205" s="2">
        <v>45143</v>
      </c>
      <c r="C1205" s="78" t="s">
        <v>9</v>
      </c>
      <c r="D1205" s="78" t="s">
        <v>9</v>
      </c>
      <c r="E1205" s="78" t="s">
        <v>34</v>
      </c>
      <c r="F1205">
        <v>84</v>
      </c>
      <c r="G1205" s="12" t="s">
        <v>62</v>
      </c>
      <c r="H1205" s="9">
        <f t="shared" si="80"/>
        <v>16</v>
      </c>
      <c r="I1205" cm="1">
        <f t="array" ref="I1205">IFERROR(INDEX(CourseYardages[[Hole 1]:[Hole 18]],
  MATCH(1, (CourseYardages[Course]=C1205)*(CourseYardages[Tees]=E1205), 0),
  MATCH(G1205, CourseYardages[[#Headers],[Hole 1]:[Hole 18]], 0)
),"")</f>
        <v>353</v>
      </c>
      <c r="J1205" cm="1">
        <f t="array" ref="J1205">IFERROR(INDEX(CourseHandicap[[Hole 1]:[Hole 18]],
  MATCH(1, (CourseHandicap[Course]=C1205)*(CourseHandicap[Tees]=E1205), 0),
  MATCH(G1205, CourseHandicap[[#Headers],[Hole 1]:[Hole 18]], 0)
),"")</f>
        <v>13</v>
      </c>
      <c r="K1205" cm="1">
        <f t="array" ref="K1205">IFERROR(INDEX(CourseRatings[[Hole 1]:[Hole 18]],
  MATCH(1, (CourseRatings[Course]=C1205)*(CourseRatings[Tees]=E1205), 0),
  MATCH(G1205, CourseRatings[[#Headers],[Hole 1]:[Hole 18]], 0)
),"")</f>
        <v>4</v>
      </c>
      <c r="L1205" cm="1">
        <f t="array" ref="L1205">IFERROR(
  INDEX('Golf Log'!$E$2:$V$72,
    MATCH(1,
      ('Golf Log'!$A$2:$A$72=$A1205)*
      ('Golf Log'!$B$2:$B$72=$B1205)*
      ('Golf Log'!$C$2:$C$72=$C1205),
    0),
    MATCH($G1205,'Golf Log'!$E$1:$V$1,0)
  ),
"")</f>
        <v>4</v>
      </c>
      <c r="M1205">
        <f t="shared" si="81"/>
        <v>0</v>
      </c>
      <c r="N1205" t="str">
        <f t="shared" si="82"/>
        <v>Par</v>
      </c>
      <c r="O1205" cm="1">
        <f t="array" ref="O1205">IFERROR(
  INDEX('Putt Log'!$E$2:$V$72,
    MATCH(1,
      ('Putt Log'!$A$2:$A$72=$A1205)*
      ('Putt Log'!$B$2:$B$72=$B1205)*
      ('Putt Log'!$C$2:$C$72=$C1205),
    0),
    MATCH($G1205,'Putt Log'!$E$1:$V$1,0)
  ),
"")</f>
        <v>2</v>
      </c>
      <c r="P1205" cm="1">
        <f t="array" ref="P1205">IF(K1205=3,"",
  IFERROR(
    INDEX('Fairway Log'!$E$2:$V$72,
      MATCH(1,
        ('Fairway Log'!$A$2:$A$72=$A1205)*
        ('Fairway Log'!$B$2:$B$72=$B1205)*
        ('Fairway Log'!$C$2:$C1276=$C1205),
      0),
      MATCH($G1205,'Fairway Log'!$E$1:$V$1,0)
    ),
  "")
)</f>
        <v>1</v>
      </c>
      <c r="Q1205" cm="1">
        <f t="array" ref="Q1205">IFERROR(
  INDEX('GIR Log'!$E$2:$V$72,
    MATCH(1,
      ('GIR Log'!$A$2:$A$72=$A1205)*
      ('GIR Log'!$B$2:$B$72=$B1205)*
      ('GIR Log'!$C$2:$C$72=$C1205),
    0),
    MATCH($G1205,'GIR Log'!$E$1:$V$1,0)
  ),
"")</f>
        <v>1</v>
      </c>
    </row>
    <row r="1206" spans="1:17" x14ac:dyDescent="0.25">
      <c r="A1206" s="78" t="s">
        <v>130</v>
      </c>
      <c r="B1206" s="2">
        <v>45143</v>
      </c>
      <c r="C1206" s="78" t="s">
        <v>9</v>
      </c>
      <c r="D1206" s="78" t="s">
        <v>9</v>
      </c>
      <c r="E1206" s="78" t="s">
        <v>34</v>
      </c>
      <c r="F1206">
        <v>84</v>
      </c>
      <c r="G1206" s="12" t="s">
        <v>63</v>
      </c>
      <c r="H1206" s="9">
        <f t="shared" si="80"/>
        <v>17</v>
      </c>
      <c r="I1206" cm="1">
        <f t="array" ref="I1206">IFERROR(INDEX(CourseYardages[[Hole 1]:[Hole 18]],
  MATCH(1, (CourseYardages[Course]=C1206)*(CourseYardages[Tees]=E1206), 0),
  MATCH(G1206, CourseYardages[[#Headers],[Hole 1]:[Hole 18]], 0)
),"")</f>
        <v>485</v>
      </c>
      <c r="J1206" cm="1">
        <f t="array" ref="J1206">IFERROR(INDEX(CourseHandicap[[Hole 1]:[Hole 18]],
  MATCH(1, (CourseHandicap[Course]=C1206)*(CourseHandicap[Tees]=E1206), 0),
  MATCH(G1206, CourseHandicap[[#Headers],[Hole 1]:[Hole 18]], 0)
),"")</f>
        <v>5</v>
      </c>
      <c r="K1206" cm="1">
        <f t="array" ref="K1206">IFERROR(INDEX(CourseRatings[[Hole 1]:[Hole 18]],
  MATCH(1, (CourseRatings[Course]=C1206)*(CourseRatings[Tees]=E1206), 0),
  MATCH(G1206, CourseRatings[[#Headers],[Hole 1]:[Hole 18]], 0)
),"")</f>
        <v>5</v>
      </c>
      <c r="L1206" cm="1">
        <f t="array" ref="L1206">IFERROR(
  INDEX('Golf Log'!$E$2:$V$72,
    MATCH(1,
      ('Golf Log'!$A$2:$A$72=$A1206)*
      ('Golf Log'!$B$2:$B$72=$B1206)*
      ('Golf Log'!$C$2:$C$72=$C1206),
    0),
    MATCH($G1206,'Golf Log'!$E$1:$V$1,0)
  ),
"")</f>
        <v>6</v>
      </c>
      <c r="M1206">
        <f t="shared" si="81"/>
        <v>1</v>
      </c>
      <c r="N1206" t="str">
        <f t="shared" si="82"/>
        <v>Bogey</v>
      </c>
      <c r="O1206" cm="1">
        <f t="array" ref="O1206">IFERROR(
  INDEX('Putt Log'!$E$2:$V$72,
    MATCH(1,
      ('Putt Log'!$A$2:$A$72=$A1206)*
      ('Putt Log'!$B$2:$B$72=$B1206)*
      ('Putt Log'!$C$2:$C$72=$C1206),
    0),
    MATCH($G1206,'Putt Log'!$E$1:$V$1,0)
  ),
"")</f>
        <v>2</v>
      </c>
      <c r="P1206" t="str" cm="1">
        <f t="array" ref="P1206">IF(K1206=3,"",
  IFERROR(
    INDEX('Fairway Log'!$E$2:$V$72,
      MATCH(1,
        ('Fairway Log'!$A$2:$A$72=$A1206)*
        ('Fairway Log'!$B$2:$B$72=$B1206)*
        ('Fairway Log'!$C$2:$C1277=$C1206),
      0),
      MATCH($G1206,'Fairway Log'!$E$1:$V$1,0)
    ),
  "")
)</f>
        <v>→</v>
      </c>
      <c r="Q1206" cm="1">
        <f t="array" ref="Q1206">IFERROR(
  INDEX('GIR Log'!$E$2:$V$72,
    MATCH(1,
      ('GIR Log'!$A$2:$A$72=$A1206)*
      ('GIR Log'!$B$2:$B$72=$B1206)*
      ('GIR Log'!$C$2:$C$72=$C1206),
    0),
    MATCH($G1206,'GIR Log'!$E$1:$V$1,0)
  ),
"")</f>
        <v>0</v>
      </c>
    </row>
    <row r="1207" spans="1:17" x14ac:dyDescent="0.25">
      <c r="A1207" s="78" t="s">
        <v>130</v>
      </c>
      <c r="B1207" s="2">
        <v>45143</v>
      </c>
      <c r="C1207" s="78" t="s">
        <v>9</v>
      </c>
      <c r="D1207" s="78" t="s">
        <v>9</v>
      </c>
      <c r="E1207" s="78" t="s">
        <v>34</v>
      </c>
      <c r="F1207">
        <v>84</v>
      </c>
      <c r="G1207" s="12" t="s">
        <v>64</v>
      </c>
      <c r="H1207" s="9">
        <f t="shared" si="80"/>
        <v>18</v>
      </c>
      <c r="I1207" cm="1">
        <f t="array" ref="I1207">IFERROR(INDEX(CourseYardages[[Hole 1]:[Hole 18]],
  MATCH(1, (CourseYardages[Course]=C1207)*(CourseYardages[Tees]=E1207), 0),
  MATCH(G1207, CourseYardages[[#Headers],[Hole 1]:[Hole 18]], 0)
),"")</f>
        <v>366</v>
      </c>
      <c r="J1207" cm="1">
        <f t="array" ref="J1207">IFERROR(INDEX(CourseHandicap[[Hole 1]:[Hole 18]],
  MATCH(1, (CourseHandicap[Course]=C1207)*(CourseHandicap[Tees]=E1207), 0),
  MATCH(G1207, CourseHandicap[[#Headers],[Hole 1]:[Hole 18]], 0)
),"")</f>
        <v>15</v>
      </c>
      <c r="K1207" cm="1">
        <f t="array" ref="K1207">IFERROR(INDEX(CourseRatings[[Hole 1]:[Hole 18]],
  MATCH(1, (CourseRatings[Course]=C1207)*(CourseRatings[Tees]=E1207), 0),
  MATCH(G1207, CourseRatings[[#Headers],[Hole 1]:[Hole 18]], 0)
),"")</f>
        <v>4</v>
      </c>
      <c r="L1207" cm="1">
        <f t="array" ref="L1207">IFERROR(
  INDEX('Golf Log'!$E$2:$V$72,
    MATCH(1,
      ('Golf Log'!$A$2:$A$72=$A1207)*
      ('Golf Log'!$B$2:$B$72=$B1207)*
      ('Golf Log'!$C$2:$C$72=$C1207),
    0),
    MATCH($G1207,'Golf Log'!$E$1:$V$1,0)
  ),
"")</f>
        <v>5</v>
      </c>
      <c r="M1207">
        <f t="shared" si="81"/>
        <v>1</v>
      </c>
      <c r="N1207" t="str">
        <f t="shared" si="82"/>
        <v>Bogey</v>
      </c>
      <c r="O1207" cm="1">
        <f t="array" ref="O1207">IFERROR(
  INDEX('Putt Log'!$E$2:$V$72,
    MATCH(1,
      ('Putt Log'!$A$2:$A$72=$A1207)*
      ('Putt Log'!$B$2:$B$72=$B1207)*
      ('Putt Log'!$C$2:$C$72=$C1207),
    0),
    MATCH($G1207,'Putt Log'!$E$1:$V$1,0)
  ),
"")</f>
        <v>2</v>
      </c>
      <c r="P1207" cm="1">
        <f t="array" ref="P1207">IF(K1207=3,"",
  IFERROR(
    INDEX('Fairway Log'!$E$2:$V$72,
      MATCH(1,
        ('Fairway Log'!$A$2:$A$72=$A1207)*
        ('Fairway Log'!$B$2:$B$72=$B1207)*
        ('Fairway Log'!$C$2:$C1278=$C1207),
      0),
      MATCH($G1207,'Fairway Log'!$E$1:$V$1,0)
    ),
  "")
)</f>
        <v>1</v>
      </c>
      <c r="Q1207" cm="1">
        <f t="array" ref="Q1207">IFERROR(
  INDEX('GIR Log'!$E$2:$V$72,
    MATCH(1,
      ('GIR Log'!$A$2:$A$72=$A1207)*
      ('GIR Log'!$B$2:$B$72=$B1207)*
      ('GIR Log'!$C$2:$C$72=$C1207),
    0),
    MATCH($G1207,'GIR Log'!$E$1:$V$1,0)
  ),
"")</f>
        <v>0</v>
      </c>
    </row>
    <row r="1208" spans="1:17" x14ac:dyDescent="0.25">
      <c r="A1208" s="92" t="s">
        <v>126</v>
      </c>
      <c r="B1208" s="2">
        <v>46160</v>
      </c>
      <c r="C1208" s="92" t="s">
        <v>5</v>
      </c>
      <c r="D1208" s="92" t="s">
        <v>5</v>
      </c>
      <c r="E1208" s="92" t="s">
        <v>34</v>
      </c>
      <c r="F1208">
        <v>82</v>
      </c>
      <c r="G1208" s="12" t="s">
        <v>47</v>
      </c>
      <c r="H1208" s="9">
        <f t="shared" ref="H1208:H1225" si="83">VALUE(RIGHT(G1208, LEN(G1208) - 5))</f>
        <v>1</v>
      </c>
      <c r="I1208" cm="1">
        <f t="array" ref="I1208">IFERROR(INDEX(CourseYardages[[Hole 1]:[Hole 18]],
  MATCH(1, (CourseYardages[Course]=C1208)*(CourseYardages[Tees]=E1208), 0),
  MATCH(G1208, CourseYardages[[#Headers],[Hole 1]:[Hole 18]], 0)
),"")</f>
        <v>432</v>
      </c>
      <c r="J1208" cm="1">
        <f t="array" ref="J1208">IFERROR(INDEX(CourseHandicap[[Hole 1]:[Hole 18]],
  MATCH(1, (CourseHandicap[Course]=C1208)*(CourseHandicap[Tees]=E1208), 0),
  MATCH(G1208, CourseHandicap[[#Headers],[Hole 1]:[Hole 18]], 0)
),"")</f>
        <v>7</v>
      </c>
      <c r="K1208" cm="1">
        <f t="array" ref="K1208">IFERROR(INDEX(CourseRatings[[Hole 1]:[Hole 18]],
  MATCH(1, (CourseRatings[Course]=C1208)*(CourseRatings[Tees]=E1208), 0),
  MATCH(G1208, CourseRatings[[#Headers],[Hole 1]:[Hole 18]], 0)
),"")</f>
        <v>4</v>
      </c>
      <c r="L1208" cm="1">
        <f t="array" ref="L1208">IFERROR(
  INDEX('Golf Log'!$E$2:$V$72,
    MATCH(1,
      ('Golf Log'!$A$2:$A$72=$A1208)*
      ('Golf Log'!$B$2:$B$72=$B1208)*
      ('Golf Log'!$C$2:$C$72=$C1208),
    0),
    MATCH($G1208,'Golf Log'!$E$1:$V$1,0)
  ),
"")</f>
        <v>4</v>
      </c>
      <c r="M1208">
        <f t="shared" ref="M1208:M1225" si="84">IFERROR(L1208-K1208,"")</f>
        <v>0</v>
      </c>
      <c r="N1208" t="str">
        <f t="shared" ref="N1208:N1225" si="85">IF(M1208="","",(IF(M1208=-2,"Eagle",IF(M1208=-1,"Birdie",IF(M1208=0,"Par",IF(M1208=1,"Bogey",IF(M1208=2,"Double Bogey",IF(M1208=3,"Triple Bogey",IF(M1208&gt;3,"Quad Bogey+")))))))))</f>
        <v>Par</v>
      </c>
      <c r="O1208" cm="1">
        <f t="array" ref="O1208">IFERROR(
  INDEX('Putt Log'!$E$2:$V$72,
    MATCH(1,
      ('Putt Log'!$A$2:$A$72=$A1208)*
      ('Putt Log'!$B$2:$B$72=$B1208)*
      ('Putt Log'!$C$2:$C$72=$C1208),
    0),
    MATCH($G1208,'Putt Log'!$E$1:$V$1,0)
  ),
"")</f>
        <v>1</v>
      </c>
      <c r="P1208" cm="1">
        <f t="array" ref="P1208">IF(K1208=3,"",
  IFERROR(
    INDEX('Fairway Log'!$E$2:$V$72,
      MATCH(1,
        ('Fairway Log'!$A$2:$A$72=$A1208)*
        ('Fairway Log'!$B$2:$B$72=$B1208)*
        ('Fairway Log'!$C$2:$C1279=$C1208),
      0),
      MATCH($G1208,'Fairway Log'!$E$1:$V$1,0)
    ),
  "")
)</f>
        <v>1</v>
      </c>
      <c r="Q1208" t="str" cm="1">
        <f t="array" ref="Q1208">IFERROR(
  INDEX('GIR Log'!$E$2:$V$72,
    MATCH(1,
      ('GIR Log'!$A$2:$A$72=$A1208)*
      ('GIR Log'!$B$2:$B$72=$B1208)*
      ('GIR Log'!$C$2:$C$72=$C1208),
    0),
    MATCH($G1208,'GIR Log'!$E$1:$V$1,0)
  ),
"")</f>
        <v>←</v>
      </c>
    </row>
    <row r="1209" spans="1:17" x14ac:dyDescent="0.25">
      <c r="A1209" s="92" t="s">
        <v>126</v>
      </c>
      <c r="B1209" s="2">
        <v>46160</v>
      </c>
      <c r="C1209" s="92" t="s">
        <v>5</v>
      </c>
      <c r="D1209" s="92" t="s">
        <v>5</v>
      </c>
      <c r="E1209" s="92" t="s">
        <v>34</v>
      </c>
      <c r="F1209">
        <v>82</v>
      </c>
      <c r="G1209" s="12" t="s">
        <v>48</v>
      </c>
      <c r="H1209" s="9">
        <f t="shared" si="83"/>
        <v>2</v>
      </c>
      <c r="I1209" cm="1">
        <f t="array" ref="I1209">IFERROR(INDEX(CourseYardages[[Hole 1]:[Hole 18]],
  MATCH(1, (CourseYardages[Course]=C1209)*(CourseYardages[Tees]=E1209), 0),
  MATCH(G1209, CourseYardages[[#Headers],[Hole 1]:[Hole 18]], 0)
),"")</f>
        <v>451</v>
      </c>
      <c r="J1209" cm="1">
        <f t="array" ref="J1209">IFERROR(INDEX(CourseHandicap[[Hole 1]:[Hole 18]],
  MATCH(1, (CourseHandicap[Course]=C1209)*(CourseHandicap[Tees]=E1209), 0),
  MATCH(G1209, CourseHandicap[[#Headers],[Hole 1]:[Hole 18]], 0)
),"")</f>
        <v>3</v>
      </c>
      <c r="K1209" cm="1">
        <f t="array" ref="K1209">IFERROR(INDEX(CourseRatings[[Hole 1]:[Hole 18]],
  MATCH(1, (CourseRatings[Course]=C1209)*(CourseRatings[Tees]=E1209), 0),
  MATCH(G1209, CourseRatings[[#Headers],[Hole 1]:[Hole 18]], 0)
),"")</f>
        <v>4</v>
      </c>
      <c r="L1209" cm="1">
        <f t="array" ref="L1209">IFERROR(
  INDEX('Golf Log'!$E$2:$V$72,
    MATCH(1,
      ('Golf Log'!$A$2:$A$72=$A1209)*
      ('Golf Log'!$B$2:$B$72=$B1209)*
      ('Golf Log'!$C$2:$C$72=$C1209),
    0),
    MATCH($G1209,'Golf Log'!$E$1:$V$1,0)
  ),
"")</f>
        <v>4</v>
      </c>
      <c r="M1209">
        <f t="shared" si="84"/>
        <v>0</v>
      </c>
      <c r="N1209" t="str">
        <f t="shared" si="85"/>
        <v>Par</v>
      </c>
      <c r="O1209" cm="1">
        <f t="array" ref="O1209">IFERROR(
  INDEX('Putt Log'!$E$2:$V$72,
    MATCH(1,
      ('Putt Log'!$A$2:$A$72=$A1209)*
      ('Putt Log'!$B$2:$B$72=$B1209)*
      ('Putt Log'!$C$2:$C$72=$C1209),
    0),
    MATCH($G1209,'Putt Log'!$E$1:$V$1,0)
  ),
"")</f>
        <v>2</v>
      </c>
      <c r="P1209" t="str" cm="1">
        <f t="array" ref="P1209">IF(K1209=3,"",
  IFERROR(
    INDEX('Fairway Log'!$E$2:$V$72,
      MATCH(1,
        ('Fairway Log'!$A$2:$A$72=$A1209)*
        ('Fairway Log'!$B$2:$B$72=$B1209)*
        ('Fairway Log'!$C$2:$C1280=$C1209),
      0),
      MATCH($G1209,'Fairway Log'!$E$1:$V$1,0)
    ),
  "")
)</f>
        <v>→</v>
      </c>
      <c r="Q1209" cm="1">
        <f t="array" ref="Q1209">IFERROR(
  INDEX('GIR Log'!$E$2:$V$72,
    MATCH(1,
      ('GIR Log'!$A$2:$A$72=$A1209)*
      ('GIR Log'!$B$2:$B$72=$B1209)*
      ('GIR Log'!$C$2:$C$72=$C1209),
    0),
    MATCH($G1209,'GIR Log'!$E$1:$V$1,0)
  ),
"")</f>
        <v>1</v>
      </c>
    </row>
    <row r="1210" spans="1:17" x14ac:dyDescent="0.25">
      <c r="A1210" s="92" t="s">
        <v>126</v>
      </c>
      <c r="B1210" s="2">
        <v>46160</v>
      </c>
      <c r="C1210" s="92" t="s">
        <v>5</v>
      </c>
      <c r="D1210" s="92" t="s">
        <v>5</v>
      </c>
      <c r="E1210" s="92" t="s">
        <v>34</v>
      </c>
      <c r="F1210">
        <v>82</v>
      </c>
      <c r="G1210" s="12" t="s">
        <v>49</v>
      </c>
      <c r="H1210" s="9">
        <f t="shared" si="83"/>
        <v>3</v>
      </c>
      <c r="I1210" cm="1">
        <f t="array" ref="I1210">IFERROR(INDEX(CourseYardages[[Hole 1]:[Hole 18]],
  MATCH(1, (CourseYardages[Course]=C1210)*(CourseYardages[Tees]=E1210), 0),
  MATCH(G1210, CourseYardages[[#Headers],[Hole 1]:[Hole 18]], 0)
),"")</f>
        <v>195</v>
      </c>
      <c r="J1210" cm="1">
        <f t="array" ref="J1210">IFERROR(INDEX(CourseHandicap[[Hole 1]:[Hole 18]],
  MATCH(1, (CourseHandicap[Course]=C1210)*(CourseHandicap[Tees]=E1210), 0),
  MATCH(G1210, CourseHandicap[[#Headers],[Hole 1]:[Hole 18]], 0)
),"")</f>
        <v>13</v>
      </c>
      <c r="K1210" cm="1">
        <f t="array" ref="K1210">IFERROR(INDEX(CourseRatings[[Hole 1]:[Hole 18]],
  MATCH(1, (CourseRatings[Course]=C1210)*(CourseRatings[Tees]=E1210), 0),
  MATCH(G1210, CourseRatings[[#Headers],[Hole 1]:[Hole 18]], 0)
),"")</f>
        <v>3</v>
      </c>
      <c r="L1210" cm="1">
        <f t="array" ref="L1210">IFERROR(
  INDEX('Golf Log'!$E$2:$V$72,
    MATCH(1,
      ('Golf Log'!$A$2:$A$72=$A1210)*
      ('Golf Log'!$B$2:$B$72=$B1210)*
      ('Golf Log'!$C$2:$C$72=$C1210),
    0),
    MATCH($G1210,'Golf Log'!$E$1:$V$1,0)
  ),
"")</f>
        <v>4</v>
      </c>
      <c r="M1210">
        <f t="shared" si="84"/>
        <v>1</v>
      </c>
      <c r="N1210" t="str">
        <f t="shared" si="85"/>
        <v>Bogey</v>
      </c>
      <c r="O1210" cm="1">
        <f t="array" ref="O1210">IFERROR(
  INDEX('Putt Log'!$E$2:$V$72,
    MATCH(1,
      ('Putt Log'!$A$2:$A$72=$A1210)*
      ('Putt Log'!$B$2:$B$72=$B1210)*
      ('Putt Log'!$C$2:$C$72=$C1210),
    0),
    MATCH($G1210,'Putt Log'!$E$1:$V$1,0)
  ),
"")</f>
        <v>2</v>
      </c>
      <c r="P1210" t="str" cm="1">
        <f t="array" ref="P1210">IF(K1210=3,"",
  IFERROR(
    INDEX('Fairway Log'!$E$2:$V$72,
      MATCH(1,
        ('Fairway Log'!$A$2:$A$72=$A1210)*
        ('Fairway Log'!$B$2:$B$72=$B1210)*
        ('Fairway Log'!$C$2:$C1281=$C1210),
      0),
      MATCH($G1210,'Fairway Log'!$E$1:$V$1,0)
    ),
  "")
)</f>
        <v/>
      </c>
      <c r="Q1210" t="str" cm="1">
        <f t="array" ref="Q1210">IFERROR(
  INDEX('GIR Log'!$E$2:$V$72,
    MATCH(1,
      ('GIR Log'!$A$2:$A$72=$A1210)*
      ('GIR Log'!$B$2:$B$72=$B1210)*
      ('GIR Log'!$C$2:$C$72=$C1210),
    0),
    MATCH($G1210,'GIR Log'!$E$1:$V$1,0)
  ),
"")</f>
        <v>v</v>
      </c>
    </row>
    <row r="1211" spans="1:17" x14ac:dyDescent="0.25">
      <c r="A1211" s="92" t="s">
        <v>126</v>
      </c>
      <c r="B1211" s="2">
        <v>46160</v>
      </c>
      <c r="C1211" s="92" t="s">
        <v>5</v>
      </c>
      <c r="D1211" s="92" t="s">
        <v>5</v>
      </c>
      <c r="E1211" s="92" t="s">
        <v>34</v>
      </c>
      <c r="F1211">
        <v>82</v>
      </c>
      <c r="G1211" s="12" t="s">
        <v>50</v>
      </c>
      <c r="H1211" s="9">
        <f t="shared" si="83"/>
        <v>4</v>
      </c>
      <c r="I1211" cm="1">
        <f t="array" ref="I1211">IFERROR(INDEX(CourseYardages[[Hole 1]:[Hole 18]],
  MATCH(1, (CourseYardages[Course]=C1211)*(CourseYardages[Tees]=E1211), 0),
  MATCH(G1211, CourseYardages[[#Headers],[Hole 1]:[Hole 18]], 0)
),"")</f>
        <v>493</v>
      </c>
      <c r="J1211" cm="1">
        <f t="array" ref="J1211">IFERROR(INDEX(CourseHandicap[[Hole 1]:[Hole 18]],
  MATCH(1, (CourseHandicap[Course]=C1211)*(CourseHandicap[Tees]=E1211), 0),
  MATCH(G1211, CourseHandicap[[#Headers],[Hole 1]:[Hole 18]], 0)
),"")</f>
        <v>15</v>
      </c>
      <c r="K1211" cm="1">
        <f t="array" ref="K1211">IFERROR(INDEX(CourseRatings[[Hole 1]:[Hole 18]],
  MATCH(1, (CourseRatings[Course]=C1211)*(CourseRatings[Tees]=E1211), 0),
  MATCH(G1211, CourseRatings[[#Headers],[Hole 1]:[Hole 18]], 0)
),"")</f>
        <v>5</v>
      </c>
      <c r="L1211" cm="1">
        <f t="array" ref="L1211">IFERROR(
  INDEX('Golf Log'!$E$2:$V$72,
    MATCH(1,
      ('Golf Log'!$A$2:$A$72=$A1211)*
      ('Golf Log'!$B$2:$B$72=$B1211)*
      ('Golf Log'!$C$2:$C$72=$C1211),
    0),
    MATCH($G1211,'Golf Log'!$E$1:$V$1,0)
  ),
"")</f>
        <v>6</v>
      </c>
      <c r="M1211">
        <f t="shared" si="84"/>
        <v>1</v>
      </c>
      <c r="N1211" t="str">
        <f t="shared" si="85"/>
        <v>Bogey</v>
      </c>
      <c r="O1211" cm="1">
        <f t="array" ref="O1211">IFERROR(
  INDEX('Putt Log'!$E$2:$V$72,
    MATCH(1,
      ('Putt Log'!$A$2:$A$72=$A1211)*
      ('Putt Log'!$B$2:$B$72=$B1211)*
      ('Putt Log'!$C$2:$C$72=$C1211),
    0),
    MATCH($G1211,'Putt Log'!$E$1:$V$1,0)
  ),
"")</f>
        <v>3</v>
      </c>
      <c r="P1211" t="str" cm="1">
        <f t="array" ref="P1211">IF(K1211=3,"",
  IFERROR(
    INDEX('Fairway Log'!$E$2:$V$72,
      MATCH(1,
        ('Fairway Log'!$A$2:$A$72=$A1211)*
        ('Fairway Log'!$B$2:$B$72=$B1211)*
        ('Fairway Log'!$C$2:$C1282=$C1211),
      0),
      MATCH($G1211,'Fairway Log'!$E$1:$V$1,0)
    ),
  "")
)</f>
        <v>→</v>
      </c>
      <c r="Q1211" cm="1">
        <f t="array" ref="Q1211">IFERROR(
  INDEX('GIR Log'!$E$2:$V$72,
    MATCH(1,
      ('GIR Log'!$A$2:$A$72=$A1211)*
      ('GIR Log'!$B$2:$B$72=$B1211)*
      ('GIR Log'!$C$2:$C$72=$C1211),
    0),
    MATCH($G1211,'GIR Log'!$E$1:$V$1,0)
  ),
"")</f>
        <v>1</v>
      </c>
    </row>
    <row r="1212" spans="1:17" x14ac:dyDescent="0.25">
      <c r="A1212" s="92" t="s">
        <v>126</v>
      </c>
      <c r="B1212" s="2">
        <v>46160</v>
      </c>
      <c r="C1212" s="92" t="s">
        <v>5</v>
      </c>
      <c r="D1212" s="92" t="s">
        <v>5</v>
      </c>
      <c r="E1212" s="92" t="s">
        <v>34</v>
      </c>
      <c r="F1212">
        <v>82</v>
      </c>
      <c r="G1212" s="12" t="s">
        <v>51</v>
      </c>
      <c r="H1212" s="9">
        <f t="shared" si="83"/>
        <v>5</v>
      </c>
      <c r="I1212" cm="1">
        <f t="array" ref="I1212">IFERROR(INDEX(CourseYardages[[Hole 1]:[Hole 18]],
  MATCH(1, (CourseYardages[Course]=C1212)*(CourseYardages[Tees]=E1212), 0),
  MATCH(G1212, CourseYardages[[#Headers],[Hole 1]:[Hole 18]], 0)
),"")</f>
        <v>306</v>
      </c>
      <c r="J1212" cm="1">
        <f t="array" ref="J1212">IFERROR(INDEX(CourseHandicap[[Hole 1]:[Hole 18]],
  MATCH(1, (CourseHandicap[Course]=C1212)*(CourseHandicap[Tees]=E1212), 0),
  MATCH(G1212, CourseHandicap[[#Headers],[Hole 1]:[Hole 18]], 0)
),"")</f>
        <v>17</v>
      </c>
      <c r="K1212" cm="1">
        <f t="array" ref="K1212">IFERROR(INDEX(CourseRatings[[Hole 1]:[Hole 18]],
  MATCH(1, (CourseRatings[Course]=C1212)*(CourseRatings[Tees]=E1212), 0),
  MATCH(G1212, CourseRatings[[#Headers],[Hole 1]:[Hole 18]], 0)
),"")</f>
        <v>4</v>
      </c>
      <c r="L1212" cm="1">
        <f t="array" ref="L1212">IFERROR(
  INDEX('Golf Log'!$E$2:$V$72,
    MATCH(1,
      ('Golf Log'!$A$2:$A$72=$A1212)*
      ('Golf Log'!$B$2:$B$72=$B1212)*
      ('Golf Log'!$C$2:$C$72=$C1212),
    0),
    MATCH($G1212,'Golf Log'!$E$1:$V$1,0)
  ),
"")</f>
        <v>4</v>
      </c>
      <c r="M1212">
        <f t="shared" si="84"/>
        <v>0</v>
      </c>
      <c r="N1212" t="str">
        <f t="shared" si="85"/>
        <v>Par</v>
      </c>
      <c r="O1212" cm="1">
        <f t="array" ref="O1212">IFERROR(
  INDEX('Putt Log'!$E$2:$V$72,
    MATCH(1,
      ('Putt Log'!$A$2:$A$72=$A1212)*
      ('Putt Log'!$B$2:$B$72=$B1212)*
      ('Putt Log'!$C$2:$C$72=$C1212),
    0),
    MATCH($G1212,'Putt Log'!$E$1:$V$1,0)
  ),
"")</f>
        <v>2</v>
      </c>
      <c r="P1212" cm="1">
        <f t="array" ref="P1212">IF(K1212=3,"",
  IFERROR(
    INDEX('Fairway Log'!$E$2:$V$72,
      MATCH(1,
        ('Fairway Log'!$A$2:$A$72=$A1212)*
        ('Fairway Log'!$B$2:$B$72=$B1212)*
        ('Fairway Log'!$C$2:$C1283=$C1212),
      0),
      MATCH($G1212,'Fairway Log'!$E$1:$V$1,0)
    ),
  "")
)</f>
        <v>1</v>
      </c>
      <c r="Q1212" cm="1">
        <f t="array" ref="Q1212">IFERROR(
  INDEX('GIR Log'!$E$2:$V$72,
    MATCH(1,
      ('GIR Log'!$A$2:$A$72=$A1212)*
      ('GIR Log'!$B$2:$B$72=$B1212)*
      ('GIR Log'!$C$2:$C$72=$C1212),
    0),
    MATCH($G1212,'GIR Log'!$E$1:$V$1,0)
  ),
"")</f>
        <v>1</v>
      </c>
    </row>
    <row r="1213" spans="1:17" x14ac:dyDescent="0.25">
      <c r="A1213" s="92" t="s">
        <v>126</v>
      </c>
      <c r="B1213" s="2">
        <v>46160</v>
      </c>
      <c r="C1213" s="92" t="s">
        <v>5</v>
      </c>
      <c r="D1213" s="92" t="s">
        <v>5</v>
      </c>
      <c r="E1213" s="92" t="s">
        <v>34</v>
      </c>
      <c r="F1213">
        <v>82</v>
      </c>
      <c r="G1213" s="12" t="s">
        <v>52</v>
      </c>
      <c r="H1213" s="9">
        <f t="shared" si="83"/>
        <v>6</v>
      </c>
      <c r="I1213" cm="1">
        <f t="array" ref="I1213">IFERROR(INDEX(CourseYardages[[Hole 1]:[Hole 18]],
  MATCH(1, (CourseYardages[Course]=C1213)*(CourseYardages[Tees]=E1213), 0),
  MATCH(G1213, CourseYardages[[#Headers],[Hole 1]:[Hole 18]], 0)
),"")</f>
        <v>462</v>
      </c>
      <c r="J1213" cm="1">
        <f t="array" ref="J1213">IFERROR(INDEX(CourseHandicap[[Hole 1]:[Hole 18]],
  MATCH(1, (CourseHandicap[Course]=C1213)*(CourseHandicap[Tees]=E1213), 0),
  MATCH(G1213, CourseHandicap[[#Headers],[Hole 1]:[Hole 18]], 0)
),"")</f>
        <v>1</v>
      </c>
      <c r="K1213" cm="1">
        <f t="array" ref="K1213">IFERROR(INDEX(CourseRatings[[Hole 1]:[Hole 18]],
  MATCH(1, (CourseRatings[Course]=C1213)*(CourseRatings[Tees]=E1213), 0),
  MATCH(G1213, CourseRatings[[#Headers],[Hole 1]:[Hole 18]], 0)
),"")</f>
        <v>4</v>
      </c>
      <c r="L1213" cm="1">
        <f t="array" ref="L1213">IFERROR(
  INDEX('Golf Log'!$E$2:$V$72,
    MATCH(1,
      ('Golf Log'!$A$2:$A$72=$A1213)*
      ('Golf Log'!$B$2:$B$72=$B1213)*
      ('Golf Log'!$C$2:$C$72=$C1213),
    0),
    MATCH($G1213,'Golf Log'!$E$1:$V$1,0)
  ),
"")</f>
        <v>6</v>
      </c>
      <c r="M1213">
        <f t="shared" si="84"/>
        <v>2</v>
      </c>
      <c r="N1213" t="str">
        <f t="shared" si="85"/>
        <v>Double Bogey</v>
      </c>
      <c r="O1213" cm="1">
        <f t="array" ref="O1213">IFERROR(
  INDEX('Putt Log'!$E$2:$V$72,
    MATCH(1,
      ('Putt Log'!$A$2:$A$72=$A1213)*
      ('Putt Log'!$B$2:$B$72=$B1213)*
      ('Putt Log'!$C$2:$C$72=$C1213),
    0),
    MATCH($G1213,'Putt Log'!$E$1:$V$1,0)
  ),
"")</f>
        <v>2</v>
      </c>
      <c r="P1213" t="str" cm="1">
        <f t="array" ref="P1213">IF(K1213=3,"",
  IFERROR(
    INDEX('Fairway Log'!$E$2:$V$72,
      MATCH(1,
        ('Fairway Log'!$A$2:$A$72=$A1213)*
        ('Fairway Log'!$B$2:$B$72=$B1213)*
        ('Fairway Log'!$C$2:$C1284=$C1213),
      0),
      MATCH($G1213,'Fairway Log'!$E$1:$V$1,0)
    ),
  "")
)</f>
        <v>→</v>
      </c>
      <c r="Q1213" t="str" cm="1">
        <f t="array" ref="Q1213">IFERROR(
  INDEX('GIR Log'!$E$2:$V$72,
    MATCH(1,
      ('GIR Log'!$A$2:$A$72=$A1213)*
      ('GIR Log'!$B$2:$B$72=$B1213)*
      ('GIR Log'!$C$2:$C$72=$C1213),
    0),
    MATCH($G1213,'GIR Log'!$E$1:$V$1,0)
  ),
"")</f>
        <v>NC</v>
      </c>
    </row>
    <row r="1214" spans="1:17" x14ac:dyDescent="0.25">
      <c r="A1214" s="92" t="s">
        <v>126</v>
      </c>
      <c r="B1214" s="2">
        <v>46160</v>
      </c>
      <c r="C1214" s="92" t="s">
        <v>5</v>
      </c>
      <c r="D1214" s="92" t="s">
        <v>5</v>
      </c>
      <c r="E1214" s="92" t="s">
        <v>34</v>
      </c>
      <c r="F1214">
        <v>82</v>
      </c>
      <c r="G1214" s="12" t="s">
        <v>53</v>
      </c>
      <c r="H1214" s="9">
        <f t="shared" si="83"/>
        <v>7</v>
      </c>
      <c r="I1214" cm="1">
        <f t="array" ref="I1214">IFERROR(INDEX(CourseYardages[[Hole 1]:[Hole 18]],
  MATCH(1, (CourseYardages[Course]=C1214)*(CourseYardages[Tees]=E1214), 0),
  MATCH(G1214, CourseYardages[[#Headers],[Hole 1]:[Hole 18]], 0)
),"")</f>
        <v>186</v>
      </c>
      <c r="J1214" cm="1">
        <f t="array" ref="J1214">IFERROR(INDEX(CourseHandicap[[Hole 1]:[Hole 18]],
  MATCH(1, (CourseHandicap[Course]=C1214)*(CourseHandicap[Tees]=E1214), 0),
  MATCH(G1214, CourseHandicap[[#Headers],[Hole 1]:[Hole 18]], 0)
),"")</f>
        <v>11</v>
      </c>
      <c r="K1214" cm="1">
        <f t="array" ref="K1214">IFERROR(INDEX(CourseRatings[[Hole 1]:[Hole 18]],
  MATCH(1, (CourseRatings[Course]=C1214)*(CourseRatings[Tees]=E1214), 0),
  MATCH(G1214, CourseRatings[[#Headers],[Hole 1]:[Hole 18]], 0)
),"")</f>
        <v>3</v>
      </c>
      <c r="L1214" cm="1">
        <f t="array" ref="L1214">IFERROR(
  INDEX('Golf Log'!$E$2:$V$72,
    MATCH(1,
      ('Golf Log'!$A$2:$A$72=$A1214)*
      ('Golf Log'!$B$2:$B$72=$B1214)*
      ('Golf Log'!$C$2:$C$72=$C1214),
    0),
    MATCH($G1214,'Golf Log'!$E$1:$V$1,0)
  ),
"")</f>
        <v>3</v>
      </c>
      <c r="M1214">
        <f t="shared" si="84"/>
        <v>0</v>
      </c>
      <c r="N1214" t="str">
        <f t="shared" si="85"/>
        <v>Par</v>
      </c>
      <c r="O1214" cm="1">
        <f t="array" ref="O1214">IFERROR(
  INDEX('Putt Log'!$E$2:$V$72,
    MATCH(1,
      ('Putt Log'!$A$2:$A$72=$A1214)*
      ('Putt Log'!$B$2:$B$72=$B1214)*
      ('Putt Log'!$C$2:$C$72=$C1214),
    0),
    MATCH($G1214,'Putt Log'!$E$1:$V$1,0)
  ),
"")</f>
        <v>2</v>
      </c>
      <c r="P1214" t="str" cm="1">
        <f t="array" ref="P1214">IF(K1214=3,"",
  IFERROR(
    INDEX('Fairway Log'!$E$2:$V$72,
      MATCH(1,
        ('Fairway Log'!$A$2:$A$72=$A1214)*
        ('Fairway Log'!$B$2:$B$72=$B1214)*
        ('Fairway Log'!$C$2:$C1285=$C1214),
      0),
      MATCH($G1214,'Fairway Log'!$E$1:$V$1,0)
    ),
  "")
)</f>
        <v/>
      </c>
      <c r="Q1214" cm="1">
        <f t="array" ref="Q1214">IFERROR(
  INDEX('GIR Log'!$E$2:$V$72,
    MATCH(1,
      ('GIR Log'!$A$2:$A$72=$A1214)*
      ('GIR Log'!$B$2:$B$72=$B1214)*
      ('GIR Log'!$C$2:$C$72=$C1214),
    0),
    MATCH($G1214,'GIR Log'!$E$1:$V$1,0)
  ),
"")</f>
        <v>1</v>
      </c>
    </row>
    <row r="1215" spans="1:17" x14ac:dyDescent="0.25">
      <c r="A1215" s="92" t="s">
        <v>126</v>
      </c>
      <c r="B1215" s="2">
        <v>46160</v>
      </c>
      <c r="C1215" s="92" t="s">
        <v>5</v>
      </c>
      <c r="D1215" s="92" t="s">
        <v>5</v>
      </c>
      <c r="E1215" s="92" t="s">
        <v>34</v>
      </c>
      <c r="F1215">
        <v>82</v>
      </c>
      <c r="G1215" s="12" t="s">
        <v>54</v>
      </c>
      <c r="H1215" s="9">
        <f t="shared" si="83"/>
        <v>8</v>
      </c>
      <c r="I1215" cm="1">
        <f t="array" ref="I1215">IFERROR(INDEX(CourseYardages[[Hole 1]:[Hole 18]],
  MATCH(1, (CourseYardages[Course]=C1215)*(CourseYardages[Tees]=E1215), 0),
  MATCH(G1215, CourseYardages[[#Headers],[Hole 1]:[Hole 18]], 0)
),"")</f>
        <v>565</v>
      </c>
      <c r="J1215" cm="1">
        <f t="array" ref="J1215">IFERROR(INDEX(CourseHandicap[[Hole 1]:[Hole 18]],
  MATCH(1, (CourseHandicap[Course]=C1215)*(CourseHandicap[Tees]=E1215), 0),
  MATCH(G1215, CourseHandicap[[#Headers],[Hole 1]:[Hole 18]], 0)
),"")</f>
        <v>5</v>
      </c>
      <c r="K1215" cm="1">
        <f t="array" ref="K1215">IFERROR(INDEX(CourseRatings[[Hole 1]:[Hole 18]],
  MATCH(1, (CourseRatings[Course]=C1215)*(CourseRatings[Tees]=E1215), 0),
  MATCH(G1215, CourseRatings[[#Headers],[Hole 1]:[Hole 18]], 0)
),"")</f>
        <v>5</v>
      </c>
      <c r="L1215" cm="1">
        <f t="array" ref="L1215">IFERROR(
  INDEX('Golf Log'!$E$2:$V$72,
    MATCH(1,
      ('Golf Log'!$A$2:$A$72=$A1215)*
      ('Golf Log'!$B$2:$B$72=$B1215)*
      ('Golf Log'!$C$2:$C$72=$C1215),
    0),
    MATCH($G1215,'Golf Log'!$E$1:$V$1,0)
  ),
"")</f>
        <v>5</v>
      </c>
      <c r="M1215">
        <f t="shared" si="84"/>
        <v>0</v>
      </c>
      <c r="N1215" t="str">
        <f t="shared" si="85"/>
        <v>Par</v>
      </c>
      <c r="O1215" cm="1">
        <f t="array" ref="O1215">IFERROR(
  INDEX('Putt Log'!$E$2:$V$72,
    MATCH(1,
      ('Putt Log'!$A$2:$A$72=$A1215)*
      ('Putt Log'!$B$2:$B$72=$B1215)*
      ('Putt Log'!$C$2:$C$72=$C1215),
    0),
    MATCH($G1215,'Putt Log'!$E$1:$V$1,0)
  ),
"")</f>
        <v>2</v>
      </c>
      <c r="P1215" cm="1">
        <f t="array" ref="P1215">IF(K1215=3,"",
  IFERROR(
    INDEX('Fairway Log'!$E$2:$V$72,
      MATCH(1,
        ('Fairway Log'!$A$2:$A$72=$A1215)*
        ('Fairway Log'!$B$2:$B$72=$B1215)*
        ('Fairway Log'!$C$2:$C1286=$C1215),
      0),
      MATCH($G1215,'Fairway Log'!$E$1:$V$1,0)
    ),
  "")
)</f>
        <v>1</v>
      </c>
      <c r="Q1215" cm="1">
        <f t="array" ref="Q1215">IFERROR(
  INDEX('GIR Log'!$E$2:$V$72,
    MATCH(1,
      ('GIR Log'!$A$2:$A$72=$A1215)*
      ('GIR Log'!$B$2:$B$72=$B1215)*
      ('GIR Log'!$C$2:$C$72=$C1215),
    0),
    MATCH($G1215,'GIR Log'!$E$1:$V$1,0)
  ),
"")</f>
        <v>1</v>
      </c>
    </row>
    <row r="1216" spans="1:17" x14ac:dyDescent="0.25">
      <c r="A1216" s="92" t="s">
        <v>126</v>
      </c>
      <c r="B1216" s="2">
        <v>46160</v>
      </c>
      <c r="C1216" s="92" t="s">
        <v>5</v>
      </c>
      <c r="D1216" s="92" t="s">
        <v>5</v>
      </c>
      <c r="E1216" s="92" t="s">
        <v>34</v>
      </c>
      <c r="F1216">
        <v>82</v>
      </c>
      <c r="G1216" s="12" t="s">
        <v>55</v>
      </c>
      <c r="H1216" s="9">
        <f t="shared" si="83"/>
        <v>9</v>
      </c>
      <c r="I1216" cm="1">
        <f t="array" ref="I1216">IFERROR(INDEX(CourseYardages[[Hole 1]:[Hole 18]],
  MATCH(1, (CourseYardages[Course]=C1216)*(CourseYardages[Tees]=E1216), 0),
  MATCH(G1216, CourseYardages[[#Headers],[Hole 1]:[Hole 18]], 0)
),"")</f>
        <v>360</v>
      </c>
      <c r="J1216" cm="1">
        <f t="array" ref="J1216">IFERROR(INDEX(CourseHandicap[[Hole 1]:[Hole 18]],
  MATCH(1, (CourseHandicap[Course]=C1216)*(CourseHandicap[Tees]=E1216), 0),
  MATCH(G1216, CourseHandicap[[#Headers],[Hole 1]:[Hole 18]], 0)
),"")</f>
        <v>9</v>
      </c>
      <c r="K1216" cm="1">
        <f t="array" ref="K1216">IFERROR(INDEX(CourseRatings[[Hole 1]:[Hole 18]],
  MATCH(1, (CourseRatings[Course]=C1216)*(CourseRatings[Tees]=E1216), 0),
  MATCH(G1216, CourseRatings[[#Headers],[Hole 1]:[Hole 18]], 0)
),"")</f>
        <v>4</v>
      </c>
      <c r="L1216" cm="1">
        <f t="array" ref="L1216">IFERROR(
  INDEX('Golf Log'!$E$2:$V$72,
    MATCH(1,
      ('Golf Log'!$A$2:$A$72=$A1216)*
      ('Golf Log'!$B$2:$B$72=$B1216)*
      ('Golf Log'!$C$2:$C$72=$C1216),
    0),
    MATCH($G1216,'Golf Log'!$E$1:$V$1,0)
  ),
"")</f>
        <v>5</v>
      </c>
      <c r="M1216">
        <f t="shared" si="84"/>
        <v>1</v>
      </c>
      <c r="N1216" t="str">
        <f t="shared" si="85"/>
        <v>Bogey</v>
      </c>
      <c r="O1216" cm="1">
        <f t="array" ref="O1216">IFERROR(
  INDEX('Putt Log'!$E$2:$V$72,
    MATCH(1,
      ('Putt Log'!$A$2:$A$72=$A1216)*
      ('Putt Log'!$B$2:$B$72=$B1216)*
      ('Putt Log'!$C$2:$C$72=$C1216),
    0),
    MATCH($G1216,'Putt Log'!$E$1:$V$1,0)
  ),
"")</f>
        <v>2</v>
      </c>
      <c r="P1216" t="str" cm="1">
        <f t="array" ref="P1216">IF(K1216=3,"",
  IFERROR(
    INDEX('Fairway Log'!$E$2:$V$72,
      MATCH(1,
        ('Fairway Log'!$A$2:$A$72=$A1216)*
        ('Fairway Log'!$B$2:$B$72=$B1216)*
        ('Fairway Log'!$C$2:$C1287=$C1216),
      0),
      MATCH($G1216,'Fairway Log'!$E$1:$V$1,0)
    ),
  "")
)</f>
        <v>→</v>
      </c>
      <c r="Q1216" t="str" cm="1">
        <f t="array" ref="Q1216">IFERROR(
  INDEX('GIR Log'!$E$2:$V$72,
    MATCH(1,
      ('GIR Log'!$A$2:$A$72=$A1216)*
      ('GIR Log'!$B$2:$B$72=$B1216)*
      ('GIR Log'!$C$2:$C$72=$C1216),
    0),
    MATCH($G1216,'GIR Log'!$E$1:$V$1,0)
  ),
"")</f>
        <v>↑</v>
      </c>
    </row>
    <row r="1217" spans="1:17" x14ac:dyDescent="0.25">
      <c r="A1217" s="92" t="s">
        <v>126</v>
      </c>
      <c r="B1217" s="2">
        <v>46160</v>
      </c>
      <c r="C1217" s="92" t="s">
        <v>5</v>
      </c>
      <c r="D1217" s="92" t="s">
        <v>5</v>
      </c>
      <c r="E1217" s="92" t="s">
        <v>34</v>
      </c>
      <c r="F1217">
        <v>82</v>
      </c>
      <c r="G1217" s="12" t="s">
        <v>56</v>
      </c>
      <c r="H1217" s="9">
        <f t="shared" si="83"/>
        <v>10</v>
      </c>
      <c r="I1217" cm="1">
        <f t="array" ref="I1217">IFERROR(INDEX(CourseYardages[[Hole 1]:[Hole 18]],
  MATCH(1, (CourseYardages[Course]=C1217)*(CourseYardages[Tees]=E1217), 0),
  MATCH(G1217, CourseYardages[[#Headers],[Hole 1]:[Hole 18]], 0)
),"")</f>
        <v>381</v>
      </c>
      <c r="J1217" cm="1">
        <f t="array" ref="J1217">IFERROR(INDEX(CourseHandicap[[Hole 1]:[Hole 18]],
  MATCH(1, (CourseHandicap[Course]=C1217)*(CourseHandicap[Tees]=E1217), 0),
  MATCH(G1217, CourseHandicap[[#Headers],[Hole 1]:[Hole 18]], 0)
),"")</f>
        <v>12</v>
      </c>
      <c r="K1217" cm="1">
        <f t="array" ref="K1217">IFERROR(INDEX(CourseRatings[[Hole 1]:[Hole 18]],
  MATCH(1, (CourseRatings[Course]=C1217)*(CourseRatings[Tees]=E1217), 0),
  MATCH(G1217, CourseRatings[[#Headers],[Hole 1]:[Hole 18]], 0)
),"")</f>
        <v>4</v>
      </c>
      <c r="L1217" cm="1">
        <f t="array" ref="L1217">IFERROR(
  INDEX('Golf Log'!$E$2:$V$72,
    MATCH(1,
      ('Golf Log'!$A$2:$A$72=$A1217)*
      ('Golf Log'!$B$2:$B$72=$B1217)*
      ('Golf Log'!$C$2:$C$72=$C1217),
    0),
    MATCH($G1217,'Golf Log'!$E$1:$V$1,0)
  ),
"")</f>
        <v>4</v>
      </c>
      <c r="M1217">
        <f t="shared" si="84"/>
        <v>0</v>
      </c>
      <c r="N1217" t="str">
        <f t="shared" si="85"/>
        <v>Par</v>
      </c>
      <c r="O1217" cm="1">
        <f t="array" ref="O1217">IFERROR(
  INDEX('Putt Log'!$E$2:$V$72,
    MATCH(1,
      ('Putt Log'!$A$2:$A$72=$A1217)*
      ('Putt Log'!$B$2:$B$72=$B1217)*
      ('Putt Log'!$C$2:$C$72=$C1217),
    0),
    MATCH($G1217,'Putt Log'!$E$1:$V$1,0)
  ),
"")</f>
        <v>2</v>
      </c>
      <c r="P1217" t="str" cm="1">
        <f t="array" ref="P1217">IF(K1217=3,"",
  IFERROR(
    INDEX('Fairway Log'!$E$2:$V$72,
      MATCH(1,
        ('Fairway Log'!$A$2:$A$72=$A1217)*
        ('Fairway Log'!$B$2:$B$72=$B1217)*
        ('Fairway Log'!$C$2:$C1288=$C1217),
      0),
      MATCH($G1217,'Fairway Log'!$E$1:$V$1,0)
    ),
  "")
)</f>
        <v>→</v>
      </c>
      <c r="Q1217" cm="1">
        <f t="array" ref="Q1217">IFERROR(
  INDEX('GIR Log'!$E$2:$V$72,
    MATCH(1,
      ('GIR Log'!$A$2:$A$72=$A1217)*
      ('GIR Log'!$B$2:$B$72=$B1217)*
      ('GIR Log'!$C$2:$C$72=$C1217),
    0),
    MATCH($G1217,'GIR Log'!$E$1:$V$1,0)
  ),
"")</f>
        <v>1</v>
      </c>
    </row>
    <row r="1218" spans="1:17" x14ac:dyDescent="0.25">
      <c r="A1218" s="92" t="s">
        <v>126</v>
      </c>
      <c r="B1218" s="2">
        <v>46160</v>
      </c>
      <c r="C1218" s="92" t="s">
        <v>5</v>
      </c>
      <c r="D1218" s="92" t="s">
        <v>5</v>
      </c>
      <c r="E1218" s="92" t="s">
        <v>34</v>
      </c>
      <c r="F1218">
        <v>82</v>
      </c>
      <c r="G1218" s="12" t="s">
        <v>57</v>
      </c>
      <c r="H1218" s="9">
        <f t="shared" si="83"/>
        <v>11</v>
      </c>
      <c r="I1218" cm="1">
        <f t="array" ref="I1218">IFERROR(INDEX(CourseYardages[[Hole 1]:[Hole 18]],
  MATCH(1, (CourseYardages[Course]=C1218)*(CourseYardages[Tees]=E1218), 0),
  MATCH(G1218, CourseYardages[[#Headers],[Hole 1]:[Hole 18]], 0)
),"")</f>
        <v>200</v>
      </c>
      <c r="J1218" cm="1">
        <f t="array" ref="J1218">IFERROR(INDEX(CourseHandicap[[Hole 1]:[Hole 18]],
  MATCH(1, (CourseHandicap[Course]=C1218)*(CourseHandicap[Tees]=E1218), 0),
  MATCH(G1218, CourseHandicap[[#Headers],[Hole 1]:[Hole 18]], 0)
),"")</f>
        <v>16</v>
      </c>
      <c r="K1218" cm="1">
        <f t="array" ref="K1218">IFERROR(INDEX(CourseRatings[[Hole 1]:[Hole 18]],
  MATCH(1, (CourseRatings[Course]=C1218)*(CourseRatings[Tees]=E1218), 0),
  MATCH(G1218, CourseRatings[[#Headers],[Hole 1]:[Hole 18]], 0)
),"")</f>
        <v>3</v>
      </c>
      <c r="L1218" cm="1">
        <f t="array" ref="L1218">IFERROR(
  INDEX('Golf Log'!$E$2:$V$72,
    MATCH(1,
      ('Golf Log'!$A$2:$A$72=$A1218)*
      ('Golf Log'!$B$2:$B$72=$B1218)*
      ('Golf Log'!$C$2:$C$72=$C1218),
    0),
    MATCH($G1218,'Golf Log'!$E$1:$V$1,0)
  ),
"")</f>
        <v>2</v>
      </c>
      <c r="M1218">
        <f t="shared" si="84"/>
        <v>-1</v>
      </c>
      <c r="N1218" t="str">
        <f t="shared" si="85"/>
        <v>Birdie</v>
      </c>
      <c r="O1218" cm="1">
        <f t="array" ref="O1218">IFERROR(
  INDEX('Putt Log'!$E$2:$V$72,
    MATCH(1,
      ('Putt Log'!$A$2:$A$72=$A1218)*
      ('Putt Log'!$B$2:$B$72=$B1218)*
      ('Putt Log'!$C$2:$C$72=$C1218),
    0),
    MATCH($G1218,'Putt Log'!$E$1:$V$1,0)
  ),
"")</f>
        <v>1</v>
      </c>
      <c r="P1218" t="str" cm="1">
        <f t="array" ref="P1218">IF(K1218=3,"",
  IFERROR(
    INDEX('Fairway Log'!$E$2:$V$72,
      MATCH(1,
        ('Fairway Log'!$A$2:$A$72=$A1218)*
        ('Fairway Log'!$B$2:$B$72=$B1218)*
        ('Fairway Log'!$C$2:$C1289=$C1218),
      0),
      MATCH($G1218,'Fairway Log'!$E$1:$V$1,0)
    ),
  "")
)</f>
        <v/>
      </c>
      <c r="Q1218" cm="1">
        <f t="array" ref="Q1218">IFERROR(
  INDEX('GIR Log'!$E$2:$V$72,
    MATCH(1,
      ('GIR Log'!$A$2:$A$72=$A1218)*
      ('GIR Log'!$B$2:$B$72=$B1218)*
      ('GIR Log'!$C$2:$C$72=$C1218),
    0),
    MATCH($G1218,'GIR Log'!$E$1:$V$1,0)
  ),
"")</f>
        <v>1</v>
      </c>
    </row>
    <row r="1219" spans="1:17" x14ac:dyDescent="0.25">
      <c r="A1219" s="92" t="s">
        <v>126</v>
      </c>
      <c r="B1219" s="2">
        <v>46160</v>
      </c>
      <c r="C1219" s="92" t="s">
        <v>5</v>
      </c>
      <c r="D1219" s="92" t="s">
        <v>5</v>
      </c>
      <c r="E1219" s="92" t="s">
        <v>34</v>
      </c>
      <c r="F1219">
        <v>82</v>
      </c>
      <c r="G1219" s="12" t="s">
        <v>58</v>
      </c>
      <c r="H1219" s="9">
        <f t="shared" si="83"/>
        <v>12</v>
      </c>
      <c r="I1219" cm="1">
        <f t="array" ref="I1219">IFERROR(INDEX(CourseYardages[[Hole 1]:[Hole 18]],
  MATCH(1, (CourseYardages[Course]=C1219)*(CourseYardages[Tees]=E1219), 0),
  MATCH(G1219, CourseYardages[[#Headers],[Hole 1]:[Hole 18]], 0)
),"")</f>
        <v>473</v>
      </c>
      <c r="J1219" cm="1">
        <f t="array" ref="J1219">IFERROR(INDEX(CourseHandicap[[Hole 1]:[Hole 18]],
  MATCH(1, (CourseHandicap[Course]=C1219)*(CourseHandicap[Tees]=E1219), 0),
  MATCH(G1219, CourseHandicap[[#Headers],[Hole 1]:[Hole 18]], 0)
),"")</f>
        <v>10</v>
      </c>
      <c r="K1219" cm="1">
        <f t="array" ref="K1219">IFERROR(INDEX(CourseRatings[[Hole 1]:[Hole 18]],
  MATCH(1, (CourseRatings[Course]=C1219)*(CourseRatings[Tees]=E1219), 0),
  MATCH(G1219, CourseRatings[[#Headers],[Hole 1]:[Hole 18]], 0)
),"")</f>
        <v>5</v>
      </c>
      <c r="L1219" cm="1">
        <f t="array" ref="L1219">IFERROR(
  INDEX('Golf Log'!$E$2:$V$72,
    MATCH(1,
      ('Golf Log'!$A$2:$A$72=$A1219)*
      ('Golf Log'!$B$2:$B$72=$B1219)*
      ('Golf Log'!$C$2:$C$72=$C1219),
    0),
    MATCH($G1219,'Golf Log'!$E$1:$V$1,0)
  ),
"")</f>
        <v>6</v>
      </c>
      <c r="M1219">
        <f t="shared" si="84"/>
        <v>1</v>
      </c>
      <c r="N1219" t="str">
        <f t="shared" si="85"/>
        <v>Bogey</v>
      </c>
      <c r="O1219" cm="1">
        <f t="array" ref="O1219">IFERROR(
  INDEX('Putt Log'!$E$2:$V$72,
    MATCH(1,
      ('Putt Log'!$A$2:$A$72=$A1219)*
      ('Putt Log'!$B$2:$B$72=$B1219)*
      ('Putt Log'!$C$2:$C$72=$C1219),
    0),
    MATCH($G1219,'Putt Log'!$E$1:$V$1,0)
  ),
"")</f>
        <v>2</v>
      </c>
      <c r="P1219" t="str" cm="1">
        <f t="array" ref="P1219">IF(K1219=3,"",
  IFERROR(
    INDEX('Fairway Log'!$E$2:$V$72,
      MATCH(1,
        ('Fairway Log'!$A$2:$A$72=$A1219)*
        ('Fairway Log'!$B$2:$B$72=$B1219)*
        ('Fairway Log'!$C$2:$C1290=$C1219),
      0),
      MATCH($G1219,'Fairway Log'!$E$1:$V$1,0)
    ),
  "")
)</f>
        <v>→</v>
      </c>
      <c r="Q1219" t="str" cm="1">
        <f t="array" ref="Q1219">IFERROR(
  INDEX('GIR Log'!$E$2:$V$72,
    MATCH(1,
      ('GIR Log'!$A$2:$A$72=$A1219)*
      ('GIR Log'!$B$2:$B$72=$B1219)*
      ('GIR Log'!$C$2:$C$72=$C1219),
    0),
    MATCH($G1219,'GIR Log'!$E$1:$V$1,0)
  ),
"")</f>
        <v>←</v>
      </c>
    </row>
    <row r="1220" spans="1:17" x14ac:dyDescent="0.25">
      <c r="A1220" s="92" t="s">
        <v>126</v>
      </c>
      <c r="B1220" s="2">
        <v>46160</v>
      </c>
      <c r="C1220" s="92" t="s">
        <v>5</v>
      </c>
      <c r="D1220" s="92" t="s">
        <v>5</v>
      </c>
      <c r="E1220" s="92" t="s">
        <v>34</v>
      </c>
      <c r="F1220">
        <v>82</v>
      </c>
      <c r="G1220" s="12" t="s">
        <v>59</v>
      </c>
      <c r="H1220" s="9">
        <f t="shared" si="83"/>
        <v>13</v>
      </c>
      <c r="I1220" cm="1">
        <f t="array" ref="I1220">IFERROR(INDEX(CourseYardages[[Hole 1]:[Hole 18]],
  MATCH(1, (CourseYardages[Course]=C1220)*(CourseYardages[Tees]=E1220), 0),
  MATCH(G1220, CourseYardages[[#Headers],[Hole 1]:[Hole 18]], 0)
),"")</f>
        <v>362</v>
      </c>
      <c r="J1220" cm="1">
        <f t="array" ref="J1220">IFERROR(INDEX(CourseHandicap[[Hole 1]:[Hole 18]],
  MATCH(1, (CourseHandicap[Course]=C1220)*(CourseHandicap[Tees]=E1220), 0),
  MATCH(G1220, CourseHandicap[[#Headers],[Hole 1]:[Hole 18]], 0)
),"")</f>
        <v>18</v>
      </c>
      <c r="K1220" cm="1">
        <f t="array" ref="K1220">IFERROR(INDEX(CourseRatings[[Hole 1]:[Hole 18]],
  MATCH(1, (CourseRatings[Course]=C1220)*(CourseRatings[Tees]=E1220), 0),
  MATCH(G1220, CourseRatings[[#Headers],[Hole 1]:[Hole 18]], 0)
),"")</f>
        <v>4</v>
      </c>
      <c r="L1220" cm="1">
        <f t="array" ref="L1220">IFERROR(
  INDEX('Golf Log'!$E$2:$V$72,
    MATCH(1,
      ('Golf Log'!$A$2:$A$72=$A1220)*
      ('Golf Log'!$B$2:$B$72=$B1220)*
      ('Golf Log'!$C$2:$C$72=$C1220),
    0),
    MATCH($G1220,'Golf Log'!$E$1:$V$1,0)
  ),
"")</f>
        <v>4</v>
      </c>
      <c r="M1220">
        <f t="shared" si="84"/>
        <v>0</v>
      </c>
      <c r="N1220" t="str">
        <f t="shared" si="85"/>
        <v>Par</v>
      </c>
      <c r="O1220" cm="1">
        <f t="array" ref="O1220">IFERROR(
  INDEX('Putt Log'!$E$2:$V$72,
    MATCH(1,
      ('Putt Log'!$A$2:$A$72=$A1220)*
      ('Putt Log'!$B$2:$B$72=$B1220)*
      ('Putt Log'!$C$2:$C$72=$C1220),
    0),
    MATCH($G1220,'Putt Log'!$E$1:$V$1,0)
  ),
"")</f>
        <v>2</v>
      </c>
      <c r="P1220" cm="1">
        <f t="array" ref="P1220">IF(K1220=3,"",
  IFERROR(
    INDEX('Fairway Log'!$E$2:$V$72,
      MATCH(1,
        ('Fairway Log'!$A$2:$A$72=$A1220)*
        ('Fairway Log'!$B$2:$B$72=$B1220)*
        ('Fairway Log'!$C$2:$C1291=$C1220),
      0),
      MATCH($G1220,'Fairway Log'!$E$1:$V$1,0)
    ),
  "")
)</f>
        <v>1</v>
      </c>
      <c r="Q1220" cm="1">
        <f t="array" ref="Q1220">IFERROR(
  INDEX('GIR Log'!$E$2:$V$72,
    MATCH(1,
      ('GIR Log'!$A$2:$A$72=$A1220)*
      ('GIR Log'!$B$2:$B$72=$B1220)*
      ('GIR Log'!$C$2:$C$72=$C1220),
    0),
    MATCH($G1220,'GIR Log'!$E$1:$V$1,0)
  ),
"")</f>
        <v>1</v>
      </c>
    </row>
    <row r="1221" spans="1:17" x14ac:dyDescent="0.25">
      <c r="A1221" s="92" t="s">
        <v>126</v>
      </c>
      <c r="B1221" s="2">
        <v>46160</v>
      </c>
      <c r="C1221" s="92" t="s">
        <v>5</v>
      </c>
      <c r="D1221" s="92" t="s">
        <v>5</v>
      </c>
      <c r="E1221" s="92" t="s">
        <v>34</v>
      </c>
      <c r="F1221">
        <v>82</v>
      </c>
      <c r="G1221" s="12" t="s">
        <v>60</v>
      </c>
      <c r="H1221" s="9">
        <f t="shared" si="83"/>
        <v>14</v>
      </c>
      <c r="I1221" cm="1">
        <f t="array" ref="I1221">IFERROR(INDEX(CourseYardages[[Hole 1]:[Hole 18]],
  MATCH(1, (CourseYardages[Course]=C1221)*(CourseYardages[Tees]=E1221), 0),
  MATCH(G1221, CourseYardages[[#Headers],[Hole 1]:[Hole 18]], 0)
),"")</f>
        <v>383</v>
      </c>
      <c r="J1221" cm="1">
        <f t="array" ref="J1221">IFERROR(INDEX(CourseHandicap[[Hole 1]:[Hole 18]],
  MATCH(1, (CourseHandicap[Course]=C1221)*(CourseHandicap[Tees]=E1221), 0),
  MATCH(G1221, CourseHandicap[[#Headers],[Hole 1]:[Hole 18]], 0)
),"")</f>
        <v>8</v>
      </c>
      <c r="K1221" cm="1">
        <f t="array" ref="K1221">IFERROR(INDEX(CourseRatings[[Hole 1]:[Hole 18]],
  MATCH(1, (CourseRatings[Course]=C1221)*(CourseRatings[Tees]=E1221), 0),
  MATCH(G1221, CourseRatings[[#Headers],[Hole 1]:[Hole 18]], 0)
),"")</f>
        <v>4</v>
      </c>
      <c r="L1221" cm="1">
        <f t="array" ref="L1221">IFERROR(
  INDEX('Golf Log'!$E$2:$V$72,
    MATCH(1,
      ('Golf Log'!$A$2:$A$72=$A1221)*
      ('Golf Log'!$B$2:$B$72=$B1221)*
      ('Golf Log'!$C$2:$C$72=$C1221),
    0),
    MATCH($G1221,'Golf Log'!$E$1:$V$1,0)
  ),
"")</f>
        <v>5</v>
      </c>
      <c r="M1221">
        <f t="shared" si="84"/>
        <v>1</v>
      </c>
      <c r="N1221" t="str">
        <f t="shared" si="85"/>
        <v>Bogey</v>
      </c>
      <c r="O1221" cm="1">
        <f t="array" ref="O1221">IFERROR(
  INDEX('Putt Log'!$E$2:$V$72,
    MATCH(1,
      ('Putt Log'!$A$2:$A$72=$A1221)*
      ('Putt Log'!$B$2:$B$72=$B1221)*
      ('Putt Log'!$C$2:$C$72=$C1221),
    0),
    MATCH($G1221,'Putt Log'!$E$1:$V$1,0)
  ),
"")</f>
        <v>1</v>
      </c>
      <c r="P1221" cm="1">
        <f t="array" ref="P1221">IF(K1221=3,"",
  IFERROR(
    INDEX('Fairway Log'!$E$2:$V$72,
      MATCH(1,
        ('Fairway Log'!$A$2:$A$72=$A1221)*
        ('Fairway Log'!$B$2:$B$72=$B1221)*
        ('Fairway Log'!$C$2:$C1292=$C1221),
      0),
      MATCH($G1221,'Fairway Log'!$E$1:$V$1,0)
    ),
  "")
)</f>
        <v>1</v>
      </c>
      <c r="Q1221" t="str" cm="1">
        <f t="array" ref="Q1221">IFERROR(
  INDEX('GIR Log'!$E$2:$V$72,
    MATCH(1,
      ('GIR Log'!$A$2:$A$72=$A1221)*
      ('GIR Log'!$B$2:$B$72=$B1221)*
      ('GIR Log'!$C$2:$C$72=$C1221),
    0),
    MATCH($G1221,'GIR Log'!$E$1:$V$1,0)
  ),
"")</f>
        <v>↓</v>
      </c>
    </row>
    <row r="1222" spans="1:17" x14ac:dyDescent="0.25">
      <c r="A1222" s="92" t="s">
        <v>126</v>
      </c>
      <c r="B1222" s="2">
        <v>46160</v>
      </c>
      <c r="C1222" s="92" t="s">
        <v>5</v>
      </c>
      <c r="D1222" s="92" t="s">
        <v>5</v>
      </c>
      <c r="E1222" s="92" t="s">
        <v>34</v>
      </c>
      <c r="F1222">
        <v>82</v>
      </c>
      <c r="G1222" s="12" t="s">
        <v>61</v>
      </c>
      <c r="H1222" s="9">
        <f t="shared" si="83"/>
        <v>15</v>
      </c>
      <c r="I1222" cm="1">
        <f t="array" ref="I1222">IFERROR(INDEX(CourseYardages[[Hole 1]:[Hole 18]],
  MATCH(1, (CourseYardages[Course]=C1222)*(CourseYardages[Tees]=E1222), 0),
  MATCH(G1222, CourseYardages[[#Headers],[Hole 1]:[Hole 18]], 0)
),"")</f>
        <v>387</v>
      </c>
      <c r="J1222" cm="1">
        <f t="array" ref="J1222">IFERROR(INDEX(CourseHandicap[[Hole 1]:[Hole 18]],
  MATCH(1, (CourseHandicap[Course]=C1222)*(CourseHandicap[Tees]=E1222), 0),
  MATCH(G1222, CourseHandicap[[#Headers],[Hole 1]:[Hole 18]], 0)
),"")</f>
        <v>2</v>
      </c>
      <c r="K1222" cm="1">
        <f t="array" ref="K1222">IFERROR(INDEX(CourseRatings[[Hole 1]:[Hole 18]],
  MATCH(1, (CourseRatings[Course]=C1222)*(CourseRatings[Tees]=E1222), 0),
  MATCH(G1222, CourseRatings[[#Headers],[Hole 1]:[Hole 18]], 0)
),"")</f>
        <v>4</v>
      </c>
      <c r="L1222" cm="1">
        <f t="array" ref="L1222">IFERROR(
  INDEX('Golf Log'!$E$2:$V$72,
    MATCH(1,
      ('Golf Log'!$A$2:$A$72=$A1222)*
      ('Golf Log'!$B$2:$B$72=$B1222)*
      ('Golf Log'!$C$2:$C$72=$C1222),
    0),
    MATCH($G1222,'Golf Log'!$E$1:$V$1,0)
  ),
"")</f>
        <v>5</v>
      </c>
      <c r="M1222">
        <f t="shared" si="84"/>
        <v>1</v>
      </c>
      <c r="N1222" t="str">
        <f t="shared" si="85"/>
        <v>Bogey</v>
      </c>
      <c r="O1222" cm="1">
        <f t="array" ref="O1222">IFERROR(
  INDEX('Putt Log'!$E$2:$V$72,
    MATCH(1,
      ('Putt Log'!$A$2:$A$72=$A1222)*
      ('Putt Log'!$B$2:$B$72=$B1222)*
      ('Putt Log'!$C$2:$C$72=$C1222),
    0),
    MATCH($G1222,'Putt Log'!$E$1:$V$1,0)
  ),
"")</f>
        <v>2</v>
      </c>
      <c r="P1222" t="str" cm="1">
        <f t="array" ref="P1222">IF(K1222=3,"",
  IFERROR(
    INDEX('Fairway Log'!$E$2:$V$72,
      MATCH(1,
        ('Fairway Log'!$A$2:$A$72=$A1222)*
        ('Fairway Log'!$B$2:$B$72=$B1222)*
        ('Fairway Log'!$C$2:$C1293=$C1222),
      0),
      MATCH($G1222,'Fairway Log'!$E$1:$V$1,0)
    ),
  "")
)</f>
        <v>→</v>
      </c>
      <c r="Q1222" t="str" cm="1">
        <f t="array" ref="Q1222">IFERROR(
  INDEX('GIR Log'!$E$2:$V$72,
    MATCH(1,
      ('GIR Log'!$A$2:$A$72=$A1222)*
      ('GIR Log'!$B$2:$B$72=$B1222)*
      ('GIR Log'!$C$2:$C$72=$C1222),
    0),
    MATCH($G1222,'GIR Log'!$E$1:$V$1,0)
  ),
"")</f>
        <v>↓</v>
      </c>
    </row>
    <row r="1223" spans="1:17" x14ac:dyDescent="0.25">
      <c r="A1223" s="92" t="s">
        <v>126</v>
      </c>
      <c r="B1223" s="2">
        <v>46160</v>
      </c>
      <c r="C1223" s="92" t="s">
        <v>5</v>
      </c>
      <c r="D1223" s="92" t="s">
        <v>5</v>
      </c>
      <c r="E1223" s="92" t="s">
        <v>34</v>
      </c>
      <c r="F1223">
        <v>82</v>
      </c>
      <c r="G1223" s="12" t="s">
        <v>62</v>
      </c>
      <c r="H1223" s="9">
        <f t="shared" si="83"/>
        <v>16</v>
      </c>
      <c r="I1223" cm="1">
        <f t="array" ref="I1223">IFERROR(INDEX(CourseYardages[[Hole 1]:[Hole 18]],
  MATCH(1, (CourseYardages[Course]=C1223)*(CourseYardages[Tees]=E1223), 0),
  MATCH(G1223, CourseYardages[[#Headers],[Hole 1]:[Hole 18]], 0)
),"")</f>
        <v>501</v>
      </c>
      <c r="J1223" cm="1">
        <f t="array" ref="J1223">IFERROR(INDEX(CourseHandicap[[Hole 1]:[Hole 18]],
  MATCH(1, (CourseHandicap[Course]=C1223)*(CourseHandicap[Tees]=E1223), 0),
  MATCH(G1223, CourseHandicap[[#Headers],[Hole 1]:[Hole 18]], 0)
),"")</f>
        <v>4</v>
      </c>
      <c r="K1223" cm="1">
        <f t="array" ref="K1223">IFERROR(INDEX(CourseRatings[[Hole 1]:[Hole 18]],
  MATCH(1, (CourseRatings[Course]=C1223)*(CourseRatings[Tees]=E1223), 0),
  MATCH(G1223, CourseRatings[[#Headers],[Hole 1]:[Hole 18]], 0)
),"")</f>
        <v>5</v>
      </c>
      <c r="L1223" cm="1">
        <f t="array" ref="L1223">IFERROR(
  INDEX('Golf Log'!$E$2:$V$72,
    MATCH(1,
      ('Golf Log'!$A$2:$A$72=$A1223)*
      ('Golf Log'!$B$2:$B$72=$B1223)*
      ('Golf Log'!$C$2:$C$72=$C1223),
    0),
    MATCH($G1223,'Golf Log'!$E$1:$V$1,0)
  ),
"")</f>
        <v>6</v>
      </c>
      <c r="M1223">
        <f t="shared" si="84"/>
        <v>1</v>
      </c>
      <c r="N1223" t="str">
        <f t="shared" si="85"/>
        <v>Bogey</v>
      </c>
      <c r="O1223" cm="1">
        <f t="array" ref="O1223">IFERROR(
  INDEX('Putt Log'!$E$2:$V$72,
    MATCH(1,
      ('Putt Log'!$A$2:$A$72=$A1223)*
      ('Putt Log'!$B$2:$B$72=$B1223)*
      ('Putt Log'!$C$2:$C$72=$C1223),
    0),
    MATCH($G1223,'Putt Log'!$E$1:$V$1,0)
  ),
"")</f>
        <v>2</v>
      </c>
      <c r="P1223" t="str" cm="1">
        <f t="array" ref="P1223">IF(K1223=3,"",
  IFERROR(
    INDEX('Fairway Log'!$E$2:$V$72,
      MATCH(1,
        ('Fairway Log'!$A$2:$A$72=$A1223)*
        ('Fairway Log'!$B$2:$B$72=$B1223)*
        ('Fairway Log'!$C$2:$C1294=$C1223),
      0),
      MATCH($G1223,'Fairway Log'!$E$1:$V$1,0)
    ),
  "")
)</f>
        <v>←</v>
      </c>
      <c r="Q1223" t="str" cm="1">
        <f t="array" ref="Q1223">IFERROR(
  INDEX('GIR Log'!$E$2:$V$72,
    MATCH(1,
      ('GIR Log'!$A$2:$A$72=$A1223)*
      ('GIR Log'!$B$2:$B$72=$B1223)*
      ('GIR Log'!$C$2:$C$72=$C1223),
    0),
    MATCH($G1223,'GIR Log'!$E$1:$V$1,0)
  ),
"")</f>
        <v>↓</v>
      </c>
    </row>
    <row r="1224" spans="1:17" x14ac:dyDescent="0.25">
      <c r="A1224" s="92" t="s">
        <v>126</v>
      </c>
      <c r="B1224" s="2">
        <v>46160</v>
      </c>
      <c r="C1224" s="92" t="s">
        <v>5</v>
      </c>
      <c r="D1224" s="92" t="s">
        <v>5</v>
      </c>
      <c r="E1224" s="92" t="s">
        <v>34</v>
      </c>
      <c r="F1224">
        <v>82</v>
      </c>
      <c r="G1224" s="12" t="s">
        <v>63</v>
      </c>
      <c r="H1224" s="9">
        <f t="shared" si="83"/>
        <v>17</v>
      </c>
      <c r="I1224" cm="1">
        <f t="array" ref="I1224">IFERROR(INDEX(CourseYardages[[Hole 1]:[Hole 18]],
  MATCH(1, (CourseYardages[Course]=C1224)*(CourseYardages[Tees]=E1224), 0),
  MATCH(G1224, CourseYardages[[#Headers],[Hole 1]:[Hole 18]], 0)
),"")</f>
        <v>175</v>
      </c>
      <c r="J1224" cm="1">
        <f t="array" ref="J1224">IFERROR(INDEX(CourseHandicap[[Hole 1]:[Hole 18]],
  MATCH(1, (CourseHandicap[Course]=C1224)*(CourseHandicap[Tees]=E1224), 0),
  MATCH(G1224, CourseHandicap[[#Headers],[Hole 1]:[Hole 18]], 0)
),"")</f>
        <v>14</v>
      </c>
      <c r="K1224" cm="1">
        <f t="array" ref="K1224">IFERROR(INDEX(CourseRatings[[Hole 1]:[Hole 18]],
  MATCH(1, (CourseRatings[Course]=C1224)*(CourseRatings[Tees]=E1224), 0),
  MATCH(G1224, CourseRatings[[#Headers],[Hole 1]:[Hole 18]], 0)
),"")</f>
        <v>3</v>
      </c>
      <c r="L1224" cm="1">
        <f t="array" ref="L1224">IFERROR(
  INDEX('Golf Log'!$E$2:$V$72,
    MATCH(1,
      ('Golf Log'!$A$2:$A$72=$A1224)*
      ('Golf Log'!$B$2:$B$72=$B1224)*
      ('Golf Log'!$C$2:$C$72=$C1224),
    0),
    MATCH($G1224,'Golf Log'!$E$1:$V$1,0)
  ),
"")</f>
        <v>4</v>
      </c>
      <c r="M1224">
        <f t="shared" si="84"/>
        <v>1</v>
      </c>
      <c r="N1224" t="str">
        <f t="shared" si="85"/>
        <v>Bogey</v>
      </c>
      <c r="O1224" cm="1">
        <f t="array" ref="O1224">IFERROR(
  INDEX('Putt Log'!$E$2:$V$72,
    MATCH(1,
      ('Putt Log'!$A$2:$A$72=$A1224)*
      ('Putt Log'!$B$2:$B$72=$B1224)*
      ('Putt Log'!$C$2:$C$72=$C1224),
    0),
    MATCH($G1224,'Putt Log'!$E$1:$V$1,0)
  ),
"")</f>
        <v>2</v>
      </c>
      <c r="P1224" t="str" cm="1">
        <f t="array" ref="P1224">IF(K1224=3,"",
  IFERROR(
    INDEX('Fairway Log'!$E$2:$V$72,
      MATCH(1,
        ('Fairway Log'!$A$2:$A$72=$A1224)*
        ('Fairway Log'!$B$2:$B$72=$B1224)*
        ('Fairway Log'!$C$2:$C1295=$C1224),
      0),
      MATCH($G1224,'Fairway Log'!$E$1:$V$1,0)
    ),
  "")
)</f>
        <v/>
      </c>
      <c r="Q1224" t="str" cm="1">
        <f t="array" ref="Q1224">IFERROR(
  INDEX('GIR Log'!$E$2:$V$72,
    MATCH(1,
      ('GIR Log'!$A$2:$A$72=$A1224)*
      ('GIR Log'!$B$2:$B$72=$B1224)*
      ('GIR Log'!$C$2:$C$72=$C1224),
    0),
    MATCH($G1224,'GIR Log'!$E$1:$V$1,0)
  ),
"")</f>
        <v>↓</v>
      </c>
    </row>
    <row r="1225" spans="1:17" x14ac:dyDescent="0.25">
      <c r="A1225" s="92" t="s">
        <v>126</v>
      </c>
      <c r="B1225" s="2">
        <v>46160</v>
      </c>
      <c r="C1225" s="92" t="s">
        <v>5</v>
      </c>
      <c r="D1225" s="92" t="s">
        <v>5</v>
      </c>
      <c r="E1225" s="92" t="s">
        <v>34</v>
      </c>
      <c r="F1225">
        <v>82</v>
      </c>
      <c r="G1225" s="12" t="s">
        <v>64</v>
      </c>
      <c r="H1225" s="9">
        <f t="shared" si="83"/>
        <v>18</v>
      </c>
      <c r="I1225" cm="1">
        <f t="array" ref="I1225">IFERROR(INDEX(CourseYardages[[Hole 1]:[Hole 18]],
  MATCH(1, (CourseYardages[Course]=C1225)*(CourseYardages[Tees]=E1225), 0),
  MATCH(G1225, CourseYardages[[#Headers],[Hole 1]:[Hole 18]], 0)
),"")</f>
        <v>364</v>
      </c>
      <c r="J1225" cm="1">
        <f t="array" ref="J1225">IFERROR(INDEX(CourseHandicap[[Hole 1]:[Hole 18]],
  MATCH(1, (CourseHandicap[Course]=C1225)*(CourseHandicap[Tees]=E1225), 0),
  MATCH(G1225, CourseHandicap[[#Headers],[Hole 1]:[Hole 18]], 0)
),"")</f>
        <v>6</v>
      </c>
      <c r="K1225" cm="1">
        <f t="array" ref="K1225">IFERROR(INDEX(CourseRatings[[Hole 1]:[Hole 18]],
  MATCH(1, (CourseRatings[Course]=C1225)*(CourseRatings[Tees]=E1225), 0),
  MATCH(G1225, CourseRatings[[#Headers],[Hole 1]:[Hole 18]], 0)
),"")</f>
        <v>4</v>
      </c>
      <c r="L1225" cm="1">
        <f t="array" ref="L1225">IFERROR(
  INDEX('Golf Log'!$E$2:$V$72,
    MATCH(1,
      ('Golf Log'!$A$2:$A$72=$A1225)*
      ('Golf Log'!$B$2:$B$72=$B1225)*
      ('Golf Log'!$C$2:$C$72=$C1225),
    0),
    MATCH($G1225,'Golf Log'!$E$1:$V$1,0)
  ),
"")</f>
        <v>5</v>
      </c>
      <c r="M1225">
        <f t="shared" si="84"/>
        <v>1</v>
      </c>
      <c r="N1225" t="str">
        <f t="shared" si="85"/>
        <v>Bogey</v>
      </c>
      <c r="O1225" cm="1">
        <f t="array" ref="O1225">IFERROR(
  INDEX('Putt Log'!$E$2:$V$72,
    MATCH(1,
      ('Putt Log'!$A$2:$A$72=$A1225)*
      ('Putt Log'!$B$2:$B$72=$B1225)*
      ('Putt Log'!$C$2:$C$72=$C1225),
    0),
    MATCH($G1225,'Putt Log'!$E$1:$V$1,0)
  ),
"")</f>
        <v>2</v>
      </c>
      <c r="P1225" t="str" cm="1">
        <f t="array" ref="P1225">IF(K1225=3,"",
  IFERROR(
    INDEX('Fairway Log'!$E$2:$V$72,
      MATCH(1,
        ('Fairway Log'!$A$2:$A$72=$A1225)*
        ('Fairway Log'!$B$2:$B$72=$B1225)*
        ('Fairway Log'!$C$2:$C1296=$C1225),
      0),
      MATCH($G1225,'Fairway Log'!$E$1:$V$1,0)
    ),
  "")
)</f>
        <v>→</v>
      </c>
      <c r="Q1225" t="str" cm="1">
        <f t="array" ref="Q1225">IFERROR(
  INDEX('GIR Log'!$E$2:$V$72,
    MATCH(1,
      ('GIR Log'!$A$2:$A$72=$A1225)*
      ('GIR Log'!$B$2:$B$72=$B1225)*
      ('GIR Log'!$C$2:$C$72=$C1225),
    0),
    MATCH($G1225,'GIR Log'!$E$1:$V$1,0)
  ),
"")</f>
        <v>↓</v>
      </c>
    </row>
    <row r="1226" spans="1:17" x14ac:dyDescent="0.25">
      <c r="A1226" s="92" t="s">
        <v>126</v>
      </c>
      <c r="B1226" s="2">
        <v>46164</v>
      </c>
      <c r="C1226" s="107" t="s">
        <v>6</v>
      </c>
      <c r="D1226" s="107" t="s">
        <v>75</v>
      </c>
      <c r="E1226" s="107" t="s">
        <v>36</v>
      </c>
      <c r="F1226">
        <v>89</v>
      </c>
      <c r="G1226" s="12" t="s">
        <v>47</v>
      </c>
      <c r="H1226" s="9">
        <f t="shared" ref="H1226:H1243" si="86">VALUE(RIGHT(G1226, LEN(G1226) - 5))</f>
        <v>1</v>
      </c>
      <c r="I1226" cm="1">
        <f t="array" ref="I1226">IFERROR(INDEX(CourseYardages[[Hole 1]:[Hole 18]],
  MATCH(1, (CourseYardages[Course]=C1226)*(CourseYardages[Tees]=E1226), 0),
  MATCH(G1226, CourseYardages[[#Headers],[Hole 1]:[Hole 18]], 0)
),"")</f>
        <v>435</v>
      </c>
      <c r="J1226" cm="1">
        <f t="array" ref="J1226">IFERROR(INDEX(CourseHandicap[[Hole 1]:[Hole 18]],
  MATCH(1, (CourseHandicap[Course]=C1226)*(CourseHandicap[Tees]=E1226), 0),
  MATCH(G1226, CourseHandicap[[#Headers],[Hole 1]:[Hole 18]], 0)
),"")</f>
        <v>6</v>
      </c>
      <c r="K1226" cm="1">
        <f t="array" ref="K1226">IFERROR(INDEX(CourseRatings[[Hole 1]:[Hole 18]],
  MATCH(1, (CourseRatings[Course]=C1226)*(CourseRatings[Tees]=E1226), 0),
  MATCH(G1226, CourseRatings[[#Headers],[Hole 1]:[Hole 18]], 0)
),"")</f>
        <v>5</v>
      </c>
      <c r="L1226" cm="1">
        <f t="array" ref="L1226">IFERROR(
  INDEX('Golf Log'!$E$2:$V$72,
    MATCH(1,
      ('Golf Log'!$A$2:$A$72=$A1226)*
      ('Golf Log'!$B$2:$B$72=$B1226)*
      ('Golf Log'!$C$2:$C$72=$C1226),
    0),
    MATCH($G1226,'Golf Log'!$E$1:$V$1,0)
  ),
"")</f>
        <v>5</v>
      </c>
      <c r="M1226">
        <f t="shared" ref="M1226:M1243" si="87">IFERROR(L1226-K1226,"")</f>
        <v>0</v>
      </c>
      <c r="N1226" t="str">
        <f t="shared" ref="N1226:N1243" si="88">IF(M1226="","",(IF(M1226=-2,"Eagle",IF(M1226=-1,"Birdie",IF(M1226=0,"Par",IF(M1226=1,"Bogey",IF(M1226=2,"Double Bogey",IF(M1226=3,"Triple Bogey",IF(M1226&gt;3,"Quad Bogey+")))))))))</f>
        <v>Par</v>
      </c>
      <c r="O1226" cm="1">
        <f t="array" ref="O1226">IFERROR(
  INDEX('Putt Log'!$E$2:$V$72,
    MATCH(1,
      ('Putt Log'!$A$2:$A$72=$A1226)*
      ('Putt Log'!$B$2:$B$72=$B1226)*
      ('Putt Log'!$C$2:$C$72=$C1226),
    0),
    MATCH($G1226,'Putt Log'!$E$1:$V$1,0)
  ),
"")</f>
        <v>2</v>
      </c>
      <c r="P1226" cm="1">
        <f t="array" ref="P1226">IF(K1226=3,"",
  IFERROR(
    INDEX('Fairway Log'!$E$2:$V$72,
      MATCH(1,
        ('Fairway Log'!$A$2:$A$72=$A1226)*
        ('Fairway Log'!$B$2:$B$72=$B1226)*
        ('Fairway Log'!$C$2:$C1297=$C1226),
      0),
      MATCH($G1226,'Fairway Log'!$E$1:$V$1,0)
    ),
  "")
)</f>
        <v>1</v>
      </c>
      <c r="Q1226" cm="1">
        <f t="array" ref="Q1226">IFERROR(
  INDEX('GIR Log'!$E$2:$V$72,
    MATCH(1,
      ('GIR Log'!$A$2:$A$72=$A1226)*
      ('GIR Log'!$B$2:$B$72=$B1226)*
      ('GIR Log'!$C$2:$C$72=$C1226),
    0),
    MATCH($G1226,'GIR Log'!$E$1:$V$1,0)
  ),
"")</f>
        <v>1</v>
      </c>
    </row>
    <row r="1227" spans="1:17" x14ac:dyDescent="0.25">
      <c r="A1227" s="92" t="s">
        <v>126</v>
      </c>
      <c r="B1227" s="2">
        <v>46164</v>
      </c>
      <c r="C1227" s="107" t="s">
        <v>6</v>
      </c>
      <c r="D1227" s="107" t="s">
        <v>75</v>
      </c>
      <c r="E1227" s="107" t="s">
        <v>36</v>
      </c>
      <c r="F1227">
        <v>89</v>
      </c>
      <c r="G1227" s="12" t="s">
        <v>48</v>
      </c>
      <c r="H1227" s="9">
        <f t="shared" si="86"/>
        <v>2</v>
      </c>
      <c r="I1227" cm="1">
        <f t="array" ref="I1227">IFERROR(INDEX(CourseYardages[[Hole 1]:[Hole 18]],
  MATCH(1, (CourseYardages[Course]=C1227)*(CourseYardages[Tees]=E1227), 0),
  MATCH(G1227, CourseYardages[[#Headers],[Hole 1]:[Hole 18]], 0)
),"")</f>
        <v>302</v>
      </c>
      <c r="J1227" cm="1">
        <f t="array" ref="J1227">IFERROR(INDEX(CourseHandicap[[Hole 1]:[Hole 18]],
  MATCH(1, (CourseHandicap[Course]=C1227)*(CourseHandicap[Tees]=E1227), 0),
  MATCH(G1227, CourseHandicap[[#Headers],[Hole 1]:[Hole 18]], 0)
),"")</f>
        <v>2</v>
      </c>
      <c r="K1227" cm="1">
        <f t="array" ref="K1227">IFERROR(INDEX(CourseRatings[[Hole 1]:[Hole 18]],
  MATCH(1, (CourseRatings[Course]=C1227)*(CourseRatings[Tees]=E1227), 0),
  MATCH(G1227, CourseRatings[[#Headers],[Hole 1]:[Hole 18]], 0)
),"")</f>
        <v>4</v>
      </c>
      <c r="L1227" cm="1">
        <f t="array" ref="L1227">IFERROR(
  INDEX('Golf Log'!$E$2:$V$72,
    MATCH(1,
      ('Golf Log'!$A$2:$A$72=$A1227)*
      ('Golf Log'!$B$2:$B$72=$B1227)*
      ('Golf Log'!$C$2:$C$72=$C1227),
    0),
    MATCH($G1227,'Golf Log'!$E$1:$V$1,0)
  ),
"")</f>
        <v>6</v>
      </c>
      <c r="M1227">
        <f t="shared" si="87"/>
        <v>2</v>
      </c>
      <c r="N1227" t="str">
        <f t="shared" si="88"/>
        <v>Double Bogey</v>
      </c>
      <c r="O1227" cm="1">
        <f t="array" ref="O1227">IFERROR(
  INDEX('Putt Log'!$E$2:$V$72,
    MATCH(1,
      ('Putt Log'!$A$2:$A$72=$A1227)*
      ('Putt Log'!$B$2:$B$72=$B1227)*
      ('Putt Log'!$C$2:$C$72=$C1227),
    0),
    MATCH($G1227,'Putt Log'!$E$1:$V$1,0)
  ),
"")</f>
        <v>2</v>
      </c>
      <c r="P1227" cm="1">
        <f t="array" ref="P1227">IF(K1227=3,"",
  IFERROR(
    INDEX('Fairway Log'!$E$2:$V$72,
      MATCH(1,
        ('Fairway Log'!$A$2:$A$72=$A1227)*
        ('Fairway Log'!$B$2:$B$72=$B1227)*
        ('Fairway Log'!$C$2:$C1298=$C1227),
      0),
      MATCH($G1227,'Fairway Log'!$E$1:$V$1,0)
    ),
  "")
)</f>
        <v>1</v>
      </c>
      <c r="Q1227" t="str" cm="1">
        <f t="array" ref="Q1227">IFERROR(
  INDEX('GIR Log'!$E$2:$V$72,
    MATCH(1,
      ('GIR Log'!$A$2:$A$72=$A1227)*
      ('GIR Log'!$B$2:$B$72=$B1227)*
      ('GIR Log'!$C$2:$C$72=$C1227),
    0),
    MATCH($G1227,'GIR Log'!$E$1:$V$1,0)
  ),
"")</f>
        <v>↓</v>
      </c>
    </row>
    <row r="1228" spans="1:17" x14ac:dyDescent="0.25">
      <c r="A1228" s="92" t="s">
        <v>126</v>
      </c>
      <c r="B1228" s="2">
        <v>46164</v>
      </c>
      <c r="C1228" s="107" t="s">
        <v>6</v>
      </c>
      <c r="D1228" s="107" t="s">
        <v>75</v>
      </c>
      <c r="E1228" s="107" t="s">
        <v>36</v>
      </c>
      <c r="F1228">
        <v>89</v>
      </c>
      <c r="G1228" s="12" t="s">
        <v>49</v>
      </c>
      <c r="H1228" s="9">
        <f t="shared" si="86"/>
        <v>3</v>
      </c>
      <c r="I1228" cm="1">
        <f t="array" ref="I1228">IFERROR(INDEX(CourseYardages[[Hole 1]:[Hole 18]],
  MATCH(1, (CourseYardages[Course]=C1228)*(CourseYardages[Tees]=E1228), 0),
  MATCH(G1228, CourseYardages[[#Headers],[Hole 1]:[Hole 18]], 0)
),"")</f>
        <v>169</v>
      </c>
      <c r="J1228" cm="1">
        <f t="array" ref="J1228">IFERROR(INDEX(CourseHandicap[[Hole 1]:[Hole 18]],
  MATCH(1, (CourseHandicap[Course]=C1228)*(CourseHandicap[Tees]=E1228), 0),
  MATCH(G1228, CourseHandicap[[#Headers],[Hole 1]:[Hole 18]], 0)
),"")</f>
        <v>14</v>
      </c>
      <c r="K1228" cm="1">
        <f t="array" ref="K1228">IFERROR(INDEX(CourseRatings[[Hole 1]:[Hole 18]],
  MATCH(1, (CourseRatings[Course]=C1228)*(CourseRatings[Tees]=E1228), 0),
  MATCH(G1228, CourseRatings[[#Headers],[Hole 1]:[Hole 18]], 0)
),"")</f>
        <v>3</v>
      </c>
      <c r="L1228" cm="1">
        <f t="array" ref="L1228">IFERROR(
  INDEX('Golf Log'!$E$2:$V$72,
    MATCH(1,
      ('Golf Log'!$A$2:$A$72=$A1228)*
      ('Golf Log'!$B$2:$B$72=$B1228)*
      ('Golf Log'!$C$2:$C$72=$C1228),
    0),
    MATCH($G1228,'Golf Log'!$E$1:$V$1,0)
  ),
"")</f>
        <v>4</v>
      </c>
      <c r="M1228">
        <f t="shared" si="87"/>
        <v>1</v>
      </c>
      <c r="N1228" t="str">
        <f t="shared" si="88"/>
        <v>Bogey</v>
      </c>
      <c r="O1228" cm="1">
        <f t="array" ref="O1228">IFERROR(
  INDEX('Putt Log'!$E$2:$V$72,
    MATCH(1,
      ('Putt Log'!$A$2:$A$72=$A1228)*
      ('Putt Log'!$B$2:$B$72=$B1228)*
      ('Putt Log'!$C$2:$C$72=$C1228),
    0),
    MATCH($G1228,'Putt Log'!$E$1:$V$1,0)
  ),
"")</f>
        <v>2</v>
      </c>
      <c r="P1228" t="str" cm="1">
        <f t="array" ref="P1228">IF(K1228=3,"",
  IFERROR(
    INDEX('Fairway Log'!$E$2:$V$72,
      MATCH(1,
        ('Fairway Log'!$A$2:$A$72=$A1228)*
        ('Fairway Log'!$B$2:$B$72=$B1228)*
        ('Fairway Log'!$C$2:$C1299=$C1228),
      0),
      MATCH($G1228,'Fairway Log'!$E$1:$V$1,0)
    ),
  "")
)</f>
        <v/>
      </c>
      <c r="Q1228" t="str" cm="1">
        <f t="array" ref="Q1228">IFERROR(
  INDEX('GIR Log'!$E$2:$V$72,
    MATCH(1,
      ('GIR Log'!$A$2:$A$72=$A1228)*
      ('GIR Log'!$B$2:$B$72=$B1228)*
      ('GIR Log'!$C$2:$C$72=$C1228),
    0),
    MATCH($G1228,'GIR Log'!$E$1:$V$1,0)
  ),
"")</f>
        <v>↑</v>
      </c>
    </row>
    <row r="1229" spans="1:17" x14ac:dyDescent="0.25">
      <c r="A1229" s="92" t="s">
        <v>126</v>
      </c>
      <c r="B1229" s="2">
        <v>46164</v>
      </c>
      <c r="C1229" s="107" t="s">
        <v>6</v>
      </c>
      <c r="D1229" s="107" t="s">
        <v>75</v>
      </c>
      <c r="E1229" s="107" t="s">
        <v>36</v>
      </c>
      <c r="F1229">
        <v>89</v>
      </c>
      <c r="G1229" s="12" t="s">
        <v>50</v>
      </c>
      <c r="H1229" s="9">
        <f t="shared" si="86"/>
        <v>4</v>
      </c>
      <c r="I1229" cm="1">
        <f t="array" ref="I1229">IFERROR(INDEX(CourseYardages[[Hole 1]:[Hole 18]],
  MATCH(1, (CourseYardages[Course]=C1229)*(CourseYardages[Tees]=E1229), 0),
  MATCH(G1229, CourseYardages[[#Headers],[Hole 1]:[Hole 18]], 0)
),"")</f>
        <v>483</v>
      </c>
      <c r="J1229" cm="1">
        <f t="array" ref="J1229">IFERROR(INDEX(CourseHandicap[[Hole 1]:[Hole 18]],
  MATCH(1, (CourseHandicap[Course]=C1229)*(CourseHandicap[Tees]=E1229), 0),
  MATCH(G1229, CourseHandicap[[#Headers],[Hole 1]:[Hole 18]], 0)
),"")</f>
        <v>8</v>
      </c>
      <c r="K1229" cm="1">
        <f t="array" ref="K1229">IFERROR(INDEX(CourseRatings[[Hole 1]:[Hole 18]],
  MATCH(1, (CourseRatings[Course]=C1229)*(CourseRatings[Tees]=E1229), 0),
  MATCH(G1229, CourseRatings[[#Headers],[Hole 1]:[Hole 18]], 0)
),"")</f>
        <v>5</v>
      </c>
      <c r="L1229" cm="1">
        <f t="array" ref="L1229">IFERROR(
  INDEX('Golf Log'!$E$2:$V$72,
    MATCH(1,
      ('Golf Log'!$A$2:$A$72=$A1229)*
      ('Golf Log'!$B$2:$B$72=$B1229)*
      ('Golf Log'!$C$2:$C$72=$C1229),
    0),
    MATCH($G1229,'Golf Log'!$E$1:$V$1,0)
  ),
"")</f>
        <v>5</v>
      </c>
      <c r="M1229">
        <f t="shared" si="87"/>
        <v>0</v>
      </c>
      <c r="N1229" t="str">
        <f t="shared" si="88"/>
        <v>Par</v>
      </c>
      <c r="O1229" cm="1">
        <f t="array" ref="O1229">IFERROR(
  INDEX('Putt Log'!$E$2:$V$72,
    MATCH(1,
      ('Putt Log'!$A$2:$A$72=$A1229)*
      ('Putt Log'!$B$2:$B$72=$B1229)*
      ('Putt Log'!$C$2:$C$72=$C1229),
    0),
    MATCH($G1229,'Putt Log'!$E$1:$V$1,0)
  ),
"")</f>
        <v>1</v>
      </c>
      <c r="P1229" cm="1">
        <f t="array" ref="P1229">IF(K1229=3,"",
  IFERROR(
    INDEX('Fairway Log'!$E$2:$V$72,
      MATCH(1,
        ('Fairway Log'!$A$2:$A$72=$A1229)*
        ('Fairway Log'!$B$2:$B$72=$B1229)*
        ('Fairway Log'!$C$2:$C1300=$C1229),
      0),
      MATCH($G1229,'Fairway Log'!$E$1:$V$1,0)
    ),
  "")
)</f>
        <v>1</v>
      </c>
      <c r="Q1229" t="str" cm="1">
        <f t="array" ref="Q1229">IFERROR(
  INDEX('GIR Log'!$E$2:$V$72,
    MATCH(1,
      ('GIR Log'!$A$2:$A$72=$A1229)*
      ('GIR Log'!$B$2:$B$72=$B1229)*
      ('GIR Log'!$C$2:$C$72=$C1229),
    0),
    MATCH($G1229,'GIR Log'!$E$1:$V$1,0)
  ),
"")</f>
        <v>↓</v>
      </c>
    </row>
    <row r="1230" spans="1:17" x14ac:dyDescent="0.25">
      <c r="A1230" s="92" t="s">
        <v>126</v>
      </c>
      <c r="B1230" s="2">
        <v>46164</v>
      </c>
      <c r="C1230" s="107" t="s">
        <v>6</v>
      </c>
      <c r="D1230" s="107" t="s">
        <v>75</v>
      </c>
      <c r="E1230" s="107" t="s">
        <v>36</v>
      </c>
      <c r="F1230">
        <v>89</v>
      </c>
      <c r="G1230" s="12" t="s">
        <v>51</v>
      </c>
      <c r="H1230" s="9">
        <f t="shared" si="86"/>
        <v>5</v>
      </c>
      <c r="I1230" cm="1">
        <f t="array" ref="I1230">IFERROR(INDEX(CourseYardages[[Hole 1]:[Hole 18]],
  MATCH(1, (CourseYardages[Course]=C1230)*(CourseYardages[Tees]=E1230), 0),
  MATCH(G1230, CourseYardages[[#Headers],[Hole 1]:[Hole 18]], 0)
),"")</f>
        <v>133</v>
      </c>
      <c r="J1230" cm="1">
        <f t="array" ref="J1230">IFERROR(INDEX(CourseHandicap[[Hole 1]:[Hole 18]],
  MATCH(1, (CourseHandicap[Course]=C1230)*(CourseHandicap[Tees]=E1230), 0),
  MATCH(G1230, CourseHandicap[[#Headers],[Hole 1]:[Hole 18]], 0)
),"")</f>
        <v>16</v>
      </c>
      <c r="K1230" cm="1">
        <f t="array" ref="K1230">IFERROR(INDEX(CourseRatings[[Hole 1]:[Hole 18]],
  MATCH(1, (CourseRatings[Course]=C1230)*(CourseRatings[Tees]=E1230), 0),
  MATCH(G1230, CourseRatings[[#Headers],[Hole 1]:[Hole 18]], 0)
),"")</f>
        <v>3</v>
      </c>
      <c r="L1230" cm="1">
        <f t="array" ref="L1230">IFERROR(
  INDEX('Golf Log'!$E$2:$V$72,
    MATCH(1,
      ('Golf Log'!$A$2:$A$72=$A1230)*
      ('Golf Log'!$B$2:$B$72=$B1230)*
      ('Golf Log'!$C$2:$C$72=$C1230),
    0),
    MATCH($G1230,'Golf Log'!$E$1:$V$1,0)
  ),
"")</f>
        <v>4</v>
      </c>
      <c r="M1230">
        <f t="shared" si="87"/>
        <v>1</v>
      </c>
      <c r="N1230" t="str">
        <f t="shared" si="88"/>
        <v>Bogey</v>
      </c>
      <c r="O1230" cm="1">
        <f t="array" ref="O1230">IFERROR(
  INDEX('Putt Log'!$E$2:$V$72,
    MATCH(1,
      ('Putt Log'!$A$2:$A$72=$A1230)*
      ('Putt Log'!$B$2:$B$72=$B1230)*
      ('Putt Log'!$C$2:$C$72=$C1230),
    0),
    MATCH($G1230,'Putt Log'!$E$1:$V$1,0)
  ),
"")</f>
        <v>2</v>
      </c>
      <c r="P1230" t="str" cm="1">
        <f t="array" ref="P1230">IF(K1230=3,"",
  IFERROR(
    INDEX('Fairway Log'!$E$2:$V$72,
      MATCH(1,
        ('Fairway Log'!$A$2:$A$72=$A1230)*
        ('Fairway Log'!$B$2:$B$72=$B1230)*
        ('Fairway Log'!$C$2:$C1301=$C1230),
      0),
      MATCH($G1230,'Fairway Log'!$E$1:$V$1,0)
    ),
  "")
)</f>
        <v/>
      </c>
      <c r="Q1230" t="str" cm="1">
        <f t="array" ref="Q1230">IFERROR(
  INDEX('GIR Log'!$E$2:$V$72,
    MATCH(1,
      ('GIR Log'!$A$2:$A$72=$A1230)*
      ('GIR Log'!$B$2:$B$72=$B1230)*
      ('GIR Log'!$C$2:$C$72=$C1230),
    0),
    MATCH($G1230,'GIR Log'!$E$1:$V$1,0)
  ),
"")</f>
        <v>↑</v>
      </c>
    </row>
    <row r="1231" spans="1:17" x14ac:dyDescent="0.25">
      <c r="A1231" s="92" t="s">
        <v>126</v>
      </c>
      <c r="B1231" s="2">
        <v>46164</v>
      </c>
      <c r="C1231" s="107" t="s">
        <v>6</v>
      </c>
      <c r="D1231" s="107" t="s">
        <v>75</v>
      </c>
      <c r="E1231" s="107" t="s">
        <v>36</v>
      </c>
      <c r="F1231">
        <v>89</v>
      </c>
      <c r="G1231" s="12" t="s">
        <v>52</v>
      </c>
      <c r="H1231" s="9">
        <f t="shared" si="86"/>
        <v>6</v>
      </c>
      <c r="I1231" cm="1">
        <f t="array" ref="I1231">IFERROR(INDEX(CourseYardages[[Hole 1]:[Hole 18]],
  MATCH(1, (CourseYardages[Course]=C1231)*(CourseYardages[Tees]=E1231), 0),
  MATCH(G1231, CourseYardages[[#Headers],[Hole 1]:[Hole 18]], 0)
),"")</f>
        <v>375</v>
      </c>
      <c r="J1231" cm="1">
        <f t="array" ref="J1231">IFERROR(INDEX(CourseHandicap[[Hole 1]:[Hole 18]],
  MATCH(1, (CourseHandicap[Course]=C1231)*(CourseHandicap[Tees]=E1231), 0),
  MATCH(G1231, CourseHandicap[[#Headers],[Hole 1]:[Hole 18]], 0)
),"")</f>
        <v>4</v>
      </c>
      <c r="K1231" cm="1">
        <f t="array" ref="K1231">IFERROR(INDEX(CourseRatings[[Hole 1]:[Hole 18]],
  MATCH(1, (CourseRatings[Course]=C1231)*(CourseRatings[Tees]=E1231), 0),
  MATCH(G1231, CourseRatings[[#Headers],[Hole 1]:[Hole 18]], 0)
),"")</f>
        <v>4</v>
      </c>
      <c r="L1231" cm="1">
        <f t="array" ref="L1231">IFERROR(
  INDEX('Golf Log'!$E$2:$V$72,
    MATCH(1,
      ('Golf Log'!$A$2:$A$72=$A1231)*
      ('Golf Log'!$B$2:$B$72=$B1231)*
      ('Golf Log'!$C$2:$C$72=$C1231),
    0),
    MATCH($G1231,'Golf Log'!$E$1:$V$1,0)
  ),
"")</f>
        <v>4</v>
      </c>
      <c r="M1231">
        <f t="shared" si="87"/>
        <v>0</v>
      </c>
      <c r="N1231" t="str">
        <f t="shared" si="88"/>
        <v>Par</v>
      </c>
      <c r="O1231" cm="1">
        <f t="array" ref="O1231">IFERROR(
  INDEX('Putt Log'!$E$2:$V$72,
    MATCH(1,
      ('Putt Log'!$A$2:$A$72=$A1231)*
      ('Putt Log'!$B$2:$B$72=$B1231)*
      ('Putt Log'!$C$2:$C$72=$C1231),
    0),
    MATCH($G1231,'Putt Log'!$E$1:$V$1,0)
  ),
"")</f>
        <v>2</v>
      </c>
      <c r="P1231" t="str" cm="1">
        <f t="array" ref="P1231">IF(K1231=3,"",
  IFERROR(
    INDEX('Fairway Log'!$E$2:$V$72,
      MATCH(1,
        ('Fairway Log'!$A$2:$A$72=$A1231)*
        ('Fairway Log'!$B$2:$B$72=$B1231)*
        ('Fairway Log'!$C$2:$C1302=$C1231),
      0),
      MATCH($G1231,'Fairway Log'!$E$1:$V$1,0)
    ),
  "")
)</f>
        <v>→</v>
      </c>
      <c r="Q1231" cm="1">
        <f t="array" ref="Q1231">IFERROR(
  INDEX('GIR Log'!$E$2:$V$72,
    MATCH(1,
      ('GIR Log'!$A$2:$A$72=$A1231)*
      ('GIR Log'!$B$2:$B$72=$B1231)*
      ('GIR Log'!$C$2:$C$72=$C1231),
    0),
    MATCH($G1231,'GIR Log'!$E$1:$V$1,0)
  ),
"")</f>
        <v>1</v>
      </c>
    </row>
    <row r="1232" spans="1:17" x14ac:dyDescent="0.25">
      <c r="A1232" s="92" t="s">
        <v>126</v>
      </c>
      <c r="B1232" s="2">
        <v>46164</v>
      </c>
      <c r="C1232" s="107" t="s">
        <v>6</v>
      </c>
      <c r="D1232" s="107" t="s">
        <v>75</v>
      </c>
      <c r="E1232" s="107" t="s">
        <v>36</v>
      </c>
      <c r="F1232">
        <v>89</v>
      </c>
      <c r="G1232" s="12" t="s">
        <v>53</v>
      </c>
      <c r="H1232" s="9">
        <f t="shared" si="86"/>
        <v>7</v>
      </c>
      <c r="I1232" cm="1">
        <f t="array" ref="I1232">IFERROR(INDEX(CourseYardages[[Hole 1]:[Hole 18]],
  MATCH(1, (CourseYardages[Course]=C1232)*(CourseYardages[Tees]=E1232), 0),
  MATCH(G1232, CourseYardages[[#Headers],[Hole 1]:[Hole 18]], 0)
),"")</f>
        <v>350</v>
      </c>
      <c r="J1232" cm="1">
        <f t="array" ref="J1232">IFERROR(INDEX(CourseHandicap[[Hole 1]:[Hole 18]],
  MATCH(1, (CourseHandicap[Course]=C1232)*(CourseHandicap[Tees]=E1232), 0),
  MATCH(G1232, CourseHandicap[[#Headers],[Hole 1]:[Hole 18]], 0)
),"")</f>
        <v>10</v>
      </c>
      <c r="K1232" cm="1">
        <f t="array" ref="K1232">IFERROR(INDEX(CourseRatings[[Hole 1]:[Hole 18]],
  MATCH(1, (CourseRatings[Course]=C1232)*(CourseRatings[Tees]=E1232), 0),
  MATCH(G1232, CourseRatings[[#Headers],[Hole 1]:[Hole 18]], 0)
),"")</f>
        <v>4</v>
      </c>
      <c r="L1232" cm="1">
        <f t="array" ref="L1232">IFERROR(
  INDEX('Golf Log'!$E$2:$V$72,
    MATCH(1,
      ('Golf Log'!$A$2:$A$72=$A1232)*
      ('Golf Log'!$B$2:$B$72=$B1232)*
      ('Golf Log'!$C$2:$C$72=$C1232),
    0),
    MATCH($G1232,'Golf Log'!$E$1:$V$1,0)
  ),
"")</f>
        <v>6</v>
      </c>
      <c r="M1232">
        <f t="shared" si="87"/>
        <v>2</v>
      </c>
      <c r="N1232" t="str">
        <f t="shared" si="88"/>
        <v>Double Bogey</v>
      </c>
      <c r="O1232" cm="1">
        <f t="array" ref="O1232">IFERROR(
  INDEX('Putt Log'!$E$2:$V$72,
    MATCH(1,
      ('Putt Log'!$A$2:$A$72=$A1232)*
      ('Putt Log'!$B$2:$B$72=$B1232)*
      ('Putt Log'!$C$2:$C$72=$C1232),
    0),
    MATCH($G1232,'Putt Log'!$E$1:$V$1,0)
  ),
"")</f>
        <v>2</v>
      </c>
      <c r="P1232" t="str" cm="1">
        <f t="array" ref="P1232">IF(K1232=3,"",
  IFERROR(
    INDEX('Fairway Log'!$E$2:$V$72,
      MATCH(1,
        ('Fairway Log'!$A$2:$A$72=$A1232)*
        ('Fairway Log'!$B$2:$B$72=$B1232)*
        ('Fairway Log'!$C$2:$C1303=$C1232),
      0),
      MATCH($G1232,'Fairway Log'!$E$1:$V$1,0)
    ),
  "")
)</f>
        <v>→</v>
      </c>
      <c r="Q1232" t="str" cm="1">
        <f t="array" ref="Q1232">IFERROR(
  INDEX('GIR Log'!$E$2:$V$72,
    MATCH(1,
      ('GIR Log'!$A$2:$A$72=$A1232)*
      ('GIR Log'!$B$2:$B$72=$B1232)*
      ('GIR Log'!$C$2:$C$72=$C1232),
    0),
    MATCH($G1232,'GIR Log'!$E$1:$V$1,0)
  ),
"")</f>
        <v>↓</v>
      </c>
    </row>
    <row r="1233" spans="1:17" x14ac:dyDescent="0.25">
      <c r="A1233" s="92" t="s">
        <v>126</v>
      </c>
      <c r="B1233" s="2">
        <v>46164</v>
      </c>
      <c r="C1233" s="107" t="s">
        <v>6</v>
      </c>
      <c r="D1233" s="107" t="s">
        <v>75</v>
      </c>
      <c r="E1233" s="107" t="s">
        <v>36</v>
      </c>
      <c r="F1233">
        <v>89</v>
      </c>
      <c r="G1233" s="12" t="s">
        <v>54</v>
      </c>
      <c r="H1233" s="9">
        <f t="shared" si="86"/>
        <v>8</v>
      </c>
      <c r="I1233" cm="1">
        <f t="array" ref="I1233">IFERROR(INDEX(CourseYardages[[Hole 1]:[Hole 18]],
  MATCH(1, (CourseYardages[Course]=C1233)*(CourseYardages[Tees]=E1233), 0),
  MATCH(G1233, CourseYardages[[#Headers],[Hole 1]:[Hole 18]], 0)
),"")</f>
        <v>285</v>
      </c>
      <c r="J1233" cm="1">
        <f t="array" ref="J1233">IFERROR(INDEX(CourseHandicap[[Hole 1]:[Hole 18]],
  MATCH(1, (CourseHandicap[Course]=C1233)*(CourseHandicap[Tees]=E1233), 0),
  MATCH(G1233, CourseHandicap[[#Headers],[Hole 1]:[Hole 18]], 0)
),"")</f>
        <v>18</v>
      </c>
      <c r="K1233" cm="1">
        <f t="array" ref="K1233">IFERROR(INDEX(CourseRatings[[Hole 1]:[Hole 18]],
  MATCH(1, (CourseRatings[Course]=C1233)*(CourseRatings[Tees]=E1233), 0),
  MATCH(G1233, CourseRatings[[#Headers],[Hole 1]:[Hole 18]], 0)
),"")</f>
        <v>4</v>
      </c>
      <c r="L1233" cm="1">
        <f t="array" ref="L1233">IFERROR(
  INDEX('Golf Log'!$E$2:$V$72,
    MATCH(1,
      ('Golf Log'!$A$2:$A$72=$A1233)*
      ('Golf Log'!$B$2:$B$72=$B1233)*
      ('Golf Log'!$C$2:$C$72=$C1233),
    0),
    MATCH($G1233,'Golf Log'!$E$1:$V$1,0)
  ),
"")</f>
        <v>4</v>
      </c>
      <c r="M1233">
        <f t="shared" si="87"/>
        <v>0</v>
      </c>
      <c r="N1233" t="str">
        <f t="shared" si="88"/>
        <v>Par</v>
      </c>
      <c r="O1233" cm="1">
        <f t="array" ref="O1233">IFERROR(
  INDEX('Putt Log'!$E$2:$V$72,
    MATCH(1,
      ('Putt Log'!$A$2:$A$72=$A1233)*
      ('Putt Log'!$B$2:$B$72=$B1233)*
      ('Putt Log'!$C$2:$C$72=$C1233),
    0),
    MATCH($G1233,'Putt Log'!$E$1:$V$1,0)
  ),
"")</f>
        <v>1</v>
      </c>
      <c r="P1233" t="str" cm="1">
        <f t="array" ref="P1233">IF(K1233=3,"",
  IFERROR(
    INDEX('Fairway Log'!$E$2:$V$72,
      MATCH(1,
        ('Fairway Log'!$A$2:$A$72=$A1233)*
        ('Fairway Log'!$B$2:$B$72=$B1233)*
        ('Fairway Log'!$C$2:$C1304=$C1233),
      0),
      MATCH($G1233,'Fairway Log'!$E$1:$V$1,0)
    ),
  "")
)</f>
        <v>→</v>
      </c>
      <c r="Q1233" t="str" cm="1">
        <f t="array" ref="Q1233">IFERROR(
  INDEX('GIR Log'!$E$2:$V$72,
    MATCH(1,
      ('GIR Log'!$A$2:$A$72=$A1233)*
      ('GIR Log'!$B$2:$B$72=$B1233)*
      ('GIR Log'!$C$2:$C$72=$C1233),
    0),
    MATCH($G1233,'GIR Log'!$E$1:$V$1,0)
  ),
"")</f>
        <v>↑</v>
      </c>
    </row>
    <row r="1234" spans="1:17" x14ac:dyDescent="0.25">
      <c r="A1234" s="92" t="s">
        <v>126</v>
      </c>
      <c r="B1234" s="2">
        <v>46164</v>
      </c>
      <c r="C1234" s="107" t="s">
        <v>6</v>
      </c>
      <c r="D1234" s="107" t="s">
        <v>75</v>
      </c>
      <c r="E1234" s="107" t="s">
        <v>36</v>
      </c>
      <c r="F1234">
        <v>89</v>
      </c>
      <c r="G1234" s="12" t="s">
        <v>55</v>
      </c>
      <c r="H1234" s="9">
        <f t="shared" si="86"/>
        <v>9</v>
      </c>
      <c r="I1234" cm="1">
        <f t="array" ref="I1234">IFERROR(INDEX(CourseYardages[[Hole 1]:[Hole 18]],
  MATCH(1, (CourseYardages[Course]=C1234)*(CourseYardages[Tees]=E1234), 0),
  MATCH(G1234, CourseYardages[[#Headers],[Hole 1]:[Hole 18]], 0)
),"")</f>
        <v>303</v>
      </c>
      <c r="J1234" cm="1">
        <f t="array" ref="J1234">IFERROR(INDEX(CourseHandicap[[Hole 1]:[Hole 18]],
  MATCH(1, (CourseHandicap[Course]=C1234)*(CourseHandicap[Tees]=E1234), 0),
  MATCH(G1234, CourseHandicap[[#Headers],[Hole 1]:[Hole 18]], 0)
),"")</f>
        <v>12</v>
      </c>
      <c r="K1234" cm="1">
        <f t="array" ref="K1234">IFERROR(INDEX(CourseRatings[[Hole 1]:[Hole 18]],
  MATCH(1, (CourseRatings[Course]=C1234)*(CourseRatings[Tees]=E1234), 0),
  MATCH(G1234, CourseRatings[[#Headers],[Hole 1]:[Hole 18]], 0)
),"")</f>
        <v>4</v>
      </c>
      <c r="L1234" cm="1">
        <f t="array" ref="L1234">IFERROR(
  INDEX('Golf Log'!$E$2:$V$72,
    MATCH(1,
      ('Golf Log'!$A$2:$A$72=$A1234)*
      ('Golf Log'!$B$2:$B$72=$B1234)*
      ('Golf Log'!$C$2:$C$72=$C1234),
    0),
    MATCH($G1234,'Golf Log'!$E$1:$V$1,0)
  ),
"")</f>
        <v>6</v>
      </c>
      <c r="M1234">
        <f t="shared" si="87"/>
        <v>2</v>
      </c>
      <c r="N1234" t="str">
        <f t="shared" si="88"/>
        <v>Double Bogey</v>
      </c>
      <c r="O1234" cm="1">
        <f t="array" ref="O1234">IFERROR(
  INDEX('Putt Log'!$E$2:$V$72,
    MATCH(1,
      ('Putt Log'!$A$2:$A$72=$A1234)*
      ('Putt Log'!$B$2:$B$72=$B1234)*
      ('Putt Log'!$C$2:$C$72=$C1234),
    0),
    MATCH($G1234,'Putt Log'!$E$1:$V$1,0)
  ),
"")</f>
        <v>2</v>
      </c>
      <c r="P1234" t="str" cm="1">
        <f t="array" ref="P1234">IF(K1234=3,"",
  IFERROR(
    INDEX('Fairway Log'!$E$2:$V$72,
      MATCH(1,
        ('Fairway Log'!$A$2:$A$72=$A1234)*
        ('Fairway Log'!$B$2:$B$72=$B1234)*
        ('Fairway Log'!$C$2:$C1305=$C1234),
      0),
      MATCH($G1234,'Fairway Log'!$E$1:$V$1,0)
    ),
  "")
)</f>
        <v>→</v>
      </c>
      <c r="Q1234" t="str" cm="1">
        <f t="array" ref="Q1234">IFERROR(
  INDEX('GIR Log'!$E$2:$V$72,
    MATCH(1,
      ('GIR Log'!$A$2:$A$72=$A1234)*
      ('GIR Log'!$B$2:$B$72=$B1234)*
      ('GIR Log'!$C$2:$C$72=$C1234),
    0),
    MATCH($G1234,'GIR Log'!$E$1:$V$1,0)
  ),
"")</f>
        <v>↓</v>
      </c>
    </row>
    <row r="1235" spans="1:17" x14ac:dyDescent="0.25">
      <c r="A1235" s="92" t="s">
        <v>126</v>
      </c>
      <c r="B1235" s="2">
        <v>46164</v>
      </c>
      <c r="C1235" s="107" t="s">
        <v>6</v>
      </c>
      <c r="D1235" s="107" t="s">
        <v>75</v>
      </c>
      <c r="E1235" s="107" t="s">
        <v>36</v>
      </c>
      <c r="F1235">
        <v>89</v>
      </c>
      <c r="G1235" s="12" t="s">
        <v>56</v>
      </c>
      <c r="H1235" s="9">
        <f t="shared" si="86"/>
        <v>10</v>
      </c>
      <c r="I1235" cm="1">
        <f t="array" ref="I1235">IFERROR(INDEX(CourseYardages[[Hole 1]:[Hole 18]],
  MATCH(1, (CourseYardages[Course]=C1235)*(CourseYardages[Tees]=E1235), 0),
  MATCH(G1235, CourseYardages[[#Headers],[Hole 1]:[Hole 18]], 0)
),"")</f>
        <v>308</v>
      </c>
      <c r="J1235" cm="1">
        <f t="array" ref="J1235">IFERROR(INDEX(CourseHandicap[[Hole 1]:[Hole 18]],
  MATCH(1, (CourseHandicap[Course]=C1235)*(CourseHandicap[Tees]=E1235), 0),
  MATCH(G1235, CourseHandicap[[#Headers],[Hole 1]:[Hole 18]], 0)
),"")</f>
        <v>13</v>
      </c>
      <c r="K1235" cm="1">
        <f t="array" ref="K1235">IFERROR(INDEX(CourseRatings[[Hole 1]:[Hole 18]],
  MATCH(1, (CourseRatings[Course]=C1235)*(CourseRatings[Tees]=E1235), 0),
  MATCH(G1235, CourseRatings[[#Headers],[Hole 1]:[Hole 18]], 0)
),"")</f>
        <v>4</v>
      </c>
      <c r="L1235" cm="1">
        <f t="array" ref="L1235">IFERROR(
  INDEX('Golf Log'!$E$2:$V$72,
    MATCH(1,
      ('Golf Log'!$A$2:$A$72=$A1235)*
      ('Golf Log'!$B$2:$B$72=$B1235)*
      ('Golf Log'!$C$2:$C$72=$C1235),
    0),
    MATCH($G1235,'Golf Log'!$E$1:$V$1,0)
  ),
"")</f>
        <v>6</v>
      </c>
      <c r="M1235">
        <f t="shared" si="87"/>
        <v>2</v>
      </c>
      <c r="N1235" t="str">
        <f t="shared" si="88"/>
        <v>Double Bogey</v>
      </c>
      <c r="O1235" cm="1">
        <f t="array" ref="O1235">IFERROR(
  INDEX('Putt Log'!$E$2:$V$72,
    MATCH(1,
      ('Putt Log'!$A$2:$A$72=$A1235)*
      ('Putt Log'!$B$2:$B$72=$B1235)*
      ('Putt Log'!$C$2:$C$72=$C1235),
    0),
    MATCH($G1235,'Putt Log'!$E$1:$V$1,0)
  ),
"")</f>
        <v>2</v>
      </c>
      <c r="P1235" cm="1">
        <f t="array" ref="P1235">IF(K1235=3,"",
  IFERROR(
    INDEX('Fairway Log'!$E$2:$V$72,
      MATCH(1,
        ('Fairway Log'!$A$2:$A$72=$A1235)*
        ('Fairway Log'!$B$2:$B$72=$B1235)*
        ('Fairway Log'!$C$2:$C1306=$C1235),
      0),
      MATCH($G1235,'Fairway Log'!$E$1:$V$1,0)
    ),
  "")
)</f>
        <v>1</v>
      </c>
      <c r="Q1235" t="str" cm="1">
        <f t="array" ref="Q1235">IFERROR(
  INDEX('GIR Log'!$E$2:$V$72,
    MATCH(1,
      ('GIR Log'!$A$2:$A$72=$A1235)*
      ('GIR Log'!$B$2:$B$72=$B1235)*
      ('GIR Log'!$C$2:$C$72=$C1235),
    0),
    MATCH($G1235,'GIR Log'!$E$1:$V$1,0)
  ),
"")</f>
        <v>↓</v>
      </c>
    </row>
    <row r="1236" spans="1:17" x14ac:dyDescent="0.25">
      <c r="A1236" s="92" t="s">
        <v>126</v>
      </c>
      <c r="B1236" s="2">
        <v>46164</v>
      </c>
      <c r="C1236" s="107" t="s">
        <v>6</v>
      </c>
      <c r="D1236" s="107" t="s">
        <v>75</v>
      </c>
      <c r="E1236" s="107" t="s">
        <v>36</v>
      </c>
      <c r="F1236">
        <v>89</v>
      </c>
      <c r="G1236" s="12" t="s">
        <v>57</v>
      </c>
      <c r="H1236" s="9">
        <f t="shared" si="86"/>
        <v>11</v>
      </c>
      <c r="I1236" cm="1">
        <f t="array" ref="I1236">IFERROR(INDEX(CourseYardages[[Hole 1]:[Hole 18]],
  MATCH(1, (CourseYardages[Course]=C1236)*(CourseYardages[Tees]=E1236), 0),
  MATCH(G1236, CourseYardages[[#Headers],[Hole 1]:[Hole 18]], 0)
),"")</f>
        <v>284</v>
      </c>
      <c r="J1236" cm="1">
        <f t="array" ref="J1236">IFERROR(INDEX(CourseHandicap[[Hole 1]:[Hole 18]],
  MATCH(1, (CourseHandicap[Course]=C1236)*(CourseHandicap[Tees]=E1236), 0),
  MATCH(G1236, CourseHandicap[[#Headers],[Hole 1]:[Hole 18]], 0)
),"")</f>
        <v>11</v>
      </c>
      <c r="K1236" cm="1">
        <f t="array" ref="K1236">IFERROR(INDEX(CourseRatings[[Hole 1]:[Hole 18]],
  MATCH(1, (CourseRatings[Course]=C1236)*(CourseRatings[Tees]=E1236), 0),
  MATCH(G1236, CourseRatings[[#Headers],[Hole 1]:[Hole 18]], 0)
),"")</f>
        <v>4</v>
      </c>
      <c r="L1236" cm="1">
        <f t="array" ref="L1236">IFERROR(
  INDEX('Golf Log'!$E$2:$V$72,
    MATCH(1,
      ('Golf Log'!$A$2:$A$72=$A1236)*
      ('Golf Log'!$B$2:$B$72=$B1236)*
      ('Golf Log'!$C$2:$C$72=$C1236),
    0),
    MATCH($G1236,'Golf Log'!$E$1:$V$1,0)
  ),
"")</f>
        <v>4</v>
      </c>
      <c r="M1236">
        <f t="shared" si="87"/>
        <v>0</v>
      </c>
      <c r="N1236" t="str">
        <f t="shared" si="88"/>
        <v>Par</v>
      </c>
      <c r="O1236" cm="1">
        <f t="array" ref="O1236">IFERROR(
  INDEX('Putt Log'!$E$2:$V$72,
    MATCH(1,
      ('Putt Log'!$A$2:$A$72=$A1236)*
      ('Putt Log'!$B$2:$B$72=$B1236)*
      ('Putt Log'!$C$2:$C$72=$C1236),
    0),
    MATCH($G1236,'Putt Log'!$E$1:$V$1,0)
  ),
"")</f>
        <v>1</v>
      </c>
      <c r="P1236" cm="1">
        <f t="array" ref="P1236">IF(K1236=3,"",
  IFERROR(
    INDEX('Fairway Log'!$E$2:$V$72,
      MATCH(1,
        ('Fairway Log'!$A$2:$A$72=$A1236)*
        ('Fairway Log'!$B$2:$B$72=$B1236)*
        ('Fairway Log'!$C$2:$C1307=$C1236),
      0),
      MATCH($G1236,'Fairway Log'!$E$1:$V$1,0)
    ),
  "")
)</f>
        <v>1</v>
      </c>
      <c r="Q1236" t="str" cm="1">
        <f t="array" ref="Q1236">IFERROR(
  INDEX('GIR Log'!$E$2:$V$72,
    MATCH(1,
      ('GIR Log'!$A$2:$A$72=$A1236)*
      ('GIR Log'!$B$2:$B$72=$B1236)*
      ('GIR Log'!$C$2:$C$72=$C1236),
    0),
    MATCH($G1236,'GIR Log'!$E$1:$V$1,0)
  ),
"")</f>
        <v>↓</v>
      </c>
    </row>
    <row r="1237" spans="1:17" x14ac:dyDescent="0.25">
      <c r="A1237" s="92" t="s">
        <v>126</v>
      </c>
      <c r="B1237" s="2">
        <v>46164</v>
      </c>
      <c r="C1237" s="107" t="s">
        <v>6</v>
      </c>
      <c r="D1237" s="107" t="s">
        <v>75</v>
      </c>
      <c r="E1237" s="107" t="s">
        <v>36</v>
      </c>
      <c r="F1237">
        <v>89</v>
      </c>
      <c r="G1237" s="12" t="s">
        <v>58</v>
      </c>
      <c r="H1237" s="9">
        <f t="shared" si="86"/>
        <v>12</v>
      </c>
      <c r="I1237" cm="1">
        <f t="array" ref="I1237">IFERROR(INDEX(CourseYardages[[Hole 1]:[Hole 18]],
  MATCH(1, (CourseYardages[Course]=C1237)*(CourseYardages[Tees]=E1237), 0),
  MATCH(G1237, CourseYardages[[#Headers],[Hole 1]:[Hole 18]], 0)
),"")</f>
        <v>370</v>
      </c>
      <c r="J1237" cm="1">
        <f t="array" ref="J1237">IFERROR(INDEX(CourseHandicap[[Hole 1]:[Hole 18]],
  MATCH(1, (CourseHandicap[Course]=C1237)*(CourseHandicap[Tees]=E1237), 0),
  MATCH(G1237, CourseHandicap[[#Headers],[Hole 1]:[Hole 18]], 0)
),"")</f>
        <v>5</v>
      </c>
      <c r="K1237" cm="1">
        <f t="array" ref="K1237">IFERROR(INDEX(CourseRatings[[Hole 1]:[Hole 18]],
  MATCH(1, (CourseRatings[Course]=C1237)*(CourseRatings[Tees]=E1237), 0),
  MATCH(G1237, CourseRatings[[#Headers],[Hole 1]:[Hole 18]], 0)
),"")</f>
        <v>4</v>
      </c>
      <c r="L1237" cm="1">
        <f t="array" ref="L1237">IFERROR(
  INDEX('Golf Log'!$E$2:$V$72,
    MATCH(1,
      ('Golf Log'!$A$2:$A$72=$A1237)*
      ('Golf Log'!$B$2:$B$72=$B1237)*
      ('Golf Log'!$C$2:$C$72=$C1237),
    0),
    MATCH($G1237,'Golf Log'!$E$1:$V$1,0)
  ),
"")</f>
        <v>5</v>
      </c>
      <c r="M1237">
        <f t="shared" si="87"/>
        <v>1</v>
      </c>
      <c r="N1237" t="str">
        <f t="shared" si="88"/>
        <v>Bogey</v>
      </c>
      <c r="O1237" cm="1">
        <f t="array" ref="O1237">IFERROR(
  INDEX('Putt Log'!$E$2:$V$72,
    MATCH(1,
      ('Putt Log'!$A$2:$A$72=$A1237)*
      ('Putt Log'!$B$2:$B$72=$B1237)*
      ('Putt Log'!$C$2:$C$72=$C1237),
    0),
    MATCH($G1237,'Putt Log'!$E$1:$V$1,0)
  ),
"")</f>
        <v>1</v>
      </c>
      <c r="P1237" cm="1">
        <f t="array" ref="P1237">IF(K1237=3,"",
  IFERROR(
    INDEX('Fairway Log'!$E$2:$V$72,
      MATCH(1,
        ('Fairway Log'!$A$2:$A$72=$A1237)*
        ('Fairway Log'!$B$2:$B$72=$B1237)*
        ('Fairway Log'!$C$2:$C1308=$C1237),
      0),
      MATCH($G1237,'Fairway Log'!$E$1:$V$1,0)
    ),
  "")
)</f>
        <v>1</v>
      </c>
      <c r="Q1237" t="str" cm="1">
        <f t="array" ref="Q1237">IFERROR(
  INDEX('GIR Log'!$E$2:$V$72,
    MATCH(1,
      ('GIR Log'!$A$2:$A$72=$A1237)*
      ('GIR Log'!$B$2:$B$72=$B1237)*
      ('GIR Log'!$C$2:$C$72=$C1237),
    0),
    MATCH($G1237,'GIR Log'!$E$1:$V$1,0)
  ),
"")</f>
        <v>→</v>
      </c>
    </row>
    <row r="1238" spans="1:17" x14ac:dyDescent="0.25">
      <c r="A1238" s="92" t="s">
        <v>126</v>
      </c>
      <c r="B1238" s="2">
        <v>46164</v>
      </c>
      <c r="C1238" s="107" t="s">
        <v>6</v>
      </c>
      <c r="D1238" s="107" t="s">
        <v>75</v>
      </c>
      <c r="E1238" s="107" t="s">
        <v>36</v>
      </c>
      <c r="F1238">
        <v>89</v>
      </c>
      <c r="G1238" s="12" t="s">
        <v>59</v>
      </c>
      <c r="H1238" s="9">
        <f t="shared" si="86"/>
        <v>13</v>
      </c>
      <c r="I1238" cm="1">
        <f t="array" ref="I1238">IFERROR(INDEX(CourseYardages[[Hole 1]:[Hole 18]],
  MATCH(1, (CourseYardages[Course]=C1238)*(CourseYardages[Tees]=E1238), 0),
  MATCH(G1238, CourseYardages[[#Headers],[Hole 1]:[Hole 18]], 0)
),"")</f>
        <v>297</v>
      </c>
      <c r="J1238" cm="1">
        <f t="array" ref="J1238">IFERROR(INDEX(CourseHandicap[[Hole 1]:[Hole 18]],
  MATCH(1, (CourseHandicap[Course]=C1238)*(CourseHandicap[Tees]=E1238), 0),
  MATCH(G1238, CourseHandicap[[#Headers],[Hole 1]:[Hole 18]], 0)
),"")</f>
        <v>9</v>
      </c>
      <c r="K1238" cm="1">
        <f t="array" ref="K1238">IFERROR(INDEX(CourseRatings[[Hole 1]:[Hole 18]],
  MATCH(1, (CourseRatings[Course]=C1238)*(CourseRatings[Tees]=E1238), 0),
  MATCH(G1238, CourseRatings[[#Headers],[Hole 1]:[Hole 18]], 0)
),"")</f>
        <v>4</v>
      </c>
      <c r="L1238" cm="1">
        <f t="array" ref="L1238">IFERROR(
  INDEX('Golf Log'!$E$2:$V$72,
    MATCH(1,
      ('Golf Log'!$A$2:$A$72=$A1238)*
      ('Golf Log'!$B$2:$B$72=$B1238)*
      ('Golf Log'!$C$2:$C$72=$C1238),
    0),
    MATCH($G1238,'Golf Log'!$E$1:$V$1,0)
  ),
"")</f>
        <v>5</v>
      </c>
      <c r="M1238">
        <f t="shared" si="87"/>
        <v>1</v>
      </c>
      <c r="N1238" t="str">
        <f t="shared" si="88"/>
        <v>Bogey</v>
      </c>
      <c r="O1238" cm="1">
        <f t="array" ref="O1238">IFERROR(
  INDEX('Putt Log'!$E$2:$V$72,
    MATCH(1,
      ('Putt Log'!$A$2:$A$72=$A1238)*
      ('Putt Log'!$B$2:$B$72=$B1238)*
      ('Putt Log'!$C$2:$C$72=$C1238),
    0),
    MATCH($G1238,'Putt Log'!$E$1:$V$1,0)
  ),
"")</f>
        <v>2</v>
      </c>
      <c r="P1238" cm="1">
        <f t="array" ref="P1238">IF(K1238=3,"",
  IFERROR(
    INDEX('Fairway Log'!$E$2:$V$72,
      MATCH(1,
        ('Fairway Log'!$A$2:$A$72=$A1238)*
        ('Fairway Log'!$B$2:$B$72=$B1238)*
        ('Fairway Log'!$C$2:$C1309=$C1238),
      0),
      MATCH($G1238,'Fairway Log'!$E$1:$V$1,0)
    ),
  "")
)</f>
        <v>1</v>
      </c>
      <c r="Q1238" t="str" cm="1">
        <f t="array" ref="Q1238">IFERROR(
  INDEX('GIR Log'!$E$2:$V$72,
    MATCH(1,
      ('GIR Log'!$A$2:$A$72=$A1238)*
      ('GIR Log'!$B$2:$B$72=$B1238)*
      ('GIR Log'!$C$2:$C$72=$C1238),
    0),
    MATCH($G1238,'GIR Log'!$E$1:$V$1,0)
  ),
"")</f>
        <v>↑</v>
      </c>
    </row>
    <row r="1239" spans="1:17" x14ac:dyDescent="0.25">
      <c r="A1239" s="92" t="s">
        <v>126</v>
      </c>
      <c r="B1239" s="2">
        <v>46164</v>
      </c>
      <c r="C1239" s="107" t="s">
        <v>6</v>
      </c>
      <c r="D1239" s="107" t="s">
        <v>75</v>
      </c>
      <c r="E1239" s="107" t="s">
        <v>36</v>
      </c>
      <c r="F1239">
        <v>89</v>
      </c>
      <c r="G1239" s="12" t="s">
        <v>60</v>
      </c>
      <c r="H1239" s="9">
        <f t="shared" si="86"/>
        <v>14</v>
      </c>
      <c r="I1239" cm="1">
        <f t="array" ref="I1239">IFERROR(INDEX(CourseYardages[[Hole 1]:[Hole 18]],
  MATCH(1, (CourseYardages[Course]=C1239)*(CourseYardages[Tees]=E1239), 0),
  MATCH(G1239, CourseYardages[[#Headers],[Hole 1]:[Hole 18]], 0)
),"")</f>
        <v>158</v>
      </c>
      <c r="J1239" cm="1">
        <f t="array" ref="J1239">IFERROR(INDEX(CourseHandicap[[Hole 1]:[Hole 18]],
  MATCH(1, (CourseHandicap[Course]=C1239)*(CourseHandicap[Tees]=E1239), 0),
  MATCH(G1239, CourseHandicap[[#Headers],[Hole 1]:[Hole 18]], 0)
),"")</f>
        <v>15</v>
      </c>
      <c r="K1239" cm="1">
        <f t="array" ref="K1239">IFERROR(INDEX(CourseRatings[[Hole 1]:[Hole 18]],
  MATCH(1, (CourseRatings[Course]=C1239)*(CourseRatings[Tees]=E1239), 0),
  MATCH(G1239, CourseRatings[[#Headers],[Hole 1]:[Hole 18]], 0)
),"")</f>
        <v>3</v>
      </c>
      <c r="L1239" cm="1">
        <f t="array" ref="L1239">IFERROR(
  INDEX('Golf Log'!$E$2:$V$72,
    MATCH(1,
      ('Golf Log'!$A$2:$A$72=$A1239)*
      ('Golf Log'!$B$2:$B$72=$B1239)*
      ('Golf Log'!$C$2:$C$72=$C1239),
    0),
    MATCH($G1239,'Golf Log'!$E$1:$V$1,0)
  ),
"")</f>
        <v>4</v>
      </c>
      <c r="M1239">
        <f t="shared" si="87"/>
        <v>1</v>
      </c>
      <c r="N1239" t="str">
        <f t="shared" si="88"/>
        <v>Bogey</v>
      </c>
      <c r="O1239" cm="1">
        <f t="array" ref="O1239">IFERROR(
  INDEX('Putt Log'!$E$2:$V$72,
    MATCH(1,
      ('Putt Log'!$A$2:$A$72=$A1239)*
      ('Putt Log'!$B$2:$B$72=$B1239)*
      ('Putt Log'!$C$2:$C$72=$C1239),
    0),
    MATCH($G1239,'Putt Log'!$E$1:$V$1,0)
  ),
"")</f>
        <v>2</v>
      </c>
      <c r="P1239" t="str" cm="1">
        <f t="array" ref="P1239">IF(K1239=3,"",
  IFERROR(
    INDEX('Fairway Log'!$E$2:$V$72,
      MATCH(1,
        ('Fairway Log'!$A$2:$A$72=$A1239)*
        ('Fairway Log'!$B$2:$B$72=$B1239)*
        ('Fairway Log'!$C$2:$C1310=$C1239),
      0),
      MATCH($G1239,'Fairway Log'!$E$1:$V$1,0)
    ),
  "")
)</f>
        <v/>
      </c>
      <c r="Q1239" t="str" cm="1">
        <f t="array" ref="Q1239">IFERROR(
  INDEX('GIR Log'!$E$2:$V$72,
    MATCH(1,
      ('GIR Log'!$A$2:$A$72=$A1239)*
      ('GIR Log'!$B$2:$B$72=$B1239)*
      ('GIR Log'!$C$2:$C$72=$C1239),
    0),
    MATCH($G1239,'GIR Log'!$E$1:$V$1,0)
  ),
"")</f>
        <v>→</v>
      </c>
    </row>
    <row r="1240" spans="1:17" x14ac:dyDescent="0.25">
      <c r="A1240" s="92" t="s">
        <v>126</v>
      </c>
      <c r="B1240" s="2">
        <v>46164</v>
      </c>
      <c r="C1240" s="107" t="s">
        <v>6</v>
      </c>
      <c r="D1240" s="107" t="s">
        <v>75</v>
      </c>
      <c r="E1240" s="107" t="s">
        <v>36</v>
      </c>
      <c r="F1240">
        <v>89</v>
      </c>
      <c r="G1240" s="12" t="s">
        <v>61</v>
      </c>
      <c r="H1240" s="9">
        <f t="shared" si="86"/>
        <v>15</v>
      </c>
      <c r="I1240" cm="1">
        <f t="array" ref="I1240">IFERROR(INDEX(CourseYardages[[Hole 1]:[Hole 18]],
  MATCH(1, (CourseYardages[Course]=C1240)*(CourseYardages[Tees]=E1240), 0),
  MATCH(G1240, CourseYardages[[#Headers],[Hole 1]:[Hole 18]], 0)
),"")</f>
        <v>404</v>
      </c>
      <c r="J1240" cm="1">
        <f t="array" ref="J1240">IFERROR(INDEX(CourseHandicap[[Hole 1]:[Hole 18]],
  MATCH(1, (CourseHandicap[Course]=C1240)*(CourseHandicap[Tees]=E1240), 0),
  MATCH(G1240, CourseHandicap[[#Headers],[Hole 1]:[Hole 18]], 0)
),"")</f>
        <v>1</v>
      </c>
      <c r="K1240" cm="1">
        <f t="array" ref="K1240">IFERROR(INDEX(CourseRatings[[Hole 1]:[Hole 18]],
  MATCH(1, (CourseRatings[Course]=C1240)*(CourseRatings[Tees]=E1240), 0),
  MATCH(G1240, CourseRatings[[#Headers],[Hole 1]:[Hole 18]], 0)
),"")</f>
        <v>4</v>
      </c>
      <c r="L1240" cm="1">
        <f t="array" ref="L1240">IFERROR(
  INDEX('Golf Log'!$E$2:$V$72,
    MATCH(1,
      ('Golf Log'!$A$2:$A$72=$A1240)*
      ('Golf Log'!$B$2:$B$72=$B1240)*
      ('Golf Log'!$C$2:$C$72=$C1240),
    0),
    MATCH($G1240,'Golf Log'!$E$1:$V$1,0)
  ),
"")</f>
        <v>6</v>
      </c>
      <c r="M1240">
        <f t="shared" si="87"/>
        <v>2</v>
      </c>
      <c r="N1240" t="str">
        <f t="shared" si="88"/>
        <v>Double Bogey</v>
      </c>
      <c r="O1240" cm="1">
        <f t="array" ref="O1240">IFERROR(
  INDEX('Putt Log'!$E$2:$V$72,
    MATCH(1,
      ('Putt Log'!$A$2:$A$72=$A1240)*
      ('Putt Log'!$B$2:$B$72=$B1240)*
      ('Putt Log'!$C$2:$C$72=$C1240),
    0),
    MATCH($G1240,'Putt Log'!$E$1:$V$1,0)
  ),
"")</f>
        <v>2</v>
      </c>
      <c r="P1240" t="str" cm="1">
        <f t="array" ref="P1240">IF(K1240=3,"",
  IFERROR(
    INDEX('Fairway Log'!$E$2:$V$72,
      MATCH(1,
        ('Fairway Log'!$A$2:$A$72=$A1240)*
        ('Fairway Log'!$B$2:$B$72=$B1240)*
        ('Fairway Log'!$C$2:$C1311=$C1240),
      0),
      MATCH($G1240,'Fairway Log'!$E$1:$V$1,0)
    ),
  "")
)</f>
        <v>←</v>
      </c>
      <c r="Q1240" t="str" cm="1">
        <f t="array" ref="Q1240">IFERROR(
  INDEX('GIR Log'!$E$2:$V$72,
    MATCH(1,
      ('GIR Log'!$A$2:$A$72=$A1240)*
      ('GIR Log'!$B$2:$B$72=$B1240)*
      ('GIR Log'!$C$2:$C$72=$C1240),
    0),
    MATCH($G1240,'GIR Log'!$E$1:$V$1,0)
  ),
"")</f>
        <v>↓</v>
      </c>
    </row>
    <row r="1241" spans="1:17" x14ac:dyDescent="0.25">
      <c r="A1241" s="92" t="s">
        <v>126</v>
      </c>
      <c r="B1241" s="2">
        <v>46164</v>
      </c>
      <c r="C1241" s="107" t="s">
        <v>6</v>
      </c>
      <c r="D1241" s="107" t="s">
        <v>75</v>
      </c>
      <c r="E1241" s="107" t="s">
        <v>36</v>
      </c>
      <c r="F1241">
        <v>89</v>
      </c>
      <c r="G1241" s="12" t="s">
        <v>62</v>
      </c>
      <c r="H1241" s="9">
        <f t="shared" si="86"/>
        <v>16</v>
      </c>
      <c r="I1241" cm="1">
        <f t="array" ref="I1241">IFERROR(INDEX(CourseYardages[[Hole 1]:[Hole 18]],
  MATCH(1, (CourseYardages[Course]=C1241)*(CourseYardages[Tees]=E1241), 0),
  MATCH(G1241, CourseYardages[[#Headers],[Hole 1]:[Hole 18]], 0)
),"")</f>
        <v>262</v>
      </c>
      <c r="J1241" cm="1">
        <f t="array" ref="J1241">IFERROR(INDEX(CourseHandicap[[Hole 1]:[Hole 18]],
  MATCH(1, (CourseHandicap[Course]=C1241)*(CourseHandicap[Tees]=E1241), 0),
  MATCH(G1241, CourseHandicap[[#Headers],[Hole 1]:[Hole 18]], 0)
),"")</f>
        <v>17</v>
      </c>
      <c r="K1241" cm="1">
        <f t="array" ref="K1241">IFERROR(INDEX(CourseRatings[[Hole 1]:[Hole 18]],
  MATCH(1, (CourseRatings[Course]=C1241)*(CourseRatings[Tees]=E1241), 0),
  MATCH(G1241, CourseRatings[[#Headers],[Hole 1]:[Hole 18]], 0)
),"")</f>
        <v>4</v>
      </c>
      <c r="L1241" cm="1">
        <f t="array" ref="L1241">IFERROR(
  INDEX('Golf Log'!$E$2:$V$72,
    MATCH(1,
      ('Golf Log'!$A$2:$A$72=$A1241)*
      ('Golf Log'!$B$2:$B$72=$B1241)*
      ('Golf Log'!$C$2:$C$72=$C1241),
    0),
    MATCH($G1241,'Golf Log'!$E$1:$V$1,0)
  ),
"")</f>
        <v>5</v>
      </c>
      <c r="M1241">
        <f t="shared" si="87"/>
        <v>1</v>
      </c>
      <c r="N1241" t="str">
        <f t="shared" si="88"/>
        <v>Bogey</v>
      </c>
      <c r="O1241" cm="1">
        <f t="array" ref="O1241">IFERROR(
  INDEX('Putt Log'!$E$2:$V$72,
    MATCH(1,
      ('Putt Log'!$A$2:$A$72=$A1241)*
      ('Putt Log'!$B$2:$B$72=$B1241)*
      ('Putt Log'!$C$2:$C$72=$C1241),
    0),
    MATCH($G1241,'Putt Log'!$E$1:$V$1,0)
  ),
"")</f>
        <v>2</v>
      </c>
      <c r="P1241" t="str" cm="1">
        <f t="array" ref="P1241">IF(K1241=3,"",
  IFERROR(
    INDEX('Fairway Log'!$E$2:$V$72,
      MATCH(1,
        ('Fairway Log'!$A$2:$A$72=$A1241)*
        ('Fairway Log'!$B$2:$B$72=$B1241)*
        ('Fairway Log'!$C$2:$C1312=$C1241),
      0),
      MATCH($G1241,'Fairway Log'!$E$1:$V$1,0)
    ),
  "")
)</f>
        <v>→</v>
      </c>
      <c r="Q1241" t="str" cm="1">
        <f t="array" ref="Q1241">IFERROR(
  INDEX('GIR Log'!$E$2:$V$72,
    MATCH(1,
      ('GIR Log'!$A$2:$A$72=$A1241)*
      ('GIR Log'!$B$2:$B$72=$B1241)*
      ('GIR Log'!$C$2:$C$72=$C1241),
    0),
    MATCH($G1241,'GIR Log'!$E$1:$V$1,0)
  ),
"")</f>
        <v>→</v>
      </c>
    </row>
    <row r="1242" spans="1:17" x14ac:dyDescent="0.25">
      <c r="A1242" s="92" t="s">
        <v>126</v>
      </c>
      <c r="B1242" s="2">
        <v>46164</v>
      </c>
      <c r="C1242" s="107" t="s">
        <v>6</v>
      </c>
      <c r="D1242" s="107" t="s">
        <v>75</v>
      </c>
      <c r="E1242" s="107" t="s">
        <v>36</v>
      </c>
      <c r="F1242">
        <v>89</v>
      </c>
      <c r="G1242" s="12" t="s">
        <v>63</v>
      </c>
      <c r="H1242" s="9">
        <f t="shared" si="86"/>
        <v>17</v>
      </c>
      <c r="I1242" cm="1">
        <f t="array" ref="I1242">IFERROR(INDEX(CourseYardages[[Hole 1]:[Hole 18]],
  MATCH(1, (CourseYardages[Course]=C1242)*(CourseYardages[Tees]=E1242), 0),
  MATCH(G1242, CourseYardages[[#Headers],[Hole 1]:[Hole 18]], 0)
),"")</f>
        <v>467</v>
      </c>
      <c r="J1242" cm="1">
        <f t="array" ref="J1242">IFERROR(INDEX(CourseHandicap[[Hole 1]:[Hole 18]],
  MATCH(1, (CourseHandicap[Course]=C1242)*(CourseHandicap[Tees]=E1242), 0),
  MATCH(G1242, CourseHandicap[[#Headers],[Hole 1]:[Hole 18]], 0)
),"")</f>
        <v>3</v>
      </c>
      <c r="K1242" cm="1">
        <f t="array" ref="K1242">IFERROR(INDEX(CourseRatings[[Hole 1]:[Hole 18]],
  MATCH(1, (CourseRatings[Course]=C1242)*(CourseRatings[Tees]=E1242), 0),
  MATCH(G1242, CourseRatings[[#Headers],[Hole 1]:[Hole 18]], 0)
),"")</f>
        <v>5</v>
      </c>
      <c r="L1242" cm="1">
        <f t="array" ref="L1242">IFERROR(
  INDEX('Golf Log'!$E$2:$V$72,
    MATCH(1,
      ('Golf Log'!$A$2:$A$72=$A1242)*
      ('Golf Log'!$B$2:$B$72=$B1242)*
      ('Golf Log'!$C$2:$C$72=$C1242),
    0),
    MATCH($G1242,'Golf Log'!$E$1:$V$1,0)
  ),
"")</f>
        <v>5</v>
      </c>
      <c r="M1242">
        <f t="shared" si="87"/>
        <v>0</v>
      </c>
      <c r="N1242" t="str">
        <f t="shared" si="88"/>
        <v>Par</v>
      </c>
      <c r="O1242" cm="1">
        <f t="array" ref="O1242">IFERROR(
  INDEX('Putt Log'!$E$2:$V$72,
    MATCH(1,
      ('Putt Log'!$A$2:$A$72=$A1242)*
      ('Putt Log'!$B$2:$B$72=$B1242)*
      ('Putt Log'!$C$2:$C$72=$C1242),
    0),
    MATCH($G1242,'Putt Log'!$E$1:$V$1,0)
  ),
"")</f>
        <v>1</v>
      </c>
      <c r="P1242" cm="1">
        <f t="array" ref="P1242">IF(K1242=3,"",
  IFERROR(
    INDEX('Fairway Log'!$E$2:$V$72,
      MATCH(1,
        ('Fairway Log'!$A$2:$A$72=$A1242)*
        ('Fairway Log'!$B$2:$B$72=$B1242)*
        ('Fairway Log'!$C$2:$C1313=$C1242),
      0),
      MATCH($G1242,'Fairway Log'!$E$1:$V$1,0)
    ),
  "")
)</f>
        <v>1</v>
      </c>
      <c r="Q1242" t="str" cm="1">
        <f t="array" ref="Q1242">IFERROR(
  INDEX('GIR Log'!$E$2:$V$72,
    MATCH(1,
      ('GIR Log'!$A$2:$A$72=$A1242)*
      ('GIR Log'!$B$2:$B$72=$B1242)*
      ('GIR Log'!$C$2:$C$72=$C1242),
    0),
    MATCH($G1242,'GIR Log'!$E$1:$V$1,0)
  ),
"")</f>
        <v>↓</v>
      </c>
    </row>
    <row r="1243" spans="1:17" x14ac:dyDescent="0.25">
      <c r="A1243" s="92" t="s">
        <v>126</v>
      </c>
      <c r="B1243" s="2">
        <v>46164</v>
      </c>
      <c r="C1243" s="107" t="s">
        <v>6</v>
      </c>
      <c r="D1243" s="107" t="s">
        <v>75</v>
      </c>
      <c r="E1243" s="107" t="s">
        <v>36</v>
      </c>
      <c r="F1243">
        <v>89</v>
      </c>
      <c r="G1243" s="12" t="s">
        <v>64</v>
      </c>
      <c r="H1243" s="9">
        <f t="shared" si="86"/>
        <v>18</v>
      </c>
      <c r="I1243" cm="1">
        <f t="array" ref="I1243">IFERROR(INDEX(CourseYardages[[Hole 1]:[Hole 18]],
  MATCH(1, (CourseYardages[Course]=C1243)*(CourseYardages[Tees]=E1243), 0),
  MATCH(G1243, CourseYardages[[#Headers],[Hole 1]:[Hole 18]], 0)
),"")</f>
        <v>355</v>
      </c>
      <c r="J1243" cm="1">
        <f t="array" ref="J1243">IFERROR(INDEX(CourseHandicap[[Hole 1]:[Hole 18]],
  MATCH(1, (CourseHandicap[Course]=C1243)*(CourseHandicap[Tees]=E1243), 0),
  MATCH(G1243, CourseHandicap[[#Headers],[Hole 1]:[Hole 18]], 0)
),"")</f>
        <v>7</v>
      </c>
      <c r="K1243" cm="1">
        <f t="array" ref="K1243">IFERROR(INDEX(CourseRatings[[Hole 1]:[Hole 18]],
  MATCH(1, (CourseRatings[Course]=C1243)*(CourseRatings[Tees]=E1243), 0),
  MATCH(G1243, CourseRatings[[#Headers],[Hole 1]:[Hole 18]], 0)
),"")</f>
        <v>4</v>
      </c>
      <c r="L1243" cm="1">
        <f t="array" ref="L1243">IFERROR(
  INDEX('Golf Log'!$E$2:$V$72,
    MATCH(1,
      ('Golf Log'!$A$2:$A$72=$A1243)*
      ('Golf Log'!$B$2:$B$72=$B1243)*
      ('Golf Log'!$C$2:$C$72=$C1243),
    0),
    MATCH($G1243,'Golf Log'!$E$1:$V$1,0)
  ),
"")</f>
        <v>5</v>
      </c>
      <c r="M1243">
        <f t="shared" si="87"/>
        <v>1</v>
      </c>
      <c r="N1243" t="str">
        <f t="shared" si="88"/>
        <v>Bogey</v>
      </c>
      <c r="O1243" cm="1">
        <f t="array" ref="O1243">IFERROR(
  INDEX('Putt Log'!$E$2:$V$72,
    MATCH(1,
      ('Putt Log'!$A$2:$A$72=$A1243)*
      ('Putt Log'!$B$2:$B$72=$B1243)*
      ('Putt Log'!$C$2:$C$72=$C1243),
    0),
    MATCH($G1243,'Putt Log'!$E$1:$V$1,0)
  ),
"")</f>
        <v>2</v>
      </c>
      <c r="P1243" cm="1">
        <f t="array" ref="P1243">IF(K1243=3,"",
  IFERROR(
    INDEX('Fairway Log'!$E$2:$V$72,
      MATCH(1,
        ('Fairway Log'!$A$2:$A$72=$A1243)*
        ('Fairway Log'!$B$2:$B$72=$B1243)*
        ('Fairway Log'!$C$2:$C1314=$C1243),
      0),
      MATCH($G1243,'Fairway Log'!$E$1:$V$1,0)
    ),
  "")
)</f>
        <v>1</v>
      </c>
      <c r="Q1243" t="str" cm="1">
        <f t="array" ref="Q1243">IFERROR(
  INDEX('GIR Log'!$E$2:$V$72,
    MATCH(1,
      ('GIR Log'!$A$2:$A$72=$A1243)*
      ('GIR Log'!$B$2:$B$72=$B1243)*
      ('GIR Log'!$C$2:$C$72=$C1243),
    0),
    MATCH($G1243,'GIR Log'!$E$1:$V$1,0)
  ),
"")</f>
        <v>←</v>
      </c>
    </row>
    <row r="1244" spans="1:17" x14ac:dyDescent="0.25">
      <c r="A1244" s="117" t="s">
        <v>127</v>
      </c>
      <c r="B1244" s="2">
        <v>46185</v>
      </c>
      <c r="C1244" s="117" t="s">
        <v>145</v>
      </c>
      <c r="D1244" s="117" t="s">
        <v>145</v>
      </c>
      <c r="E1244" s="117" t="s">
        <v>36</v>
      </c>
      <c r="F1244">
        <v>104</v>
      </c>
      <c r="G1244" s="12" t="s">
        <v>47</v>
      </c>
      <c r="H1244" s="9">
        <f t="shared" ref="H1244:H1261" si="89">VALUE(RIGHT(G1244, LEN(G1244) - 5))</f>
        <v>1</v>
      </c>
      <c r="I1244" cm="1">
        <f t="array" ref="I1244">IFERROR(INDEX(CourseYardages[[Hole 1]:[Hole 18]],
  MATCH(1, (CourseYardages[Course]=C1244)*(CourseYardages[Tees]=E1244), 0),
  MATCH(G1244, CourseYardages[[#Headers],[Hole 1]:[Hole 18]], 0)
),"")</f>
        <v>338</v>
      </c>
      <c r="J1244" cm="1">
        <f t="array" ref="J1244">IFERROR(INDEX(CourseHandicap[[Hole 1]:[Hole 18]],
  MATCH(1, (CourseHandicap[Course]=C1244)*(CourseHandicap[Tees]=E1244), 0),
  MATCH(G1244, CourseHandicap[[#Headers],[Hole 1]:[Hole 18]], 0)
),"")</f>
        <v>5</v>
      </c>
      <c r="K1244" cm="1">
        <f t="array" ref="K1244">IFERROR(INDEX(CourseRatings[[Hole 1]:[Hole 18]],
  MATCH(1, (CourseRatings[Course]=C1244)*(CourseRatings[Tees]=E1244), 0),
  MATCH(G1244, CourseRatings[[#Headers],[Hole 1]:[Hole 18]], 0)
),"")</f>
        <v>4</v>
      </c>
      <c r="L1244" cm="1">
        <f t="array" ref="L1244">IFERROR(
  INDEX('Golf Log'!$E$2:$V$72,
    MATCH(1,
      ('Golf Log'!$A$2:$A$72=$A1244)*
      ('Golf Log'!$B$2:$B$72=$B1244)*
      ('Golf Log'!$C$2:$C$72=$C1244),
    0),
    MATCH($G1244,'Golf Log'!$E$1:$V$1,0)
  ),
"")</f>
        <v>7</v>
      </c>
      <c r="M1244">
        <f t="shared" ref="M1244:M1261" si="90">IFERROR(L1244-K1244,"")</f>
        <v>3</v>
      </c>
      <c r="N1244" t="str">
        <f t="shared" ref="N1244:N1261" si="91">IF(M1244="","",(IF(M1244=-2,"Eagle",IF(M1244=-1,"Birdie",IF(M1244=0,"Par",IF(M1244=1,"Bogey",IF(M1244=2,"Double Bogey",IF(M1244=3,"Triple Bogey",IF(M1244&gt;3,"Quad Bogey+")))))))))</f>
        <v>Triple Bogey</v>
      </c>
      <c r="O1244" cm="1">
        <f t="array" ref="O1244">IFERROR(
  INDEX('Putt Log'!$E$2:$V$72,
    MATCH(1,
      ('Putt Log'!$A$2:$A$72=$A1244)*
      ('Putt Log'!$B$2:$B$72=$B1244)*
      ('Putt Log'!$C$2:$C$72=$C1244),
    0),
    MATCH($G1244,'Putt Log'!$E$1:$V$1,0)
  ),
"")</f>
        <v>2</v>
      </c>
      <c r="P1244" t="str" cm="1">
        <f t="array" ref="P1244">IF(K1244=3,"",
  IFERROR(
    INDEX('Fairway Log'!$E$2:$V$72,
      MATCH(1,
        ('Fairway Log'!$A$2:$A$72=$A1244)*
        ('Fairway Log'!$B$2:$B$72=$B1244)*
        ('Fairway Log'!$C$2:$C1315=$C1244),
      0),
      MATCH($G1244,'Fairway Log'!$E$1:$V$1,0)
    ),
  "")
)</f>
        <v>→</v>
      </c>
      <c r="Q1244" t="str" cm="1">
        <f t="array" ref="Q1244">IFERROR(
  INDEX('GIR Log'!$E$2:$V$72,
    MATCH(1,
      ('GIR Log'!$A$2:$A$72=$A1244)*
      ('GIR Log'!$B$2:$B$72=$B1244)*
      ('GIR Log'!$C$2:$C$72=$C1244),
    0),
    MATCH($G1244,'GIR Log'!$E$1:$V$1,0)
  ),
"")</f>
        <v>NC</v>
      </c>
    </row>
    <row r="1245" spans="1:17" x14ac:dyDescent="0.25">
      <c r="A1245" s="117" t="s">
        <v>127</v>
      </c>
      <c r="B1245" s="2">
        <v>46185</v>
      </c>
      <c r="C1245" s="117" t="s">
        <v>145</v>
      </c>
      <c r="D1245" s="117" t="s">
        <v>145</v>
      </c>
      <c r="E1245" s="117" t="s">
        <v>36</v>
      </c>
      <c r="F1245">
        <v>104</v>
      </c>
      <c r="G1245" s="12" t="s">
        <v>48</v>
      </c>
      <c r="H1245" s="9">
        <f t="shared" si="89"/>
        <v>2</v>
      </c>
      <c r="I1245" cm="1">
        <f t="array" ref="I1245">IFERROR(INDEX(CourseYardages[[Hole 1]:[Hole 18]],
  MATCH(1, (CourseYardages[Course]=C1245)*(CourseYardages[Tees]=E1245), 0),
  MATCH(G1245, CourseYardages[[#Headers],[Hole 1]:[Hole 18]], 0)
),"")</f>
        <v>542</v>
      </c>
      <c r="J1245" cm="1">
        <f t="array" ref="J1245">IFERROR(INDEX(CourseHandicap[[Hole 1]:[Hole 18]],
  MATCH(1, (CourseHandicap[Course]=C1245)*(CourseHandicap[Tees]=E1245), 0),
  MATCH(G1245, CourseHandicap[[#Headers],[Hole 1]:[Hole 18]], 0)
),"")</f>
        <v>3</v>
      </c>
      <c r="K1245" cm="1">
        <f t="array" ref="K1245">IFERROR(INDEX(CourseRatings[[Hole 1]:[Hole 18]],
  MATCH(1, (CourseRatings[Course]=C1245)*(CourseRatings[Tees]=E1245), 0),
  MATCH(G1245, CourseRatings[[#Headers],[Hole 1]:[Hole 18]], 0)
),"")</f>
        <v>5</v>
      </c>
      <c r="L1245" cm="1">
        <f t="array" ref="L1245">IFERROR(
  INDEX('Golf Log'!$E$2:$V$72,
    MATCH(1,
      ('Golf Log'!$A$2:$A$72=$A1245)*
      ('Golf Log'!$B$2:$B$72=$B1245)*
      ('Golf Log'!$C$2:$C$72=$C1245),
    0),
    MATCH($G1245,'Golf Log'!$E$1:$V$1,0)
  ),
"")</f>
        <v>8</v>
      </c>
      <c r="M1245">
        <f t="shared" si="90"/>
        <v>3</v>
      </c>
      <c r="N1245" t="str">
        <f t="shared" si="91"/>
        <v>Triple Bogey</v>
      </c>
      <c r="O1245" cm="1">
        <f t="array" ref="O1245">IFERROR(
  INDEX('Putt Log'!$E$2:$V$72,
    MATCH(1,
      ('Putt Log'!$A$2:$A$72=$A1245)*
      ('Putt Log'!$B$2:$B$72=$B1245)*
      ('Putt Log'!$C$2:$C$72=$C1245),
    0),
    MATCH($G1245,'Putt Log'!$E$1:$V$1,0)
  ),
"")</f>
        <v>2</v>
      </c>
      <c r="P1245" t="str" cm="1">
        <f t="array" ref="P1245">IF(K1245=3,"",
  IFERROR(
    INDEX('Fairway Log'!$E$2:$V$72,
      MATCH(1,
        ('Fairway Log'!$A$2:$A$72=$A1245)*
        ('Fairway Log'!$B$2:$B$72=$B1245)*
        ('Fairway Log'!$C$2:$C1316=$C1245),
      0),
      MATCH($G1245,'Fairway Log'!$E$1:$V$1,0)
    ),
  "")
)</f>
        <v>←</v>
      </c>
      <c r="Q1245" t="str" cm="1">
        <f t="array" ref="Q1245">IFERROR(
  INDEX('GIR Log'!$E$2:$V$72,
    MATCH(1,
      ('GIR Log'!$A$2:$A$72=$A1245)*
      ('GIR Log'!$B$2:$B$72=$B1245)*
      ('GIR Log'!$C$2:$C$72=$C1245),
    0),
    MATCH($G1245,'GIR Log'!$E$1:$V$1,0)
  ),
"")</f>
        <v>↓</v>
      </c>
    </row>
    <row r="1246" spans="1:17" x14ac:dyDescent="0.25">
      <c r="A1246" s="117" t="s">
        <v>127</v>
      </c>
      <c r="B1246" s="2">
        <v>46185</v>
      </c>
      <c r="C1246" s="117" t="s">
        <v>145</v>
      </c>
      <c r="D1246" s="117" t="s">
        <v>145</v>
      </c>
      <c r="E1246" s="117" t="s">
        <v>36</v>
      </c>
      <c r="F1246">
        <v>104</v>
      </c>
      <c r="G1246" s="12" t="s">
        <v>49</v>
      </c>
      <c r="H1246" s="9">
        <f t="shared" si="89"/>
        <v>3</v>
      </c>
      <c r="I1246" cm="1">
        <f t="array" ref="I1246">IFERROR(INDEX(CourseYardages[[Hole 1]:[Hole 18]],
  MATCH(1, (CourseYardages[Course]=C1246)*(CourseYardages[Tees]=E1246), 0),
  MATCH(G1246, CourseYardages[[#Headers],[Hole 1]:[Hole 18]], 0)
),"")</f>
        <v>419</v>
      </c>
      <c r="J1246" cm="1">
        <f t="array" ref="J1246">IFERROR(INDEX(CourseHandicap[[Hole 1]:[Hole 18]],
  MATCH(1, (CourseHandicap[Course]=C1246)*(CourseHandicap[Tees]=E1246), 0),
  MATCH(G1246, CourseHandicap[[#Headers],[Hole 1]:[Hole 18]], 0)
),"")</f>
        <v>1</v>
      </c>
      <c r="K1246" cm="1">
        <f t="array" ref="K1246">IFERROR(INDEX(CourseRatings[[Hole 1]:[Hole 18]],
  MATCH(1, (CourseRatings[Course]=C1246)*(CourseRatings[Tees]=E1246), 0),
  MATCH(G1246, CourseRatings[[#Headers],[Hole 1]:[Hole 18]], 0)
),"")</f>
        <v>4</v>
      </c>
      <c r="L1246" cm="1">
        <f t="array" ref="L1246">IFERROR(
  INDEX('Golf Log'!$E$2:$V$72,
    MATCH(1,
      ('Golf Log'!$A$2:$A$72=$A1246)*
      ('Golf Log'!$B$2:$B$72=$B1246)*
      ('Golf Log'!$C$2:$C$72=$C1246),
    0),
    MATCH($G1246,'Golf Log'!$E$1:$V$1,0)
  ),
"")</f>
        <v>8</v>
      </c>
      <c r="M1246">
        <f t="shared" si="90"/>
        <v>4</v>
      </c>
      <c r="N1246" t="str">
        <f t="shared" si="91"/>
        <v>Quad Bogey+</v>
      </c>
      <c r="O1246" cm="1">
        <f t="array" ref="O1246">IFERROR(
  INDEX('Putt Log'!$E$2:$V$72,
    MATCH(1,
      ('Putt Log'!$A$2:$A$72=$A1246)*
      ('Putt Log'!$B$2:$B$72=$B1246)*
      ('Putt Log'!$C$2:$C$72=$C1246),
    0),
    MATCH($G1246,'Putt Log'!$E$1:$V$1,0)
  ),
"")</f>
        <v>2</v>
      </c>
      <c r="P1246" t="str" cm="1">
        <f t="array" ref="P1246">IF(K1246=3,"",
  IFERROR(
    INDEX('Fairway Log'!$E$2:$V$72,
      MATCH(1,
        ('Fairway Log'!$A$2:$A$72=$A1246)*
        ('Fairway Log'!$B$2:$B$72=$B1246)*
        ('Fairway Log'!$C$2:$C1317=$C1246),
      0),
      MATCH($G1246,'Fairway Log'!$E$1:$V$1,0)
    ),
  "")
)</f>
        <v>→</v>
      </c>
      <c r="Q1246" t="str" cm="1">
        <f t="array" ref="Q1246">IFERROR(
  INDEX('GIR Log'!$E$2:$V$72,
    MATCH(1,
      ('GIR Log'!$A$2:$A$72=$A1246)*
      ('GIR Log'!$B$2:$B$72=$B1246)*
      ('GIR Log'!$C$2:$C$72=$C1246),
    0),
    MATCH($G1246,'GIR Log'!$E$1:$V$1,0)
  ),
"")</f>
        <v>↓</v>
      </c>
    </row>
    <row r="1247" spans="1:17" x14ac:dyDescent="0.25">
      <c r="A1247" s="117" t="s">
        <v>127</v>
      </c>
      <c r="B1247" s="2">
        <v>46185</v>
      </c>
      <c r="C1247" s="117" t="s">
        <v>145</v>
      </c>
      <c r="D1247" s="117" t="s">
        <v>145</v>
      </c>
      <c r="E1247" s="117" t="s">
        <v>36</v>
      </c>
      <c r="F1247">
        <v>104</v>
      </c>
      <c r="G1247" s="12" t="s">
        <v>50</v>
      </c>
      <c r="H1247" s="9">
        <f t="shared" si="89"/>
        <v>4</v>
      </c>
      <c r="I1247" cm="1">
        <f t="array" ref="I1247">IFERROR(INDEX(CourseYardages[[Hole 1]:[Hole 18]],
  MATCH(1, (CourseYardages[Course]=C1247)*(CourseYardages[Tees]=E1247), 0),
  MATCH(G1247, CourseYardages[[#Headers],[Hole 1]:[Hole 18]], 0)
),"")</f>
        <v>181</v>
      </c>
      <c r="J1247" cm="1">
        <f t="array" ref="J1247">IFERROR(INDEX(CourseHandicap[[Hole 1]:[Hole 18]],
  MATCH(1, (CourseHandicap[Course]=C1247)*(CourseHandicap[Tees]=E1247), 0),
  MATCH(G1247, CourseHandicap[[#Headers],[Hole 1]:[Hole 18]], 0)
),"")</f>
        <v>15</v>
      </c>
      <c r="K1247" cm="1">
        <f t="array" ref="K1247">IFERROR(INDEX(CourseRatings[[Hole 1]:[Hole 18]],
  MATCH(1, (CourseRatings[Course]=C1247)*(CourseRatings[Tees]=E1247), 0),
  MATCH(G1247, CourseRatings[[#Headers],[Hole 1]:[Hole 18]], 0)
),"")</f>
        <v>3</v>
      </c>
      <c r="L1247" cm="1">
        <f t="array" ref="L1247">IFERROR(
  INDEX('Golf Log'!$E$2:$V$72,
    MATCH(1,
      ('Golf Log'!$A$2:$A$72=$A1247)*
      ('Golf Log'!$B$2:$B$72=$B1247)*
      ('Golf Log'!$C$2:$C$72=$C1247),
    0),
    MATCH($G1247,'Golf Log'!$E$1:$V$1,0)
  ),
"")</f>
        <v>4</v>
      </c>
      <c r="M1247">
        <f t="shared" si="90"/>
        <v>1</v>
      </c>
      <c r="N1247" t="str">
        <f t="shared" si="91"/>
        <v>Bogey</v>
      </c>
      <c r="O1247" cm="1">
        <f t="array" ref="O1247">IFERROR(
  INDEX('Putt Log'!$E$2:$V$72,
    MATCH(1,
      ('Putt Log'!$A$2:$A$72=$A1247)*
      ('Putt Log'!$B$2:$B$72=$B1247)*
      ('Putt Log'!$C$2:$C$72=$C1247),
    0),
    MATCH($G1247,'Putt Log'!$E$1:$V$1,0)
  ),
"")</f>
        <v>2</v>
      </c>
      <c r="P1247" t="str" cm="1">
        <f t="array" ref="P1247">IF(K1247=3,"",
  IFERROR(
    INDEX('Fairway Log'!$E$2:$V$72,
      MATCH(1,
        ('Fairway Log'!$A$2:$A$72=$A1247)*
        ('Fairway Log'!$B$2:$B$72=$B1247)*
        ('Fairway Log'!$C$2:$C1318=$C1247),
      0),
      MATCH($G1247,'Fairway Log'!$E$1:$V$1,0)
    ),
  "")
)</f>
        <v/>
      </c>
      <c r="Q1247" t="str" cm="1">
        <f t="array" ref="Q1247">IFERROR(
  INDEX('GIR Log'!$E$2:$V$72,
    MATCH(1,
      ('GIR Log'!$A$2:$A$72=$A1247)*
      ('GIR Log'!$B$2:$B$72=$B1247)*
      ('GIR Log'!$C$2:$C$72=$C1247),
    0),
    MATCH($G1247,'GIR Log'!$E$1:$V$1,0)
  ),
"")</f>
        <v>→</v>
      </c>
    </row>
    <row r="1248" spans="1:17" x14ac:dyDescent="0.25">
      <c r="A1248" s="117" t="s">
        <v>127</v>
      </c>
      <c r="B1248" s="2">
        <v>46185</v>
      </c>
      <c r="C1248" s="117" t="s">
        <v>145</v>
      </c>
      <c r="D1248" s="117" t="s">
        <v>145</v>
      </c>
      <c r="E1248" s="117" t="s">
        <v>36</v>
      </c>
      <c r="F1248">
        <v>104</v>
      </c>
      <c r="G1248" s="12" t="s">
        <v>51</v>
      </c>
      <c r="H1248" s="9">
        <f t="shared" si="89"/>
        <v>5</v>
      </c>
      <c r="I1248" cm="1">
        <f t="array" ref="I1248">IFERROR(INDEX(CourseYardages[[Hole 1]:[Hole 18]],
  MATCH(1, (CourseYardages[Course]=C1248)*(CourseYardages[Tees]=E1248), 0),
  MATCH(G1248, CourseYardages[[#Headers],[Hole 1]:[Hole 18]], 0)
),"")</f>
        <v>356</v>
      </c>
      <c r="J1248" cm="1">
        <f t="array" ref="J1248">IFERROR(INDEX(CourseHandicap[[Hole 1]:[Hole 18]],
  MATCH(1, (CourseHandicap[Course]=C1248)*(CourseHandicap[Tees]=E1248), 0),
  MATCH(G1248, CourseHandicap[[#Headers],[Hole 1]:[Hole 18]], 0)
),"")</f>
        <v>13</v>
      </c>
      <c r="K1248" cm="1">
        <f t="array" ref="K1248">IFERROR(INDEX(CourseRatings[[Hole 1]:[Hole 18]],
  MATCH(1, (CourseRatings[Course]=C1248)*(CourseRatings[Tees]=E1248), 0),
  MATCH(G1248, CourseRatings[[#Headers],[Hole 1]:[Hole 18]], 0)
),"")</f>
        <v>4</v>
      </c>
      <c r="L1248" cm="1">
        <f t="array" ref="L1248">IFERROR(
  INDEX('Golf Log'!$E$2:$V$72,
    MATCH(1,
      ('Golf Log'!$A$2:$A$72=$A1248)*
      ('Golf Log'!$B$2:$B$72=$B1248)*
      ('Golf Log'!$C$2:$C$72=$C1248),
    0),
    MATCH($G1248,'Golf Log'!$E$1:$V$1,0)
  ),
"")</f>
        <v>6</v>
      </c>
      <c r="M1248">
        <f t="shared" si="90"/>
        <v>2</v>
      </c>
      <c r="N1248" t="str">
        <f t="shared" si="91"/>
        <v>Double Bogey</v>
      </c>
      <c r="O1248" cm="1">
        <f t="array" ref="O1248">IFERROR(
  INDEX('Putt Log'!$E$2:$V$72,
    MATCH(1,
      ('Putt Log'!$A$2:$A$72=$A1248)*
      ('Putt Log'!$B$2:$B$72=$B1248)*
      ('Putt Log'!$C$2:$C$72=$C1248),
    0),
    MATCH($G1248,'Putt Log'!$E$1:$V$1,0)
  ),
"")</f>
        <v>3</v>
      </c>
      <c r="P1248" t="str" cm="1">
        <f t="array" ref="P1248">IF(K1248=3,"",
  IFERROR(
    INDEX('Fairway Log'!$E$2:$V$72,
      MATCH(1,
        ('Fairway Log'!$A$2:$A$72=$A1248)*
        ('Fairway Log'!$B$2:$B$72=$B1248)*
        ('Fairway Log'!$C$2:$C1319=$C1248),
      0),
      MATCH($G1248,'Fairway Log'!$E$1:$V$1,0)
    ),
  "")
)</f>
        <v>←</v>
      </c>
      <c r="Q1248" t="str" cm="1">
        <f t="array" ref="Q1248">IFERROR(
  INDEX('GIR Log'!$E$2:$V$72,
    MATCH(1,
      ('GIR Log'!$A$2:$A$72=$A1248)*
      ('GIR Log'!$B$2:$B$72=$B1248)*
      ('GIR Log'!$C$2:$C$72=$C1248),
    0),
    MATCH($G1248,'GIR Log'!$E$1:$V$1,0)
  ),
"")</f>
        <v>→</v>
      </c>
    </row>
    <row r="1249" spans="1:17" x14ac:dyDescent="0.25">
      <c r="A1249" s="117" t="s">
        <v>127</v>
      </c>
      <c r="B1249" s="2">
        <v>46185</v>
      </c>
      <c r="C1249" s="117" t="s">
        <v>145</v>
      </c>
      <c r="D1249" s="117" t="s">
        <v>145</v>
      </c>
      <c r="E1249" s="117" t="s">
        <v>36</v>
      </c>
      <c r="F1249">
        <v>104</v>
      </c>
      <c r="G1249" s="12" t="s">
        <v>52</v>
      </c>
      <c r="H1249" s="9">
        <f t="shared" si="89"/>
        <v>6</v>
      </c>
      <c r="I1249" cm="1">
        <f t="array" ref="I1249">IFERROR(INDEX(CourseYardages[[Hole 1]:[Hole 18]],
  MATCH(1, (CourseYardages[Course]=C1249)*(CourseYardages[Tees]=E1249), 0),
  MATCH(G1249, CourseYardages[[#Headers],[Hole 1]:[Hole 18]], 0)
),"")</f>
        <v>505</v>
      </c>
      <c r="J1249" cm="1">
        <f t="array" ref="J1249">IFERROR(INDEX(CourseHandicap[[Hole 1]:[Hole 18]],
  MATCH(1, (CourseHandicap[Course]=C1249)*(CourseHandicap[Tees]=E1249), 0),
  MATCH(G1249, CourseHandicap[[#Headers],[Hole 1]:[Hole 18]], 0)
),"")</f>
        <v>7</v>
      </c>
      <c r="K1249" cm="1">
        <f t="array" ref="K1249">IFERROR(INDEX(CourseRatings[[Hole 1]:[Hole 18]],
  MATCH(1, (CourseRatings[Course]=C1249)*(CourseRatings[Tees]=E1249), 0),
  MATCH(G1249, CourseRatings[[#Headers],[Hole 1]:[Hole 18]], 0)
),"")</f>
        <v>5</v>
      </c>
      <c r="L1249" cm="1">
        <f t="array" ref="L1249">IFERROR(
  INDEX('Golf Log'!$E$2:$V$72,
    MATCH(1,
      ('Golf Log'!$A$2:$A$72=$A1249)*
      ('Golf Log'!$B$2:$B$72=$B1249)*
      ('Golf Log'!$C$2:$C$72=$C1249),
    0),
    MATCH($G1249,'Golf Log'!$E$1:$V$1,0)
  ),
"")</f>
        <v>7</v>
      </c>
      <c r="M1249">
        <f t="shared" si="90"/>
        <v>2</v>
      </c>
      <c r="N1249" t="str">
        <f t="shared" si="91"/>
        <v>Double Bogey</v>
      </c>
      <c r="O1249" cm="1">
        <f t="array" ref="O1249">IFERROR(
  INDEX('Putt Log'!$E$2:$V$72,
    MATCH(1,
      ('Putt Log'!$A$2:$A$72=$A1249)*
      ('Putt Log'!$B$2:$B$72=$B1249)*
      ('Putt Log'!$C$2:$C$72=$C1249),
    0),
    MATCH($G1249,'Putt Log'!$E$1:$V$1,0)
  ),
"")</f>
        <v>2</v>
      </c>
      <c r="P1249" t="str" cm="1">
        <f t="array" ref="P1249">IF(K1249=3,"",
  IFERROR(
    INDEX('Fairway Log'!$E$2:$V$72,
      MATCH(1,
        ('Fairway Log'!$A$2:$A$72=$A1249)*
        ('Fairway Log'!$B$2:$B$72=$B1249)*
        ('Fairway Log'!$C$2:$C1320=$C1249),
      0),
      MATCH($G1249,'Fairway Log'!$E$1:$V$1,0)
    ),
  "")
)</f>
        <v>↓</v>
      </c>
      <c r="Q1249" t="str" cm="1">
        <f t="array" ref="Q1249">IFERROR(
  INDEX('GIR Log'!$E$2:$V$72,
    MATCH(1,
      ('GIR Log'!$A$2:$A$72=$A1249)*
      ('GIR Log'!$B$2:$B$72=$B1249)*
      ('GIR Log'!$C$2:$C$72=$C1249),
    0),
    MATCH($G1249,'GIR Log'!$E$1:$V$1,0)
  ),
"")</f>
        <v>→</v>
      </c>
    </row>
    <row r="1250" spans="1:17" x14ac:dyDescent="0.25">
      <c r="A1250" s="117" t="s">
        <v>127</v>
      </c>
      <c r="B1250" s="2">
        <v>46185</v>
      </c>
      <c r="C1250" s="117" t="s">
        <v>145</v>
      </c>
      <c r="D1250" s="117" t="s">
        <v>145</v>
      </c>
      <c r="E1250" s="117" t="s">
        <v>36</v>
      </c>
      <c r="F1250">
        <v>104</v>
      </c>
      <c r="G1250" s="12" t="s">
        <v>53</v>
      </c>
      <c r="H1250" s="9">
        <f t="shared" si="89"/>
        <v>7</v>
      </c>
      <c r="I1250" cm="1">
        <f t="array" ref="I1250">IFERROR(INDEX(CourseYardages[[Hole 1]:[Hole 18]],
  MATCH(1, (CourseYardages[Course]=C1250)*(CourseYardages[Tees]=E1250), 0),
  MATCH(G1250, CourseYardages[[#Headers],[Hole 1]:[Hole 18]], 0)
),"")</f>
        <v>128</v>
      </c>
      <c r="J1250" cm="1">
        <f t="array" ref="J1250">IFERROR(INDEX(CourseHandicap[[Hole 1]:[Hole 18]],
  MATCH(1, (CourseHandicap[Course]=C1250)*(CourseHandicap[Tees]=E1250), 0),
  MATCH(G1250, CourseHandicap[[#Headers],[Hole 1]:[Hole 18]], 0)
),"")</f>
        <v>17</v>
      </c>
      <c r="K1250" cm="1">
        <f t="array" ref="K1250">IFERROR(INDEX(CourseRatings[[Hole 1]:[Hole 18]],
  MATCH(1, (CourseRatings[Course]=C1250)*(CourseRatings[Tees]=E1250), 0),
  MATCH(G1250, CourseRatings[[#Headers],[Hole 1]:[Hole 18]], 0)
),"")</f>
        <v>3</v>
      </c>
      <c r="L1250" cm="1">
        <f t="array" ref="L1250">IFERROR(
  INDEX('Golf Log'!$E$2:$V$72,
    MATCH(1,
      ('Golf Log'!$A$2:$A$72=$A1250)*
      ('Golf Log'!$B$2:$B$72=$B1250)*
      ('Golf Log'!$C$2:$C$72=$C1250),
    0),
    MATCH($G1250,'Golf Log'!$E$1:$V$1,0)
  ),
"")</f>
        <v>4</v>
      </c>
      <c r="M1250">
        <f t="shared" si="90"/>
        <v>1</v>
      </c>
      <c r="N1250" t="str">
        <f t="shared" si="91"/>
        <v>Bogey</v>
      </c>
      <c r="O1250" cm="1">
        <f t="array" ref="O1250">IFERROR(
  INDEX('Putt Log'!$E$2:$V$72,
    MATCH(1,
      ('Putt Log'!$A$2:$A$72=$A1250)*
      ('Putt Log'!$B$2:$B$72=$B1250)*
      ('Putt Log'!$C$2:$C$72=$C1250),
    0),
    MATCH($G1250,'Putt Log'!$E$1:$V$1,0)
  ),
"")</f>
        <v>3</v>
      </c>
      <c r="P1250" t="str" cm="1">
        <f t="array" ref="P1250">IF(K1250=3,"",
  IFERROR(
    INDEX('Fairway Log'!$E$2:$V$72,
      MATCH(1,
        ('Fairway Log'!$A$2:$A$72=$A1250)*
        ('Fairway Log'!$B$2:$B$72=$B1250)*
        ('Fairway Log'!$C$2:$C1321=$C1250),
      0),
      MATCH($G1250,'Fairway Log'!$E$1:$V$1,0)
    ),
  "")
)</f>
        <v/>
      </c>
      <c r="Q1250" cm="1">
        <f t="array" ref="Q1250">IFERROR(
  INDEX('GIR Log'!$E$2:$V$72,
    MATCH(1,
      ('GIR Log'!$A$2:$A$72=$A1250)*
      ('GIR Log'!$B$2:$B$72=$B1250)*
      ('GIR Log'!$C$2:$C$72=$C1250),
    0),
    MATCH($G1250,'GIR Log'!$E$1:$V$1,0)
  ),
"")</f>
        <v>1</v>
      </c>
    </row>
    <row r="1251" spans="1:17" x14ac:dyDescent="0.25">
      <c r="A1251" s="117" t="s">
        <v>127</v>
      </c>
      <c r="B1251" s="2">
        <v>46185</v>
      </c>
      <c r="C1251" s="117" t="s">
        <v>145</v>
      </c>
      <c r="D1251" s="117" t="s">
        <v>145</v>
      </c>
      <c r="E1251" s="117" t="s">
        <v>36</v>
      </c>
      <c r="F1251">
        <v>104</v>
      </c>
      <c r="G1251" s="12" t="s">
        <v>54</v>
      </c>
      <c r="H1251" s="9">
        <f t="shared" si="89"/>
        <v>8</v>
      </c>
      <c r="I1251" cm="1">
        <f t="array" ref="I1251">IFERROR(INDEX(CourseYardages[[Hole 1]:[Hole 18]],
  MATCH(1, (CourseYardages[Course]=C1251)*(CourseYardages[Tees]=E1251), 0),
  MATCH(G1251, CourseYardages[[#Headers],[Hole 1]:[Hole 18]], 0)
),"")</f>
        <v>391</v>
      </c>
      <c r="J1251" cm="1">
        <f t="array" ref="J1251">IFERROR(INDEX(CourseHandicap[[Hole 1]:[Hole 18]],
  MATCH(1, (CourseHandicap[Course]=C1251)*(CourseHandicap[Tees]=E1251), 0),
  MATCH(G1251, CourseHandicap[[#Headers],[Hole 1]:[Hole 18]], 0)
),"")</f>
        <v>11</v>
      </c>
      <c r="K1251" cm="1">
        <f t="array" ref="K1251">IFERROR(INDEX(CourseRatings[[Hole 1]:[Hole 18]],
  MATCH(1, (CourseRatings[Course]=C1251)*(CourseRatings[Tees]=E1251), 0),
  MATCH(G1251, CourseRatings[[#Headers],[Hole 1]:[Hole 18]], 0)
),"")</f>
        <v>4</v>
      </c>
      <c r="L1251" cm="1">
        <f t="array" ref="L1251">IFERROR(
  INDEX('Golf Log'!$E$2:$V$72,
    MATCH(1,
      ('Golf Log'!$A$2:$A$72=$A1251)*
      ('Golf Log'!$B$2:$B$72=$B1251)*
      ('Golf Log'!$C$2:$C$72=$C1251),
    0),
    MATCH($G1251,'Golf Log'!$E$1:$V$1,0)
  ),
"")</f>
        <v>5</v>
      </c>
      <c r="M1251">
        <f t="shared" si="90"/>
        <v>1</v>
      </c>
      <c r="N1251" t="str">
        <f t="shared" si="91"/>
        <v>Bogey</v>
      </c>
      <c r="O1251" cm="1">
        <f t="array" ref="O1251">IFERROR(
  INDEX('Putt Log'!$E$2:$V$72,
    MATCH(1,
      ('Putt Log'!$A$2:$A$72=$A1251)*
      ('Putt Log'!$B$2:$B$72=$B1251)*
      ('Putt Log'!$C$2:$C$72=$C1251),
    0),
    MATCH($G1251,'Putt Log'!$E$1:$V$1,0)
  ),
"")</f>
        <v>3</v>
      </c>
      <c r="P1251" cm="1">
        <f t="array" ref="P1251">IF(K1251=3,"",
  IFERROR(
    INDEX('Fairway Log'!$E$2:$V$72,
      MATCH(1,
        ('Fairway Log'!$A$2:$A$72=$A1251)*
        ('Fairway Log'!$B$2:$B$72=$B1251)*
        ('Fairway Log'!$C$2:$C1322=$C1251),
      0),
      MATCH($G1251,'Fairway Log'!$E$1:$V$1,0)
    ),
  "")
)</f>
        <v>1</v>
      </c>
      <c r="Q1251" cm="1">
        <f t="array" ref="Q1251">IFERROR(
  INDEX('GIR Log'!$E$2:$V$72,
    MATCH(1,
      ('GIR Log'!$A$2:$A$72=$A1251)*
      ('GIR Log'!$B$2:$B$72=$B1251)*
      ('GIR Log'!$C$2:$C$72=$C1251),
    0),
    MATCH($G1251,'GIR Log'!$E$1:$V$1,0)
  ),
"")</f>
        <v>1</v>
      </c>
    </row>
    <row r="1252" spans="1:17" x14ac:dyDescent="0.25">
      <c r="A1252" s="117" t="s">
        <v>127</v>
      </c>
      <c r="B1252" s="2">
        <v>46185</v>
      </c>
      <c r="C1252" s="117" t="s">
        <v>145</v>
      </c>
      <c r="D1252" s="117" t="s">
        <v>145</v>
      </c>
      <c r="E1252" s="117" t="s">
        <v>36</v>
      </c>
      <c r="F1252">
        <v>104</v>
      </c>
      <c r="G1252" s="12" t="s">
        <v>55</v>
      </c>
      <c r="H1252" s="9">
        <f t="shared" si="89"/>
        <v>9</v>
      </c>
      <c r="I1252" cm="1">
        <f t="array" ref="I1252">IFERROR(INDEX(CourseYardages[[Hole 1]:[Hole 18]],
  MATCH(1, (CourseYardages[Course]=C1252)*(CourseYardages[Tees]=E1252), 0),
  MATCH(G1252, CourseYardages[[#Headers],[Hole 1]:[Hole 18]], 0)
),"")</f>
        <v>384</v>
      </c>
      <c r="J1252" cm="1">
        <f t="array" ref="J1252">IFERROR(INDEX(CourseHandicap[[Hole 1]:[Hole 18]],
  MATCH(1, (CourseHandicap[Course]=C1252)*(CourseHandicap[Tees]=E1252), 0),
  MATCH(G1252, CourseHandicap[[#Headers],[Hole 1]:[Hole 18]], 0)
),"")</f>
        <v>9</v>
      </c>
      <c r="K1252" cm="1">
        <f t="array" ref="K1252">IFERROR(INDEX(CourseRatings[[Hole 1]:[Hole 18]],
  MATCH(1, (CourseRatings[Course]=C1252)*(CourseRatings[Tees]=E1252), 0),
  MATCH(G1252, CourseRatings[[#Headers],[Hole 1]:[Hole 18]], 0)
),"")</f>
        <v>4</v>
      </c>
      <c r="L1252" cm="1">
        <f t="array" ref="L1252">IFERROR(
  INDEX('Golf Log'!$E$2:$V$72,
    MATCH(1,
      ('Golf Log'!$A$2:$A$72=$A1252)*
      ('Golf Log'!$B$2:$B$72=$B1252)*
      ('Golf Log'!$C$2:$C$72=$C1252),
    0),
    MATCH($G1252,'Golf Log'!$E$1:$V$1,0)
  ),
"")</f>
        <v>6</v>
      </c>
      <c r="M1252">
        <f t="shared" si="90"/>
        <v>2</v>
      </c>
      <c r="N1252" t="str">
        <f t="shared" si="91"/>
        <v>Double Bogey</v>
      </c>
      <c r="O1252" cm="1">
        <f t="array" ref="O1252">IFERROR(
  INDEX('Putt Log'!$E$2:$V$72,
    MATCH(1,
      ('Putt Log'!$A$2:$A$72=$A1252)*
      ('Putt Log'!$B$2:$B$72=$B1252)*
      ('Putt Log'!$C$2:$C$72=$C1252),
    0),
    MATCH($G1252,'Putt Log'!$E$1:$V$1,0)
  ),
"")</f>
        <v>3</v>
      </c>
      <c r="P1252" cm="1">
        <f t="array" ref="P1252">IF(K1252=3,"",
  IFERROR(
    INDEX('Fairway Log'!$E$2:$V$72,
      MATCH(1,
        ('Fairway Log'!$A$2:$A$72=$A1252)*
        ('Fairway Log'!$B$2:$B$72=$B1252)*
        ('Fairway Log'!$C$2:$C1323=$C1252),
      0),
      MATCH($G1252,'Fairway Log'!$E$1:$V$1,0)
    ),
  "")
)</f>
        <v>1</v>
      </c>
      <c r="Q1252" t="str" cm="1">
        <f t="array" ref="Q1252">IFERROR(
  INDEX('GIR Log'!$E$2:$V$72,
    MATCH(1,
      ('GIR Log'!$A$2:$A$72=$A1252)*
      ('GIR Log'!$B$2:$B$72=$B1252)*
      ('GIR Log'!$C$2:$C$72=$C1252),
    0),
    MATCH($G1252,'GIR Log'!$E$1:$V$1,0)
  ),
"")</f>
        <v>↓</v>
      </c>
    </row>
    <row r="1253" spans="1:17" x14ac:dyDescent="0.25">
      <c r="A1253" s="117" t="s">
        <v>127</v>
      </c>
      <c r="B1253" s="2">
        <v>46185</v>
      </c>
      <c r="C1253" s="117" t="s">
        <v>145</v>
      </c>
      <c r="D1253" s="117" t="s">
        <v>145</v>
      </c>
      <c r="E1253" s="117" t="s">
        <v>36</v>
      </c>
      <c r="F1253">
        <v>104</v>
      </c>
      <c r="G1253" s="12" t="s">
        <v>56</v>
      </c>
      <c r="H1253" s="9">
        <f t="shared" si="89"/>
        <v>10</v>
      </c>
      <c r="I1253" cm="1">
        <f t="array" ref="I1253">IFERROR(INDEX(CourseYardages[[Hole 1]:[Hole 18]],
  MATCH(1, (CourseYardages[Course]=C1253)*(CourseYardages[Tees]=E1253), 0),
  MATCH(G1253, CourseYardages[[#Headers],[Hole 1]:[Hole 18]], 0)
),"")</f>
        <v>360</v>
      </c>
      <c r="J1253" cm="1">
        <f t="array" ref="J1253">IFERROR(INDEX(CourseHandicap[[Hole 1]:[Hole 18]],
  MATCH(1, (CourseHandicap[Course]=C1253)*(CourseHandicap[Tees]=E1253), 0),
  MATCH(G1253, CourseHandicap[[#Headers],[Hole 1]:[Hole 18]], 0)
),"")</f>
        <v>4</v>
      </c>
      <c r="K1253" cm="1">
        <f t="array" ref="K1253">IFERROR(INDEX(CourseRatings[[Hole 1]:[Hole 18]],
  MATCH(1, (CourseRatings[Course]=C1253)*(CourseRatings[Tees]=E1253), 0),
  MATCH(G1253, CourseRatings[[#Headers],[Hole 1]:[Hole 18]], 0)
),"")</f>
        <v>4</v>
      </c>
      <c r="L1253" cm="1">
        <f t="array" ref="L1253">IFERROR(
  INDEX('Golf Log'!$E$2:$V$72,
    MATCH(1,
      ('Golf Log'!$A$2:$A$72=$A1253)*
      ('Golf Log'!$B$2:$B$72=$B1253)*
      ('Golf Log'!$C$2:$C$72=$C1253),
    0),
    MATCH($G1253,'Golf Log'!$E$1:$V$1,0)
  ),
"")</f>
        <v>7</v>
      </c>
      <c r="M1253">
        <f t="shared" si="90"/>
        <v>3</v>
      </c>
      <c r="N1253" t="str">
        <f t="shared" si="91"/>
        <v>Triple Bogey</v>
      </c>
      <c r="O1253" cm="1">
        <f t="array" ref="O1253">IFERROR(
  INDEX('Putt Log'!$E$2:$V$72,
    MATCH(1,
      ('Putt Log'!$A$2:$A$72=$A1253)*
      ('Putt Log'!$B$2:$B$72=$B1253)*
      ('Putt Log'!$C$2:$C$72=$C1253),
    0),
    MATCH($G1253,'Putt Log'!$E$1:$V$1,0)
  ),
"")</f>
        <v>1</v>
      </c>
      <c r="P1253" t="str" cm="1">
        <f t="array" ref="P1253">IF(K1253=3,"",
  IFERROR(
    INDEX('Fairway Log'!$E$2:$V$72,
      MATCH(1,
        ('Fairway Log'!$A$2:$A$72=$A1253)*
        ('Fairway Log'!$B$2:$B$72=$B1253)*
        ('Fairway Log'!$C$2:$C1324=$C1253),
      0),
      MATCH($G1253,'Fairway Log'!$E$1:$V$1,0)
    ),
  "")
)</f>
        <v>→</v>
      </c>
      <c r="Q1253" t="str" cm="1">
        <f t="array" ref="Q1253">IFERROR(
  INDEX('GIR Log'!$E$2:$V$72,
    MATCH(1,
      ('GIR Log'!$A$2:$A$72=$A1253)*
      ('GIR Log'!$B$2:$B$72=$B1253)*
      ('GIR Log'!$C$2:$C$72=$C1253),
    0),
    MATCH($G1253,'GIR Log'!$E$1:$V$1,0)
  ),
"")</f>
        <v>↓</v>
      </c>
    </row>
    <row r="1254" spans="1:17" x14ac:dyDescent="0.25">
      <c r="A1254" s="117" t="s">
        <v>127</v>
      </c>
      <c r="B1254" s="2">
        <v>46185</v>
      </c>
      <c r="C1254" s="117" t="s">
        <v>145</v>
      </c>
      <c r="D1254" s="117" t="s">
        <v>145</v>
      </c>
      <c r="E1254" s="117" t="s">
        <v>36</v>
      </c>
      <c r="F1254">
        <v>104</v>
      </c>
      <c r="G1254" s="12" t="s">
        <v>57</v>
      </c>
      <c r="H1254" s="9">
        <f t="shared" si="89"/>
        <v>11</v>
      </c>
      <c r="I1254" cm="1">
        <f t="array" ref="I1254">IFERROR(INDEX(CourseYardages[[Hole 1]:[Hole 18]],
  MATCH(1, (CourseYardages[Course]=C1254)*(CourseYardages[Tees]=E1254), 0),
  MATCH(G1254, CourseYardages[[#Headers],[Hole 1]:[Hole 18]], 0)
),"")</f>
        <v>366</v>
      </c>
      <c r="J1254" cm="1">
        <f t="array" ref="J1254">IFERROR(INDEX(CourseHandicap[[Hole 1]:[Hole 18]],
  MATCH(1, (CourseHandicap[Course]=C1254)*(CourseHandicap[Tees]=E1254), 0),
  MATCH(G1254, CourseHandicap[[#Headers],[Hole 1]:[Hole 18]], 0)
),"")</f>
        <v>8</v>
      </c>
      <c r="K1254" cm="1">
        <f t="array" ref="K1254">IFERROR(INDEX(CourseRatings[[Hole 1]:[Hole 18]],
  MATCH(1, (CourseRatings[Course]=C1254)*(CourseRatings[Tees]=E1254), 0),
  MATCH(G1254, CourseRatings[[#Headers],[Hole 1]:[Hole 18]], 0)
),"")</f>
        <v>4</v>
      </c>
      <c r="L1254" cm="1">
        <f t="array" ref="L1254">IFERROR(
  INDEX('Golf Log'!$E$2:$V$72,
    MATCH(1,
      ('Golf Log'!$A$2:$A$72=$A1254)*
      ('Golf Log'!$B$2:$B$72=$B1254)*
      ('Golf Log'!$C$2:$C$72=$C1254),
    0),
    MATCH($G1254,'Golf Log'!$E$1:$V$1,0)
  ),
"")</f>
        <v>6</v>
      </c>
      <c r="M1254">
        <f t="shared" si="90"/>
        <v>2</v>
      </c>
      <c r="N1254" t="str">
        <f t="shared" si="91"/>
        <v>Double Bogey</v>
      </c>
      <c r="O1254" cm="1">
        <f t="array" ref="O1254">IFERROR(
  INDEX('Putt Log'!$E$2:$V$72,
    MATCH(1,
      ('Putt Log'!$A$2:$A$72=$A1254)*
      ('Putt Log'!$B$2:$B$72=$B1254)*
      ('Putt Log'!$C$2:$C$72=$C1254),
    0),
    MATCH($G1254,'Putt Log'!$E$1:$V$1,0)
  ),
"")</f>
        <v>3</v>
      </c>
      <c r="P1254" t="str" cm="1">
        <f t="array" ref="P1254">IF(K1254=3,"",
  IFERROR(
    INDEX('Fairway Log'!$E$2:$V$72,
      MATCH(1,
        ('Fairway Log'!$A$2:$A$72=$A1254)*
        ('Fairway Log'!$B$2:$B$72=$B1254)*
        ('Fairway Log'!$C$2:$C1325=$C1254),
      0),
      MATCH($G1254,'Fairway Log'!$E$1:$V$1,0)
    ),
  "")
)</f>
        <v>←</v>
      </c>
      <c r="Q1254" t="str" cm="1">
        <f t="array" ref="Q1254">IFERROR(
  INDEX('GIR Log'!$E$2:$V$72,
    MATCH(1,
      ('GIR Log'!$A$2:$A$72=$A1254)*
      ('GIR Log'!$B$2:$B$72=$B1254)*
      ('GIR Log'!$C$2:$C$72=$C1254),
    0),
    MATCH($G1254,'GIR Log'!$E$1:$V$1,0)
  ),
"")</f>
        <v>↓</v>
      </c>
    </row>
    <row r="1255" spans="1:17" x14ac:dyDescent="0.25">
      <c r="A1255" s="117" t="s">
        <v>127</v>
      </c>
      <c r="B1255" s="2">
        <v>46185</v>
      </c>
      <c r="C1255" s="117" t="s">
        <v>145</v>
      </c>
      <c r="D1255" s="117" t="s">
        <v>145</v>
      </c>
      <c r="E1255" s="117" t="s">
        <v>36</v>
      </c>
      <c r="F1255">
        <v>104</v>
      </c>
      <c r="G1255" s="12" t="s">
        <v>58</v>
      </c>
      <c r="H1255" s="9">
        <f t="shared" si="89"/>
        <v>12</v>
      </c>
      <c r="I1255" cm="1">
        <f t="array" ref="I1255">IFERROR(INDEX(CourseYardages[[Hole 1]:[Hole 18]],
  MATCH(1, (CourseYardages[Course]=C1255)*(CourseYardages[Tees]=E1255), 0),
  MATCH(G1255, CourseYardages[[#Headers],[Hole 1]:[Hole 18]], 0)
),"")</f>
        <v>475</v>
      </c>
      <c r="J1255" cm="1">
        <f t="array" ref="J1255">IFERROR(INDEX(CourseHandicap[[Hole 1]:[Hole 18]],
  MATCH(1, (CourseHandicap[Course]=C1255)*(CourseHandicap[Tees]=E1255), 0),
  MATCH(G1255, CourseHandicap[[#Headers],[Hole 1]:[Hole 18]], 0)
),"")</f>
        <v>10</v>
      </c>
      <c r="K1255" cm="1">
        <f t="array" ref="K1255">IFERROR(INDEX(CourseRatings[[Hole 1]:[Hole 18]],
  MATCH(1, (CourseRatings[Course]=C1255)*(CourseRatings[Tees]=E1255), 0),
  MATCH(G1255, CourseRatings[[#Headers],[Hole 1]:[Hole 18]], 0)
),"")</f>
        <v>5</v>
      </c>
      <c r="L1255" cm="1">
        <f t="array" ref="L1255">IFERROR(
  INDEX('Golf Log'!$E$2:$V$72,
    MATCH(1,
      ('Golf Log'!$A$2:$A$72=$A1255)*
      ('Golf Log'!$B$2:$B$72=$B1255)*
      ('Golf Log'!$C$2:$C$72=$C1255),
    0),
    MATCH($G1255,'Golf Log'!$E$1:$V$1,0)
  ),
"")</f>
        <v>5</v>
      </c>
      <c r="M1255">
        <f t="shared" si="90"/>
        <v>0</v>
      </c>
      <c r="N1255" t="str">
        <f t="shared" si="91"/>
        <v>Par</v>
      </c>
      <c r="O1255" cm="1">
        <f t="array" ref="O1255">IFERROR(
  INDEX('Putt Log'!$E$2:$V$72,
    MATCH(1,
      ('Putt Log'!$A$2:$A$72=$A1255)*
      ('Putt Log'!$B$2:$B$72=$B1255)*
      ('Putt Log'!$C$2:$C$72=$C1255),
    0),
    MATCH($G1255,'Putt Log'!$E$1:$V$1,0)
  ),
"")</f>
        <v>2</v>
      </c>
      <c r="P1255" cm="1">
        <f t="array" ref="P1255">IF(K1255=3,"",
  IFERROR(
    INDEX('Fairway Log'!$E$2:$V$72,
      MATCH(1,
        ('Fairway Log'!$A$2:$A$72=$A1255)*
        ('Fairway Log'!$B$2:$B$72=$B1255)*
        ('Fairway Log'!$C$2:$C1326=$C1255),
      0),
      MATCH($G1255,'Fairway Log'!$E$1:$V$1,0)
    ),
  "")
)</f>
        <v>1</v>
      </c>
      <c r="Q1255" cm="1">
        <f t="array" ref="Q1255">IFERROR(
  INDEX('GIR Log'!$E$2:$V$72,
    MATCH(1,
      ('GIR Log'!$A$2:$A$72=$A1255)*
      ('GIR Log'!$B$2:$B$72=$B1255)*
      ('GIR Log'!$C$2:$C$72=$C1255),
    0),
    MATCH($G1255,'GIR Log'!$E$1:$V$1,0)
  ),
"")</f>
        <v>1</v>
      </c>
    </row>
    <row r="1256" spans="1:17" x14ac:dyDescent="0.25">
      <c r="A1256" s="117" t="s">
        <v>127</v>
      </c>
      <c r="B1256" s="2">
        <v>46185</v>
      </c>
      <c r="C1256" s="117" t="s">
        <v>145</v>
      </c>
      <c r="D1256" s="117" t="s">
        <v>145</v>
      </c>
      <c r="E1256" s="117" t="s">
        <v>36</v>
      </c>
      <c r="F1256">
        <v>104</v>
      </c>
      <c r="G1256" s="12" t="s">
        <v>59</v>
      </c>
      <c r="H1256" s="9">
        <f t="shared" si="89"/>
        <v>13</v>
      </c>
      <c r="I1256" cm="1">
        <f t="array" ref="I1256">IFERROR(INDEX(CourseYardages[[Hole 1]:[Hole 18]],
  MATCH(1, (CourseYardages[Course]=C1256)*(CourseYardages[Tees]=E1256), 0),
  MATCH(G1256, CourseYardages[[#Headers],[Hole 1]:[Hole 18]], 0)
),"")</f>
        <v>305</v>
      </c>
      <c r="J1256" cm="1">
        <f t="array" ref="J1256">IFERROR(INDEX(CourseHandicap[[Hole 1]:[Hole 18]],
  MATCH(1, (CourseHandicap[Course]=C1256)*(CourseHandicap[Tees]=E1256), 0),
  MATCH(G1256, CourseHandicap[[#Headers],[Hole 1]:[Hole 18]], 0)
),"")</f>
        <v>18</v>
      </c>
      <c r="K1256" cm="1">
        <f t="array" ref="K1256">IFERROR(INDEX(CourseRatings[[Hole 1]:[Hole 18]],
  MATCH(1, (CourseRatings[Course]=C1256)*(CourseRatings[Tees]=E1256), 0),
  MATCH(G1256, CourseRatings[[#Headers],[Hole 1]:[Hole 18]], 0)
),"")</f>
        <v>4</v>
      </c>
      <c r="L1256" cm="1">
        <f t="array" ref="L1256">IFERROR(
  INDEX('Golf Log'!$E$2:$V$72,
    MATCH(1,
      ('Golf Log'!$A$2:$A$72=$A1256)*
      ('Golf Log'!$B$2:$B$72=$B1256)*
      ('Golf Log'!$C$2:$C$72=$C1256),
    0),
    MATCH($G1256,'Golf Log'!$E$1:$V$1,0)
  ),
"")</f>
        <v>6</v>
      </c>
      <c r="M1256">
        <f t="shared" si="90"/>
        <v>2</v>
      </c>
      <c r="N1256" t="str">
        <f t="shared" si="91"/>
        <v>Double Bogey</v>
      </c>
      <c r="O1256" cm="1">
        <f t="array" ref="O1256">IFERROR(
  INDEX('Putt Log'!$E$2:$V$72,
    MATCH(1,
      ('Putt Log'!$A$2:$A$72=$A1256)*
      ('Putt Log'!$B$2:$B$72=$B1256)*
      ('Putt Log'!$C$2:$C$72=$C1256),
    0),
    MATCH($G1256,'Putt Log'!$E$1:$V$1,0)
  ),
"")</f>
        <v>3</v>
      </c>
      <c r="P1256" t="str" cm="1">
        <f t="array" ref="P1256">IF(K1256=3,"",
  IFERROR(
    INDEX('Fairway Log'!$E$2:$V$72,
      MATCH(1,
        ('Fairway Log'!$A$2:$A$72=$A1256)*
        ('Fairway Log'!$B$2:$B$72=$B1256)*
        ('Fairway Log'!$C$2:$C1327=$C1256),
      0),
      MATCH($G1256,'Fairway Log'!$E$1:$V$1,0)
    ),
  "")
)</f>
        <v>←</v>
      </c>
      <c r="Q1256" t="str" cm="1">
        <f t="array" ref="Q1256">IFERROR(
  INDEX('GIR Log'!$E$2:$V$72,
    MATCH(1,
      ('GIR Log'!$A$2:$A$72=$A1256)*
      ('GIR Log'!$B$2:$B$72=$B1256)*
      ('GIR Log'!$C$2:$C$72=$C1256),
    0),
    MATCH($G1256,'GIR Log'!$E$1:$V$1,0)
  ),
"")</f>
        <v>NC</v>
      </c>
    </row>
    <row r="1257" spans="1:17" x14ac:dyDescent="0.25">
      <c r="A1257" s="117" t="s">
        <v>127</v>
      </c>
      <c r="B1257" s="2">
        <v>46185</v>
      </c>
      <c r="C1257" s="117" t="s">
        <v>145</v>
      </c>
      <c r="D1257" s="117" t="s">
        <v>145</v>
      </c>
      <c r="E1257" s="117" t="s">
        <v>36</v>
      </c>
      <c r="F1257">
        <v>104</v>
      </c>
      <c r="G1257" s="12" t="s">
        <v>60</v>
      </c>
      <c r="H1257" s="9">
        <f t="shared" si="89"/>
        <v>14</v>
      </c>
      <c r="I1257" cm="1">
        <f t="array" ref="I1257">IFERROR(INDEX(CourseYardages[[Hole 1]:[Hole 18]],
  MATCH(1, (CourseYardages[Course]=C1257)*(CourseYardages[Tees]=E1257), 0),
  MATCH(G1257, CourseYardages[[#Headers],[Hole 1]:[Hole 18]], 0)
),"")</f>
        <v>198</v>
      </c>
      <c r="J1257" cm="1">
        <f t="array" ref="J1257">IFERROR(INDEX(CourseHandicap[[Hole 1]:[Hole 18]],
  MATCH(1, (CourseHandicap[Course]=C1257)*(CourseHandicap[Tees]=E1257), 0),
  MATCH(G1257, CourseHandicap[[#Headers],[Hole 1]:[Hole 18]], 0)
),"")</f>
        <v>12</v>
      </c>
      <c r="K1257" cm="1">
        <f t="array" ref="K1257">IFERROR(INDEX(CourseRatings[[Hole 1]:[Hole 18]],
  MATCH(1, (CourseRatings[Course]=C1257)*(CourseRatings[Tees]=E1257), 0),
  MATCH(G1257, CourseRatings[[#Headers],[Hole 1]:[Hole 18]], 0)
),"")</f>
        <v>3</v>
      </c>
      <c r="L1257" cm="1">
        <f t="array" ref="L1257">IFERROR(
  INDEX('Golf Log'!$E$2:$V$72,
    MATCH(1,
      ('Golf Log'!$A$2:$A$72=$A1257)*
      ('Golf Log'!$B$2:$B$72=$B1257)*
      ('Golf Log'!$C$2:$C$72=$C1257),
    0),
    MATCH($G1257,'Golf Log'!$E$1:$V$1,0)
  ),
"")</f>
        <v>4</v>
      </c>
      <c r="M1257">
        <f t="shared" si="90"/>
        <v>1</v>
      </c>
      <c r="N1257" t="str">
        <f t="shared" si="91"/>
        <v>Bogey</v>
      </c>
      <c r="O1257" cm="1">
        <f t="array" ref="O1257">IFERROR(
  INDEX('Putt Log'!$E$2:$V$72,
    MATCH(1,
      ('Putt Log'!$A$2:$A$72=$A1257)*
      ('Putt Log'!$B$2:$B$72=$B1257)*
      ('Putt Log'!$C$2:$C$72=$C1257),
    0),
    MATCH($G1257,'Putt Log'!$E$1:$V$1,0)
  ),
"")</f>
        <v>2</v>
      </c>
      <c r="P1257" t="str" cm="1">
        <f t="array" ref="P1257">IF(K1257=3,"",
  IFERROR(
    INDEX('Fairway Log'!$E$2:$V$72,
      MATCH(1,
        ('Fairway Log'!$A$2:$A$72=$A1257)*
        ('Fairway Log'!$B$2:$B$72=$B1257)*
        ('Fairway Log'!$C$2:$C1328=$C1257),
      0),
      MATCH($G1257,'Fairway Log'!$E$1:$V$1,0)
    ),
  "")
)</f>
        <v/>
      </c>
      <c r="Q1257" t="str" cm="1">
        <f t="array" ref="Q1257">IFERROR(
  INDEX('GIR Log'!$E$2:$V$72,
    MATCH(1,
      ('GIR Log'!$A$2:$A$72=$A1257)*
      ('GIR Log'!$B$2:$B$72=$B1257)*
      ('GIR Log'!$C$2:$C$72=$C1257),
    0),
    MATCH($G1257,'GIR Log'!$E$1:$V$1,0)
  ),
"")</f>
        <v>→</v>
      </c>
    </row>
    <row r="1258" spans="1:17" x14ac:dyDescent="0.25">
      <c r="A1258" s="117" t="s">
        <v>127</v>
      </c>
      <c r="B1258" s="2">
        <v>46185</v>
      </c>
      <c r="C1258" s="117" t="s">
        <v>145</v>
      </c>
      <c r="D1258" s="117" t="s">
        <v>145</v>
      </c>
      <c r="E1258" s="117" t="s">
        <v>36</v>
      </c>
      <c r="F1258">
        <v>104</v>
      </c>
      <c r="G1258" s="12" t="s">
        <v>61</v>
      </c>
      <c r="H1258" s="9">
        <f t="shared" si="89"/>
        <v>15</v>
      </c>
      <c r="I1258" cm="1">
        <f t="array" ref="I1258">IFERROR(INDEX(CourseYardages[[Hole 1]:[Hole 18]],
  MATCH(1, (CourseYardages[Course]=C1258)*(CourseYardages[Tees]=E1258), 0),
  MATCH(G1258, CourseYardages[[#Headers],[Hole 1]:[Hole 18]], 0)
),"")</f>
        <v>460</v>
      </c>
      <c r="J1258" cm="1">
        <f t="array" ref="J1258">IFERROR(INDEX(CourseHandicap[[Hole 1]:[Hole 18]],
  MATCH(1, (CourseHandicap[Course]=C1258)*(CourseHandicap[Tees]=E1258), 0),
  MATCH(G1258, CourseHandicap[[#Headers],[Hole 1]:[Hole 18]], 0)
),"")</f>
        <v>14</v>
      </c>
      <c r="K1258" cm="1">
        <f t="array" ref="K1258">IFERROR(INDEX(CourseRatings[[Hole 1]:[Hole 18]],
  MATCH(1, (CourseRatings[Course]=C1258)*(CourseRatings[Tees]=E1258), 0),
  MATCH(G1258, CourseRatings[[#Headers],[Hole 1]:[Hole 18]], 0)
),"")</f>
        <v>5</v>
      </c>
      <c r="L1258" cm="1">
        <f t="array" ref="L1258">IFERROR(
  INDEX('Golf Log'!$E$2:$V$72,
    MATCH(1,
      ('Golf Log'!$A$2:$A$72=$A1258)*
      ('Golf Log'!$B$2:$B$72=$B1258)*
      ('Golf Log'!$C$2:$C$72=$C1258),
    0),
    MATCH($G1258,'Golf Log'!$E$1:$V$1,0)
  ),
"")</f>
        <v>6</v>
      </c>
      <c r="M1258">
        <f t="shared" si="90"/>
        <v>1</v>
      </c>
      <c r="N1258" t="str">
        <f t="shared" si="91"/>
        <v>Bogey</v>
      </c>
      <c r="O1258" cm="1">
        <f t="array" ref="O1258">IFERROR(
  INDEX('Putt Log'!$E$2:$V$72,
    MATCH(1,
      ('Putt Log'!$A$2:$A$72=$A1258)*
      ('Putt Log'!$B$2:$B$72=$B1258)*
      ('Putt Log'!$C$2:$C$72=$C1258),
    0),
    MATCH($G1258,'Putt Log'!$E$1:$V$1,0)
  ),
"")</f>
        <v>2</v>
      </c>
      <c r="P1258" cm="1">
        <f t="array" ref="P1258">IF(K1258=3,"",
  IFERROR(
    INDEX('Fairway Log'!$E$2:$V$72,
      MATCH(1,
        ('Fairway Log'!$A$2:$A$72=$A1258)*
        ('Fairway Log'!$B$2:$B$72=$B1258)*
        ('Fairway Log'!$C$2:$C1329=$C1258),
      0),
      MATCH($G1258,'Fairway Log'!$E$1:$V$1,0)
    ),
  "")
)</f>
        <v>1</v>
      </c>
      <c r="Q1258" t="str" cm="1">
        <f t="array" ref="Q1258">IFERROR(
  INDEX('GIR Log'!$E$2:$V$72,
    MATCH(1,
      ('GIR Log'!$A$2:$A$72=$A1258)*
      ('GIR Log'!$B$2:$B$72=$B1258)*
      ('GIR Log'!$C$2:$C$72=$C1258),
    0),
    MATCH($G1258,'GIR Log'!$E$1:$V$1,0)
  ),
"")</f>
        <v>↓</v>
      </c>
    </row>
    <row r="1259" spans="1:17" x14ac:dyDescent="0.25">
      <c r="A1259" s="117" t="s">
        <v>127</v>
      </c>
      <c r="B1259" s="2">
        <v>46185</v>
      </c>
      <c r="C1259" s="117" t="s">
        <v>145</v>
      </c>
      <c r="D1259" s="117" t="s">
        <v>145</v>
      </c>
      <c r="E1259" s="117" t="s">
        <v>36</v>
      </c>
      <c r="F1259">
        <v>104</v>
      </c>
      <c r="G1259" s="12" t="s">
        <v>62</v>
      </c>
      <c r="H1259" s="9">
        <f t="shared" si="89"/>
        <v>16</v>
      </c>
      <c r="I1259" cm="1">
        <f t="array" ref="I1259">IFERROR(INDEX(CourseYardages[[Hole 1]:[Hole 18]],
  MATCH(1, (CourseYardages[Course]=C1259)*(CourseYardages[Tees]=E1259), 0),
  MATCH(G1259, CourseYardages[[#Headers],[Hole 1]:[Hole 18]], 0)
),"")</f>
        <v>157</v>
      </c>
      <c r="J1259" cm="1">
        <f t="array" ref="J1259">IFERROR(INDEX(CourseHandicap[[Hole 1]:[Hole 18]],
  MATCH(1, (CourseHandicap[Course]=C1259)*(CourseHandicap[Tees]=E1259), 0),
  MATCH(G1259, CourseHandicap[[#Headers],[Hole 1]:[Hole 18]], 0)
),"")</f>
        <v>16</v>
      </c>
      <c r="K1259" cm="1">
        <f t="array" ref="K1259">IFERROR(INDEX(CourseRatings[[Hole 1]:[Hole 18]],
  MATCH(1, (CourseRatings[Course]=C1259)*(CourseRatings[Tees]=E1259), 0),
  MATCH(G1259, CourseRatings[[#Headers],[Hole 1]:[Hole 18]], 0)
),"")</f>
        <v>3</v>
      </c>
      <c r="L1259" cm="1">
        <f t="array" ref="L1259">IFERROR(
  INDEX('Golf Log'!$E$2:$V$72,
    MATCH(1,
      ('Golf Log'!$A$2:$A$72=$A1259)*
      ('Golf Log'!$B$2:$B$72=$B1259)*
      ('Golf Log'!$C$2:$C$72=$C1259),
    0),
    MATCH($G1259,'Golf Log'!$E$1:$V$1,0)
  ),
"")</f>
        <v>3</v>
      </c>
      <c r="M1259">
        <f t="shared" si="90"/>
        <v>0</v>
      </c>
      <c r="N1259" t="str">
        <f t="shared" si="91"/>
        <v>Par</v>
      </c>
      <c r="O1259" cm="1">
        <f t="array" ref="O1259">IFERROR(
  INDEX('Putt Log'!$E$2:$V$72,
    MATCH(1,
      ('Putt Log'!$A$2:$A$72=$A1259)*
      ('Putt Log'!$B$2:$B$72=$B1259)*
      ('Putt Log'!$C$2:$C$72=$C1259),
    0),
    MATCH($G1259,'Putt Log'!$E$1:$V$1,0)
  ),
"")</f>
        <v>2</v>
      </c>
      <c r="P1259" t="str" cm="1">
        <f t="array" ref="P1259">IF(K1259=3,"",
  IFERROR(
    INDEX('Fairway Log'!$E$2:$V$72,
      MATCH(1,
        ('Fairway Log'!$A$2:$A$72=$A1259)*
        ('Fairway Log'!$B$2:$B$72=$B1259)*
        ('Fairway Log'!$C$2:$C1330=$C1259),
      0),
      MATCH($G1259,'Fairway Log'!$E$1:$V$1,0)
    ),
  "")
)</f>
        <v/>
      </c>
      <c r="Q1259" cm="1">
        <f t="array" ref="Q1259">IFERROR(
  INDEX('GIR Log'!$E$2:$V$72,
    MATCH(1,
      ('GIR Log'!$A$2:$A$72=$A1259)*
      ('GIR Log'!$B$2:$B$72=$B1259)*
      ('GIR Log'!$C$2:$C$72=$C1259),
    0),
    MATCH($G1259,'GIR Log'!$E$1:$V$1,0)
  ),
"")</f>
        <v>1</v>
      </c>
    </row>
    <row r="1260" spans="1:17" x14ac:dyDescent="0.25">
      <c r="A1260" s="117" t="s">
        <v>127</v>
      </c>
      <c r="B1260" s="2">
        <v>46185</v>
      </c>
      <c r="C1260" s="117" t="s">
        <v>145</v>
      </c>
      <c r="D1260" s="117" t="s">
        <v>145</v>
      </c>
      <c r="E1260" s="117" t="s">
        <v>36</v>
      </c>
      <c r="F1260">
        <v>104</v>
      </c>
      <c r="G1260" s="12" t="s">
        <v>63</v>
      </c>
      <c r="H1260" s="9">
        <f t="shared" si="89"/>
        <v>17</v>
      </c>
      <c r="I1260" cm="1">
        <f t="array" ref="I1260">IFERROR(INDEX(CourseYardages[[Hole 1]:[Hole 18]],
  MATCH(1, (CourseYardages[Course]=C1260)*(CourseYardages[Tees]=E1260), 0),
  MATCH(G1260, CourseYardages[[#Headers],[Hole 1]:[Hole 18]], 0)
),"")</f>
        <v>356</v>
      </c>
      <c r="J1260" cm="1">
        <f t="array" ref="J1260">IFERROR(INDEX(CourseHandicap[[Hole 1]:[Hole 18]],
  MATCH(1, (CourseHandicap[Course]=C1260)*(CourseHandicap[Tees]=E1260), 0),
  MATCH(G1260, CourseHandicap[[#Headers],[Hole 1]:[Hole 18]], 0)
),"")</f>
        <v>6</v>
      </c>
      <c r="K1260" cm="1">
        <f t="array" ref="K1260">IFERROR(INDEX(CourseRatings[[Hole 1]:[Hole 18]],
  MATCH(1, (CourseRatings[Course]=C1260)*(CourseRatings[Tees]=E1260), 0),
  MATCH(G1260, CourseRatings[[#Headers],[Hole 1]:[Hole 18]], 0)
),"")</f>
        <v>4</v>
      </c>
      <c r="L1260" cm="1">
        <f t="array" ref="L1260">IFERROR(
  INDEX('Golf Log'!$E$2:$V$72,
    MATCH(1,
      ('Golf Log'!$A$2:$A$72=$A1260)*
      ('Golf Log'!$B$2:$B$72=$B1260)*
      ('Golf Log'!$C$2:$C$72=$C1260),
    0),
    MATCH($G1260,'Golf Log'!$E$1:$V$1,0)
  ),
"")</f>
        <v>5</v>
      </c>
      <c r="M1260">
        <f t="shared" si="90"/>
        <v>1</v>
      </c>
      <c r="N1260" t="str">
        <f t="shared" si="91"/>
        <v>Bogey</v>
      </c>
      <c r="O1260" cm="1">
        <f t="array" ref="O1260">IFERROR(
  INDEX('Putt Log'!$E$2:$V$72,
    MATCH(1,
      ('Putt Log'!$A$2:$A$72=$A1260)*
      ('Putt Log'!$B$2:$B$72=$B1260)*
      ('Putt Log'!$C$2:$C$72=$C1260),
    0),
    MATCH($G1260,'Putt Log'!$E$1:$V$1,0)
  ),
"")</f>
        <v>2</v>
      </c>
      <c r="P1260" t="str" cm="1">
        <f t="array" ref="P1260">IF(K1260=3,"",
  IFERROR(
    INDEX('Fairway Log'!$E$2:$V$72,
      MATCH(1,
        ('Fairway Log'!$A$2:$A$72=$A1260)*
        ('Fairway Log'!$B$2:$B$72=$B1260)*
        ('Fairway Log'!$C$2:$C1331=$C1260),
      0),
      MATCH($G1260,'Fairway Log'!$E$1:$V$1,0)
    ),
  "")
)</f>
        <v>→</v>
      </c>
      <c r="Q1260" t="str" cm="1">
        <f t="array" ref="Q1260">IFERROR(
  INDEX('GIR Log'!$E$2:$V$72,
    MATCH(1,
      ('GIR Log'!$A$2:$A$72=$A1260)*
      ('GIR Log'!$B$2:$B$72=$B1260)*
      ('GIR Log'!$C$2:$C$72=$C1260),
    0),
    MATCH($G1260,'GIR Log'!$E$1:$V$1,0)
  ),
"")</f>
        <v>↓</v>
      </c>
    </row>
    <row r="1261" spans="1:17" x14ac:dyDescent="0.25">
      <c r="A1261" s="117" t="s">
        <v>127</v>
      </c>
      <c r="B1261" s="2">
        <v>46185</v>
      </c>
      <c r="C1261" s="117" t="s">
        <v>145</v>
      </c>
      <c r="D1261" s="117" t="s">
        <v>145</v>
      </c>
      <c r="E1261" s="117" t="s">
        <v>36</v>
      </c>
      <c r="F1261">
        <v>104</v>
      </c>
      <c r="G1261" s="12" t="s">
        <v>64</v>
      </c>
      <c r="H1261" s="9">
        <f t="shared" si="89"/>
        <v>18</v>
      </c>
      <c r="I1261" cm="1">
        <f t="array" ref="I1261">IFERROR(INDEX(CourseYardages[[Hole 1]:[Hole 18]],
  MATCH(1, (CourseYardages[Course]=C1261)*(CourseYardages[Tees]=E1261), 0),
  MATCH(G1261, CourseYardages[[#Headers],[Hole 1]:[Hole 18]], 0)
),"")</f>
        <v>354</v>
      </c>
      <c r="J1261" cm="1">
        <f t="array" ref="J1261">IFERROR(INDEX(CourseHandicap[[Hole 1]:[Hole 18]],
  MATCH(1, (CourseHandicap[Course]=C1261)*(CourseHandicap[Tees]=E1261), 0),
  MATCH(G1261, CourseHandicap[[#Headers],[Hole 1]:[Hole 18]], 0)
),"")</f>
        <v>2</v>
      </c>
      <c r="K1261" cm="1">
        <f t="array" ref="K1261">IFERROR(INDEX(CourseRatings[[Hole 1]:[Hole 18]],
  MATCH(1, (CourseRatings[Course]=C1261)*(CourseRatings[Tees]=E1261), 0),
  MATCH(G1261, CourseRatings[[#Headers],[Hole 1]:[Hole 18]], 0)
),"")</f>
        <v>4</v>
      </c>
      <c r="L1261" cm="1">
        <f t="array" ref="L1261">IFERROR(
  INDEX('Golf Log'!$E$2:$V$72,
    MATCH(1,
      ('Golf Log'!$A$2:$A$72=$A1261)*
      ('Golf Log'!$B$2:$B$72=$B1261)*
      ('Golf Log'!$C$2:$C$72=$C1261),
    0),
    MATCH($G1261,'Golf Log'!$E$1:$V$1,0)
  ),
"")</f>
        <v>7</v>
      </c>
      <c r="M1261">
        <f t="shared" si="90"/>
        <v>3</v>
      </c>
      <c r="N1261" t="str">
        <f t="shared" si="91"/>
        <v>Triple Bogey</v>
      </c>
      <c r="O1261" cm="1">
        <f t="array" ref="O1261">IFERROR(
  INDEX('Putt Log'!$E$2:$V$72,
    MATCH(1,
      ('Putt Log'!$A$2:$A$72=$A1261)*
      ('Putt Log'!$B$2:$B$72=$B1261)*
      ('Putt Log'!$C$2:$C$72=$C1261),
    0),
    MATCH($G1261,'Putt Log'!$E$1:$V$1,0)
  ),
"")</f>
        <v>2</v>
      </c>
      <c r="P1261" t="str" cm="1">
        <f t="array" ref="P1261">IF(K1261=3,"",
  IFERROR(
    INDEX('Fairway Log'!$E$2:$V$72,
      MATCH(1,
        ('Fairway Log'!$A$2:$A$72=$A1261)*
        ('Fairway Log'!$B$2:$B$72=$B1261)*
        ('Fairway Log'!$C$2:$C1332=$C1261),
      0),
      MATCH($G1261,'Fairway Log'!$E$1:$V$1,0)
    ),
  "")
)</f>
        <v>→</v>
      </c>
      <c r="Q1261" t="str" cm="1">
        <f t="array" ref="Q1261">IFERROR(
  INDEX('GIR Log'!$E$2:$V$72,
    MATCH(1,
      ('GIR Log'!$A$2:$A$72=$A1261)*
      ('GIR Log'!$B$2:$B$72=$B1261)*
      ('GIR Log'!$C$2:$C$72=$C1261),
    0),
    MATCH($G1261,'GIR Log'!$E$1:$V$1,0)
  ),
"")</f>
        <v>↓</v>
      </c>
    </row>
    <row r="1262" spans="1:17" x14ac:dyDescent="0.25">
      <c r="A1262" s="51"/>
      <c r="G1262" s="12"/>
      <c r="H1262" s="9"/>
    </row>
    <row r="1263" spans="1:17" x14ac:dyDescent="0.25">
      <c r="A1263" s="51"/>
      <c r="G1263" s="12"/>
      <c r="H1263" s="9"/>
    </row>
    <row r="1264" spans="1:17" x14ac:dyDescent="0.25">
      <c r="A1264" s="51"/>
      <c r="G1264" s="12"/>
      <c r="H1264" s="9"/>
    </row>
    <row r="1265" spans="1:8" x14ac:dyDescent="0.25">
      <c r="A1265" s="51"/>
      <c r="G1265" s="12"/>
      <c r="H1265" s="9"/>
    </row>
    <row r="1266" spans="1:8" x14ac:dyDescent="0.25">
      <c r="A1266" s="51"/>
      <c r="G1266" s="12"/>
      <c r="H1266" s="9"/>
    </row>
    <row r="1267" spans="1:8" x14ac:dyDescent="0.25">
      <c r="A1267" s="51"/>
      <c r="G1267" s="12"/>
      <c r="H1267" s="9"/>
    </row>
    <row r="1268" spans="1:8" x14ac:dyDescent="0.25">
      <c r="A1268" s="51"/>
      <c r="G1268" s="12"/>
      <c r="H1268" s="9"/>
    </row>
    <row r="1269" spans="1:8" x14ac:dyDescent="0.25">
      <c r="A1269" s="51"/>
      <c r="G1269" s="12"/>
      <c r="H1269" s="9"/>
    </row>
    <row r="1270" spans="1:8" x14ac:dyDescent="0.25">
      <c r="A1270" s="51"/>
      <c r="G1270" s="12"/>
      <c r="H1270" s="9"/>
    </row>
    <row r="1271" spans="1:8" x14ac:dyDescent="0.25">
      <c r="A1271" s="51"/>
      <c r="G1271" s="12"/>
      <c r="H1271" s="9"/>
    </row>
    <row r="1272" spans="1:8" x14ac:dyDescent="0.25">
      <c r="A1272" s="51"/>
      <c r="G1272" s="12"/>
      <c r="H1272" s="9"/>
    </row>
    <row r="1273" spans="1:8" x14ac:dyDescent="0.25">
      <c r="A1273" s="51"/>
      <c r="G1273" s="12"/>
      <c r="H1273" s="9"/>
    </row>
    <row r="1274" spans="1:8" x14ac:dyDescent="0.25">
      <c r="A1274" s="51"/>
      <c r="G1274" s="12"/>
      <c r="H1274" s="9"/>
    </row>
    <row r="1275" spans="1:8" x14ac:dyDescent="0.25">
      <c r="A1275" s="51"/>
      <c r="G1275" s="12"/>
      <c r="H1275" s="9"/>
    </row>
    <row r="1276" spans="1:8" x14ac:dyDescent="0.25">
      <c r="A1276" s="51"/>
      <c r="G1276" s="12"/>
      <c r="H1276" s="9"/>
    </row>
    <row r="1277" spans="1:8" x14ac:dyDescent="0.25">
      <c r="A1277" s="51"/>
      <c r="G1277" s="12"/>
      <c r="H1277" s="9"/>
    </row>
    <row r="1278" spans="1:8" x14ac:dyDescent="0.25">
      <c r="A1278" s="51"/>
      <c r="G1278" s="12"/>
      <c r="H1278" s="9"/>
    </row>
    <row r="1279" spans="1:8" x14ac:dyDescent="0.25">
      <c r="A1279" s="51"/>
      <c r="G1279" s="12"/>
      <c r="H1279" s="9"/>
    </row>
    <row r="1280" spans="1:8" x14ac:dyDescent="0.25">
      <c r="A1280" s="51"/>
      <c r="H1280" s="9"/>
    </row>
    <row r="1281" spans="1:8" x14ac:dyDescent="0.25">
      <c r="A1281" s="51"/>
      <c r="H1281" s="9"/>
    </row>
    <row r="1282" spans="1:8" x14ac:dyDescent="0.25">
      <c r="A1282" s="51"/>
      <c r="H1282" s="9"/>
    </row>
    <row r="1283" spans="1:8" x14ac:dyDescent="0.25">
      <c r="A1283" s="51"/>
      <c r="H1283" s="9"/>
    </row>
    <row r="1284" spans="1:8" x14ac:dyDescent="0.25">
      <c r="A1284" s="51"/>
      <c r="H1284" s="9"/>
    </row>
    <row r="1285" spans="1:8" x14ac:dyDescent="0.25">
      <c r="A1285" s="51"/>
      <c r="H1285" s="9"/>
    </row>
    <row r="1286" spans="1:8" x14ac:dyDescent="0.25">
      <c r="A1286" s="51"/>
      <c r="H1286" s="9"/>
    </row>
    <row r="1287" spans="1:8" x14ac:dyDescent="0.25">
      <c r="A1287" s="51"/>
      <c r="H1287" s="9"/>
    </row>
    <row r="1288" spans="1:8" x14ac:dyDescent="0.25">
      <c r="A1288" s="51"/>
      <c r="H1288" s="9"/>
    </row>
    <row r="1289" spans="1:8" x14ac:dyDescent="0.25">
      <c r="A1289" s="51"/>
      <c r="H1289" s="9"/>
    </row>
    <row r="1290" spans="1:8" x14ac:dyDescent="0.25">
      <c r="A1290" s="51"/>
      <c r="H1290" s="9"/>
    </row>
    <row r="1291" spans="1:8" x14ac:dyDescent="0.25">
      <c r="A1291" s="51"/>
      <c r="H1291" s="9"/>
    </row>
    <row r="1292" spans="1:8" x14ac:dyDescent="0.25">
      <c r="A1292" s="51"/>
      <c r="H1292" s="9"/>
    </row>
    <row r="1293" spans="1:8" x14ac:dyDescent="0.25">
      <c r="A1293" s="51"/>
      <c r="H1293" s="9"/>
    </row>
    <row r="1294" spans="1:8" x14ac:dyDescent="0.25">
      <c r="A1294" s="51"/>
      <c r="H1294" s="9"/>
    </row>
    <row r="1295" spans="1:8" x14ac:dyDescent="0.25">
      <c r="A1295" s="51"/>
      <c r="H1295" s="9"/>
    </row>
    <row r="1296" spans="1:8" x14ac:dyDescent="0.25">
      <c r="A1296" s="51"/>
      <c r="H1296" s="9"/>
    </row>
    <row r="1297" spans="1:8" x14ac:dyDescent="0.25">
      <c r="A1297" s="51"/>
      <c r="H1297" s="9"/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A410-3EB8-4100-A9B0-05625B88F246}">
  <dimension ref="A1:AB99"/>
  <sheetViews>
    <sheetView topLeftCell="A55" workbookViewId="0">
      <selection activeCell="A72" sqref="A72"/>
    </sheetView>
  </sheetViews>
  <sheetFormatPr defaultRowHeight="15" x14ac:dyDescent="0.25"/>
  <cols>
    <col min="2" max="2" width="10.7109375" style="4" bestFit="1" customWidth="1"/>
    <col min="3" max="3" width="38.5703125" bestFit="1" customWidth="1"/>
    <col min="4" max="10" width="10.28515625" customWidth="1"/>
    <col min="11" max="28" width="11.28515625" customWidth="1"/>
  </cols>
  <sheetData>
    <row r="1" spans="1:28" x14ac:dyDescent="0.25">
      <c r="A1" s="20" t="s">
        <v>125</v>
      </c>
      <c r="B1" s="29" t="s">
        <v>19</v>
      </c>
      <c r="C1" s="26" t="s">
        <v>24</v>
      </c>
      <c r="D1" s="26" t="s">
        <v>20</v>
      </c>
      <c r="E1" s="26" t="s">
        <v>47</v>
      </c>
      <c r="F1" s="26" t="s">
        <v>48</v>
      </c>
      <c r="G1" s="26" t="s">
        <v>49</v>
      </c>
      <c r="H1" s="26" t="s">
        <v>50</v>
      </c>
      <c r="I1" s="26" t="s">
        <v>51</v>
      </c>
      <c r="J1" s="26" t="s">
        <v>52</v>
      </c>
      <c r="K1" s="26" t="s">
        <v>53</v>
      </c>
      <c r="L1" s="26" t="s">
        <v>54</v>
      </c>
      <c r="M1" s="26" t="s">
        <v>55</v>
      </c>
      <c r="N1" s="26" t="s">
        <v>56</v>
      </c>
      <c r="O1" s="26" t="s">
        <v>57</v>
      </c>
      <c r="P1" s="26" t="s">
        <v>58</v>
      </c>
      <c r="Q1" s="26" t="s">
        <v>59</v>
      </c>
      <c r="R1" s="26" t="s">
        <v>60</v>
      </c>
      <c r="S1" s="26" t="s">
        <v>61</v>
      </c>
      <c r="T1" s="26" t="s">
        <v>62</v>
      </c>
      <c r="U1" s="26" t="s">
        <v>63</v>
      </c>
      <c r="V1" s="26" t="s">
        <v>64</v>
      </c>
      <c r="W1" s="26" t="s">
        <v>0</v>
      </c>
      <c r="X1" s="26" t="s">
        <v>31</v>
      </c>
      <c r="Y1" s="26" t="s">
        <v>1</v>
      </c>
      <c r="Z1" s="26" t="s">
        <v>80</v>
      </c>
      <c r="AA1" s="26" t="s">
        <v>81</v>
      </c>
      <c r="AB1" s="26" t="s">
        <v>82</v>
      </c>
    </row>
    <row r="2" spans="1:28" x14ac:dyDescent="0.25">
      <c r="A2" s="20" t="s">
        <v>126</v>
      </c>
      <c r="B2" s="30">
        <v>45735</v>
      </c>
      <c r="C2" s="20" t="s">
        <v>3</v>
      </c>
      <c r="D2" s="20">
        <f>SUM('Golf Log'!$E2:$V2)</f>
        <v>76</v>
      </c>
      <c r="E2" s="20">
        <v>4</v>
      </c>
      <c r="F2" s="20">
        <v>5</v>
      </c>
      <c r="G2" s="20">
        <v>5</v>
      </c>
      <c r="H2" s="20">
        <v>4</v>
      </c>
      <c r="I2" s="20">
        <v>5</v>
      </c>
      <c r="J2" s="20">
        <v>3</v>
      </c>
      <c r="K2" s="20">
        <v>6</v>
      </c>
      <c r="L2" s="20">
        <v>3</v>
      </c>
      <c r="M2" s="20">
        <v>5</v>
      </c>
      <c r="N2" s="20">
        <v>4</v>
      </c>
      <c r="O2" s="20">
        <v>4</v>
      </c>
      <c r="P2" s="20">
        <v>4</v>
      </c>
      <c r="Q2" s="20">
        <v>5</v>
      </c>
      <c r="R2" s="20">
        <v>4</v>
      </c>
      <c r="S2" s="20">
        <v>3</v>
      </c>
      <c r="T2" s="20">
        <v>4</v>
      </c>
      <c r="U2" s="20">
        <v>4</v>
      </c>
      <c r="V2" s="20">
        <v>4</v>
      </c>
      <c r="W2" s="19">
        <v>31</v>
      </c>
      <c r="X2" s="19">
        <v>7</v>
      </c>
      <c r="Y2" s="19">
        <v>10</v>
      </c>
      <c r="Z2" s="28" cm="1">
        <f t="array" ref="Z2">SUMPRODUCT((_xlfn.XLOOKUP(C2, 'Course Stats'!A:A, 'Course Stats'!G:X)=3)*(E2:V2)) / COUNTIF(_xlfn.XLOOKUP(C2, 'Course Stats'!A:A, 'Course Stats'!G:X), 3)</f>
        <v>3.75</v>
      </c>
      <c r="AA2" s="28" cm="1">
        <f t="array" ref="AA2">SUMPRODUCT((_xlfn.XLOOKUP(C2, 'Course Stats'!A:A, 'Course Stats'!G:X)=4)*(E2:V2)) / COUNTIF(_xlfn.XLOOKUP(C2, 'Course Stats'!A:A, 'Course Stats'!G:X), 4)</f>
        <v>4.0909090909090908</v>
      </c>
      <c r="AB2" s="28" cm="1">
        <f t="array" ref="AB2">SUMPRODUCT((_xlfn.XLOOKUP(C2, 'Course Stats'!A:A, 'Course Stats'!G:X)=5)*(E2:V2)) / COUNTIF(_xlfn.XLOOKUP(C2, 'Course Stats'!A:A, 'Course Stats'!G:X), 5)</f>
        <v>5.333333333333333</v>
      </c>
    </row>
    <row r="3" spans="1:28" x14ac:dyDescent="0.25">
      <c r="A3" s="20" t="s">
        <v>126</v>
      </c>
      <c r="B3" s="30">
        <v>45655</v>
      </c>
      <c r="C3" s="20" t="s">
        <v>4</v>
      </c>
      <c r="D3" s="20">
        <f>SUM('Golf Log'!$E3:$V3)</f>
        <v>85</v>
      </c>
      <c r="E3" s="20">
        <v>4</v>
      </c>
      <c r="F3" s="20">
        <v>7</v>
      </c>
      <c r="G3" s="20">
        <v>4</v>
      </c>
      <c r="H3" s="20">
        <v>4</v>
      </c>
      <c r="I3" s="20">
        <v>5</v>
      </c>
      <c r="J3" s="20">
        <v>5</v>
      </c>
      <c r="K3" s="20">
        <v>4</v>
      </c>
      <c r="L3" s="20">
        <v>4</v>
      </c>
      <c r="M3" s="20">
        <v>5</v>
      </c>
      <c r="N3" s="20">
        <v>4</v>
      </c>
      <c r="O3" s="20">
        <v>5</v>
      </c>
      <c r="P3" s="20">
        <v>5</v>
      </c>
      <c r="Q3" s="20">
        <v>4</v>
      </c>
      <c r="R3" s="20">
        <v>6</v>
      </c>
      <c r="S3" s="20">
        <v>6</v>
      </c>
      <c r="T3" s="20">
        <v>4</v>
      </c>
      <c r="U3" s="20">
        <v>4</v>
      </c>
      <c r="V3" s="20">
        <v>5</v>
      </c>
      <c r="W3" s="19">
        <v>34</v>
      </c>
      <c r="X3" s="19">
        <v>11</v>
      </c>
      <c r="Y3" s="19">
        <v>6</v>
      </c>
      <c r="Z3" s="28" cm="1">
        <f t="array" ref="Z3">SUMPRODUCT((_xlfn.XLOOKUP(C3, 'Course Stats'!A:A, 'Course Stats'!G:X)=3)*(E3:V3)) / COUNTIF(_xlfn.XLOOKUP(C3, 'Course Stats'!A:A, 'Course Stats'!G:X), 3)</f>
        <v>4</v>
      </c>
      <c r="AA3" s="28" cm="1">
        <f t="array" ref="AA3">SUMPRODUCT((_xlfn.XLOOKUP(C3, 'Course Stats'!A:A, 'Course Stats'!G:X)=4)*(E3:V3)) / COUNTIF(_xlfn.XLOOKUP(C3, 'Course Stats'!A:A, 'Course Stats'!G:X), 4)</f>
        <v>4.7</v>
      </c>
      <c r="AB3" s="28" cm="1">
        <f t="array" ref="AB3">SUMPRODUCT((_xlfn.XLOOKUP(C3, 'Course Stats'!A:A, 'Course Stats'!G:X)=5)*(E3:V3)) / COUNTIF(_xlfn.XLOOKUP(C3, 'Course Stats'!A:A, 'Course Stats'!G:X), 5)</f>
        <v>5.5</v>
      </c>
    </row>
    <row r="4" spans="1:28" x14ac:dyDescent="0.25">
      <c r="A4" s="20" t="s">
        <v>126</v>
      </c>
      <c r="B4" s="30">
        <v>45653</v>
      </c>
      <c r="C4" s="20" t="s">
        <v>2</v>
      </c>
      <c r="D4" s="20">
        <f>SUM('Golf Log'!$E4:$V4)</f>
        <v>80</v>
      </c>
      <c r="E4" s="20">
        <v>5</v>
      </c>
      <c r="F4" s="20">
        <v>6</v>
      </c>
      <c r="G4" s="20">
        <v>4</v>
      </c>
      <c r="H4" s="20">
        <v>4</v>
      </c>
      <c r="I4" s="20">
        <v>4</v>
      </c>
      <c r="J4" s="20">
        <v>4</v>
      </c>
      <c r="K4" s="20">
        <v>5</v>
      </c>
      <c r="L4" s="20">
        <v>3</v>
      </c>
      <c r="M4" s="20">
        <v>5</v>
      </c>
      <c r="N4" s="20">
        <v>5</v>
      </c>
      <c r="O4" s="20">
        <v>3</v>
      </c>
      <c r="P4" s="20">
        <v>5</v>
      </c>
      <c r="Q4" s="20">
        <v>5</v>
      </c>
      <c r="R4" s="20">
        <v>4</v>
      </c>
      <c r="S4" s="20">
        <v>5</v>
      </c>
      <c r="T4" s="20">
        <v>4</v>
      </c>
      <c r="U4" s="20">
        <v>5</v>
      </c>
      <c r="V4" s="20">
        <v>4</v>
      </c>
      <c r="W4" s="19">
        <v>31</v>
      </c>
      <c r="X4" s="19">
        <v>3</v>
      </c>
      <c r="Y4" s="19">
        <v>5</v>
      </c>
      <c r="Z4" s="28" cm="1">
        <f t="array" ref="Z4">SUMPRODUCT((_xlfn.XLOOKUP(C4, 'Course Stats'!A:A, 'Course Stats'!G:X)=3)*(E4:V4)) / COUNTIF(_xlfn.XLOOKUP(C4, 'Course Stats'!A:A, 'Course Stats'!G:X), 3)</f>
        <v>3.5</v>
      </c>
      <c r="AA4" s="28" cm="1">
        <f t="array" ref="AA4">SUMPRODUCT((_xlfn.XLOOKUP(C4, 'Course Stats'!A:A, 'Course Stats'!G:X)=4)*(E4:V4)) / COUNTIF(_xlfn.XLOOKUP(C4, 'Course Stats'!A:A, 'Course Stats'!G:X), 4)</f>
        <v>4.5</v>
      </c>
      <c r="AB4" s="28" cm="1">
        <f t="array" ref="AB4">SUMPRODUCT((_xlfn.XLOOKUP(C4, 'Course Stats'!A:A, 'Course Stats'!G:X)=5)*(E4:V4)) / COUNTIF(_xlfn.XLOOKUP(C4, 'Course Stats'!A:A, 'Course Stats'!G:X), 5)</f>
        <v>5.25</v>
      </c>
    </row>
    <row r="5" spans="1:28" x14ac:dyDescent="0.25">
      <c r="A5" s="20" t="s">
        <v>126</v>
      </c>
      <c r="B5" s="30">
        <v>45649</v>
      </c>
      <c r="C5" s="20" t="s">
        <v>14</v>
      </c>
      <c r="D5" s="20">
        <f>SUM('Golf Log'!$E5:$V5)</f>
        <v>88</v>
      </c>
      <c r="E5" s="20">
        <v>6</v>
      </c>
      <c r="F5" s="20">
        <v>5</v>
      </c>
      <c r="G5" s="20">
        <v>5</v>
      </c>
      <c r="H5" s="20">
        <v>6</v>
      </c>
      <c r="I5" s="20">
        <v>5</v>
      </c>
      <c r="J5" s="20">
        <v>5</v>
      </c>
      <c r="K5" s="20">
        <v>5</v>
      </c>
      <c r="L5" s="20">
        <v>4</v>
      </c>
      <c r="M5" s="20">
        <v>6</v>
      </c>
      <c r="N5" s="20">
        <v>4</v>
      </c>
      <c r="O5" s="20">
        <v>5</v>
      </c>
      <c r="P5" s="20">
        <v>5</v>
      </c>
      <c r="Q5" s="20">
        <v>4</v>
      </c>
      <c r="R5" s="20">
        <v>5</v>
      </c>
      <c r="S5" s="20">
        <v>4</v>
      </c>
      <c r="T5" s="20">
        <v>5</v>
      </c>
      <c r="U5" s="20">
        <v>4</v>
      </c>
      <c r="V5" s="20">
        <v>5</v>
      </c>
      <c r="W5" s="19">
        <v>35</v>
      </c>
      <c r="X5" s="19">
        <v>5</v>
      </c>
      <c r="Y5" s="19">
        <v>1</v>
      </c>
      <c r="Z5" s="28" cm="1">
        <f t="array" ref="Z5">SUMPRODUCT((_xlfn.XLOOKUP(C5, 'Course Stats'!A:A, 'Course Stats'!G:X)=3)*(E5:V5)) / COUNTIF(_xlfn.XLOOKUP(C5, 'Course Stats'!A:A, 'Course Stats'!G:X), 3)</f>
        <v>4.25</v>
      </c>
      <c r="AA5" s="28" cm="1">
        <f t="array" ref="AA5">SUMPRODUCT((_xlfn.XLOOKUP(C5, 'Course Stats'!A:A, 'Course Stats'!G:X)=4)*(E5:V5)) / COUNTIF(_xlfn.XLOOKUP(C5, 'Course Stats'!A:A, 'Course Stats'!G:X), 4)</f>
        <v>4.9090909090909092</v>
      </c>
      <c r="AB5" s="28" cm="1">
        <f t="array" ref="AB5">SUMPRODUCT((_xlfn.XLOOKUP(C5, 'Course Stats'!A:A, 'Course Stats'!G:X)=5)*(E5:V5)) / COUNTIF(_xlfn.XLOOKUP(C5, 'Course Stats'!A:A, 'Course Stats'!G:X), 5)</f>
        <v>5.666666666666667</v>
      </c>
    </row>
    <row r="6" spans="1:28" x14ac:dyDescent="0.25">
      <c r="A6" s="20" t="s">
        <v>126</v>
      </c>
      <c r="B6" s="30">
        <v>45580</v>
      </c>
      <c r="C6" s="20" t="s">
        <v>7</v>
      </c>
      <c r="D6" s="20">
        <f>SUM('Golf Log'!$E6:$V6)</f>
        <v>83</v>
      </c>
      <c r="E6" s="20">
        <v>6</v>
      </c>
      <c r="F6" s="20">
        <v>6</v>
      </c>
      <c r="G6" s="20">
        <v>3</v>
      </c>
      <c r="H6" s="20">
        <v>5</v>
      </c>
      <c r="I6" s="20">
        <v>3</v>
      </c>
      <c r="J6" s="20">
        <v>4</v>
      </c>
      <c r="K6" s="20">
        <v>4</v>
      </c>
      <c r="L6" s="20">
        <v>3</v>
      </c>
      <c r="M6" s="20">
        <v>5</v>
      </c>
      <c r="N6" s="20">
        <v>4</v>
      </c>
      <c r="O6" s="20">
        <v>5</v>
      </c>
      <c r="P6" s="20">
        <v>5</v>
      </c>
      <c r="Q6" s="20">
        <v>6</v>
      </c>
      <c r="R6" s="20">
        <v>6</v>
      </c>
      <c r="S6" s="20">
        <v>5</v>
      </c>
      <c r="T6" s="20">
        <v>5</v>
      </c>
      <c r="U6" s="20">
        <v>3</v>
      </c>
      <c r="V6" s="20">
        <v>5</v>
      </c>
      <c r="W6" s="19">
        <v>29</v>
      </c>
      <c r="X6" s="19">
        <v>6</v>
      </c>
      <c r="Y6" s="19">
        <v>5</v>
      </c>
      <c r="Z6" s="28" cm="1">
        <f t="array" ref="Z6">SUMPRODUCT((_xlfn.XLOOKUP(C6, 'Course Stats'!A:A, 'Course Stats'!G:X)=3)*(E6:V6)) / COUNTIF(_xlfn.XLOOKUP(C6, 'Course Stats'!A:A, 'Course Stats'!G:X), 3)</f>
        <v>4</v>
      </c>
      <c r="AA6" s="28" cm="1">
        <f t="array" ref="AA6">SUMPRODUCT((_xlfn.XLOOKUP(C6, 'Course Stats'!A:A, 'Course Stats'!G:X)=4)*(E6:V6)) / COUNTIF(_xlfn.XLOOKUP(C6, 'Course Stats'!A:A, 'Course Stats'!G:X), 4)</f>
        <v>4.5999999999999996</v>
      </c>
      <c r="AB6" s="28" cm="1">
        <f t="array" ref="AB6">SUMPRODUCT((_xlfn.XLOOKUP(C6, 'Course Stats'!A:A, 'Course Stats'!G:X)=5)*(E6:V6)) / COUNTIF(_xlfn.XLOOKUP(C6, 'Course Stats'!A:A, 'Course Stats'!G:X), 5)</f>
        <v>5.25</v>
      </c>
    </row>
    <row r="7" spans="1:28" x14ac:dyDescent="0.25">
      <c r="A7" s="20" t="s">
        <v>126</v>
      </c>
      <c r="B7" s="30">
        <v>45570</v>
      </c>
      <c r="C7" s="20" t="s">
        <v>3</v>
      </c>
      <c r="D7" s="20">
        <f>SUM('Golf Log'!$E7:$V7)</f>
        <v>79</v>
      </c>
      <c r="E7" s="20">
        <v>4</v>
      </c>
      <c r="F7" s="20">
        <v>5</v>
      </c>
      <c r="G7" s="20">
        <v>3</v>
      </c>
      <c r="H7" s="20">
        <v>4</v>
      </c>
      <c r="I7" s="20">
        <v>5</v>
      </c>
      <c r="J7" s="20">
        <v>4</v>
      </c>
      <c r="K7" s="20">
        <v>5</v>
      </c>
      <c r="L7" s="20">
        <v>4</v>
      </c>
      <c r="M7" s="20">
        <v>4</v>
      </c>
      <c r="N7" s="20">
        <v>4</v>
      </c>
      <c r="O7" s="20">
        <v>3</v>
      </c>
      <c r="P7" s="20">
        <v>4</v>
      </c>
      <c r="Q7" s="20">
        <v>6</v>
      </c>
      <c r="R7" s="20">
        <v>6</v>
      </c>
      <c r="S7" s="20">
        <v>4</v>
      </c>
      <c r="T7" s="20">
        <v>5</v>
      </c>
      <c r="U7" s="20">
        <v>5</v>
      </c>
      <c r="V7" s="20">
        <v>4</v>
      </c>
      <c r="W7" s="19">
        <v>29</v>
      </c>
      <c r="X7" s="19">
        <v>5</v>
      </c>
      <c r="Y7" s="19">
        <v>5</v>
      </c>
      <c r="Z7" s="28" cm="1">
        <f t="array" ref="Z7">SUMPRODUCT((_xlfn.XLOOKUP(C7, 'Course Stats'!A:A, 'Course Stats'!G:X)=3)*(E7:V7)) / COUNTIF(_xlfn.XLOOKUP(C7, 'Course Stats'!A:A, 'Course Stats'!G:X), 3)</f>
        <v>3.5</v>
      </c>
      <c r="AA7" s="28" cm="1">
        <f t="array" ref="AA7">SUMPRODUCT((_xlfn.XLOOKUP(C7, 'Course Stats'!A:A, 'Course Stats'!G:X)=4)*(E7:V7)) / COUNTIF(_xlfn.XLOOKUP(C7, 'Course Stats'!A:A, 'Course Stats'!G:X), 4)</f>
        <v>4.5454545454545459</v>
      </c>
      <c r="AB7" s="28" cm="1">
        <f t="array" ref="AB7">SUMPRODUCT((_xlfn.XLOOKUP(C7, 'Course Stats'!A:A, 'Course Stats'!G:X)=5)*(E7:V7)) / COUNTIF(_xlfn.XLOOKUP(C7, 'Course Stats'!A:A, 'Course Stats'!G:X), 5)</f>
        <v>5</v>
      </c>
    </row>
    <row r="8" spans="1:28" x14ac:dyDescent="0.25">
      <c r="A8" s="20" t="s">
        <v>126</v>
      </c>
      <c r="B8" s="30">
        <v>45535</v>
      </c>
      <c r="C8" s="20" t="s">
        <v>9</v>
      </c>
      <c r="D8" s="20">
        <f>SUM('Golf Log'!$E8:$V8)</f>
        <v>87</v>
      </c>
      <c r="E8" s="20">
        <v>6</v>
      </c>
      <c r="F8" s="20">
        <v>5</v>
      </c>
      <c r="G8" s="20">
        <v>5</v>
      </c>
      <c r="H8" s="20">
        <v>4</v>
      </c>
      <c r="I8" s="20">
        <v>5</v>
      </c>
      <c r="J8" s="20">
        <v>6</v>
      </c>
      <c r="K8" s="20">
        <v>4</v>
      </c>
      <c r="L8" s="20">
        <v>5</v>
      </c>
      <c r="M8" s="20">
        <v>5</v>
      </c>
      <c r="N8" s="20">
        <v>5</v>
      </c>
      <c r="O8" s="20">
        <v>5</v>
      </c>
      <c r="P8" s="20">
        <v>4</v>
      </c>
      <c r="Q8" s="20">
        <v>5</v>
      </c>
      <c r="R8" s="20">
        <v>4</v>
      </c>
      <c r="S8" s="20">
        <v>4</v>
      </c>
      <c r="T8" s="20">
        <v>5</v>
      </c>
      <c r="U8" s="20">
        <v>6</v>
      </c>
      <c r="V8" s="20">
        <v>4</v>
      </c>
      <c r="W8" s="19">
        <v>32</v>
      </c>
      <c r="X8" s="19">
        <v>6</v>
      </c>
      <c r="Y8" s="19">
        <v>3</v>
      </c>
      <c r="Z8" s="28" cm="1">
        <f t="array" ref="Z8">SUMPRODUCT((_xlfn.XLOOKUP(C8, 'Course Stats'!A:A, 'Course Stats'!G:X)=3)*(E8:V8)) / COUNTIF(_xlfn.XLOOKUP(C8, 'Course Stats'!A:A, 'Course Stats'!G:X), 3)</f>
        <v>4.25</v>
      </c>
      <c r="AA8" s="28" cm="1">
        <f t="array" ref="AA8">SUMPRODUCT((_xlfn.XLOOKUP(C8, 'Course Stats'!A:A, 'Course Stats'!G:X)=4)*(E8:V8)) / COUNTIF(_xlfn.XLOOKUP(C8, 'Course Stats'!A:A, 'Course Stats'!G:X), 4)</f>
        <v>4.8181818181818183</v>
      </c>
      <c r="AB8" s="28" cm="1">
        <f t="array" ref="AB8">SUMPRODUCT((_xlfn.XLOOKUP(C8, 'Course Stats'!A:A, 'Course Stats'!G:X)=5)*(E8:V8)) / COUNTIF(_xlfn.XLOOKUP(C8, 'Course Stats'!A:A, 'Course Stats'!G:X), 5)</f>
        <v>5.666666666666667</v>
      </c>
    </row>
    <row r="9" spans="1:28" x14ac:dyDescent="0.25">
      <c r="A9" s="20" t="s">
        <v>126</v>
      </c>
      <c r="B9" s="30">
        <v>45514</v>
      </c>
      <c r="C9" s="20" t="s">
        <v>6</v>
      </c>
      <c r="D9" s="20">
        <f>SUM('Golf Log'!$E9:$V9)</f>
        <v>85</v>
      </c>
      <c r="E9" s="20">
        <v>7</v>
      </c>
      <c r="F9" s="20">
        <v>5</v>
      </c>
      <c r="G9" s="20">
        <v>5</v>
      </c>
      <c r="H9" s="20">
        <v>6</v>
      </c>
      <c r="I9" s="20">
        <v>3</v>
      </c>
      <c r="J9" s="20">
        <v>5</v>
      </c>
      <c r="K9" s="20">
        <v>5</v>
      </c>
      <c r="L9" s="20">
        <v>5</v>
      </c>
      <c r="M9" s="20">
        <v>4</v>
      </c>
      <c r="N9" s="20">
        <v>4</v>
      </c>
      <c r="O9" s="20">
        <v>4</v>
      </c>
      <c r="P9" s="20">
        <v>5</v>
      </c>
      <c r="Q9" s="20">
        <v>5</v>
      </c>
      <c r="R9" s="20">
        <v>4</v>
      </c>
      <c r="S9" s="20">
        <v>5</v>
      </c>
      <c r="T9" s="20">
        <v>4</v>
      </c>
      <c r="U9" s="20">
        <v>5</v>
      </c>
      <c r="V9" s="20">
        <v>4</v>
      </c>
      <c r="W9" s="19">
        <v>31</v>
      </c>
      <c r="X9" s="19">
        <v>6</v>
      </c>
      <c r="Y9" s="19">
        <v>4</v>
      </c>
      <c r="Z9" s="28" cm="1">
        <f t="array" ref="Z9">SUMPRODUCT((_xlfn.XLOOKUP(C9, 'Course Stats'!A:A, 'Course Stats'!G:X)=3)*(E9:V9)) / COUNTIF(_xlfn.XLOOKUP(C9, 'Course Stats'!A:A, 'Course Stats'!G:X), 3)</f>
        <v>4</v>
      </c>
      <c r="AA9" s="28" cm="1">
        <f t="array" ref="AA9">SUMPRODUCT((_xlfn.XLOOKUP(C9, 'Course Stats'!A:A, 'Course Stats'!G:X)=4)*(E9:V9)) / COUNTIF(_xlfn.XLOOKUP(C9, 'Course Stats'!A:A, 'Course Stats'!G:X), 4)</f>
        <v>4.583333333333333</v>
      </c>
      <c r="AB9" s="28" cm="1">
        <f t="array" ref="AB9">SUMPRODUCT((_xlfn.XLOOKUP(C9, 'Course Stats'!A:A, 'Course Stats'!G:X)=5)*(E9:V9)) / COUNTIF(_xlfn.XLOOKUP(C9, 'Course Stats'!A:A, 'Course Stats'!G:X), 5)</f>
        <v>6</v>
      </c>
    </row>
    <row r="10" spans="1:28" x14ac:dyDescent="0.25">
      <c r="A10" s="20" t="s">
        <v>126</v>
      </c>
      <c r="B10" s="30">
        <v>45502</v>
      </c>
      <c r="C10" s="20" t="s">
        <v>3</v>
      </c>
      <c r="D10" s="20">
        <f>SUM('Golf Log'!$E10:$V10)</f>
        <v>83</v>
      </c>
      <c r="E10" s="20">
        <v>4</v>
      </c>
      <c r="F10" s="20">
        <v>4</v>
      </c>
      <c r="G10" s="20">
        <v>4</v>
      </c>
      <c r="H10" s="20">
        <v>4</v>
      </c>
      <c r="I10" s="20">
        <v>5</v>
      </c>
      <c r="J10" s="20">
        <v>4</v>
      </c>
      <c r="K10" s="20">
        <v>5</v>
      </c>
      <c r="L10" s="20">
        <v>5</v>
      </c>
      <c r="M10" s="20">
        <v>6</v>
      </c>
      <c r="N10" s="20">
        <v>4</v>
      </c>
      <c r="O10" s="20">
        <v>4</v>
      </c>
      <c r="P10" s="20">
        <v>4</v>
      </c>
      <c r="Q10" s="20">
        <v>6</v>
      </c>
      <c r="R10" s="20">
        <v>4</v>
      </c>
      <c r="S10" s="20">
        <v>4</v>
      </c>
      <c r="T10" s="20">
        <v>4</v>
      </c>
      <c r="U10" s="20">
        <v>6</v>
      </c>
      <c r="V10" s="20">
        <v>6</v>
      </c>
      <c r="W10" s="19">
        <v>29</v>
      </c>
      <c r="X10" s="19">
        <v>6</v>
      </c>
      <c r="Y10" s="19">
        <v>4</v>
      </c>
      <c r="Z10" s="28" cm="1">
        <f t="array" ref="Z10">SUMPRODUCT((_xlfn.XLOOKUP(C10, 'Course Stats'!A:A, 'Course Stats'!G:X)=3)*(E10:V10)) / COUNTIF(_xlfn.XLOOKUP(C10, 'Course Stats'!A:A, 'Course Stats'!G:X), 3)</f>
        <v>4</v>
      </c>
      <c r="AA10" s="28" cm="1">
        <f t="array" ref="AA10">SUMPRODUCT((_xlfn.XLOOKUP(C10, 'Course Stats'!A:A, 'Course Stats'!G:X)=4)*(E10:V10)) / COUNTIF(_xlfn.XLOOKUP(C10, 'Course Stats'!A:A, 'Course Stats'!G:X), 4)</f>
        <v>4.5454545454545459</v>
      </c>
      <c r="AB10" s="28" cm="1">
        <f t="array" ref="AB10">SUMPRODUCT((_xlfn.XLOOKUP(C10, 'Course Stats'!A:A, 'Course Stats'!G:X)=5)*(E10:V10)) / COUNTIF(_xlfn.XLOOKUP(C10, 'Course Stats'!A:A, 'Course Stats'!G:X), 5)</f>
        <v>5.666666666666667</v>
      </c>
    </row>
    <row r="11" spans="1:28" x14ac:dyDescent="0.25">
      <c r="A11" s="20" t="s">
        <v>126</v>
      </c>
      <c r="B11" s="30">
        <v>45496</v>
      </c>
      <c r="C11" s="20" t="s">
        <v>6</v>
      </c>
      <c r="D11" s="20">
        <f>SUM('Golf Log'!$E11:$V11)</f>
        <v>79</v>
      </c>
      <c r="E11" s="20">
        <v>6</v>
      </c>
      <c r="F11" s="20">
        <v>4</v>
      </c>
      <c r="G11" s="20">
        <v>4</v>
      </c>
      <c r="H11" s="20">
        <v>3</v>
      </c>
      <c r="I11" s="20">
        <v>4</v>
      </c>
      <c r="J11" s="20">
        <v>5</v>
      </c>
      <c r="K11" s="20">
        <v>5</v>
      </c>
      <c r="L11" s="20">
        <v>5</v>
      </c>
      <c r="M11" s="20">
        <v>4</v>
      </c>
      <c r="N11" s="20">
        <v>5</v>
      </c>
      <c r="O11" s="20">
        <v>4</v>
      </c>
      <c r="P11" s="20">
        <v>5</v>
      </c>
      <c r="Q11" s="20">
        <v>3</v>
      </c>
      <c r="R11" s="20">
        <v>4</v>
      </c>
      <c r="S11" s="20">
        <v>5</v>
      </c>
      <c r="T11" s="20">
        <v>4</v>
      </c>
      <c r="U11" s="20">
        <v>4</v>
      </c>
      <c r="V11" s="20">
        <v>5</v>
      </c>
      <c r="W11" s="19">
        <v>27</v>
      </c>
      <c r="X11" s="19">
        <v>9</v>
      </c>
      <c r="Y11" s="19">
        <v>3</v>
      </c>
      <c r="Z11" s="28" cm="1">
        <f t="array" ref="Z11">SUMPRODUCT((_xlfn.XLOOKUP(C11, 'Course Stats'!A:A, 'Course Stats'!G:X)=3)*(E11:V11)) / COUNTIF(_xlfn.XLOOKUP(C11, 'Course Stats'!A:A, 'Course Stats'!G:X), 3)</f>
        <v>4</v>
      </c>
      <c r="AA11" s="28" cm="1">
        <f t="array" ref="AA11">SUMPRODUCT((_xlfn.XLOOKUP(C11, 'Course Stats'!A:A, 'Course Stats'!G:X)=4)*(E11:V11)) / COUNTIF(_xlfn.XLOOKUP(C11, 'Course Stats'!A:A, 'Course Stats'!G:X), 4)</f>
        <v>4.5</v>
      </c>
      <c r="AB11" s="28" cm="1">
        <f t="array" ref="AB11">SUMPRODUCT((_xlfn.XLOOKUP(C11, 'Course Stats'!A:A, 'Course Stats'!G:X)=5)*(E11:V11)) / COUNTIF(_xlfn.XLOOKUP(C11, 'Course Stats'!A:A, 'Course Stats'!G:X), 5)</f>
        <v>4.333333333333333</v>
      </c>
    </row>
    <row r="12" spans="1:28" x14ac:dyDescent="0.25">
      <c r="A12" s="20" t="s">
        <v>126</v>
      </c>
      <c r="B12" s="30">
        <v>45492</v>
      </c>
      <c r="C12" s="20" t="s">
        <v>6</v>
      </c>
      <c r="D12" s="20">
        <f>SUM('Golf Log'!$E12:$V12)</f>
        <v>83</v>
      </c>
      <c r="E12" s="20">
        <v>6</v>
      </c>
      <c r="F12" s="20">
        <v>4</v>
      </c>
      <c r="G12" s="20">
        <v>5</v>
      </c>
      <c r="H12" s="20">
        <v>5</v>
      </c>
      <c r="I12" s="20">
        <v>3</v>
      </c>
      <c r="J12" s="20">
        <v>6</v>
      </c>
      <c r="K12" s="20">
        <v>4</v>
      </c>
      <c r="L12" s="20">
        <v>4</v>
      </c>
      <c r="M12" s="20">
        <v>5</v>
      </c>
      <c r="N12" s="20">
        <v>4</v>
      </c>
      <c r="O12" s="20">
        <v>6</v>
      </c>
      <c r="P12" s="20">
        <v>5</v>
      </c>
      <c r="Q12" s="20">
        <v>4</v>
      </c>
      <c r="R12" s="20">
        <v>3</v>
      </c>
      <c r="S12" s="20">
        <v>5</v>
      </c>
      <c r="T12" s="20">
        <v>4</v>
      </c>
      <c r="U12" s="20">
        <v>4</v>
      </c>
      <c r="V12" s="20">
        <v>6</v>
      </c>
      <c r="W12" s="19">
        <v>29</v>
      </c>
      <c r="X12" s="19">
        <v>8</v>
      </c>
      <c r="Y12" s="19">
        <v>5</v>
      </c>
      <c r="Z12" s="28" cm="1">
        <f t="array" ref="Z12">SUMPRODUCT((_xlfn.XLOOKUP(C12, 'Course Stats'!A:A, 'Course Stats'!G:X)=3)*(E12:V12)) / COUNTIF(_xlfn.XLOOKUP(C12, 'Course Stats'!A:A, 'Course Stats'!G:X), 3)</f>
        <v>3.6666666666666665</v>
      </c>
      <c r="AA12" s="28" cm="1">
        <f t="array" ref="AA12">SUMPRODUCT((_xlfn.XLOOKUP(C12, 'Course Stats'!A:A, 'Course Stats'!G:X)=4)*(E12:V12)) / COUNTIF(_xlfn.XLOOKUP(C12, 'Course Stats'!A:A, 'Course Stats'!G:X), 4)</f>
        <v>4.75</v>
      </c>
      <c r="AB12" s="28" cm="1">
        <f t="array" ref="AB12">SUMPRODUCT((_xlfn.XLOOKUP(C12, 'Course Stats'!A:A, 'Course Stats'!G:X)=5)*(E12:V12)) / COUNTIF(_xlfn.XLOOKUP(C12, 'Course Stats'!A:A, 'Course Stats'!G:X), 5)</f>
        <v>5</v>
      </c>
    </row>
    <row r="13" spans="1:28" x14ac:dyDescent="0.25">
      <c r="A13" s="20" t="s">
        <v>126</v>
      </c>
      <c r="B13" s="30">
        <v>45487</v>
      </c>
      <c r="C13" s="20" t="s">
        <v>3</v>
      </c>
      <c r="D13" s="20">
        <f>SUM('Golf Log'!$E13:$V13)</f>
        <v>78</v>
      </c>
      <c r="E13" s="20">
        <v>4</v>
      </c>
      <c r="F13" s="20">
        <v>5</v>
      </c>
      <c r="G13" s="20">
        <v>3</v>
      </c>
      <c r="H13" s="20">
        <v>4</v>
      </c>
      <c r="I13" s="20">
        <v>4</v>
      </c>
      <c r="J13" s="20">
        <v>4</v>
      </c>
      <c r="K13" s="20">
        <v>5</v>
      </c>
      <c r="L13" s="20">
        <v>5</v>
      </c>
      <c r="M13" s="20">
        <v>5</v>
      </c>
      <c r="N13" s="20">
        <v>5</v>
      </c>
      <c r="O13" s="20">
        <v>4</v>
      </c>
      <c r="P13" s="20">
        <v>4</v>
      </c>
      <c r="Q13" s="20">
        <v>5</v>
      </c>
      <c r="R13" s="20">
        <v>4</v>
      </c>
      <c r="S13" s="20">
        <v>4</v>
      </c>
      <c r="T13" s="20">
        <v>3</v>
      </c>
      <c r="U13" s="20">
        <v>5</v>
      </c>
      <c r="V13" s="20">
        <v>5</v>
      </c>
      <c r="W13" s="19">
        <v>29</v>
      </c>
      <c r="X13" s="19">
        <v>3</v>
      </c>
      <c r="Y13" s="19">
        <v>6</v>
      </c>
      <c r="Z13" s="28" cm="1">
        <f t="array" ref="Z13">SUMPRODUCT((_xlfn.XLOOKUP(C13, 'Course Stats'!A:A, 'Course Stats'!G:X)=3)*(E13:V13)) / COUNTIF(_xlfn.XLOOKUP(C13, 'Course Stats'!A:A, 'Course Stats'!G:X), 3)</f>
        <v>3.75</v>
      </c>
      <c r="AA13" s="28" cm="1">
        <f t="array" ref="AA13">SUMPRODUCT((_xlfn.XLOOKUP(C13, 'Course Stats'!A:A, 'Course Stats'!G:X)=4)*(E13:V13)) / COUNTIF(_xlfn.XLOOKUP(C13, 'Course Stats'!A:A, 'Course Stats'!G:X), 4)</f>
        <v>4.3636363636363633</v>
      </c>
      <c r="AB13" s="28" cm="1">
        <f t="array" ref="AB13">SUMPRODUCT((_xlfn.XLOOKUP(C13, 'Course Stats'!A:A, 'Course Stats'!G:X)=5)*(E13:V13)) / COUNTIF(_xlfn.XLOOKUP(C13, 'Course Stats'!A:A, 'Course Stats'!G:X), 5)</f>
        <v>5</v>
      </c>
    </row>
    <row r="14" spans="1:28" x14ac:dyDescent="0.25">
      <c r="A14" s="20" t="s">
        <v>126</v>
      </c>
      <c r="B14" s="30">
        <v>45480</v>
      </c>
      <c r="C14" s="20" t="s">
        <v>10</v>
      </c>
      <c r="D14" s="20">
        <f>SUM('Golf Log'!$E14:$V14)</f>
        <v>80</v>
      </c>
      <c r="E14" s="20">
        <v>5</v>
      </c>
      <c r="F14" s="20">
        <v>4</v>
      </c>
      <c r="G14" s="20">
        <v>5</v>
      </c>
      <c r="H14" s="20">
        <v>4</v>
      </c>
      <c r="I14" s="20">
        <v>5</v>
      </c>
      <c r="J14" s="20">
        <v>5</v>
      </c>
      <c r="K14" s="20">
        <v>4</v>
      </c>
      <c r="L14" s="20">
        <v>5</v>
      </c>
      <c r="M14" s="20">
        <v>5</v>
      </c>
      <c r="N14" s="20">
        <v>5</v>
      </c>
      <c r="O14" s="20">
        <v>4</v>
      </c>
      <c r="P14" s="20">
        <v>3</v>
      </c>
      <c r="Q14" s="20">
        <v>5</v>
      </c>
      <c r="R14" s="20">
        <v>4</v>
      </c>
      <c r="S14" s="20">
        <v>5</v>
      </c>
      <c r="T14" s="20">
        <v>5</v>
      </c>
      <c r="U14" s="20">
        <v>3</v>
      </c>
      <c r="V14" s="20">
        <v>4</v>
      </c>
      <c r="W14" s="19">
        <v>30</v>
      </c>
      <c r="X14" s="19">
        <v>8</v>
      </c>
      <c r="Y14" s="19">
        <v>2</v>
      </c>
      <c r="Z14" s="28" cm="1">
        <f t="array" ref="Z14">SUMPRODUCT((_xlfn.XLOOKUP(C14, 'Course Stats'!A:A, 'Course Stats'!G:X)=3)*(E14:V14)) / COUNTIF(_xlfn.XLOOKUP(C14, 'Course Stats'!A:A, 'Course Stats'!G:X), 3)</f>
        <v>3.5</v>
      </c>
      <c r="AA14" s="28" cm="1">
        <f t="array" ref="AA14">SUMPRODUCT((_xlfn.XLOOKUP(C14, 'Course Stats'!A:A, 'Course Stats'!G:X)=4)*(E14:V14)) / COUNTIF(_xlfn.XLOOKUP(C14, 'Course Stats'!A:A, 'Course Stats'!G:X), 4)</f>
        <v>4.666666666666667</v>
      </c>
      <c r="AB14" s="28" cm="1">
        <f t="array" ref="AB14">SUMPRODUCT((_xlfn.XLOOKUP(C14, 'Course Stats'!A:A, 'Course Stats'!G:X)=5)*(E14:V14)) / COUNTIF(_xlfn.XLOOKUP(C14, 'Course Stats'!A:A, 'Course Stats'!G:X), 5)</f>
        <v>5</v>
      </c>
    </row>
    <row r="15" spans="1:28" x14ac:dyDescent="0.25">
      <c r="A15" s="20" t="s">
        <v>126</v>
      </c>
      <c r="B15" s="30">
        <v>45475</v>
      </c>
      <c r="C15" s="20" t="s">
        <v>5</v>
      </c>
      <c r="D15" s="20">
        <f>SUM('Golf Log'!$E15:$V15)</f>
        <v>77</v>
      </c>
      <c r="E15" s="20">
        <v>5</v>
      </c>
      <c r="F15" s="20">
        <v>5</v>
      </c>
      <c r="G15" s="20">
        <v>3</v>
      </c>
      <c r="H15" s="20">
        <v>5</v>
      </c>
      <c r="I15" s="20">
        <v>3</v>
      </c>
      <c r="J15" s="20">
        <v>5</v>
      </c>
      <c r="K15" s="20">
        <v>3</v>
      </c>
      <c r="L15" s="20">
        <v>5</v>
      </c>
      <c r="M15" s="20">
        <v>3</v>
      </c>
      <c r="N15" s="20">
        <v>4</v>
      </c>
      <c r="O15" s="20">
        <v>3</v>
      </c>
      <c r="P15" s="20">
        <v>5</v>
      </c>
      <c r="Q15" s="20">
        <v>4</v>
      </c>
      <c r="R15" s="20">
        <v>5</v>
      </c>
      <c r="S15" s="20">
        <v>5</v>
      </c>
      <c r="T15" s="20">
        <v>5</v>
      </c>
      <c r="U15" s="20">
        <v>4</v>
      </c>
      <c r="V15" s="20">
        <v>5</v>
      </c>
      <c r="W15" s="19">
        <v>29</v>
      </c>
      <c r="X15" s="19">
        <v>8</v>
      </c>
      <c r="Y15" s="19">
        <v>8</v>
      </c>
      <c r="Z15" s="28" cm="1">
        <f t="array" ref="Z15">SUMPRODUCT((_xlfn.XLOOKUP(C15, 'Course Stats'!A:A, 'Course Stats'!G:X)=3)*(E15:V15)) / COUNTIF(_xlfn.XLOOKUP(C15, 'Course Stats'!A:A, 'Course Stats'!G:X), 3)</f>
        <v>3.25</v>
      </c>
      <c r="AA15" s="28" cm="1">
        <f t="array" ref="AA15">SUMPRODUCT((_xlfn.XLOOKUP(C15, 'Course Stats'!A:A, 'Course Stats'!G:X)=4)*(E15:V15)) / COUNTIF(_xlfn.XLOOKUP(C15, 'Course Stats'!A:A, 'Course Stats'!G:X), 4)</f>
        <v>4.4000000000000004</v>
      </c>
      <c r="AB15" s="28" cm="1">
        <f t="array" ref="AB15">SUMPRODUCT((_xlfn.XLOOKUP(C15, 'Course Stats'!A:A, 'Course Stats'!G:X)=5)*(E15:V15)) / COUNTIF(_xlfn.XLOOKUP(C15, 'Course Stats'!A:A, 'Course Stats'!G:X), 5)</f>
        <v>5</v>
      </c>
    </row>
    <row r="16" spans="1:28" x14ac:dyDescent="0.25">
      <c r="A16" s="20" t="s">
        <v>126</v>
      </c>
      <c r="B16" s="30">
        <v>45467</v>
      </c>
      <c r="C16" s="20" t="s">
        <v>5</v>
      </c>
      <c r="D16" s="20">
        <f>SUM('Golf Log'!$E16:$V16)</f>
        <v>80</v>
      </c>
      <c r="E16" s="20">
        <v>5</v>
      </c>
      <c r="F16" s="20">
        <v>6</v>
      </c>
      <c r="G16" s="20">
        <v>4</v>
      </c>
      <c r="H16" s="20">
        <v>5</v>
      </c>
      <c r="I16" s="20">
        <v>4</v>
      </c>
      <c r="J16" s="20">
        <v>5</v>
      </c>
      <c r="K16" s="20">
        <v>4</v>
      </c>
      <c r="L16" s="20">
        <v>5</v>
      </c>
      <c r="M16" s="20">
        <v>4</v>
      </c>
      <c r="N16" s="20">
        <v>5</v>
      </c>
      <c r="O16" s="20">
        <v>4</v>
      </c>
      <c r="P16" s="20">
        <v>5</v>
      </c>
      <c r="Q16" s="20">
        <v>4</v>
      </c>
      <c r="R16" s="20">
        <v>4</v>
      </c>
      <c r="S16" s="20">
        <v>4</v>
      </c>
      <c r="T16" s="20">
        <v>5</v>
      </c>
      <c r="U16" s="20">
        <v>3</v>
      </c>
      <c r="V16" s="20">
        <v>4</v>
      </c>
      <c r="W16" s="19">
        <v>33</v>
      </c>
      <c r="X16" s="19">
        <v>6</v>
      </c>
      <c r="Y16" s="19">
        <v>9</v>
      </c>
      <c r="Z16" s="28" cm="1">
        <f t="array" ref="Z16">SUMPRODUCT((_xlfn.XLOOKUP(C16, 'Course Stats'!A:A, 'Course Stats'!G:X)=3)*(E16:V16)) / COUNTIF(_xlfn.XLOOKUP(C16, 'Course Stats'!A:A, 'Course Stats'!G:X), 3)</f>
        <v>3.75</v>
      </c>
      <c r="AA16" s="28" cm="1">
        <f t="array" ref="AA16">SUMPRODUCT((_xlfn.XLOOKUP(C16, 'Course Stats'!A:A, 'Course Stats'!G:X)=4)*(E16:V16)) / COUNTIF(_xlfn.XLOOKUP(C16, 'Course Stats'!A:A, 'Course Stats'!G:X), 4)</f>
        <v>4.5</v>
      </c>
      <c r="AB16" s="28" cm="1">
        <f t="array" ref="AB16">SUMPRODUCT((_xlfn.XLOOKUP(C16, 'Course Stats'!A:A, 'Course Stats'!G:X)=5)*(E16:V16)) / COUNTIF(_xlfn.XLOOKUP(C16, 'Course Stats'!A:A, 'Course Stats'!G:X), 5)</f>
        <v>5</v>
      </c>
    </row>
    <row r="17" spans="1:28" x14ac:dyDescent="0.25">
      <c r="A17" s="20" t="s">
        <v>126</v>
      </c>
      <c r="B17" s="30">
        <v>45466</v>
      </c>
      <c r="C17" s="20" t="s">
        <v>10</v>
      </c>
      <c r="D17" s="20">
        <f>SUM('Golf Log'!$E17:$V17)</f>
        <v>81</v>
      </c>
      <c r="E17" s="20">
        <v>5</v>
      </c>
      <c r="F17" s="20">
        <v>5</v>
      </c>
      <c r="G17" s="20">
        <v>4</v>
      </c>
      <c r="H17" s="20">
        <v>3</v>
      </c>
      <c r="I17" s="20">
        <v>5</v>
      </c>
      <c r="J17" s="20">
        <v>6</v>
      </c>
      <c r="K17" s="20">
        <v>4</v>
      </c>
      <c r="L17" s="20">
        <v>5</v>
      </c>
      <c r="M17" s="20">
        <v>5</v>
      </c>
      <c r="N17" s="20">
        <v>4</v>
      </c>
      <c r="O17" s="20">
        <v>4</v>
      </c>
      <c r="P17" s="20">
        <v>3</v>
      </c>
      <c r="Q17" s="20">
        <v>5</v>
      </c>
      <c r="R17" s="20">
        <v>5</v>
      </c>
      <c r="S17" s="20">
        <v>5</v>
      </c>
      <c r="T17" s="20">
        <v>5</v>
      </c>
      <c r="U17" s="20">
        <v>3</v>
      </c>
      <c r="V17" s="20">
        <v>5</v>
      </c>
      <c r="W17" s="19">
        <v>30</v>
      </c>
      <c r="X17" s="19">
        <v>7</v>
      </c>
      <c r="Y17" s="19">
        <v>4</v>
      </c>
      <c r="Z17" s="28" cm="1">
        <f t="array" ref="Z17">SUMPRODUCT((_xlfn.XLOOKUP(C17, 'Course Stats'!A:A, 'Course Stats'!G:X)=3)*(E17:V17)) / COUNTIF(_xlfn.XLOOKUP(C17, 'Course Stats'!A:A, 'Course Stats'!G:X), 3)</f>
        <v>3.25</v>
      </c>
      <c r="AA17" s="28" cm="1">
        <f t="array" ref="AA17">SUMPRODUCT((_xlfn.XLOOKUP(C17, 'Course Stats'!A:A, 'Course Stats'!G:X)=4)*(E17:V17)) / COUNTIF(_xlfn.XLOOKUP(C17, 'Course Stats'!A:A, 'Course Stats'!G:X), 4)</f>
        <v>4.833333333333333</v>
      </c>
      <c r="AB17" s="28" cm="1">
        <f t="array" ref="AB17">SUMPRODUCT((_xlfn.XLOOKUP(C17, 'Course Stats'!A:A, 'Course Stats'!G:X)=5)*(E17:V17)) / COUNTIF(_xlfn.XLOOKUP(C17, 'Course Stats'!A:A, 'Course Stats'!G:X), 5)</f>
        <v>5</v>
      </c>
    </row>
    <row r="18" spans="1:28" x14ac:dyDescent="0.25">
      <c r="A18" s="20" t="s">
        <v>126</v>
      </c>
      <c r="B18" s="30">
        <v>45465</v>
      </c>
      <c r="C18" s="20" t="s">
        <v>12</v>
      </c>
      <c r="D18" s="20">
        <f>SUM('Golf Log'!$E18:$V18)</f>
        <v>99</v>
      </c>
      <c r="E18" s="20">
        <v>7</v>
      </c>
      <c r="F18" s="20">
        <v>8</v>
      </c>
      <c r="G18" s="20">
        <v>4</v>
      </c>
      <c r="H18" s="20">
        <v>6</v>
      </c>
      <c r="I18" s="20">
        <v>5</v>
      </c>
      <c r="J18" s="20">
        <v>4</v>
      </c>
      <c r="K18" s="20">
        <v>5</v>
      </c>
      <c r="L18" s="20">
        <v>4</v>
      </c>
      <c r="M18" s="20">
        <v>5</v>
      </c>
      <c r="N18" s="20">
        <v>6</v>
      </c>
      <c r="O18" s="20">
        <v>4</v>
      </c>
      <c r="P18" s="20">
        <v>4</v>
      </c>
      <c r="Q18" s="20">
        <v>6</v>
      </c>
      <c r="R18" s="20">
        <v>6</v>
      </c>
      <c r="S18" s="20">
        <v>7</v>
      </c>
      <c r="T18" s="20">
        <v>7</v>
      </c>
      <c r="U18" s="20">
        <v>6</v>
      </c>
      <c r="V18" s="20">
        <v>5</v>
      </c>
      <c r="W18" s="19">
        <v>35</v>
      </c>
      <c r="X18" s="19">
        <v>3</v>
      </c>
      <c r="Y18" s="19">
        <v>2</v>
      </c>
      <c r="Z18" s="28" cm="1">
        <f t="array" ref="Z18">SUMPRODUCT((_xlfn.XLOOKUP(C18, 'Course Stats'!A:A, 'Course Stats'!G:X)=3)*(E18:V18)) / COUNTIF(_xlfn.XLOOKUP(C18, 'Course Stats'!A:A, 'Course Stats'!G:X), 3)</f>
        <v>4.5</v>
      </c>
      <c r="AA18" s="28" cm="1">
        <f t="array" ref="AA18">SUMPRODUCT((_xlfn.XLOOKUP(C18, 'Course Stats'!A:A, 'Course Stats'!G:X)=4)*(E18:V18)) / COUNTIF(_xlfn.XLOOKUP(C18, 'Course Stats'!A:A, 'Course Stats'!G:X), 4)</f>
        <v>5.5</v>
      </c>
      <c r="AB18" s="28" cm="1">
        <f t="array" ref="AB18">SUMPRODUCT((_xlfn.XLOOKUP(C18, 'Course Stats'!A:A, 'Course Stats'!G:X)=5)*(E18:V18)) / COUNTIF(_xlfn.XLOOKUP(C18, 'Course Stats'!A:A, 'Course Stats'!G:X), 5)</f>
        <v>6.5</v>
      </c>
    </row>
    <row r="19" spans="1:28" x14ac:dyDescent="0.25">
      <c r="A19" s="20" t="s">
        <v>126</v>
      </c>
      <c r="B19" s="30">
        <v>45453</v>
      </c>
      <c r="C19" s="20" t="s">
        <v>11</v>
      </c>
      <c r="D19" s="20">
        <f>SUM('Golf Log'!$E19:$V19)</f>
        <v>95</v>
      </c>
      <c r="E19" s="20">
        <v>7</v>
      </c>
      <c r="F19" s="20">
        <v>3</v>
      </c>
      <c r="G19" s="20">
        <v>6</v>
      </c>
      <c r="H19" s="20">
        <v>4</v>
      </c>
      <c r="I19" s="20">
        <v>6</v>
      </c>
      <c r="J19" s="20">
        <v>6</v>
      </c>
      <c r="K19" s="20">
        <v>5</v>
      </c>
      <c r="L19" s="20">
        <v>5</v>
      </c>
      <c r="M19" s="20">
        <v>7</v>
      </c>
      <c r="N19" s="20">
        <v>6</v>
      </c>
      <c r="O19" s="20">
        <v>5</v>
      </c>
      <c r="P19" s="20">
        <v>5</v>
      </c>
      <c r="Q19" s="20">
        <v>5</v>
      </c>
      <c r="R19" s="20">
        <v>3</v>
      </c>
      <c r="S19" s="20">
        <v>7</v>
      </c>
      <c r="T19" s="20">
        <v>4</v>
      </c>
      <c r="U19" s="20">
        <v>5</v>
      </c>
      <c r="V19" s="20">
        <v>6</v>
      </c>
      <c r="W19" s="19">
        <v>35</v>
      </c>
      <c r="X19" s="19">
        <v>5</v>
      </c>
      <c r="Y19" s="19">
        <v>3</v>
      </c>
      <c r="Z19" s="28" cm="1">
        <f t="array" ref="Z19">SUMPRODUCT((_xlfn.XLOOKUP(C19, 'Course Stats'!A:A, 'Course Stats'!G:X)=3)*(E19:V19)) / COUNTIF(_xlfn.XLOOKUP(C19, 'Course Stats'!A:A, 'Course Stats'!G:X), 3)</f>
        <v>3.8</v>
      </c>
      <c r="AA19" s="28" cm="1">
        <f t="array" ref="AA19">SUMPRODUCT((_xlfn.XLOOKUP(C19, 'Course Stats'!A:A, 'Course Stats'!G:X)=4)*(E19:V19)) / COUNTIF(_xlfn.XLOOKUP(C19, 'Course Stats'!A:A, 'Course Stats'!G:X), 4)</f>
        <v>5.666666666666667</v>
      </c>
      <c r="AB19" s="28" cm="1">
        <f t="array" ref="AB19">SUMPRODUCT((_xlfn.XLOOKUP(C19, 'Course Stats'!A:A, 'Course Stats'!G:X)=5)*(E19:V19)) / COUNTIF(_xlfn.XLOOKUP(C19, 'Course Stats'!A:A, 'Course Stats'!G:X), 5)</f>
        <v>6.25</v>
      </c>
    </row>
    <row r="20" spans="1:28" x14ac:dyDescent="0.25">
      <c r="A20" s="20" t="s">
        <v>126</v>
      </c>
      <c r="B20" s="30">
        <v>45443</v>
      </c>
      <c r="C20" s="20" t="s">
        <v>3</v>
      </c>
      <c r="D20" s="20">
        <f>SUM('Golf Log'!$E20:$V20)</f>
        <v>88</v>
      </c>
      <c r="E20" s="20">
        <v>5</v>
      </c>
      <c r="F20" s="20">
        <v>6</v>
      </c>
      <c r="G20" s="20">
        <v>4</v>
      </c>
      <c r="H20" s="20">
        <v>5</v>
      </c>
      <c r="I20" s="20">
        <v>6</v>
      </c>
      <c r="J20" s="20">
        <v>4</v>
      </c>
      <c r="K20" s="20">
        <v>5</v>
      </c>
      <c r="L20" s="20">
        <v>6</v>
      </c>
      <c r="M20" s="20">
        <v>8</v>
      </c>
      <c r="N20" s="20">
        <v>5</v>
      </c>
      <c r="O20" s="20">
        <v>4</v>
      </c>
      <c r="P20" s="20">
        <v>5</v>
      </c>
      <c r="Q20" s="20">
        <v>6</v>
      </c>
      <c r="R20" s="20">
        <v>4</v>
      </c>
      <c r="S20" s="20">
        <v>3</v>
      </c>
      <c r="T20" s="20">
        <v>3</v>
      </c>
      <c r="U20" s="20">
        <v>5</v>
      </c>
      <c r="V20" s="20">
        <v>4</v>
      </c>
      <c r="W20" s="19">
        <v>35</v>
      </c>
      <c r="X20" s="19">
        <v>4</v>
      </c>
      <c r="Y20" s="19">
        <v>6</v>
      </c>
      <c r="Z20" s="28" cm="1">
        <f t="array" ref="Z20">SUMPRODUCT((_xlfn.XLOOKUP(C20, 'Course Stats'!A:A, 'Course Stats'!G:X)=3)*(E20:V20)) / COUNTIF(_xlfn.XLOOKUP(C20, 'Course Stats'!A:A, 'Course Stats'!G:X), 3)</f>
        <v>3.75</v>
      </c>
      <c r="AA20" s="28" cm="1">
        <f t="array" ref="AA20">SUMPRODUCT((_xlfn.XLOOKUP(C20, 'Course Stats'!A:A, 'Course Stats'!G:X)=4)*(E20:V20)) / COUNTIF(_xlfn.XLOOKUP(C20, 'Course Stats'!A:A, 'Course Stats'!G:X), 4)</f>
        <v>4.9090909090909092</v>
      </c>
      <c r="AB20" s="28" cm="1">
        <f t="array" ref="AB20">SUMPRODUCT((_xlfn.XLOOKUP(C20, 'Course Stats'!A:A, 'Course Stats'!G:X)=5)*(E20:V20)) / COUNTIF(_xlfn.XLOOKUP(C20, 'Course Stats'!A:A, 'Course Stats'!G:X), 5)</f>
        <v>6.333333333333333</v>
      </c>
    </row>
    <row r="21" spans="1:28" x14ac:dyDescent="0.25">
      <c r="A21" s="20" t="s">
        <v>126</v>
      </c>
      <c r="B21" s="30">
        <v>45440</v>
      </c>
      <c r="C21" s="20" t="s">
        <v>9</v>
      </c>
      <c r="D21" s="20">
        <f>SUM('Golf Log'!$E21:$V21)</f>
        <v>88</v>
      </c>
      <c r="E21" s="20">
        <v>6</v>
      </c>
      <c r="F21" s="20">
        <v>5</v>
      </c>
      <c r="G21" s="20">
        <v>6</v>
      </c>
      <c r="H21" s="20">
        <v>3</v>
      </c>
      <c r="I21" s="20">
        <v>5</v>
      </c>
      <c r="J21" s="20">
        <v>5</v>
      </c>
      <c r="K21" s="20">
        <v>5</v>
      </c>
      <c r="L21" s="20">
        <v>5</v>
      </c>
      <c r="M21" s="20">
        <v>5</v>
      </c>
      <c r="N21" s="20">
        <v>5</v>
      </c>
      <c r="O21" s="20">
        <v>4</v>
      </c>
      <c r="P21" s="20">
        <v>4</v>
      </c>
      <c r="Q21" s="20">
        <v>6</v>
      </c>
      <c r="R21" s="20">
        <v>5</v>
      </c>
      <c r="S21" s="20">
        <v>5</v>
      </c>
      <c r="T21" s="20">
        <v>5</v>
      </c>
      <c r="U21" s="20">
        <v>5</v>
      </c>
      <c r="V21" s="20">
        <v>4</v>
      </c>
      <c r="W21" s="19">
        <v>33</v>
      </c>
      <c r="X21" s="19">
        <v>8</v>
      </c>
      <c r="Y21" s="19">
        <v>2</v>
      </c>
      <c r="Z21" s="28" cm="1">
        <f t="array" ref="Z21">SUMPRODUCT((_xlfn.XLOOKUP(C21, 'Course Stats'!A:A, 'Course Stats'!G:X)=3)*(E21:V21)) / COUNTIF(_xlfn.XLOOKUP(C21, 'Course Stats'!A:A, 'Course Stats'!G:X), 3)</f>
        <v>4.25</v>
      </c>
      <c r="AA21" s="28" cm="1">
        <f t="array" ref="AA21">SUMPRODUCT((_xlfn.XLOOKUP(C21, 'Course Stats'!A:A, 'Course Stats'!G:X)=4)*(E21:V21)) / COUNTIF(_xlfn.XLOOKUP(C21, 'Course Stats'!A:A, 'Course Stats'!G:X), 4)</f>
        <v>5.0909090909090908</v>
      </c>
      <c r="AB21" s="28" cm="1">
        <f t="array" ref="AB21">SUMPRODUCT((_xlfn.XLOOKUP(C21, 'Course Stats'!A:A, 'Course Stats'!G:X)=5)*(E21:V21)) / COUNTIF(_xlfn.XLOOKUP(C21, 'Course Stats'!A:A, 'Course Stats'!G:X), 5)</f>
        <v>5</v>
      </c>
    </row>
    <row r="22" spans="1:28" x14ac:dyDescent="0.25">
      <c r="A22" s="20" t="s">
        <v>126</v>
      </c>
      <c r="B22" s="30">
        <v>45434</v>
      </c>
      <c r="C22" s="20" t="s">
        <v>9</v>
      </c>
      <c r="D22" s="20">
        <f>SUM('Golf Log'!$E22:$V22)</f>
        <v>89</v>
      </c>
      <c r="E22" s="20">
        <v>7</v>
      </c>
      <c r="F22" s="20">
        <v>5</v>
      </c>
      <c r="G22" s="20">
        <v>5</v>
      </c>
      <c r="H22" s="20">
        <v>4</v>
      </c>
      <c r="I22" s="20">
        <v>6</v>
      </c>
      <c r="J22" s="20">
        <v>7</v>
      </c>
      <c r="K22" s="20">
        <v>5</v>
      </c>
      <c r="L22" s="20">
        <v>4</v>
      </c>
      <c r="M22" s="20">
        <v>5</v>
      </c>
      <c r="N22" s="20">
        <v>6</v>
      </c>
      <c r="O22" s="20">
        <v>3</v>
      </c>
      <c r="P22" s="20">
        <v>5</v>
      </c>
      <c r="Q22" s="20">
        <v>4</v>
      </c>
      <c r="R22" s="20">
        <v>3</v>
      </c>
      <c r="S22" s="20">
        <v>4</v>
      </c>
      <c r="T22" s="20">
        <v>5</v>
      </c>
      <c r="U22" s="20">
        <v>6</v>
      </c>
      <c r="V22" s="20">
        <v>5</v>
      </c>
      <c r="W22" s="19">
        <v>38</v>
      </c>
      <c r="X22" s="19">
        <v>3</v>
      </c>
      <c r="Y22" s="19">
        <v>6</v>
      </c>
      <c r="Z22" s="28" cm="1">
        <f t="array" ref="Z22">SUMPRODUCT((_xlfn.XLOOKUP(C22, 'Course Stats'!A:A, 'Course Stats'!G:X)=3)*(E22:V22)) / COUNTIF(_xlfn.XLOOKUP(C22, 'Course Stats'!A:A, 'Course Stats'!G:X), 3)</f>
        <v>3.75</v>
      </c>
      <c r="AA22" s="28" cm="1">
        <f t="array" ref="AA22">SUMPRODUCT((_xlfn.XLOOKUP(C22, 'Course Stats'!A:A, 'Course Stats'!G:X)=4)*(E22:V22)) / COUNTIF(_xlfn.XLOOKUP(C22, 'Course Stats'!A:A, 'Course Stats'!G:X), 4)</f>
        <v>5</v>
      </c>
      <c r="AB22" s="28" cm="1">
        <f t="array" ref="AB22">SUMPRODUCT((_xlfn.XLOOKUP(C22, 'Course Stats'!A:A, 'Course Stats'!G:X)=5)*(E22:V22)) / COUNTIF(_xlfn.XLOOKUP(C22, 'Course Stats'!A:A, 'Course Stats'!G:X), 5)</f>
        <v>6.333333333333333</v>
      </c>
    </row>
    <row r="23" spans="1:28" x14ac:dyDescent="0.25">
      <c r="A23" s="20" t="s">
        <v>126</v>
      </c>
      <c r="B23" s="30">
        <v>45172</v>
      </c>
      <c r="C23" s="20" t="s">
        <v>3</v>
      </c>
      <c r="D23" s="20">
        <f>SUM('Golf Log'!$E23:$V23)</f>
        <v>87</v>
      </c>
      <c r="E23" s="20">
        <v>5</v>
      </c>
      <c r="F23" s="20">
        <v>5</v>
      </c>
      <c r="G23" s="20">
        <v>4</v>
      </c>
      <c r="H23" s="20">
        <v>6</v>
      </c>
      <c r="I23" s="20">
        <v>6</v>
      </c>
      <c r="J23" s="20">
        <v>4</v>
      </c>
      <c r="K23" s="20">
        <v>5</v>
      </c>
      <c r="L23" s="20">
        <v>5</v>
      </c>
      <c r="M23" s="20">
        <v>6</v>
      </c>
      <c r="N23" s="20">
        <v>4</v>
      </c>
      <c r="O23" s="20">
        <v>2</v>
      </c>
      <c r="P23" s="20">
        <v>4</v>
      </c>
      <c r="Q23" s="20">
        <v>6</v>
      </c>
      <c r="R23" s="20">
        <v>5</v>
      </c>
      <c r="S23" s="20">
        <v>4</v>
      </c>
      <c r="T23" s="20">
        <v>6</v>
      </c>
      <c r="U23" s="20">
        <v>5</v>
      </c>
      <c r="V23" s="20">
        <v>5</v>
      </c>
      <c r="W23" s="19">
        <v>37</v>
      </c>
      <c r="X23" s="19">
        <v>8</v>
      </c>
      <c r="Y23" s="19">
        <v>6</v>
      </c>
      <c r="Z23" s="28" cm="1">
        <f t="array" ref="Z23">SUMPRODUCT((_xlfn.XLOOKUP(C23, 'Course Stats'!A:A, 'Course Stats'!G:X)=3)*(E23:V23)) / COUNTIF(_xlfn.XLOOKUP(C23, 'Course Stats'!A:A, 'Course Stats'!G:X), 3)</f>
        <v>3.5</v>
      </c>
      <c r="AA23" s="28" cm="1">
        <f t="array" ref="AA23">SUMPRODUCT((_xlfn.XLOOKUP(C23, 'Course Stats'!A:A, 'Course Stats'!G:X)=4)*(E23:V23)) / COUNTIF(_xlfn.XLOOKUP(C23, 'Course Stats'!A:A, 'Course Stats'!G:X), 4)</f>
        <v>5.0909090909090908</v>
      </c>
      <c r="AB23" s="28" cm="1">
        <f t="array" ref="AB23">SUMPRODUCT((_xlfn.XLOOKUP(C23, 'Course Stats'!A:A, 'Course Stats'!G:X)=5)*(E23:V23)) / COUNTIF(_xlfn.XLOOKUP(C23, 'Course Stats'!A:A, 'Course Stats'!G:X), 5)</f>
        <v>5.666666666666667</v>
      </c>
    </row>
    <row r="24" spans="1:28" x14ac:dyDescent="0.25">
      <c r="A24" s="20" t="s">
        <v>126</v>
      </c>
      <c r="B24" s="30">
        <v>45156</v>
      </c>
      <c r="C24" s="20" t="s">
        <v>46</v>
      </c>
      <c r="D24" s="20">
        <f>SUM('Golf Log'!$E24:$V24)</f>
        <v>91</v>
      </c>
      <c r="E24" s="20">
        <v>6</v>
      </c>
      <c r="F24" s="20">
        <v>7</v>
      </c>
      <c r="G24" s="20">
        <v>6</v>
      </c>
      <c r="H24" s="20">
        <v>4</v>
      </c>
      <c r="I24" s="20">
        <v>5</v>
      </c>
      <c r="J24" s="20">
        <v>5</v>
      </c>
      <c r="K24" s="20">
        <v>4</v>
      </c>
      <c r="L24" s="20">
        <v>3</v>
      </c>
      <c r="M24" s="20">
        <v>6</v>
      </c>
      <c r="N24" s="20">
        <v>6</v>
      </c>
      <c r="O24" s="20">
        <v>7</v>
      </c>
      <c r="P24" s="20">
        <v>6</v>
      </c>
      <c r="Q24" s="20">
        <v>4</v>
      </c>
      <c r="R24" s="20">
        <v>6</v>
      </c>
      <c r="S24" s="20">
        <v>4</v>
      </c>
      <c r="T24" s="20">
        <v>4</v>
      </c>
      <c r="U24" s="20">
        <v>4</v>
      </c>
      <c r="V24" s="20">
        <v>4</v>
      </c>
      <c r="W24" s="19">
        <v>35</v>
      </c>
      <c r="X24" s="19">
        <v>6</v>
      </c>
      <c r="Y24" s="19">
        <v>4</v>
      </c>
      <c r="Z24" s="28" cm="1">
        <f t="array" ref="Z24">SUMPRODUCT((_xlfn.XLOOKUP(C24, 'Course Stats'!A:A, 'Course Stats'!G:X)=3)*(E24:V24)) / COUNTIF(_xlfn.XLOOKUP(C24, 'Course Stats'!A:A, 'Course Stats'!G:X), 3)</f>
        <v>3.75</v>
      </c>
      <c r="AA24" s="28" cm="1">
        <f t="array" ref="AA24">SUMPRODUCT((_xlfn.XLOOKUP(C24, 'Course Stats'!A:A, 'Course Stats'!G:X)=4)*(E24:V24)) / COUNTIF(_xlfn.XLOOKUP(C24, 'Course Stats'!A:A, 'Course Stats'!G:X), 4)</f>
        <v>5.2727272727272725</v>
      </c>
      <c r="AB24" s="28" cm="1">
        <f t="array" ref="AB24">SUMPRODUCT((_xlfn.XLOOKUP(C24, 'Course Stats'!A:A, 'Course Stats'!G:X)=5)*(E24:V24)) / COUNTIF(_xlfn.XLOOKUP(C24, 'Course Stats'!A:A, 'Course Stats'!G:X), 5)</f>
        <v>6</v>
      </c>
    </row>
    <row r="25" spans="1:28" x14ac:dyDescent="0.25">
      <c r="A25" s="20" t="s">
        <v>126</v>
      </c>
      <c r="B25" s="30">
        <v>45144</v>
      </c>
      <c r="C25" s="20" t="s">
        <v>16</v>
      </c>
      <c r="D25" s="20">
        <f>SUM('Golf Log'!$E25:$V25)</f>
        <v>99</v>
      </c>
      <c r="E25" s="20">
        <v>7</v>
      </c>
      <c r="F25" s="20">
        <v>5</v>
      </c>
      <c r="G25" s="20">
        <v>4</v>
      </c>
      <c r="H25" s="20">
        <v>7</v>
      </c>
      <c r="I25" s="20">
        <v>7</v>
      </c>
      <c r="J25" s="20">
        <v>6</v>
      </c>
      <c r="K25" s="20">
        <v>6</v>
      </c>
      <c r="L25" s="20">
        <v>4</v>
      </c>
      <c r="M25" s="20">
        <v>6</v>
      </c>
      <c r="N25" s="20">
        <v>7</v>
      </c>
      <c r="O25" s="20">
        <v>6</v>
      </c>
      <c r="P25" s="20">
        <v>5</v>
      </c>
      <c r="Q25" s="20">
        <v>6</v>
      </c>
      <c r="R25" s="20">
        <v>3</v>
      </c>
      <c r="S25" s="20">
        <v>5</v>
      </c>
      <c r="T25" s="20">
        <v>5</v>
      </c>
      <c r="U25" s="20">
        <v>4</v>
      </c>
      <c r="V25" s="20">
        <v>6</v>
      </c>
      <c r="W25" s="19">
        <v>32</v>
      </c>
      <c r="X25" s="19">
        <v>8</v>
      </c>
      <c r="Y25" s="19">
        <v>1</v>
      </c>
      <c r="Z25" s="28" cm="1">
        <f t="array" ref="Z25">SUMPRODUCT((_xlfn.XLOOKUP(C25, 'Course Stats'!A:A, 'Course Stats'!G:X)=3)*(E25:V25)) / COUNTIF(_xlfn.XLOOKUP(C25, 'Course Stats'!A:A, 'Course Stats'!G:X), 3)</f>
        <v>3.75</v>
      </c>
      <c r="AA25" s="28" cm="1">
        <f t="array" ref="AA25">SUMPRODUCT((_xlfn.XLOOKUP(C25, 'Course Stats'!A:A, 'Course Stats'!G:X)=4)*(E25:V25)) / COUNTIF(_xlfn.XLOOKUP(C25, 'Course Stats'!A:A, 'Course Stats'!G:X), 4)</f>
        <v>5.9090909090909092</v>
      </c>
      <c r="AB25" s="28" cm="1">
        <f t="array" ref="AB25">SUMPRODUCT((_xlfn.XLOOKUP(C25, 'Course Stats'!A:A, 'Course Stats'!G:X)=5)*(E25:V25)) / COUNTIF(_xlfn.XLOOKUP(C25, 'Course Stats'!A:A, 'Course Stats'!G:X), 5)</f>
        <v>6.333333333333333</v>
      </c>
    </row>
    <row r="26" spans="1:28" x14ac:dyDescent="0.25">
      <c r="A26" s="20" t="s">
        <v>126</v>
      </c>
      <c r="B26" s="30">
        <v>45143</v>
      </c>
      <c r="C26" s="20" t="s">
        <v>9</v>
      </c>
      <c r="D26" s="20">
        <f>SUM('Golf Log'!$E26:$V26)</f>
        <v>88</v>
      </c>
      <c r="E26" s="20">
        <v>6</v>
      </c>
      <c r="F26" s="20">
        <v>6</v>
      </c>
      <c r="G26" s="20">
        <v>5</v>
      </c>
      <c r="H26" s="20">
        <v>4</v>
      </c>
      <c r="I26" s="20">
        <v>6</v>
      </c>
      <c r="J26" s="20">
        <v>6</v>
      </c>
      <c r="K26" s="20">
        <v>4</v>
      </c>
      <c r="L26" s="20">
        <v>5</v>
      </c>
      <c r="M26" s="20">
        <v>5</v>
      </c>
      <c r="N26" s="20">
        <v>5</v>
      </c>
      <c r="O26" s="20">
        <v>4</v>
      </c>
      <c r="P26" s="20">
        <v>5</v>
      </c>
      <c r="Q26" s="20">
        <v>5</v>
      </c>
      <c r="R26" s="20">
        <v>3</v>
      </c>
      <c r="S26" s="20">
        <v>5</v>
      </c>
      <c r="T26" s="20">
        <v>4</v>
      </c>
      <c r="U26" s="20">
        <v>6</v>
      </c>
      <c r="V26" s="20">
        <v>4</v>
      </c>
      <c r="W26" s="19">
        <v>39</v>
      </c>
      <c r="X26" s="19">
        <v>6</v>
      </c>
      <c r="Y26" s="19">
        <v>5</v>
      </c>
      <c r="Z26" s="28" cm="1">
        <f t="array" ref="Z26">SUMPRODUCT((_xlfn.XLOOKUP(C26, 'Course Stats'!A:A, 'Course Stats'!G:X)=3)*(E26:V26)) / COUNTIF(_xlfn.XLOOKUP(C26, 'Course Stats'!A:A, 'Course Stats'!G:X), 3)</f>
        <v>3.75</v>
      </c>
      <c r="AA26" s="28" cm="1">
        <f t="array" ref="AA26">SUMPRODUCT((_xlfn.XLOOKUP(C26, 'Course Stats'!A:A, 'Course Stats'!G:X)=4)*(E26:V26)) / COUNTIF(_xlfn.XLOOKUP(C26, 'Course Stats'!A:A, 'Course Stats'!G:X), 4)</f>
        <v>5.0909090909090908</v>
      </c>
      <c r="AB26" s="28" cm="1">
        <f t="array" ref="AB26">SUMPRODUCT((_xlfn.XLOOKUP(C26, 'Course Stats'!A:A, 'Course Stats'!G:X)=5)*(E26:V26)) / COUNTIF(_xlfn.XLOOKUP(C26, 'Course Stats'!A:A, 'Course Stats'!G:X), 5)</f>
        <v>5.666666666666667</v>
      </c>
    </row>
    <row r="27" spans="1:28" x14ac:dyDescent="0.25">
      <c r="A27" s="20" t="s">
        <v>126</v>
      </c>
      <c r="B27" s="30">
        <v>45137</v>
      </c>
      <c r="C27" s="20" t="s">
        <v>9</v>
      </c>
      <c r="D27" s="20">
        <f>SUM('Golf Log'!$E27:$V27)</f>
        <v>87</v>
      </c>
      <c r="E27" s="20">
        <v>5</v>
      </c>
      <c r="F27" s="20">
        <v>5</v>
      </c>
      <c r="G27" s="20">
        <v>6</v>
      </c>
      <c r="H27" s="20">
        <v>2</v>
      </c>
      <c r="I27" s="20">
        <v>6</v>
      </c>
      <c r="J27" s="20">
        <v>4</v>
      </c>
      <c r="K27" s="20">
        <v>5</v>
      </c>
      <c r="L27" s="20">
        <v>6</v>
      </c>
      <c r="M27" s="20">
        <v>5</v>
      </c>
      <c r="N27" s="20">
        <v>5</v>
      </c>
      <c r="O27" s="20">
        <v>4</v>
      </c>
      <c r="P27" s="20">
        <v>5</v>
      </c>
      <c r="Q27" s="20">
        <v>5</v>
      </c>
      <c r="R27" s="20">
        <v>4</v>
      </c>
      <c r="S27" s="20">
        <v>5</v>
      </c>
      <c r="T27" s="20">
        <v>4</v>
      </c>
      <c r="U27" s="20">
        <v>5</v>
      </c>
      <c r="V27" s="20">
        <v>6</v>
      </c>
      <c r="W27" s="19">
        <v>32</v>
      </c>
      <c r="X27" s="19">
        <v>4</v>
      </c>
      <c r="Y27" s="19">
        <v>4</v>
      </c>
      <c r="Z27" s="28" cm="1">
        <f t="array" ref="Z27">SUMPRODUCT((_xlfn.XLOOKUP(C27, 'Course Stats'!A:A, 'Course Stats'!G:X)=3)*(E27:V27)) / COUNTIF(_xlfn.XLOOKUP(C27, 'Course Stats'!A:A, 'Course Stats'!G:X), 3)</f>
        <v>3.75</v>
      </c>
      <c r="AA27" s="28" cm="1">
        <f t="array" ref="AA27">SUMPRODUCT((_xlfn.XLOOKUP(C27, 'Course Stats'!A:A, 'Course Stats'!G:X)=4)*(E27:V27)) / COUNTIF(_xlfn.XLOOKUP(C27, 'Course Stats'!A:A, 'Course Stats'!G:X), 4)</f>
        <v>5.2727272727272725</v>
      </c>
      <c r="AB27" s="28" cm="1">
        <f t="array" ref="AB27">SUMPRODUCT((_xlfn.XLOOKUP(C27, 'Course Stats'!A:A, 'Course Stats'!G:X)=5)*(E27:V27)) / COUNTIF(_xlfn.XLOOKUP(C27, 'Course Stats'!A:A, 'Course Stats'!G:X), 5)</f>
        <v>4.666666666666667</v>
      </c>
    </row>
    <row r="28" spans="1:28" x14ac:dyDescent="0.25">
      <c r="A28" s="20" t="s">
        <v>126</v>
      </c>
      <c r="B28" s="30">
        <v>45136</v>
      </c>
      <c r="C28" s="20" t="s">
        <v>5</v>
      </c>
      <c r="D28" s="20">
        <f>SUM('Golf Log'!$E28:$V28)</f>
        <v>90</v>
      </c>
      <c r="E28" s="20">
        <v>6</v>
      </c>
      <c r="F28" s="20">
        <v>5</v>
      </c>
      <c r="G28" s="20">
        <v>3</v>
      </c>
      <c r="H28" s="20">
        <v>7</v>
      </c>
      <c r="I28" s="20">
        <v>6</v>
      </c>
      <c r="J28" s="20">
        <v>5</v>
      </c>
      <c r="K28" s="20">
        <v>4</v>
      </c>
      <c r="L28" s="20">
        <v>6</v>
      </c>
      <c r="M28" s="20">
        <v>3</v>
      </c>
      <c r="N28" s="20">
        <v>5</v>
      </c>
      <c r="O28" s="20">
        <v>4</v>
      </c>
      <c r="P28" s="20">
        <v>5</v>
      </c>
      <c r="Q28" s="20">
        <v>6</v>
      </c>
      <c r="R28" s="20">
        <v>5</v>
      </c>
      <c r="S28" s="20">
        <v>4</v>
      </c>
      <c r="T28" s="20">
        <v>6</v>
      </c>
      <c r="U28" s="20">
        <v>4</v>
      </c>
      <c r="V28" s="20">
        <v>6</v>
      </c>
      <c r="W28" s="19">
        <v>31</v>
      </c>
      <c r="X28" s="19">
        <v>6</v>
      </c>
      <c r="Y28" s="19">
        <v>3</v>
      </c>
      <c r="Z28" s="28" cm="1">
        <f t="array" ref="Z28">SUMPRODUCT((_xlfn.XLOOKUP(C28, 'Course Stats'!A:A, 'Course Stats'!G:X)=3)*(E28:V28)) / COUNTIF(_xlfn.XLOOKUP(C28, 'Course Stats'!A:A, 'Course Stats'!G:X), 3)</f>
        <v>3.75</v>
      </c>
      <c r="AA28" s="28" cm="1">
        <f t="array" ref="AA28">SUMPRODUCT((_xlfn.XLOOKUP(C28, 'Course Stats'!A:A, 'Course Stats'!G:X)=4)*(E28:V28)) / COUNTIF(_xlfn.XLOOKUP(C28, 'Course Stats'!A:A, 'Course Stats'!G:X), 4)</f>
        <v>5.0999999999999996</v>
      </c>
      <c r="AB28" s="28" cm="1">
        <f t="array" ref="AB28">SUMPRODUCT((_xlfn.XLOOKUP(C28, 'Course Stats'!A:A, 'Course Stats'!G:X)=5)*(E28:V28)) / COUNTIF(_xlfn.XLOOKUP(C28, 'Course Stats'!A:A, 'Course Stats'!G:X), 5)</f>
        <v>6</v>
      </c>
    </row>
    <row r="29" spans="1:28" x14ac:dyDescent="0.25">
      <c r="A29" s="20" t="s">
        <v>126</v>
      </c>
      <c r="B29" s="30">
        <v>45114</v>
      </c>
      <c r="C29" s="20" t="s">
        <v>5</v>
      </c>
      <c r="D29" s="20">
        <f>SUM('Golf Log'!$E29:$V29)</f>
        <v>90</v>
      </c>
      <c r="E29" s="20">
        <v>6</v>
      </c>
      <c r="F29" s="20">
        <v>6</v>
      </c>
      <c r="G29" s="20">
        <v>4</v>
      </c>
      <c r="H29" s="20">
        <v>5</v>
      </c>
      <c r="I29" s="20">
        <v>4</v>
      </c>
      <c r="J29" s="20">
        <v>5</v>
      </c>
      <c r="K29" s="20">
        <v>5</v>
      </c>
      <c r="L29" s="20">
        <v>5</v>
      </c>
      <c r="M29" s="20">
        <v>5</v>
      </c>
      <c r="N29" s="20">
        <v>6</v>
      </c>
      <c r="O29" s="20">
        <v>4</v>
      </c>
      <c r="P29" s="20">
        <v>7</v>
      </c>
      <c r="Q29" s="20">
        <v>4</v>
      </c>
      <c r="R29" s="20">
        <v>4</v>
      </c>
      <c r="S29" s="20">
        <v>5</v>
      </c>
      <c r="T29" s="20">
        <v>5</v>
      </c>
      <c r="U29" s="20">
        <v>5</v>
      </c>
      <c r="V29" s="20">
        <v>5</v>
      </c>
      <c r="W29" s="19">
        <v>32</v>
      </c>
      <c r="X29" s="19">
        <v>3</v>
      </c>
      <c r="Y29" s="19">
        <v>5</v>
      </c>
      <c r="Z29" s="28" cm="1">
        <f t="array" ref="Z29">SUMPRODUCT((_xlfn.XLOOKUP(C29, 'Course Stats'!A:A, 'Course Stats'!G:X)=3)*(E29:V29)) / COUNTIF(_xlfn.XLOOKUP(C29, 'Course Stats'!A:A, 'Course Stats'!G:X), 3)</f>
        <v>4.5</v>
      </c>
      <c r="AA29" s="28" cm="1">
        <f t="array" ref="AA29">SUMPRODUCT((_xlfn.XLOOKUP(C29, 'Course Stats'!A:A, 'Course Stats'!G:X)=4)*(E29:V29)) / COUNTIF(_xlfn.XLOOKUP(C29, 'Course Stats'!A:A, 'Course Stats'!G:X), 4)</f>
        <v>5</v>
      </c>
      <c r="AB29" s="28" cm="1">
        <f t="array" ref="AB29">SUMPRODUCT((_xlfn.XLOOKUP(C29, 'Course Stats'!A:A, 'Course Stats'!G:X)=5)*(E29:V29)) / COUNTIF(_xlfn.XLOOKUP(C29, 'Course Stats'!A:A, 'Course Stats'!G:X), 5)</f>
        <v>5.5</v>
      </c>
    </row>
    <row r="30" spans="1:28" x14ac:dyDescent="0.25">
      <c r="A30" s="20" t="s">
        <v>126</v>
      </c>
      <c r="B30" s="30">
        <v>45084</v>
      </c>
      <c r="C30" s="20" t="s">
        <v>5</v>
      </c>
      <c r="D30" s="20">
        <f>SUM('Golf Log'!$E30:$V30)</f>
        <v>91</v>
      </c>
      <c r="E30" s="20">
        <v>5</v>
      </c>
      <c r="F30" s="20">
        <v>6</v>
      </c>
      <c r="G30" s="20">
        <v>4</v>
      </c>
      <c r="H30" s="20">
        <v>7</v>
      </c>
      <c r="I30" s="20">
        <v>5</v>
      </c>
      <c r="J30" s="20">
        <v>6</v>
      </c>
      <c r="K30" s="20">
        <v>4</v>
      </c>
      <c r="L30" s="20">
        <v>6</v>
      </c>
      <c r="M30" s="20">
        <v>5</v>
      </c>
      <c r="N30" s="20">
        <v>5</v>
      </c>
      <c r="O30" s="20">
        <v>3</v>
      </c>
      <c r="P30" s="20">
        <v>6</v>
      </c>
      <c r="Q30" s="20">
        <v>6</v>
      </c>
      <c r="R30" s="20">
        <v>5</v>
      </c>
      <c r="S30" s="20">
        <v>4</v>
      </c>
      <c r="T30" s="20">
        <v>5</v>
      </c>
      <c r="U30" s="20">
        <v>4</v>
      </c>
      <c r="V30" s="20">
        <v>5</v>
      </c>
      <c r="W30" s="19">
        <v>37</v>
      </c>
      <c r="X30" s="19">
        <v>6</v>
      </c>
      <c r="Y30" s="19">
        <v>2</v>
      </c>
      <c r="Z30" s="28" cm="1">
        <f t="array" ref="Z30">SUMPRODUCT((_xlfn.XLOOKUP(C30, 'Course Stats'!A:A, 'Course Stats'!G:X)=3)*(E30:V30)) / COUNTIF(_xlfn.XLOOKUP(C30, 'Course Stats'!A:A, 'Course Stats'!G:X), 3)</f>
        <v>3.75</v>
      </c>
      <c r="AA30" s="28" cm="1">
        <f t="array" ref="AA30">SUMPRODUCT((_xlfn.XLOOKUP(C30, 'Course Stats'!A:A, 'Course Stats'!G:X)=4)*(E30:V30)) / COUNTIF(_xlfn.XLOOKUP(C30, 'Course Stats'!A:A, 'Course Stats'!G:X), 4)</f>
        <v>5.2</v>
      </c>
      <c r="AB30" s="28" cm="1">
        <f t="array" ref="AB30">SUMPRODUCT((_xlfn.XLOOKUP(C30, 'Course Stats'!A:A, 'Course Stats'!G:X)=5)*(E30:V30)) / COUNTIF(_xlfn.XLOOKUP(C30, 'Course Stats'!A:A, 'Course Stats'!G:X), 5)</f>
        <v>6</v>
      </c>
    </row>
    <row r="31" spans="1:28" x14ac:dyDescent="0.25">
      <c r="A31" s="20" t="s">
        <v>126</v>
      </c>
      <c r="B31" s="30">
        <v>45053</v>
      </c>
      <c r="C31" s="20" t="s">
        <v>3</v>
      </c>
      <c r="D31" s="20">
        <f>SUM('Golf Log'!$E31:$V31)</f>
        <v>92</v>
      </c>
      <c r="E31" s="20">
        <v>4</v>
      </c>
      <c r="F31" s="20">
        <v>5</v>
      </c>
      <c r="G31" s="20">
        <v>3</v>
      </c>
      <c r="H31" s="20">
        <v>4</v>
      </c>
      <c r="I31" s="20">
        <v>5</v>
      </c>
      <c r="J31" s="20">
        <v>4</v>
      </c>
      <c r="K31" s="20">
        <v>6</v>
      </c>
      <c r="L31" s="20">
        <v>4</v>
      </c>
      <c r="M31" s="20">
        <v>8</v>
      </c>
      <c r="N31" s="20">
        <v>5</v>
      </c>
      <c r="O31" s="20">
        <v>4</v>
      </c>
      <c r="P31" s="20">
        <v>5</v>
      </c>
      <c r="Q31" s="20">
        <v>8</v>
      </c>
      <c r="R31" s="20">
        <v>5</v>
      </c>
      <c r="S31" s="20">
        <v>5</v>
      </c>
      <c r="T31" s="20">
        <v>6</v>
      </c>
      <c r="U31" s="20">
        <v>6</v>
      </c>
      <c r="V31" s="20">
        <v>5</v>
      </c>
      <c r="W31" s="19">
        <v>37</v>
      </c>
      <c r="X31" s="19">
        <v>7</v>
      </c>
      <c r="Y31" s="19">
        <v>4</v>
      </c>
      <c r="Z31" s="28" cm="1">
        <f t="array" ref="Z31">SUMPRODUCT((_xlfn.XLOOKUP(C31, 'Course Stats'!A:A, 'Course Stats'!G:X)=3)*(E31:V31)) / COUNTIF(_xlfn.XLOOKUP(C31, 'Course Stats'!A:A, 'Course Stats'!G:X), 3)</f>
        <v>4</v>
      </c>
      <c r="AA31" s="28" cm="1">
        <f t="array" ref="AA31">SUMPRODUCT((_xlfn.XLOOKUP(C31, 'Course Stats'!A:A, 'Course Stats'!G:X)=4)*(E31:V31)) / COUNTIF(_xlfn.XLOOKUP(C31, 'Course Stats'!A:A, 'Course Stats'!G:X), 4)</f>
        <v>4.9090909090909092</v>
      </c>
      <c r="AB31" s="28" cm="1">
        <f t="array" ref="AB31">SUMPRODUCT((_xlfn.XLOOKUP(C31, 'Course Stats'!A:A, 'Course Stats'!G:X)=5)*(E31:V31)) / COUNTIF(_xlfn.XLOOKUP(C31, 'Course Stats'!A:A, 'Course Stats'!G:X), 5)</f>
        <v>7.333333333333333</v>
      </c>
    </row>
    <row r="32" spans="1:28" x14ac:dyDescent="0.25">
      <c r="A32" s="20" t="s">
        <v>126</v>
      </c>
      <c r="B32" s="30">
        <v>45053</v>
      </c>
      <c r="C32" s="20" t="s">
        <v>9</v>
      </c>
      <c r="D32" s="20">
        <f>SUM('Golf Log'!$E32:$V32)</f>
        <v>94</v>
      </c>
      <c r="E32" s="20">
        <v>7</v>
      </c>
      <c r="F32" s="20">
        <v>6</v>
      </c>
      <c r="G32" s="20">
        <v>7</v>
      </c>
      <c r="H32" s="20">
        <v>3</v>
      </c>
      <c r="I32" s="20">
        <v>5</v>
      </c>
      <c r="J32" s="20">
        <v>5</v>
      </c>
      <c r="K32" s="20">
        <v>4</v>
      </c>
      <c r="L32" s="20">
        <v>7</v>
      </c>
      <c r="M32" s="20">
        <v>5</v>
      </c>
      <c r="N32" s="20">
        <v>6</v>
      </c>
      <c r="O32" s="20">
        <v>4</v>
      </c>
      <c r="P32" s="20">
        <v>5</v>
      </c>
      <c r="Q32" s="20">
        <v>7</v>
      </c>
      <c r="R32" s="20">
        <v>4</v>
      </c>
      <c r="S32" s="20">
        <v>4</v>
      </c>
      <c r="T32" s="20">
        <v>5</v>
      </c>
      <c r="U32" s="20">
        <v>6</v>
      </c>
      <c r="V32" s="20">
        <v>4</v>
      </c>
      <c r="W32" s="19">
        <v>36</v>
      </c>
      <c r="X32" s="19">
        <v>6</v>
      </c>
      <c r="Y32" s="19">
        <v>2</v>
      </c>
      <c r="Z32" s="28" cm="1">
        <f t="array" ref="Z32">SUMPRODUCT((_xlfn.XLOOKUP(C32, 'Course Stats'!A:A, 'Course Stats'!G:X)=3)*(E32:V32)) / COUNTIF(_xlfn.XLOOKUP(C32, 'Course Stats'!A:A, 'Course Stats'!G:X), 3)</f>
        <v>3.75</v>
      </c>
      <c r="AA32" s="28" cm="1">
        <f t="array" ref="AA32">SUMPRODUCT((_xlfn.XLOOKUP(C32, 'Course Stats'!A:A, 'Course Stats'!G:X)=4)*(E32:V32)) / COUNTIF(_xlfn.XLOOKUP(C32, 'Course Stats'!A:A, 'Course Stats'!G:X), 4)</f>
        <v>5.6363636363636367</v>
      </c>
      <c r="AB32" s="28" cm="1">
        <f t="array" ref="AB32">SUMPRODUCT((_xlfn.XLOOKUP(C32, 'Course Stats'!A:A, 'Course Stats'!G:X)=5)*(E32:V32)) / COUNTIF(_xlfn.XLOOKUP(C32, 'Course Stats'!A:A, 'Course Stats'!G:X), 5)</f>
        <v>5.666666666666667</v>
      </c>
    </row>
    <row r="33" spans="1:28" x14ac:dyDescent="0.25">
      <c r="A33" s="20" t="s">
        <v>126</v>
      </c>
      <c r="B33" s="30">
        <v>45050</v>
      </c>
      <c r="C33" s="20" t="s">
        <v>3</v>
      </c>
      <c r="D33" s="20">
        <f>SUM('Golf Log'!$E33:$V33)</f>
        <v>89</v>
      </c>
      <c r="E33" s="20">
        <v>5</v>
      </c>
      <c r="F33" s="20">
        <v>5</v>
      </c>
      <c r="G33" s="20">
        <v>3</v>
      </c>
      <c r="H33" s="20">
        <v>5</v>
      </c>
      <c r="I33" s="20">
        <v>5</v>
      </c>
      <c r="J33" s="20">
        <v>5</v>
      </c>
      <c r="K33" s="20">
        <v>7</v>
      </c>
      <c r="L33" s="20">
        <v>5</v>
      </c>
      <c r="M33" s="20">
        <v>8</v>
      </c>
      <c r="N33" s="20">
        <v>4</v>
      </c>
      <c r="O33" s="20">
        <v>4</v>
      </c>
      <c r="P33" s="20">
        <v>4</v>
      </c>
      <c r="Q33" s="20">
        <v>6</v>
      </c>
      <c r="R33" s="20">
        <v>4</v>
      </c>
      <c r="S33" s="20">
        <v>5</v>
      </c>
      <c r="T33" s="20">
        <v>5</v>
      </c>
      <c r="U33" s="20">
        <v>5</v>
      </c>
      <c r="V33" s="20">
        <v>4</v>
      </c>
      <c r="W33" s="19">
        <v>37</v>
      </c>
      <c r="X33" s="19">
        <v>7</v>
      </c>
      <c r="Y33" s="19">
        <v>4</v>
      </c>
      <c r="Z33" s="28" cm="1">
        <f t="array" ref="Z33">SUMPRODUCT((_xlfn.XLOOKUP(C33, 'Course Stats'!A:A, 'Course Stats'!G:X)=3)*(E33:V33)) / COUNTIF(_xlfn.XLOOKUP(C33, 'Course Stats'!A:A, 'Course Stats'!G:X), 3)</f>
        <v>4.25</v>
      </c>
      <c r="AA33" s="28" cm="1">
        <f t="array" ref="AA33">SUMPRODUCT((_xlfn.XLOOKUP(C33, 'Course Stats'!A:A, 'Course Stats'!G:X)=4)*(E33:V33)) / COUNTIF(_xlfn.XLOOKUP(C33, 'Course Stats'!A:A, 'Course Stats'!G:X), 4)</f>
        <v>4.6363636363636367</v>
      </c>
      <c r="AB33" s="28" cm="1">
        <f t="array" ref="AB33">SUMPRODUCT((_xlfn.XLOOKUP(C33, 'Course Stats'!A:A, 'Course Stats'!G:X)=5)*(E33:V33)) / COUNTIF(_xlfn.XLOOKUP(C33, 'Course Stats'!A:A, 'Course Stats'!G:X), 5)</f>
        <v>7</v>
      </c>
    </row>
    <row r="34" spans="1:28" x14ac:dyDescent="0.25">
      <c r="A34" s="20" t="s">
        <v>126</v>
      </c>
      <c r="B34" s="30">
        <v>45048</v>
      </c>
      <c r="C34" s="20" t="s">
        <v>5</v>
      </c>
      <c r="D34" s="20">
        <f>SUM('Golf Log'!$E34:$V34)</f>
        <v>94</v>
      </c>
      <c r="E34" s="20">
        <v>5</v>
      </c>
      <c r="F34" s="20">
        <v>6</v>
      </c>
      <c r="G34" s="20">
        <v>3</v>
      </c>
      <c r="H34" s="20">
        <v>5</v>
      </c>
      <c r="I34" s="20">
        <v>5</v>
      </c>
      <c r="J34" s="20">
        <v>5</v>
      </c>
      <c r="K34" s="20">
        <v>4</v>
      </c>
      <c r="L34" s="20">
        <v>8</v>
      </c>
      <c r="M34" s="20">
        <v>4</v>
      </c>
      <c r="N34" s="20">
        <v>6</v>
      </c>
      <c r="O34" s="20">
        <v>5</v>
      </c>
      <c r="P34" s="20">
        <v>7</v>
      </c>
      <c r="Q34" s="20">
        <v>6</v>
      </c>
      <c r="R34" s="20">
        <v>6</v>
      </c>
      <c r="S34" s="20">
        <v>5</v>
      </c>
      <c r="T34" s="20">
        <v>7</v>
      </c>
      <c r="U34" s="20">
        <v>3</v>
      </c>
      <c r="V34" s="20">
        <v>4</v>
      </c>
      <c r="W34" s="19">
        <v>36</v>
      </c>
      <c r="X34" s="19">
        <v>9</v>
      </c>
      <c r="Y34" s="19">
        <v>3</v>
      </c>
      <c r="Z34" s="28" cm="1">
        <f t="array" ref="Z34">SUMPRODUCT((_xlfn.XLOOKUP(C34, 'Course Stats'!A:A, 'Course Stats'!G:X)=3)*(E34:V34)) / COUNTIF(_xlfn.XLOOKUP(C34, 'Course Stats'!A:A, 'Course Stats'!G:X), 3)</f>
        <v>3.75</v>
      </c>
      <c r="AA34" s="28" cm="1">
        <f t="array" ref="AA34">SUMPRODUCT((_xlfn.XLOOKUP(C34, 'Course Stats'!A:A, 'Course Stats'!G:X)=4)*(E34:V34)) / COUNTIF(_xlfn.XLOOKUP(C34, 'Course Stats'!A:A, 'Course Stats'!G:X), 4)</f>
        <v>5.2</v>
      </c>
      <c r="AB34" s="28" cm="1">
        <f t="array" ref="AB34">SUMPRODUCT((_xlfn.XLOOKUP(C34, 'Course Stats'!A:A, 'Course Stats'!G:X)=5)*(E34:V34)) / COUNTIF(_xlfn.XLOOKUP(C34, 'Course Stats'!A:A, 'Course Stats'!G:X), 5)</f>
        <v>6.75</v>
      </c>
    </row>
    <row r="35" spans="1:28" x14ac:dyDescent="0.25">
      <c r="A35" s="20" t="s">
        <v>126</v>
      </c>
      <c r="B35" s="30">
        <v>45829</v>
      </c>
      <c r="C35" s="20" t="s">
        <v>6</v>
      </c>
      <c r="D35" s="20">
        <f>SUM('Golf Log'!$E35:$V35)</f>
        <v>76</v>
      </c>
      <c r="E35" s="20">
        <v>6</v>
      </c>
      <c r="F35" s="20">
        <v>3</v>
      </c>
      <c r="G35" s="20">
        <v>4</v>
      </c>
      <c r="H35" s="20">
        <v>6</v>
      </c>
      <c r="I35" s="20">
        <v>4</v>
      </c>
      <c r="J35" s="20">
        <v>4</v>
      </c>
      <c r="K35" s="20">
        <v>4</v>
      </c>
      <c r="L35" s="20">
        <v>4</v>
      </c>
      <c r="M35" s="20">
        <v>5</v>
      </c>
      <c r="N35" s="20">
        <v>4</v>
      </c>
      <c r="O35" s="20">
        <v>3</v>
      </c>
      <c r="P35" s="20">
        <v>4</v>
      </c>
      <c r="Q35" s="20">
        <v>5</v>
      </c>
      <c r="R35" s="20">
        <v>3</v>
      </c>
      <c r="S35" s="20">
        <v>4</v>
      </c>
      <c r="T35" s="20">
        <v>4</v>
      </c>
      <c r="U35" s="20">
        <v>5</v>
      </c>
      <c r="V35" s="20">
        <v>4</v>
      </c>
      <c r="W35" s="20">
        <v>28</v>
      </c>
      <c r="X35" s="20">
        <v>9</v>
      </c>
      <c r="Y35" s="20">
        <v>7</v>
      </c>
      <c r="Z35" s="28" cm="1">
        <f t="array" ref="Z35">SUMPRODUCT((_xlfn.XLOOKUP(C35, 'Course Stats'!A:A, 'Course Stats'!G:X)=3)*(E35:V35)) / COUNTIF(_xlfn.XLOOKUP(C35, 'Course Stats'!A:A, 'Course Stats'!G:X), 3)</f>
        <v>3.6666666666666665</v>
      </c>
      <c r="AA35" s="28" cm="1">
        <f t="array" ref="AA35">SUMPRODUCT((_xlfn.XLOOKUP(C35, 'Course Stats'!A:A, 'Course Stats'!G:X)=4)*(E35:V35)) / COUNTIF(_xlfn.XLOOKUP(C35, 'Course Stats'!A:A, 'Course Stats'!G:X), 4)</f>
        <v>4</v>
      </c>
      <c r="AB35" s="28" cm="1">
        <f t="array" ref="AB35">SUMPRODUCT((_xlfn.XLOOKUP(C35, 'Course Stats'!A:A, 'Course Stats'!G:X)=5)*(E35:V35)) / COUNTIF(_xlfn.XLOOKUP(C35, 'Course Stats'!A:A, 'Course Stats'!G:X), 5)</f>
        <v>5.666666666666667</v>
      </c>
    </row>
    <row r="36" spans="1:28" x14ac:dyDescent="0.25">
      <c r="A36" s="20" t="s">
        <v>126</v>
      </c>
      <c r="B36" s="30">
        <v>45831</v>
      </c>
      <c r="C36" s="20" t="s">
        <v>5</v>
      </c>
      <c r="D36" s="20">
        <f>SUM('Golf Log'!$E36:$V36)</f>
        <v>78</v>
      </c>
      <c r="E36" s="20">
        <v>6</v>
      </c>
      <c r="F36" s="20">
        <v>5</v>
      </c>
      <c r="G36" s="20">
        <v>4</v>
      </c>
      <c r="H36" s="20">
        <v>5</v>
      </c>
      <c r="I36" s="20">
        <v>5</v>
      </c>
      <c r="J36" s="20">
        <v>4</v>
      </c>
      <c r="K36" s="20">
        <v>4</v>
      </c>
      <c r="L36" s="20">
        <v>5</v>
      </c>
      <c r="M36" s="20">
        <v>3</v>
      </c>
      <c r="N36" s="20">
        <v>4</v>
      </c>
      <c r="O36" s="20">
        <v>4</v>
      </c>
      <c r="P36" s="20">
        <v>4</v>
      </c>
      <c r="Q36" s="20">
        <v>4</v>
      </c>
      <c r="R36" s="20">
        <v>4</v>
      </c>
      <c r="S36" s="20">
        <v>5</v>
      </c>
      <c r="T36" s="20">
        <v>5</v>
      </c>
      <c r="U36" s="20">
        <v>3</v>
      </c>
      <c r="V36" s="20">
        <v>4</v>
      </c>
      <c r="W36" s="20">
        <v>32</v>
      </c>
      <c r="X36" s="20">
        <v>8</v>
      </c>
      <c r="Y36" s="20">
        <v>8</v>
      </c>
      <c r="Z36" s="28" cm="1">
        <f t="array" ref="Z36">SUMPRODUCT((_xlfn.XLOOKUP(C36, 'Course Stats'!A:A, 'Course Stats'!G:X)=3)*(E36:V36)) / COUNTIF(_xlfn.XLOOKUP(C36, 'Course Stats'!A:A, 'Course Stats'!G:X), 3)</f>
        <v>3.75</v>
      </c>
      <c r="AA36" s="28" cm="1">
        <f t="array" ref="AA36">SUMPRODUCT((_xlfn.XLOOKUP(C36, 'Course Stats'!A:A, 'Course Stats'!G:X)=4)*(E36:V36)) / COUNTIF(_xlfn.XLOOKUP(C36, 'Course Stats'!A:A, 'Course Stats'!G:X), 4)</f>
        <v>4.4000000000000004</v>
      </c>
      <c r="AB36" s="28" cm="1">
        <f t="array" ref="AB36">SUMPRODUCT((_xlfn.XLOOKUP(C36, 'Course Stats'!A:A, 'Course Stats'!G:X)=5)*(E36:V36)) / COUNTIF(_xlfn.XLOOKUP(C36, 'Course Stats'!A:A, 'Course Stats'!G:X), 5)</f>
        <v>4.75</v>
      </c>
    </row>
    <row r="37" spans="1:28" x14ac:dyDescent="0.25">
      <c r="A37" s="20" t="s">
        <v>126</v>
      </c>
      <c r="B37" s="30">
        <v>45844</v>
      </c>
      <c r="C37" s="20" t="s">
        <v>3</v>
      </c>
      <c r="D37" s="20">
        <f>SUM('Golf Log'!$E37:$V37)</f>
        <v>79</v>
      </c>
      <c r="E37" s="20">
        <v>4</v>
      </c>
      <c r="F37" s="20">
        <v>5</v>
      </c>
      <c r="G37" s="20">
        <v>3</v>
      </c>
      <c r="H37" s="20">
        <v>4</v>
      </c>
      <c r="I37" s="20">
        <v>4</v>
      </c>
      <c r="J37" s="20">
        <v>3</v>
      </c>
      <c r="K37" s="20">
        <v>5</v>
      </c>
      <c r="L37" s="20">
        <v>4</v>
      </c>
      <c r="M37" s="20">
        <v>7</v>
      </c>
      <c r="N37" s="20">
        <v>4</v>
      </c>
      <c r="O37" s="20">
        <v>4</v>
      </c>
      <c r="P37" s="20">
        <v>4</v>
      </c>
      <c r="Q37" s="20">
        <v>6</v>
      </c>
      <c r="R37" s="20">
        <v>5</v>
      </c>
      <c r="S37" s="20">
        <v>4</v>
      </c>
      <c r="T37" s="20">
        <v>5</v>
      </c>
      <c r="U37" s="20">
        <v>4</v>
      </c>
      <c r="V37" s="20">
        <v>4</v>
      </c>
      <c r="W37" s="20">
        <v>32</v>
      </c>
      <c r="X37" s="20">
        <v>7</v>
      </c>
      <c r="Y37" s="20">
        <v>8</v>
      </c>
      <c r="Z37" s="28" cm="1">
        <f t="array" ref="Z37">SUMPRODUCT((_xlfn.XLOOKUP(C37, 'Course Stats'!A:A, 'Course Stats'!G:X)=3)*(E37:V37)) / COUNTIF(_xlfn.XLOOKUP(C37, 'Course Stats'!A:A, 'Course Stats'!G:X), 3)</f>
        <v>3.5</v>
      </c>
      <c r="AA37" s="28" cm="1">
        <f t="array" ref="AA37">SUMPRODUCT((_xlfn.XLOOKUP(C37, 'Course Stats'!A:A, 'Course Stats'!G:X)=4)*(E37:V37)) / COUNTIF(_xlfn.XLOOKUP(C37, 'Course Stats'!A:A, 'Course Stats'!G:X), 4)</f>
        <v>4.2727272727272725</v>
      </c>
      <c r="AB37" s="28" cm="1">
        <f t="array" ref="AB37">SUMPRODUCT((_xlfn.XLOOKUP(C37, 'Course Stats'!A:A, 'Course Stats'!G:X)=5)*(E37:V37)) / COUNTIF(_xlfn.XLOOKUP(C37, 'Course Stats'!A:A, 'Course Stats'!G:X), 5)</f>
        <v>6</v>
      </c>
    </row>
    <row r="38" spans="1:28" x14ac:dyDescent="0.25">
      <c r="A38" s="20" t="s">
        <v>126</v>
      </c>
      <c r="B38" s="30">
        <v>45857</v>
      </c>
      <c r="C38" s="20" t="s">
        <v>3</v>
      </c>
      <c r="D38" s="20">
        <f>SUM('Golf Log'!$E38:$V38)</f>
        <v>75</v>
      </c>
      <c r="E38" s="20">
        <v>4</v>
      </c>
      <c r="F38" s="20">
        <v>4</v>
      </c>
      <c r="G38" s="20">
        <v>4</v>
      </c>
      <c r="H38" s="20">
        <v>5</v>
      </c>
      <c r="I38" s="20">
        <v>4</v>
      </c>
      <c r="J38" s="20">
        <v>3</v>
      </c>
      <c r="K38" s="20">
        <v>5</v>
      </c>
      <c r="L38" s="20">
        <v>4</v>
      </c>
      <c r="M38" s="20">
        <v>5</v>
      </c>
      <c r="N38" s="20">
        <v>4</v>
      </c>
      <c r="O38" s="20">
        <v>3</v>
      </c>
      <c r="P38" s="20">
        <v>3</v>
      </c>
      <c r="Q38" s="20">
        <v>6</v>
      </c>
      <c r="R38" s="20">
        <v>4</v>
      </c>
      <c r="S38" s="20">
        <v>4</v>
      </c>
      <c r="T38" s="20">
        <v>5</v>
      </c>
      <c r="U38" s="20">
        <v>4</v>
      </c>
      <c r="V38" s="20">
        <v>4</v>
      </c>
      <c r="W38" s="20">
        <v>33</v>
      </c>
      <c r="X38" s="20">
        <v>8</v>
      </c>
      <c r="Y38" s="20">
        <v>11</v>
      </c>
      <c r="Z38" s="28" cm="1">
        <f t="array" ref="Z38">SUMPRODUCT((_xlfn.XLOOKUP(C38, 'Course Stats'!A:A, 'Course Stats'!G:X)=3)*(E38:V38)) / COUNTIF(_xlfn.XLOOKUP(C38, 'Course Stats'!A:A, 'Course Stats'!G:X), 3)</f>
        <v>3.5</v>
      </c>
      <c r="AA38" s="28" cm="1">
        <f t="array" ref="AA38">SUMPRODUCT((_xlfn.XLOOKUP(C38, 'Course Stats'!A:A, 'Course Stats'!G:X)=4)*(E38:V38)) / COUNTIF(_xlfn.XLOOKUP(C38, 'Course Stats'!A:A, 'Course Stats'!G:X), 4)</f>
        <v>4.0909090909090908</v>
      </c>
      <c r="AB38" s="28" cm="1">
        <f t="array" ref="AB38">SUMPRODUCT((_xlfn.XLOOKUP(C38, 'Course Stats'!A:A, 'Course Stats'!G:X)=5)*(E38:V38)) / COUNTIF(_xlfn.XLOOKUP(C38, 'Course Stats'!A:A, 'Course Stats'!G:X), 5)</f>
        <v>5.333333333333333</v>
      </c>
    </row>
    <row r="39" spans="1:28" x14ac:dyDescent="0.25">
      <c r="A39" s="20" t="s">
        <v>126</v>
      </c>
      <c r="B39" s="30">
        <v>45868</v>
      </c>
      <c r="C39" s="20" t="s">
        <v>10</v>
      </c>
      <c r="D39" s="20">
        <f>SUM('Golf Log'!$E39:$V39)</f>
        <v>81</v>
      </c>
      <c r="E39" s="20">
        <v>4</v>
      </c>
      <c r="F39" s="20">
        <v>6</v>
      </c>
      <c r="G39" s="20">
        <v>4</v>
      </c>
      <c r="H39" s="20">
        <v>4</v>
      </c>
      <c r="I39" s="20">
        <v>4</v>
      </c>
      <c r="J39" s="20">
        <v>5</v>
      </c>
      <c r="K39" s="20">
        <v>3</v>
      </c>
      <c r="L39" s="20">
        <v>4</v>
      </c>
      <c r="M39" s="20">
        <v>6</v>
      </c>
      <c r="N39" s="20">
        <v>4</v>
      </c>
      <c r="O39" s="20">
        <v>5</v>
      </c>
      <c r="P39" s="20">
        <v>3</v>
      </c>
      <c r="Q39" s="20">
        <v>5</v>
      </c>
      <c r="R39" s="20">
        <v>5</v>
      </c>
      <c r="S39" s="20">
        <v>6</v>
      </c>
      <c r="T39" s="20">
        <v>5</v>
      </c>
      <c r="U39" s="20">
        <v>3</v>
      </c>
      <c r="V39" s="20">
        <v>5</v>
      </c>
      <c r="W39" s="20">
        <v>29</v>
      </c>
      <c r="X39" s="20">
        <v>7</v>
      </c>
      <c r="Y39" s="20">
        <v>4</v>
      </c>
      <c r="Z39" s="28" cm="1">
        <f t="array" ref="Z39">SUMPRODUCT((_xlfn.XLOOKUP(C39, 'Course Stats'!A:A, 'Course Stats'!G:X)=3)*(E39:V39)) / COUNTIF(_xlfn.XLOOKUP(C39, 'Course Stats'!A:A, 'Course Stats'!G:X), 3)</f>
        <v>3.25</v>
      </c>
      <c r="AA39" s="28" cm="1">
        <f t="array" ref="AA39">SUMPRODUCT((_xlfn.XLOOKUP(C39, 'Course Stats'!A:A, 'Course Stats'!G:X)=4)*(E39:V39)) / COUNTIF(_xlfn.XLOOKUP(C39, 'Course Stats'!A:A, 'Course Stats'!G:X), 4)</f>
        <v>4.916666666666667</v>
      </c>
      <c r="AB39" s="28" cm="1">
        <f t="array" ref="AB39">SUMPRODUCT((_xlfn.XLOOKUP(C39, 'Course Stats'!A:A, 'Course Stats'!G:X)=5)*(E39:V39)) / COUNTIF(_xlfn.XLOOKUP(C39, 'Course Stats'!A:A, 'Course Stats'!G:X), 5)</f>
        <v>4.5</v>
      </c>
    </row>
    <row r="40" spans="1:28" x14ac:dyDescent="0.25">
      <c r="A40" s="20" t="s">
        <v>126</v>
      </c>
      <c r="B40" s="30">
        <v>45886</v>
      </c>
      <c r="C40" s="20" t="s">
        <v>41</v>
      </c>
      <c r="D40" s="20">
        <f>SUM('Golf Log'!$E40:$V40)</f>
        <v>83</v>
      </c>
      <c r="E40" s="20">
        <v>5</v>
      </c>
      <c r="F40" s="20">
        <v>5</v>
      </c>
      <c r="G40" s="20">
        <v>3</v>
      </c>
      <c r="H40" s="20">
        <v>6</v>
      </c>
      <c r="I40" s="20">
        <v>4</v>
      </c>
      <c r="J40" s="20">
        <v>3</v>
      </c>
      <c r="K40" s="20">
        <v>5</v>
      </c>
      <c r="L40" s="20">
        <v>6</v>
      </c>
      <c r="M40" s="20">
        <v>5</v>
      </c>
      <c r="N40" s="20">
        <v>4</v>
      </c>
      <c r="O40" s="20">
        <v>5</v>
      </c>
      <c r="P40" s="20">
        <v>5</v>
      </c>
      <c r="Q40" s="20">
        <v>5</v>
      </c>
      <c r="R40" s="20">
        <v>4</v>
      </c>
      <c r="S40" s="20">
        <v>4</v>
      </c>
      <c r="T40" s="20">
        <v>3</v>
      </c>
      <c r="U40" s="20">
        <v>6</v>
      </c>
      <c r="V40" s="20">
        <v>5</v>
      </c>
      <c r="W40" s="20">
        <v>30</v>
      </c>
      <c r="X40" s="20">
        <v>11</v>
      </c>
      <c r="Y40" s="20">
        <v>4</v>
      </c>
      <c r="Z40" s="28" cm="1">
        <f t="array" ref="Z40">SUMPRODUCT((_xlfn.XLOOKUP(C40, 'Course Stats'!A:A, 'Course Stats'!G:X)=3)*(E40:V40)) / COUNTIF(_xlfn.XLOOKUP(C40, 'Course Stats'!A:A, 'Course Stats'!G:X), 3)</f>
        <v>3.5</v>
      </c>
      <c r="AA40" s="28" cm="1">
        <f t="array" ref="AA40">SUMPRODUCT((_xlfn.XLOOKUP(C40, 'Course Stats'!A:A, 'Course Stats'!G:X)=4)*(E40:V40)) / COUNTIF(_xlfn.XLOOKUP(C40, 'Course Stats'!A:A, 'Course Stats'!G:X), 4)</f>
        <v>4.8</v>
      </c>
      <c r="AB40" s="28" cm="1">
        <f t="array" ref="AB40">SUMPRODUCT((_xlfn.XLOOKUP(C40, 'Course Stats'!A:A, 'Course Stats'!G:X)=5)*(E40:V40)) / COUNTIF(_xlfn.XLOOKUP(C40, 'Course Stats'!A:A, 'Course Stats'!G:X), 5)</f>
        <v>5.25</v>
      </c>
    </row>
    <row r="41" spans="1:28" x14ac:dyDescent="0.25">
      <c r="A41" s="20" t="s">
        <v>126</v>
      </c>
      <c r="B41" s="30">
        <v>45892</v>
      </c>
      <c r="C41" s="20" t="s">
        <v>41</v>
      </c>
      <c r="D41" s="20">
        <f>SUM('Golf Log'!$E41:$V41)</f>
        <v>85</v>
      </c>
      <c r="E41" s="20">
        <v>6</v>
      </c>
      <c r="F41" s="20">
        <v>6</v>
      </c>
      <c r="G41" s="20">
        <v>4</v>
      </c>
      <c r="H41" s="20">
        <v>5</v>
      </c>
      <c r="I41" s="20">
        <v>5</v>
      </c>
      <c r="J41" s="20">
        <v>3</v>
      </c>
      <c r="K41" s="20">
        <v>5</v>
      </c>
      <c r="L41" s="20">
        <v>5</v>
      </c>
      <c r="M41" s="20">
        <v>6</v>
      </c>
      <c r="N41" s="20">
        <v>4</v>
      </c>
      <c r="O41" s="20">
        <v>5</v>
      </c>
      <c r="P41" s="20">
        <v>5</v>
      </c>
      <c r="Q41" s="20">
        <v>3</v>
      </c>
      <c r="R41" s="20">
        <v>5</v>
      </c>
      <c r="S41" s="20">
        <v>4</v>
      </c>
      <c r="T41" s="20">
        <v>4</v>
      </c>
      <c r="U41" s="20">
        <v>5</v>
      </c>
      <c r="V41" s="20">
        <v>5</v>
      </c>
      <c r="W41" s="20">
        <v>32</v>
      </c>
      <c r="X41" s="20">
        <v>6</v>
      </c>
      <c r="Y41" s="20">
        <v>5</v>
      </c>
      <c r="Z41" s="28" cm="1">
        <f t="array" ref="Z41">SUMPRODUCT((_xlfn.XLOOKUP(C41, 'Course Stats'!A:A, 'Course Stats'!G:X)=3)*(E41:V41)) / COUNTIF(_xlfn.XLOOKUP(C41, 'Course Stats'!A:A, 'Course Stats'!G:X), 3)</f>
        <v>3.5</v>
      </c>
      <c r="AA41" s="28" cm="1">
        <f t="array" ref="AA41">SUMPRODUCT((_xlfn.XLOOKUP(C41, 'Course Stats'!A:A, 'Course Stats'!G:X)=4)*(E41:V41)) / COUNTIF(_xlfn.XLOOKUP(C41, 'Course Stats'!A:A, 'Course Stats'!G:X), 4)</f>
        <v>5</v>
      </c>
      <c r="AB41" s="28" cm="1">
        <f t="array" ref="AB41">SUMPRODUCT((_xlfn.XLOOKUP(C41, 'Course Stats'!A:A, 'Course Stats'!G:X)=5)*(E41:V41)) / COUNTIF(_xlfn.XLOOKUP(C41, 'Course Stats'!A:A, 'Course Stats'!G:X), 5)</f>
        <v>5.25</v>
      </c>
    </row>
    <row r="42" spans="1:28" x14ac:dyDescent="0.25">
      <c r="A42" s="20" t="s">
        <v>126</v>
      </c>
      <c r="B42" s="30">
        <v>45894</v>
      </c>
      <c r="C42" s="20" t="s">
        <v>11</v>
      </c>
      <c r="D42" s="20">
        <f>SUM('Golf Log'!$E42:$V42)</f>
        <v>95</v>
      </c>
      <c r="E42" s="20">
        <v>5</v>
      </c>
      <c r="F42" s="20">
        <v>3</v>
      </c>
      <c r="G42" s="20">
        <v>6</v>
      </c>
      <c r="H42" s="20">
        <v>4</v>
      </c>
      <c r="I42" s="20">
        <v>6</v>
      </c>
      <c r="J42" s="20">
        <v>5</v>
      </c>
      <c r="K42" s="20">
        <v>4</v>
      </c>
      <c r="L42" s="20">
        <v>6</v>
      </c>
      <c r="M42" s="20">
        <v>6</v>
      </c>
      <c r="N42" s="20">
        <v>5</v>
      </c>
      <c r="O42" s="20">
        <v>5</v>
      </c>
      <c r="P42" s="20">
        <v>6</v>
      </c>
      <c r="Q42" s="20">
        <v>6</v>
      </c>
      <c r="R42" s="20">
        <v>5</v>
      </c>
      <c r="S42" s="20">
        <v>6</v>
      </c>
      <c r="T42" s="20">
        <v>5</v>
      </c>
      <c r="U42" s="20">
        <v>6</v>
      </c>
      <c r="V42" s="20">
        <v>6</v>
      </c>
      <c r="W42" s="20">
        <v>38</v>
      </c>
      <c r="X42" s="20">
        <v>6</v>
      </c>
      <c r="Y42" s="20">
        <v>1</v>
      </c>
      <c r="Z42" s="28" cm="1">
        <f t="array" ref="Z42">SUMPRODUCT((_xlfn.XLOOKUP(C42, 'Course Stats'!A:A, 'Course Stats'!G:X)=3)*(E42:V42)) / COUNTIF(_xlfn.XLOOKUP(C42, 'Course Stats'!A:A, 'Course Stats'!G:X), 3)</f>
        <v>4.4000000000000004</v>
      </c>
      <c r="AA42" s="28" cm="1">
        <f t="array" ref="AA42">SUMPRODUCT((_xlfn.XLOOKUP(C42, 'Course Stats'!A:A, 'Course Stats'!G:X)=4)*(E42:V42)) / COUNTIF(_xlfn.XLOOKUP(C42, 'Course Stats'!A:A, 'Course Stats'!G:X), 4)</f>
        <v>5.4444444444444446</v>
      </c>
      <c r="AB42" s="28" cm="1">
        <f t="array" ref="AB42">SUMPRODUCT((_xlfn.XLOOKUP(C42, 'Course Stats'!A:A, 'Course Stats'!G:X)=5)*(E42:V42)) / COUNTIF(_xlfn.XLOOKUP(C42, 'Course Stats'!A:A, 'Course Stats'!G:X), 5)</f>
        <v>6</v>
      </c>
    </row>
    <row r="43" spans="1:28" x14ac:dyDescent="0.25">
      <c r="A43" s="20" t="s">
        <v>126</v>
      </c>
      <c r="B43" s="30">
        <v>45897</v>
      </c>
      <c r="C43" s="20" t="s">
        <v>41</v>
      </c>
      <c r="D43" s="20">
        <f>SUM('Golf Log'!$E43:$V43)</f>
        <v>89</v>
      </c>
      <c r="E43" s="20">
        <v>5</v>
      </c>
      <c r="F43" s="20">
        <v>5</v>
      </c>
      <c r="G43" s="20">
        <v>4</v>
      </c>
      <c r="H43" s="20">
        <v>6</v>
      </c>
      <c r="I43" s="20">
        <v>5</v>
      </c>
      <c r="J43" s="20">
        <v>5</v>
      </c>
      <c r="K43" s="20">
        <v>4</v>
      </c>
      <c r="L43" s="20">
        <v>5</v>
      </c>
      <c r="M43" s="20">
        <v>5</v>
      </c>
      <c r="N43" s="20">
        <v>5</v>
      </c>
      <c r="O43" s="20">
        <v>5</v>
      </c>
      <c r="P43" s="20">
        <v>6</v>
      </c>
      <c r="Q43" s="20">
        <v>4</v>
      </c>
      <c r="R43" s="20">
        <v>5</v>
      </c>
      <c r="S43" s="20">
        <v>4</v>
      </c>
      <c r="T43" s="20">
        <v>5</v>
      </c>
      <c r="U43" s="20">
        <v>6</v>
      </c>
      <c r="V43" s="20">
        <v>5</v>
      </c>
      <c r="W43" s="20">
        <v>31</v>
      </c>
      <c r="X43" s="20">
        <v>3</v>
      </c>
      <c r="Y43" s="20">
        <v>4</v>
      </c>
      <c r="Z43" s="28" cm="1">
        <f t="array" ref="Z43">SUMPRODUCT((_xlfn.XLOOKUP(C43, 'Course Stats'!A:A, 'Course Stats'!G:X)=3)*(E43:V43)) / COUNTIF(_xlfn.XLOOKUP(C43, 'Course Stats'!A:A, 'Course Stats'!G:X), 3)</f>
        <v>4.5</v>
      </c>
      <c r="AA43" s="28" cm="1">
        <f t="array" ref="AA43">SUMPRODUCT((_xlfn.XLOOKUP(C43, 'Course Stats'!A:A, 'Course Stats'!G:X)=4)*(E43:V43)) / COUNTIF(_xlfn.XLOOKUP(C43, 'Course Stats'!A:A, 'Course Stats'!G:X), 4)</f>
        <v>5</v>
      </c>
      <c r="AB43" s="28" cm="1">
        <f t="array" ref="AB43">SUMPRODUCT((_xlfn.XLOOKUP(C43, 'Course Stats'!A:A, 'Course Stats'!G:X)=5)*(E43:V43)) / COUNTIF(_xlfn.XLOOKUP(C43, 'Course Stats'!A:A, 'Course Stats'!G:X), 5)</f>
        <v>5.25</v>
      </c>
    </row>
    <row r="44" spans="1:28" x14ac:dyDescent="0.25">
      <c r="A44" s="20" t="s">
        <v>127</v>
      </c>
      <c r="B44" s="30">
        <v>45894</v>
      </c>
      <c r="C44" s="20" t="s">
        <v>11</v>
      </c>
      <c r="D44" s="20">
        <f>SUM('Golf Log'!$E44:$V44)</f>
        <v>112</v>
      </c>
      <c r="E44" s="20">
        <v>7</v>
      </c>
      <c r="F44" s="20">
        <v>4</v>
      </c>
      <c r="G44" s="20">
        <v>6</v>
      </c>
      <c r="H44" s="20">
        <v>7</v>
      </c>
      <c r="I44" s="20">
        <v>6</v>
      </c>
      <c r="J44" s="20">
        <v>8</v>
      </c>
      <c r="K44" s="20">
        <v>6</v>
      </c>
      <c r="L44" s="20">
        <v>8</v>
      </c>
      <c r="M44" s="20">
        <v>6</v>
      </c>
      <c r="N44" s="20">
        <v>6</v>
      </c>
      <c r="O44" s="20">
        <v>7</v>
      </c>
      <c r="P44" s="20">
        <v>6</v>
      </c>
      <c r="Q44" s="20">
        <v>7</v>
      </c>
      <c r="R44" s="20">
        <v>4</v>
      </c>
      <c r="S44" s="20">
        <v>8</v>
      </c>
      <c r="T44" s="20">
        <v>6</v>
      </c>
      <c r="U44" s="20">
        <v>5</v>
      </c>
      <c r="V44" s="20">
        <v>5</v>
      </c>
      <c r="W44" s="20">
        <v>42</v>
      </c>
      <c r="X44" s="20">
        <v>3</v>
      </c>
      <c r="Y44" s="20">
        <v>3</v>
      </c>
      <c r="Z44" s="28" cm="1">
        <f t="array" ref="Z44">SUMPRODUCT((_xlfn.XLOOKUP(C44, 'Course Stats'!A:A, 'Course Stats'!G:X)=3)*(E44:V44)) / COUNTIF(_xlfn.XLOOKUP(C44, 'Course Stats'!A:A, 'Course Stats'!G:X), 3)</f>
        <v>5.6</v>
      </c>
      <c r="AA44" s="28" cm="1">
        <f t="array" ref="AA44">SUMPRODUCT((_xlfn.XLOOKUP(C44, 'Course Stats'!A:A, 'Course Stats'!G:X)=4)*(E44:V44)) / COUNTIF(_xlfn.XLOOKUP(C44, 'Course Stats'!A:A, 'Course Stats'!G:X), 4)</f>
        <v>6.333333333333333</v>
      </c>
      <c r="AB44" s="28" cm="1">
        <f t="array" ref="AB44">SUMPRODUCT((_xlfn.XLOOKUP(C44, 'Course Stats'!A:A, 'Course Stats'!G:X)=5)*(E44:V44)) / COUNTIF(_xlfn.XLOOKUP(C44, 'Course Stats'!A:A, 'Course Stats'!G:X), 5)</f>
        <v>6.75</v>
      </c>
    </row>
    <row r="45" spans="1:28" x14ac:dyDescent="0.25">
      <c r="A45" s="35" t="s">
        <v>127</v>
      </c>
      <c r="B45" s="38">
        <v>45853</v>
      </c>
      <c r="C45" s="35" t="s">
        <v>128</v>
      </c>
      <c r="D45" s="35">
        <f>SUM('Golf Log'!$E45:$V45)</f>
        <v>109</v>
      </c>
      <c r="E45" s="35">
        <v>7</v>
      </c>
      <c r="F45" s="35">
        <v>4</v>
      </c>
      <c r="G45" s="35">
        <v>6</v>
      </c>
      <c r="H45" s="35">
        <v>9</v>
      </c>
      <c r="I45" s="35">
        <v>7</v>
      </c>
      <c r="J45" s="35">
        <v>8</v>
      </c>
      <c r="K45" s="35">
        <v>6</v>
      </c>
      <c r="L45" s="35">
        <v>4</v>
      </c>
      <c r="M45" s="35">
        <v>6</v>
      </c>
      <c r="N45" s="35">
        <v>5</v>
      </c>
      <c r="O45" s="35">
        <v>4</v>
      </c>
      <c r="P45" s="35">
        <v>6</v>
      </c>
      <c r="Q45" s="35">
        <v>7</v>
      </c>
      <c r="R45" s="35">
        <v>3</v>
      </c>
      <c r="S45" s="35">
        <v>8</v>
      </c>
      <c r="T45" s="35">
        <v>6</v>
      </c>
      <c r="U45" s="35">
        <v>8</v>
      </c>
      <c r="V45" s="35">
        <v>5</v>
      </c>
      <c r="W45" s="35">
        <v>45</v>
      </c>
      <c r="X45" s="35">
        <v>0</v>
      </c>
      <c r="Y45" s="35">
        <v>2</v>
      </c>
      <c r="Z45" s="39" cm="1">
        <f t="array" ref="Z45">SUMPRODUCT((_xlfn.XLOOKUP(C45, 'Course Stats'!A:A, 'Course Stats'!G:X)=3)*(E45:V45)) / COUNTIF(_xlfn.XLOOKUP(C45, 'Course Stats'!A:A, 'Course Stats'!G:X), 3)</f>
        <v>3.75</v>
      </c>
      <c r="AA45" s="39" cm="1">
        <f t="array" ref="AA45">SUMPRODUCT((_xlfn.XLOOKUP(C45, 'Course Stats'!A:A, 'Course Stats'!G:X)=4)*(E45:V45)) / COUNTIF(_xlfn.XLOOKUP(C45, 'Course Stats'!A:A, 'Course Stats'!G:X), 4)</f>
        <v>6.4545454545454541</v>
      </c>
      <c r="AB45" s="39" cm="1">
        <f t="array" ref="AB45">SUMPRODUCT((_xlfn.XLOOKUP(C45, 'Course Stats'!A:A, 'Course Stats'!G:X)=5)*(E45:V45)) / COUNTIF(_xlfn.XLOOKUP(C45, 'Course Stats'!A:A, 'Course Stats'!G:X), 5)</f>
        <v>7.666666666666667</v>
      </c>
    </row>
    <row r="46" spans="1:28" x14ac:dyDescent="0.25">
      <c r="A46" s="35" t="s">
        <v>127</v>
      </c>
      <c r="B46" s="38">
        <v>45765</v>
      </c>
      <c r="C46" s="35" t="s">
        <v>129</v>
      </c>
      <c r="D46" s="35">
        <f>SUM('Golf Log'!$E46:$V46)</f>
        <v>111</v>
      </c>
      <c r="E46" s="35">
        <v>8</v>
      </c>
      <c r="F46" s="35">
        <v>7</v>
      </c>
      <c r="G46" s="35">
        <v>8</v>
      </c>
      <c r="H46" s="35">
        <v>7</v>
      </c>
      <c r="I46" s="35">
        <v>6</v>
      </c>
      <c r="J46" s="35">
        <v>5</v>
      </c>
      <c r="K46" s="35">
        <v>6</v>
      </c>
      <c r="L46" s="35">
        <v>6</v>
      </c>
      <c r="M46" s="35">
        <v>5</v>
      </c>
      <c r="N46" s="35">
        <v>6</v>
      </c>
      <c r="O46" s="35">
        <v>6</v>
      </c>
      <c r="P46" s="35">
        <v>5</v>
      </c>
      <c r="Q46" s="35">
        <v>5</v>
      </c>
      <c r="R46" s="35">
        <v>8</v>
      </c>
      <c r="S46" s="35">
        <v>7</v>
      </c>
      <c r="T46" s="35">
        <v>4</v>
      </c>
      <c r="U46" s="35">
        <v>5</v>
      </c>
      <c r="V46" s="35">
        <v>7</v>
      </c>
      <c r="W46" s="35">
        <v>42</v>
      </c>
      <c r="X46" s="35">
        <v>5</v>
      </c>
      <c r="Y46" s="35">
        <v>2</v>
      </c>
      <c r="Z46" s="39" cm="1">
        <f t="array" ref="Z46">SUMPRODUCT((_xlfn.XLOOKUP(C46, 'Course Stats'!A:A, 'Course Stats'!G:X)=3)*(E46:V46)) / COUNTIF(_xlfn.XLOOKUP(C46, 'Course Stats'!A:A, 'Course Stats'!G:X), 3)</f>
        <v>5.6</v>
      </c>
      <c r="AA46" s="39" cm="1">
        <f t="array" ref="AA46">SUMPRODUCT((_xlfn.XLOOKUP(C46, 'Course Stats'!A:A, 'Course Stats'!G:X)=4)*(E46:V46)) / COUNTIF(_xlfn.XLOOKUP(C46, 'Course Stats'!A:A, 'Course Stats'!G:X), 4)</f>
        <v>6.2222222222222223</v>
      </c>
      <c r="AB46" s="39" cm="1">
        <f t="array" ref="AB46">SUMPRODUCT((_xlfn.XLOOKUP(C46, 'Course Stats'!A:A, 'Course Stats'!G:X)=5)*(E46:V46)) / COUNTIF(_xlfn.XLOOKUP(C46, 'Course Stats'!A:A, 'Course Stats'!G:X), 5)</f>
        <v>6.75</v>
      </c>
    </row>
    <row r="47" spans="1:28" x14ac:dyDescent="0.25">
      <c r="A47" s="43" t="s">
        <v>127</v>
      </c>
      <c r="B47" s="48">
        <v>45520</v>
      </c>
      <c r="C47" s="43" t="s">
        <v>46</v>
      </c>
      <c r="D47" s="43">
        <f>SUM('Golf Log'!$E47:$V47)</f>
        <v>98</v>
      </c>
      <c r="E47" s="43">
        <v>6</v>
      </c>
      <c r="F47" s="43">
        <v>7</v>
      </c>
      <c r="G47" s="43">
        <v>4</v>
      </c>
      <c r="H47" s="43">
        <v>4</v>
      </c>
      <c r="I47" s="43">
        <v>4</v>
      </c>
      <c r="J47" s="43">
        <v>6</v>
      </c>
      <c r="K47" s="43">
        <v>5</v>
      </c>
      <c r="L47" s="43">
        <v>4</v>
      </c>
      <c r="M47" s="43">
        <v>6</v>
      </c>
      <c r="N47" s="43">
        <v>8</v>
      </c>
      <c r="O47" s="43">
        <v>5</v>
      </c>
      <c r="P47" s="43">
        <v>7</v>
      </c>
      <c r="Q47" s="43">
        <v>3</v>
      </c>
      <c r="R47" s="43">
        <v>6</v>
      </c>
      <c r="S47" s="43">
        <v>6</v>
      </c>
      <c r="T47" s="43">
        <v>8</v>
      </c>
      <c r="U47" s="43">
        <v>4</v>
      </c>
      <c r="V47" s="43">
        <v>5</v>
      </c>
      <c r="W47" s="43">
        <v>36</v>
      </c>
      <c r="X47" s="43">
        <v>7</v>
      </c>
      <c r="Y47" s="43">
        <v>4</v>
      </c>
      <c r="Z47" s="49" cm="1">
        <f t="array" ref="Z47">SUMPRODUCT((_xlfn.XLOOKUP(C47, 'Course Stats'!A:A, 'Course Stats'!G:X)=3)*(E47:V47)) / COUNTIF(_xlfn.XLOOKUP(C47, 'Course Stats'!A:A, 'Course Stats'!G:X), 3)</f>
        <v>3.75</v>
      </c>
      <c r="AA47" s="49" cm="1">
        <f t="array" ref="AA47">SUMPRODUCT((_xlfn.XLOOKUP(C47, 'Course Stats'!A:A, 'Course Stats'!G:X)=4)*(E47:V47)) / COUNTIF(_xlfn.XLOOKUP(C47, 'Course Stats'!A:A, 'Course Stats'!G:X), 4)</f>
        <v>5.8181818181818183</v>
      </c>
      <c r="AB47" s="49" cm="1">
        <f t="array" ref="AB47">SUMPRODUCT((_xlfn.XLOOKUP(C47, 'Course Stats'!A:A, 'Course Stats'!G:X)=5)*(E47:V47)) / COUNTIF(_xlfn.XLOOKUP(C47, 'Course Stats'!A:A, 'Course Stats'!G:X), 5)</f>
        <v>6.333333333333333</v>
      </c>
    </row>
    <row r="48" spans="1:28" x14ac:dyDescent="0.25">
      <c r="A48" s="43" t="s">
        <v>127</v>
      </c>
      <c r="B48" s="48">
        <v>45492</v>
      </c>
      <c r="C48" s="43" t="s">
        <v>6</v>
      </c>
      <c r="D48" s="43">
        <f>SUM('Golf Log'!$E48:$V48)</f>
        <v>104</v>
      </c>
      <c r="E48" s="43">
        <v>8</v>
      </c>
      <c r="F48" s="43">
        <v>6</v>
      </c>
      <c r="G48" s="43">
        <v>6</v>
      </c>
      <c r="H48" s="43">
        <v>6</v>
      </c>
      <c r="I48" s="43">
        <v>6</v>
      </c>
      <c r="J48" s="43">
        <v>5</v>
      </c>
      <c r="K48" s="43">
        <v>8</v>
      </c>
      <c r="L48" s="43">
        <v>6</v>
      </c>
      <c r="M48" s="43">
        <v>6</v>
      </c>
      <c r="N48" s="43">
        <v>6</v>
      </c>
      <c r="O48" s="43">
        <v>6</v>
      </c>
      <c r="P48" s="43">
        <v>6</v>
      </c>
      <c r="Q48" s="43">
        <v>5</v>
      </c>
      <c r="R48" s="43">
        <v>4</v>
      </c>
      <c r="S48" s="43">
        <v>6</v>
      </c>
      <c r="T48" s="43">
        <v>3</v>
      </c>
      <c r="U48" s="43">
        <v>6</v>
      </c>
      <c r="V48" s="43">
        <v>5</v>
      </c>
      <c r="W48" s="43">
        <v>34</v>
      </c>
      <c r="X48" s="43">
        <v>7</v>
      </c>
      <c r="Y48" s="43">
        <v>1</v>
      </c>
      <c r="Z48" s="49" cm="1">
        <f t="array" ref="Z48">SUMPRODUCT((_xlfn.XLOOKUP(C48, 'Course Stats'!A:A, 'Course Stats'!G:X)=3)*(E48:V48)) / COUNTIF(_xlfn.XLOOKUP(C48, 'Course Stats'!A:A, 'Course Stats'!G:X), 3)</f>
        <v>5.333333333333333</v>
      </c>
      <c r="AA48" s="49" cm="1">
        <f t="array" ref="AA48">SUMPRODUCT((_xlfn.XLOOKUP(C48, 'Course Stats'!A:A, 'Course Stats'!G:X)=4)*(E48:V48)) / COUNTIF(_xlfn.XLOOKUP(C48, 'Course Stats'!A:A, 'Course Stats'!G:X), 4)</f>
        <v>5.666666666666667</v>
      </c>
      <c r="AB48" s="49" cm="1">
        <f t="array" ref="AB48">SUMPRODUCT((_xlfn.XLOOKUP(C48, 'Course Stats'!A:A, 'Course Stats'!G:X)=5)*(E48:V48)) / COUNTIF(_xlfn.XLOOKUP(C48, 'Course Stats'!A:A, 'Course Stats'!G:X), 5)</f>
        <v>6.666666666666667</v>
      </c>
    </row>
    <row r="49" spans="1:28" x14ac:dyDescent="0.25">
      <c r="A49" s="43" t="s">
        <v>127</v>
      </c>
      <c r="B49" s="48">
        <v>45453</v>
      </c>
      <c r="C49" s="43" t="s">
        <v>11</v>
      </c>
      <c r="D49" s="43">
        <f>SUM('Golf Log'!$E49:$V49)</f>
        <v>109</v>
      </c>
      <c r="E49" s="43">
        <v>5</v>
      </c>
      <c r="F49" s="43">
        <v>4</v>
      </c>
      <c r="G49" s="43">
        <v>7</v>
      </c>
      <c r="H49" s="43">
        <v>5</v>
      </c>
      <c r="I49" s="43">
        <v>6</v>
      </c>
      <c r="J49" s="43">
        <v>7</v>
      </c>
      <c r="K49" s="43">
        <v>5</v>
      </c>
      <c r="L49" s="43">
        <v>7</v>
      </c>
      <c r="M49" s="43">
        <v>8</v>
      </c>
      <c r="N49" s="43">
        <v>7</v>
      </c>
      <c r="O49" s="43">
        <v>5</v>
      </c>
      <c r="P49" s="43">
        <v>7</v>
      </c>
      <c r="Q49" s="43">
        <v>6</v>
      </c>
      <c r="R49" s="43">
        <v>6</v>
      </c>
      <c r="S49" s="43">
        <v>8</v>
      </c>
      <c r="T49" s="43">
        <v>5</v>
      </c>
      <c r="U49" s="43">
        <v>5</v>
      </c>
      <c r="V49" s="43">
        <v>6</v>
      </c>
      <c r="W49" s="43">
        <v>35</v>
      </c>
      <c r="X49" s="43">
        <v>0</v>
      </c>
      <c r="Y49" s="43">
        <v>1</v>
      </c>
      <c r="Z49" s="49" cm="1">
        <f t="array" ref="Z49">SUMPRODUCT((_xlfn.XLOOKUP(C49, 'Course Stats'!A:A, 'Course Stats'!G:X)=3)*(E49:V49)) / COUNTIF(_xlfn.XLOOKUP(C49, 'Course Stats'!A:A, 'Course Stats'!G:X), 3)</f>
        <v>5</v>
      </c>
      <c r="AA49" s="49" cm="1">
        <f t="array" ref="AA49">SUMPRODUCT((_xlfn.XLOOKUP(C49, 'Course Stats'!A:A, 'Course Stats'!G:X)=4)*(E49:V49)) / COUNTIF(_xlfn.XLOOKUP(C49, 'Course Stats'!A:A, 'Course Stats'!G:X), 4)</f>
        <v>6.2222222222222223</v>
      </c>
      <c r="AB49" s="49" cm="1">
        <f t="array" ref="AB49">SUMPRODUCT((_xlfn.XLOOKUP(C49, 'Course Stats'!A:A, 'Course Stats'!G:X)=5)*(E49:V49)) / COUNTIF(_xlfn.XLOOKUP(C49, 'Course Stats'!A:A, 'Course Stats'!G:X), 5)</f>
        <v>7</v>
      </c>
    </row>
    <row r="50" spans="1:28" x14ac:dyDescent="0.25">
      <c r="A50" s="51" t="s">
        <v>130</v>
      </c>
      <c r="B50" s="54">
        <v>45156</v>
      </c>
      <c r="C50" s="51" t="s">
        <v>46</v>
      </c>
      <c r="D50" s="51">
        <f>SUM('Golf Log'!$E50:$V50)</f>
        <v>89</v>
      </c>
      <c r="E50" s="51">
        <v>5</v>
      </c>
      <c r="F50" s="51">
        <v>6</v>
      </c>
      <c r="G50" s="51">
        <v>5</v>
      </c>
      <c r="H50" s="51">
        <v>4</v>
      </c>
      <c r="I50" s="51">
        <v>4</v>
      </c>
      <c r="J50" s="51">
        <v>5</v>
      </c>
      <c r="K50" s="51">
        <v>5</v>
      </c>
      <c r="L50" s="51">
        <v>3</v>
      </c>
      <c r="M50" s="51">
        <v>6</v>
      </c>
      <c r="N50" s="51">
        <v>6</v>
      </c>
      <c r="O50" s="51">
        <v>5</v>
      </c>
      <c r="P50" s="51">
        <v>7</v>
      </c>
      <c r="Q50" s="51">
        <v>3</v>
      </c>
      <c r="R50" s="51">
        <v>5</v>
      </c>
      <c r="S50" s="51">
        <v>5</v>
      </c>
      <c r="T50" s="51">
        <v>5</v>
      </c>
      <c r="U50" s="51">
        <v>4</v>
      </c>
      <c r="V50" s="51">
        <v>6</v>
      </c>
      <c r="W50" s="51"/>
      <c r="X50" s="51"/>
      <c r="Y50" s="51"/>
      <c r="Z50" s="55" cm="1">
        <f t="array" ref="Z50">SUMPRODUCT((_xlfn.XLOOKUP(C50, 'Course Stats'!A:A, 'Course Stats'!G:X)=3)*(E50:V50)) / COUNTIF(_xlfn.XLOOKUP(C50, 'Course Stats'!A:A, 'Course Stats'!G:X), 3)</f>
        <v>3.5</v>
      </c>
      <c r="AA50" s="55" cm="1">
        <f t="array" ref="AA50">SUMPRODUCT((_xlfn.XLOOKUP(C50, 'Course Stats'!A:A, 'Course Stats'!G:X)=4)*(E50:V50)) / COUNTIF(_xlfn.XLOOKUP(C50, 'Course Stats'!A:A, 'Course Stats'!G:X), 4)</f>
        <v>5.1818181818181817</v>
      </c>
      <c r="AB50" s="55" cm="1">
        <f t="array" ref="AB50">SUMPRODUCT((_xlfn.XLOOKUP(C50, 'Course Stats'!A:A, 'Course Stats'!G:X)=5)*(E50:V50)) / COUNTIF(_xlfn.XLOOKUP(C50, 'Course Stats'!A:A, 'Course Stats'!G:X), 5)</f>
        <v>6</v>
      </c>
    </row>
    <row r="51" spans="1:28" x14ac:dyDescent="0.25">
      <c r="A51" s="51" t="s">
        <v>130</v>
      </c>
      <c r="B51" s="54">
        <v>45465</v>
      </c>
      <c r="C51" s="51" t="s">
        <v>12</v>
      </c>
      <c r="D51" s="51">
        <f>SUM('Golf Log'!$E51:$V51)</f>
        <v>99</v>
      </c>
      <c r="E51" s="51">
        <v>7</v>
      </c>
      <c r="F51" s="51">
        <v>5</v>
      </c>
      <c r="G51" s="51">
        <v>5</v>
      </c>
      <c r="H51" s="51">
        <v>6</v>
      </c>
      <c r="I51" s="51">
        <v>6</v>
      </c>
      <c r="J51" s="51">
        <v>4</v>
      </c>
      <c r="K51" s="51">
        <v>5</v>
      </c>
      <c r="L51" s="51">
        <v>4</v>
      </c>
      <c r="M51" s="51">
        <v>6</v>
      </c>
      <c r="N51" s="51">
        <v>8</v>
      </c>
      <c r="O51" s="51">
        <v>5</v>
      </c>
      <c r="P51" s="51">
        <v>5</v>
      </c>
      <c r="Q51" s="51">
        <v>5</v>
      </c>
      <c r="R51" s="51">
        <v>5</v>
      </c>
      <c r="S51" s="51">
        <v>6</v>
      </c>
      <c r="T51" s="51">
        <v>5</v>
      </c>
      <c r="U51" s="51">
        <v>6</v>
      </c>
      <c r="V51" s="51">
        <v>6</v>
      </c>
      <c r="W51" s="51">
        <v>34</v>
      </c>
      <c r="X51" s="51">
        <v>0</v>
      </c>
      <c r="Y51" s="51">
        <v>1</v>
      </c>
      <c r="Z51" s="55" cm="1">
        <f t="array" ref="Z51">SUMPRODUCT((_xlfn.XLOOKUP(C51, 'Course Stats'!A:A, 'Course Stats'!G:X)=3)*(E51:V51)) / COUNTIF(_xlfn.XLOOKUP(C51, 'Course Stats'!A:A, 'Course Stats'!G:X), 3)</f>
        <v>4.5</v>
      </c>
      <c r="AA51" s="55" cm="1">
        <f t="array" ref="AA51">SUMPRODUCT((_xlfn.XLOOKUP(C51, 'Course Stats'!A:A, 'Course Stats'!G:X)=4)*(E51:V51)) / COUNTIF(_xlfn.XLOOKUP(C51, 'Course Stats'!A:A, 'Course Stats'!G:X), 4)</f>
        <v>5.6</v>
      </c>
      <c r="AB51" s="55" cm="1">
        <f t="array" ref="AB51">SUMPRODUCT((_xlfn.XLOOKUP(C51, 'Course Stats'!A:A, 'Course Stats'!G:X)=5)*(E51:V51)) / COUNTIF(_xlfn.XLOOKUP(C51, 'Course Stats'!A:A, 'Course Stats'!G:X), 5)</f>
        <v>6.25</v>
      </c>
    </row>
    <row r="52" spans="1:28" x14ac:dyDescent="0.25">
      <c r="A52" s="51" t="s">
        <v>130</v>
      </c>
      <c r="B52" s="54">
        <v>45514</v>
      </c>
      <c r="C52" s="51" t="s">
        <v>6</v>
      </c>
      <c r="D52" s="51">
        <f>SUM('Golf Log'!$E52:$V52)</f>
        <v>90</v>
      </c>
      <c r="E52" s="51">
        <v>6</v>
      </c>
      <c r="F52" s="51">
        <v>5</v>
      </c>
      <c r="G52" s="51">
        <v>5</v>
      </c>
      <c r="H52" s="51">
        <v>6</v>
      </c>
      <c r="I52" s="51">
        <v>4</v>
      </c>
      <c r="J52" s="51">
        <v>5</v>
      </c>
      <c r="K52" s="51">
        <v>4</v>
      </c>
      <c r="L52" s="51">
        <v>4</v>
      </c>
      <c r="M52" s="51">
        <v>5</v>
      </c>
      <c r="N52" s="51">
        <v>6</v>
      </c>
      <c r="O52" s="51">
        <v>6</v>
      </c>
      <c r="P52" s="51">
        <v>6</v>
      </c>
      <c r="Q52" s="51">
        <v>5</v>
      </c>
      <c r="R52" s="51">
        <v>3</v>
      </c>
      <c r="S52" s="51">
        <v>5</v>
      </c>
      <c r="T52" s="51">
        <v>5</v>
      </c>
      <c r="U52" s="51">
        <v>5</v>
      </c>
      <c r="V52" s="51">
        <v>5</v>
      </c>
      <c r="W52" s="51">
        <v>28</v>
      </c>
      <c r="X52" s="51">
        <v>4</v>
      </c>
      <c r="Y52" s="51">
        <v>1</v>
      </c>
      <c r="Z52" s="55" cm="1">
        <f t="array" ref="Z52">SUMPRODUCT((_xlfn.XLOOKUP(C52, 'Course Stats'!A:A, 'Course Stats'!G:X)=3)*(E52:V52)) / COUNTIF(_xlfn.XLOOKUP(C52, 'Course Stats'!A:A, 'Course Stats'!G:X), 3)</f>
        <v>4</v>
      </c>
      <c r="AA52" s="55" cm="1">
        <f t="array" ref="AA52">SUMPRODUCT((_xlfn.XLOOKUP(C52, 'Course Stats'!A:A, 'Course Stats'!G:X)=4)*(E52:V52)) / COUNTIF(_xlfn.XLOOKUP(C52, 'Course Stats'!A:A, 'Course Stats'!G:X), 4)</f>
        <v>5.083333333333333</v>
      </c>
      <c r="AB52" s="55" cm="1">
        <f t="array" ref="AB52">SUMPRODUCT((_xlfn.XLOOKUP(C52, 'Course Stats'!A:A, 'Course Stats'!G:X)=5)*(E52:V52)) / COUNTIF(_xlfn.XLOOKUP(C52, 'Course Stats'!A:A, 'Course Stats'!G:X), 5)</f>
        <v>5.666666666666667</v>
      </c>
    </row>
    <row r="53" spans="1:28" x14ac:dyDescent="0.25">
      <c r="A53" s="51" t="s">
        <v>130</v>
      </c>
      <c r="B53" s="54">
        <v>45892</v>
      </c>
      <c r="C53" s="51" t="s">
        <v>41</v>
      </c>
      <c r="D53" s="51">
        <f>SUM('Golf Log'!$E53:$V53)</f>
        <v>90</v>
      </c>
      <c r="E53" s="51">
        <v>7</v>
      </c>
      <c r="F53" s="51">
        <v>4</v>
      </c>
      <c r="G53" s="51">
        <v>5</v>
      </c>
      <c r="H53" s="51">
        <v>6</v>
      </c>
      <c r="I53" s="51">
        <v>4</v>
      </c>
      <c r="J53" s="51">
        <v>3</v>
      </c>
      <c r="K53" s="51">
        <v>5</v>
      </c>
      <c r="L53" s="51">
        <v>5</v>
      </c>
      <c r="M53" s="51">
        <v>5</v>
      </c>
      <c r="N53" s="51">
        <v>6</v>
      </c>
      <c r="O53" s="51">
        <v>6</v>
      </c>
      <c r="P53" s="51">
        <v>5</v>
      </c>
      <c r="Q53" s="51">
        <v>3</v>
      </c>
      <c r="R53" s="51">
        <v>6</v>
      </c>
      <c r="S53" s="51">
        <v>6</v>
      </c>
      <c r="T53" s="51">
        <v>4</v>
      </c>
      <c r="U53" s="51">
        <v>4</v>
      </c>
      <c r="V53" s="51">
        <v>6</v>
      </c>
      <c r="W53" s="51">
        <v>38</v>
      </c>
      <c r="X53" s="51">
        <v>8</v>
      </c>
      <c r="Y53" s="51">
        <v>6</v>
      </c>
      <c r="Z53" s="55" cm="1">
        <f t="array" ref="Z53">SUMPRODUCT((_xlfn.XLOOKUP(C53, 'Course Stats'!A:A, 'Course Stats'!G:X)=3)*(E53:V53)) / COUNTIF(_xlfn.XLOOKUP(C53, 'Course Stats'!A:A, 'Course Stats'!G:X), 3)</f>
        <v>3.75</v>
      </c>
      <c r="AA53" s="55" cm="1">
        <f t="array" ref="AA53">SUMPRODUCT((_xlfn.XLOOKUP(C53, 'Course Stats'!A:A, 'Course Stats'!G:X)=4)*(E53:V53)) / COUNTIF(_xlfn.XLOOKUP(C53, 'Course Stats'!A:A, 'Course Stats'!G:X), 4)</f>
        <v>5.2</v>
      </c>
      <c r="AB53" s="55" cm="1">
        <f t="array" ref="AB53">SUMPRODUCT((_xlfn.XLOOKUP(C53, 'Course Stats'!A:A, 'Course Stats'!G:X)=5)*(E53:V53)) / COUNTIF(_xlfn.XLOOKUP(C53, 'Course Stats'!A:A, 'Course Stats'!G:X), 5)</f>
        <v>5.75</v>
      </c>
    </row>
    <row r="54" spans="1:28" x14ac:dyDescent="0.25">
      <c r="A54" s="51" t="s">
        <v>130</v>
      </c>
      <c r="B54" s="54">
        <v>45886</v>
      </c>
      <c r="C54" s="51" t="s">
        <v>41</v>
      </c>
      <c r="D54" s="51">
        <f>SUM('Golf Log'!$E54:$V54)</f>
        <v>89</v>
      </c>
      <c r="E54" s="51">
        <v>6</v>
      </c>
      <c r="F54" s="51">
        <v>6</v>
      </c>
      <c r="G54" s="51">
        <v>4</v>
      </c>
      <c r="H54" s="51">
        <v>6</v>
      </c>
      <c r="I54" s="51">
        <v>6</v>
      </c>
      <c r="J54" s="51">
        <v>3</v>
      </c>
      <c r="K54" s="51">
        <v>4</v>
      </c>
      <c r="L54" s="51">
        <v>4</v>
      </c>
      <c r="M54" s="51">
        <v>6</v>
      </c>
      <c r="N54" s="51">
        <v>4</v>
      </c>
      <c r="O54" s="51">
        <v>5</v>
      </c>
      <c r="P54" s="51">
        <v>5</v>
      </c>
      <c r="Q54" s="51">
        <v>4</v>
      </c>
      <c r="R54" s="51">
        <v>4</v>
      </c>
      <c r="S54" s="51">
        <v>6</v>
      </c>
      <c r="T54" s="51">
        <v>3</v>
      </c>
      <c r="U54" s="51">
        <v>7</v>
      </c>
      <c r="V54" s="51">
        <v>6</v>
      </c>
      <c r="W54" s="51">
        <v>39</v>
      </c>
      <c r="X54" s="51">
        <v>8</v>
      </c>
      <c r="Y54" s="51">
        <v>8</v>
      </c>
      <c r="Z54" s="55" cm="1">
        <f t="array" ref="Z54">SUMPRODUCT((_xlfn.XLOOKUP(C54, 'Course Stats'!A:A, 'Course Stats'!G:X)=3)*(E54:V54)) / COUNTIF(_xlfn.XLOOKUP(C54, 'Course Stats'!A:A, 'Course Stats'!G:X), 3)</f>
        <v>3.5</v>
      </c>
      <c r="AA54" s="55" cm="1">
        <f t="array" ref="AA54">SUMPRODUCT((_xlfn.XLOOKUP(C54, 'Course Stats'!A:A, 'Course Stats'!G:X)=4)*(E54:V54)) / COUNTIF(_xlfn.XLOOKUP(C54, 'Course Stats'!A:A, 'Course Stats'!G:X), 4)</f>
        <v>5.2</v>
      </c>
      <c r="AB54" s="55" cm="1">
        <f t="array" ref="AB54">SUMPRODUCT((_xlfn.XLOOKUP(C54, 'Course Stats'!A:A, 'Course Stats'!G:X)=5)*(E54:V54)) / COUNTIF(_xlfn.XLOOKUP(C54, 'Course Stats'!A:A, 'Course Stats'!G:X), 5)</f>
        <v>5.75</v>
      </c>
    </row>
    <row r="55" spans="1:28" x14ac:dyDescent="0.25">
      <c r="A55" s="51" t="s">
        <v>130</v>
      </c>
      <c r="B55" s="54">
        <v>45897</v>
      </c>
      <c r="C55" s="51" t="s">
        <v>41</v>
      </c>
      <c r="D55" s="51">
        <f>SUM('Golf Log'!$E55:$V55)</f>
        <v>90</v>
      </c>
      <c r="E55" s="51">
        <v>5</v>
      </c>
      <c r="F55" s="51">
        <v>5</v>
      </c>
      <c r="G55" s="51">
        <v>4</v>
      </c>
      <c r="H55" s="51">
        <v>6</v>
      </c>
      <c r="I55" s="51">
        <v>5</v>
      </c>
      <c r="J55" s="51">
        <v>3</v>
      </c>
      <c r="K55" s="51">
        <v>4</v>
      </c>
      <c r="L55" s="51">
        <v>5</v>
      </c>
      <c r="M55" s="51">
        <v>6</v>
      </c>
      <c r="N55" s="51">
        <v>5</v>
      </c>
      <c r="O55" s="51">
        <v>7</v>
      </c>
      <c r="P55" s="51">
        <v>5</v>
      </c>
      <c r="Q55" s="51">
        <v>4</v>
      </c>
      <c r="R55" s="51">
        <v>4</v>
      </c>
      <c r="S55" s="51">
        <v>6</v>
      </c>
      <c r="T55" s="51">
        <v>4</v>
      </c>
      <c r="U55" s="51">
        <v>6</v>
      </c>
      <c r="V55" s="51">
        <v>6</v>
      </c>
      <c r="W55" s="51">
        <v>32</v>
      </c>
      <c r="X55" s="51">
        <v>5</v>
      </c>
      <c r="Y55" s="51">
        <v>0</v>
      </c>
      <c r="Z55" s="55" cm="1">
        <f t="array" ref="Z55">SUMPRODUCT((_xlfn.XLOOKUP(C55, 'Course Stats'!A:A, 'Course Stats'!G:X)=3)*(E55:V55)) / COUNTIF(_xlfn.XLOOKUP(C55, 'Course Stats'!A:A, 'Course Stats'!G:X), 3)</f>
        <v>3.75</v>
      </c>
      <c r="AA55" s="55" cm="1">
        <f t="array" ref="AA55">SUMPRODUCT((_xlfn.XLOOKUP(C55, 'Course Stats'!A:A, 'Course Stats'!G:X)=4)*(E55:V55)) / COUNTIF(_xlfn.XLOOKUP(C55, 'Course Stats'!A:A, 'Course Stats'!G:X), 4)</f>
        <v>5</v>
      </c>
      <c r="AB55" s="55" cm="1">
        <f t="array" ref="AB55">SUMPRODUCT((_xlfn.XLOOKUP(C55, 'Course Stats'!A:A, 'Course Stats'!G:X)=5)*(E55:V55)) / COUNTIF(_xlfn.XLOOKUP(C55, 'Course Stats'!A:A, 'Course Stats'!G:X), 5)</f>
        <v>6.25</v>
      </c>
    </row>
    <row r="56" spans="1:28" x14ac:dyDescent="0.25">
      <c r="A56" s="51" t="s">
        <v>130</v>
      </c>
      <c r="B56" s="54">
        <v>45829</v>
      </c>
      <c r="C56" s="51" t="s">
        <v>6</v>
      </c>
      <c r="D56" s="51">
        <f>SUM('Golf Log'!$E56:$V56)</f>
        <v>83</v>
      </c>
      <c r="E56" s="51">
        <v>6</v>
      </c>
      <c r="F56" s="51">
        <v>5</v>
      </c>
      <c r="G56" s="51">
        <v>4</v>
      </c>
      <c r="H56" s="51">
        <v>6</v>
      </c>
      <c r="I56" s="51">
        <v>4</v>
      </c>
      <c r="J56" s="51">
        <v>5</v>
      </c>
      <c r="K56" s="51">
        <v>5</v>
      </c>
      <c r="L56" s="51">
        <v>6</v>
      </c>
      <c r="M56" s="51">
        <v>4</v>
      </c>
      <c r="N56" s="51">
        <v>5</v>
      </c>
      <c r="O56" s="51">
        <v>4</v>
      </c>
      <c r="P56" s="51">
        <v>4</v>
      </c>
      <c r="Q56" s="51">
        <v>4</v>
      </c>
      <c r="R56" s="51">
        <v>3</v>
      </c>
      <c r="S56" s="51">
        <v>4</v>
      </c>
      <c r="T56" s="51">
        <v>4</v>
      </c>
      <c r="U56" s="51">
        <v>5</v>
      </c>
      <c r="V56" s="51">
        <v>5</v>
      </c>
      <c r="W56" s="51">
        <v>34</v>
      </c>
      <c r="X56" s="51">
        <v>1</v>
      </c>
      <c r="Y56" s="51">
        <v>6</v>
      </c>
      <c r="Z56" s="55" cm="1">
        <f t="array" ref="Z56">SUMPRODUCT((_xlfn.XLOOKUP(C56, 'Course Stats'!A:A, 'Course Stats'!G:X)=3)*(E56:V56)) / COUNTIF(_xlfn.XLOOKUP(C56, 'Course Stats'!A:A, 'Course Stats'!G:X), 3)</f>
        <v>3.6666666666666665</v>
      </c>
      <c r="AA56" s="55" cm="1">
        <f t="array" ref="AA56">SUMPRODUCT((_xlfn.XLOOKUP(C56, 'Course Stats'!A:A, 'Course Stats'!G:X)=4)*(E56:V56)) / COUNTIF(_xlfn.XLOOKUP(C56, 'Course Stats'!A:A, 'Course Stats'!G:X), 4)</f>
        <v>4.583333333333333</v>
      </c>
      <c r="AB56" s="55" cm="1">
        <f t="array" ref="AB56">SUMPRODUCT((_xlfn.XLOOKUP(C56, 'Course Stats'!A:A, 'Course Stats'!G:X)=5)*(E56:V56)) / COUNTIF(_xlfn.XLOOKUP(C56, 'Course Stats'!A:A, 'Course Stats'!G:X), 5)</f>
        <v>5.666666666666667</v>
      </c>
    </row>
    <row r="57" spans="1:28" x14ac:dyDescent="0.25">
      <c r="A57" s="51" t="s">
        <v>130</v>
      </c>
      <c r="B57" s="54">
        <v>45857</v>
      </c>
      <c r="C57" s="51" t="s">
        <v>3</v>
      </c>
      <c r="D57" s="51">
        <f>SUM('Golf Log'!$E57:$V57)</f>
        <v>84</v>
      </c>
      <c r="E57" s="51">
        <v>4</v>
      </c>
      <c r="F57" s="51">
        <v>6</v>
      </c>
      <c r="G57" s="51">
        <v>5</v>
      </c>
      <c r="H57" s="51">
        <v>5</v>
      </c>
      <c r="I57" s="51">
        <v>5</v>
      </c>
      <c r="J57" s="51">
        <v>4</v>
      </c>
      <c r="K57" s="51">
        <v>5</v>
      </c>
      <c r="L57" s="51">
        <v>3</v>
      </c>
      <c r="M57" s="51">
        <v>6</v>
      </c>
      <c r="N57" s="51">
        <v>5</v>
      </c>
      <c r="O57" s="51">
        <v>5</v>
      </c>
      <c r="P57" s="51">
        <v>4</v>
      </c>
      <c r="Q57" s="51">
        <v>5</v>
      </c>
      <c r="R57" s="51">
        <v>4</v>
      </c>
      <c r="S57" s="51">
        <v>4</v>
      </c>
      <c r="T57" s="51">
        <v>4</v>
      </c>
      <c r="U57" s="51">
        <v>6</v>
      </c>
      <c r="V57" s="51">
        <v>4</v>
      </c>
      <c r="W57" s="51">
        <v>35</v>
      </c>
      <c r="X57" s="51">
        <v>6</v>
      </c>
      <c r="Y57" s="51">
        <v>8</v>
      </c>
      <c r="Z57" s="55" cm="1">
        <f t="array" ref="Z57">SUMPRODUCT((_xlfn.XLOOKUP(C57, 'Course Stats'!A:A, 'Course Stats'!G:X)=3)*(E57:V57)) / COUNTIF(_xlfn.XLOOKUP(C57, 'Course Stats'!A:A, 'Course Stats'!G:X), 3)</f>
        <v>4.5</v>
      </c>
      <c r="AA57" s="55" cm="1">
        <f t="array" ref="AA57">SUMPRODUCT((_xlfn.XLOOKUP(C57, 'Course Stats'!A:A, 'Course Stats'!G:X)=4)*(E57:V57)) / COUNTIF(_xlfn.XLOOKUP(C57, 'Course Stats'!A:A, 'Course Stats'!G:X), 4)</f>
        <v>4.5454545454545459</v>
      </c>
      <c r="AB57" s="55" cm="1">
        <f t="array" ref="AB57">SUMPRODUCT((_xlfn.XLOOKUP(C57, 'Course Stats'!A:A, 'Course Stats'!G:X)=5)*(E57:V57)) / COUNTIF(_xlfn.XLOOKUP(C57, 'Course Stats'!A:A, 'Course Stats'!G:X), 5)</f>
        <v>5.333333333333333</v>
      </c>
    </row>
    <row r="58" spans="1:28" x14ac:dyDescent="0.25">
      <c r="A58" s="51" t="s">
        <v>130</v>
      </c>
      <c r="B58" s="54">
        <v>45844</v>
      </c>
      <c r="C58" s="51" t="s">
        <v>3</v>
      </c>
      <c r="D58" s="51">
        <f>SUM('Golf Log'!$E58:$V58)</f>
        <v>86</v>
      </c>
      <c r="E58" s="51">
        <v>4</v>
      </c>
      <c r="F58" s="51">
        <v>6</v>
      </c>
      <c r="G58" s="51">
        <v>4</v>
      </c>
      <c r="H58" s="51">
        <v>6</v>
      </c>
      <c r="I58" s="51">
        <v>4</v>
      </c>
      <c r="J58" s="51">
        <v>3</v>
      </c>
      <c r="K58" s="51">
        <v>6</v>
      </c>
      <c r="L58" s="51">
        <v>4</v>
      </c>
      <c r="M58" s="51">
        <v>7</v>
      </c>
      <c r="N58" s="51">
        <v>4</v>
      </c>
      <c r="O58" s="51">
        <v>4</v>
      </c>
      <c r="P58" s="51">
        <v>5</v>
      </c>
      <c r="Q58" s="51">
        <v>6</v>
      </c>
      <c r="R58" s="51">
        <v>5</v>
      </c>
      <c r="S58" s="51">
        <v>4</v>
      </c>
      <c r="T58" s="51">
        <v>5</v>
      </c>
      <c r="U58" s="51">
        <v>5</v>
      </c>
      <c r="V58" s="51">
        <v>4</v>
      </c>
      <c r="W58" s="51">
        <v>31</v>
      </c>
      <c r="X58" s="51">
        <v>6</v>
      </c>
      <c r="Y58" s="51">
        <v>3</v>
      </c>
      <c r="Z58" s="55" cm="1">
        <f t="array" ref="Z58">SUMPRODUCT((_xlfn.XLOOKUP(C58, 'Course Stats'!A:A, 'Course Stats'!G:X)=3)*(E58:V58)) / COUNTIF(_xlfn.XLOOKUP(C58, 'Course Stats'!A:A, 'Course Stats'!G:X), 3)</f>
        <v>3.75</v>
      </c>
      <c r="AA58" s="55" cm="1">
        <f t="array" ref="AA58">SUMPRODUCT((_xlfn.XLOOKUP(C58, 'Course Stats'!A:A, 'Course Stats'!G:X)=4)*(E58:V58)) / COUNTIF(_xlfn.XLOOKUP(C58, 'Course Stats'!A:A, 'Course Stats'!G:X), 4)</f>
        <v>4.7272727272727275</v>
      </c>
      <c r="AB58" s="55" cm="1">
        <f t="array" ref="AB58">SUMPRODUCT((_xlfn.XLOOKUP(C58, 'Course Stats'!A:A, 'Course Stats'!G:X)=5)*(E58:V58)) / COUNTIF(_xlfn.XLOOKUP(C58, 'Course Stats'!A:A, 'Course Stats'!G:X), 5)</f>
        <v>6.333333333333333</v>
      </c>
    </row>
    <row r="59" spans="1:28" x14ac:dyDescent="0.25">
      <c r="A59" s="51" t="s">
        <v>130</v>
      </c>
      <c r="B59" s="54">
        <v>45653</v>
      </c>
      <c r="C59" s="51" t="s">
        <v>2</v>
      </c>
      <c r="D59" s="51">
        <f>SUM('Golf Log'!$E59:$V59)</f>
        <v>92</v>
      </c>
      <c r="E59" s="51">
        <v>5</v>
      </c>
      <c r="F59" s="51">
        <v>6</v>
      </c>
      <c r="G59" s="51">
        <v>5</v>
      </c>
      <c r="H59" s="51">
        <v>6</v>
      </c>
      <c r="I59" s="51">
        <v>5</v>
      </c>
      <c r="J59" s="51">
        <v>4</v>
      </c>
      <c r="K59" s="51">
        <v>6</v>
      </c>
      <c r="L59" s="51">
        <v>4</v>
      </c>
      <c r="M59" s="51">
        <v>5</v>
      </c>
      <c r="N59" s="51">
        <v>5</v>
      </c>
      <c r="O59" s="51">
        <v>4</v>
      </c>
      <c r="P59" s="51">
        <v>4</v>
      </c>
      <c r="Q59" s="51">
        <v>7</v>
      </c>
      <c r="R59" s="51">
        <v>5</v>
      </c>
      <c r="S59" s="51">
        <v>6</v>
      </c>
      <c r="T59" s="51">
        <v>4</v>
      </c>
      <c r="U59" s="51">
        <v>5</v>
      </c>
      <c r="V59" s="51">
        <v>6</v>
      </c>
      <c r="W59" s="51">
        <v>36</v>
      </c>
      <c r="X59" s="51">
        <v>3</v>
      </c>
      <c r="Y59" s="51">
        <v>2</v>
      </c>
      <c r="Z59" s="55" cm="1">
        <f t="array" ref="Z59">SUMPRODUCT((_xlfn.XLOOKUP(C59, 'Course Stats'!A:A, 'Course Stats'!G:X)=3)*(E59:V59)) / COUNTIF(_xlfn.XLOOKUP(C59, 'Course Stats'!A:A, 'Course Stats'!G:X), 3)</f>
        <v>4.25</v>
      </c>
      <c r="AA59" s="55" cm="1">
        <f t="array" ref="AA59">SUMPRODUCT((_xlfn.XLOOKUP(C59, 'Course Stats'!A:A, 'Course Stats'!G:X)=4)*(E59:V59)) / COUNTIF(_xlfn.XLOOKUP(C59, 'Course Stats'!A:A, 'Course Stats'!G:X), 4)</f>
        <v>5</v>
      </c>
      <c r="AB59" s="55" cm="1">
        <f t="array" ref="AB59">SUMPRODUCT((_xlfn.XLOOKUP(C59, 'Course Stats'!A:A, 'Course Stats'!G:X)=5)*(E59:V59)) / COUNTIF(_xlfn.XLOOKUP(C59, 'Course Stats'!A:A, 'Course Stats'!G:X), 5)</f>
        <v>6.25</v>
      </c>
    </row>
    <row r="60" spans="1:28" x14ac:dyDescent="0.25">
      <c r="A60" s="51" t="s">
        <v>130</v>
      </c>
      <c r="B60" s="54">
        <v>45655</v>
      </c>
      <c r="C60" s="51" t="s">
        <v>4</v>
      </c>
      <c r="D60" s="51">
        <f>SUM('Golf Log'!$E60:$V60)</f>
        <v>91</v>
      </c>
      <c r="E60" s="51">
        <v>4</v>
      </c>
      <c r="F60" s="51">
        <v>6</v>
      </c>
      <c r="G60" s="51">
        <v>3</v>
      </c>
      <c r="H60" s="51">
        <v>4</v>
      </c>
      <c r="I60" s="51">
        <v>5</v>
      </c>
      <c r="J60" s="51">
        <v>4</v>
      </c>
      <c r="K60" s="51">
        <v>5</v>
      </c>
      <c r="L60" s="51">
        <v>4</v>
      </c>
      <c r="M60" s="51">
        <v>6</v>
      </c>
      <c r="N60" s="51">
        <v>6</v>
      </c>
      <c r="O60" s="51">
        <v>7</v>
      </c>
      <c r="P60" s="51">
        <v>6</v>
      </c>
      <c r="Q60" s="51">
        <v>4</v>
      </c>
      <c r="R60" s="51">
        <v>5</v>
      </c>
      <c r="S60" s="51">
        <v>6</v>
      </c>
      <c r="T60" s="51">
        <v>4</v>
      </c>
      <c r="U60" s="51">
        <v>5</v>
      </c>
      <c r="V60" s="51">
        <v>7</v>
      </c>
      <c r="W60" s="51">
        <v>36</v>
      </c>
      <c r="X60" s="51">
        <v>3</v>
      </c>
      <c r="Y60" s="51">
        <v>4</v>
      </c>
      <c r="Z60" s="55" cm="1">
        <f t="array" ref="Z60">SUMPRODUCT((_xlfn.XLOOKUP(C60, 'Course Stats'!A:A, 'Course Stats'!G:X)=3)*(E60:V60)) / COUNTIF(_xlfn.XLOOKUP(C60, 'Course Stats'!A:A, 'Course Stats'!G:X), 3)</f>
        <v>3.75</v>
      </c>
      <c r="AA60" s="55" cm="1">
        <f t="array" ref="AA60">SUMPRODUCT((_xlfn.XLOOKUP(C60, 'Course Stats'!A:A, 'Course Stats'!G:X)=4)*(E60:V60)) / COUNTIF(_xlfn.XLOOKUP(C60, 'Course Stats'!A:A, 'Course Stats'!G:X), 4)</f>
        <v>5</v>
      </c>
      <c r="AB60" s="55" cm="1">
        <f t="array" ref="AB60">SUMPRODUCT((_xlfn.XLOOKUP(C60, 'Course Stats'!A:A, 'Course Stats'!G:X)=5)*(E60:V60)) / COUNTIF(_xlfn.XLOOKUP(C60, 'Course Stats'!A:A, 'Course Stats'!G:X), 5)</f>
        <v>6.5</v>
      </c>
    </row>
    <row r="61" spans="1:28" x14ac:dyDescent="0.25">
      <c r="A61" s="51" t="s">
        <v>130</v>
      </c>
      <c r="B61" s="54">
        <v>45649</v>
      </c>
      <c r="C61" s="51" t="s">
        <v>14</v>
      </c>
      <c r="D61" s="51">
        <f>SUM('Golf Log'!$E61:$V61)</f>
        <v>91</v>
      </c>
      <c r="E61" s="51">
        <v>6</v>
      </c>
      <c r="F61" s="51">
        <v>5</v>
      </c>
      <c r="G61" s="51">
        <v>4</v>
      </c>
      <c r="H61" s="51">
        <v>5</v>
      </c>
      <c r="I61" s="51">
        <v>6</v>
      </c>
      <c r="J61" s="51">
        <v>6</v>
      </c>
      <c r="K61" s="51">
        <v>5</v>
      </c>
      <c r="L61" s="51">
        <v>5</v>
      </c>
      <c r="M61" s="51">
        <v>6</v>
      </c>
      <c r="N61" s="51">
        <v>5</v>
      </c>
      <c r="O61" s="51">
        <v>6</v>
      </c>
      <c r="P61" s="51">
        <v>5</v>
      </c>
      <c r="Q61" s="51">
        <v>5</v>
      </c>
      <c r="R61" s="51">
        <v>5</v>
      </c>
      <c r="S61" s="51">
        <v>4</v>
      </c>
      <c r="T61" s="51">
        <v>5</v>
      </c>
      <c r="U61" s="51">
        <v>3</v>
      </c>
      <c r="V61" s="51">
        <v>5</v>
      </c>
      <c r="W61" s="51">
        <v>37</v>
      </c>
      <c r="X61" s="51">
        <v>3</v>
      </c>
      <c r="Y61" s="51">
        <v>3</v>
      </c>
      <c r="Z61" s="55" cm="1">
        <f t="array" ref="Z61">SUMPRODUCT((_xlfn.XLOOKUP(C61, 'Course Stats'!A:A, 'Course Stats'!G:X)=3)*(E61:V61)) / COUNTIF(_xlfn.XLOOKUP(C61, 'Course Stats'!A:A, 'Course Stats'!G:X), 3)</f>
        <v>4.25</v>
      </c>
      <c r="AA61" s="55" cm="1">
        <f t="array" ref="AA61">SUMPRODUCT((_xlfn.XLOOKUP(C61, 'Course Stats'!A:A, 'Course Stats'!G:X)=4)*(E61:V61)) / COUNTIF(_xlfn.XLOOKUP(C61, 'Course Stats'!A:A, 'Course Stats'!G:X), 4)</f>
        <v>5.0909090909090908</v>
      </c>
      <c r="AB61" s="55" cm="1">
        <f t="array" ref="AB61">SUMPRODUCT((_xlfn.XLOOKUP(C61, 'Course Stats'!A:A, 'Course Stats'!G:X)=5)*(E61:V61)) / COUNTIF(_xlfn.XLOOKUP(C61, 'Course Stats'!A:A, 'Course Stats'!G:X), 5)</f>
        <v>6</v>
      </c>
    </row>
    <row r="62" spans="1:28" x14ac:dyDescent="0.25">
      <c r="A62" s="51" t="s">
        <v>130</v>
      </c>
      <c r="B62" s="54">
        <v>45570</v>
      </c>
      <c r="C62" s="51" t="s">
        <v>3</v>
      </c>
      <c r="D62" s="51">
        <f>SUM('Golf Log'!$E62:$V62)</f>
        <v>87</v>
      </c>
      <c r="E62" s="51">
        <v>5</v>
      </c>
      <c r="F62" s="51">
        <v>4</v>
      </c>
      <c r="G62" s="51">
        <v>4</v>
      </c>
      <c r="H62" s="51">
        <v>4</v>
      </c>
      <c r="I62" s="51">
        <v>5</v>
      </c>
      <c r="J62" s="51">
        <v>4</v>
      </c>
      <c r="K62" s="51">
        <v>7</v>
      </c>
      <c r="L62" s="51">
        <v>5</v>
      </c>
      <c r="M62" s="51">
        <v>6</v>
      </c>
      <c r="N62" s="51">
        <v>4</v>
      </c>
      <c r="O62" s="51">
        <v>5</v>
      </c>
      <c r="P62" s="51">
        <v>5</v>
      </c>
      <c r="Q62" s="51">
        <v>6</v>
      </c>
      <c r="R62" s="51">
        <v>5</v>
      </c>
      <c r="S62" s="51">
        <v>4</v>
      </c>
      <c r="T62" s="51">
        <v>4</v>
      </c>
      <c r="U62" s="51">
        <v>4</v>
      </c>
      <c r="V62" s="51">
        <v>6</v>
      </c>
      <c r="W62" s="51">
        <v>38</v>
      </c>
      <c r="X62" s="51">
        <v>2</v>
      </c>
      <c r="Y62" s="51">
        <v>6</v>
      </c>
      <c r="Z62" s="55" cm="1">
        <f t="array" ref="Z62">SUMPRODUCT((_xlfn.XLOOKUP(C62, 'Course Stats'!A:A, 'Course Stats'!G:X)=3)*(E62:V62)) / COUNTIF(_xlfn.XLOOKUP(C62, 'Course Stats'!A:A, 'Course Stats'!G:X), 3)</f>
        <v>4.25</v>
      </c>
      <c r="AA62" s="55" cm="1">
        <f t="array" ref="AA62">SUMPRODUCT((_xlfn.XLOOKUP(C62, 'Course Stats'!A:A, 'Course Stats'!G:X)=4)*(E62:V62)) / COUNTIF(_xlfn.XLOOKUP(C62, 'Course Stats'!A:A, 'Course Stats'!G:X), 4)</f>
        <v>4.6363636363636367</v>
      </c>
      <c r="AB62" s="55" cm="1">
        <f t="array" ref="AB62">SUMPRODUCT((_xlfn.XLOOKUP(C62, 'Course Stats'!A:A, 'Course Stats'!G:X)=5)*(E62:V62)) / COUNTIF(_xlfn.XLOOKUP(C62, 'Course Stats'!A:A, 'Course Stats'!G:X), 5)</f>
        <v>6.333333333333333</v>
      </c>
    </row>
    <row r="63" spans="1:28" x14ac:dyDescent="0.25">
      <c r="A63" s="51" t="s">
        <v>130</v>
      </c>
      <c r="B63" s="54">
        <v>45535</v>
      </c>
      <c r="C63" s="51" t="s">
        <v>9</v>
      </c>
      <c r="D63" s="51">
        <f>SUM('Golf Log'!$E63:$V63)</f>
        <v>87</v>
      </c>
      <c r="E63" s="51">
        <v>5</v>
      </c>
      <c r="F63" s="51">
        <v>5</v>
      </c>
      <c r="G63" s="51">
        <v>5</v>
      </c>
      <c r="H63" s="51">
        <v>4</v>
      </c>
      <c r="I63" s="51">
        <v>5</v>
      </c>
      <c r="J63" s="51">
        <v>5</v>
      </c>
      <c r="K63" s="51">
        <v>4</v>
      </c>
      <c r="L63" s="51">
        <v>5</v>
      </c>
      <c r="M63" s="51">
        <v>6</v>
      </c>
      <c r="N63" s="51">
        <v>6</v>
      </c>
      <c r="O63" s="51">
        <v>3</v>
      </c>
      <c r="P63" s="51">
        <v>5</v>
      </c>
      <c r="Q63" s="51">
        <v>5</v>
      </c>
      <c r="R63" s="51">
        <v>4</v>
      </c>
      <c r="S63" s="51">
        <v>5</v>
      </c>
      <c r="T63" s="51">
        <v>5</v>
      </c>
      <c r="U63" s="51">
        <v>5</v>
      </c>
      <c r="V63" s="51">
        <v>5</v>
      </c>
      <c r="W63" s="51">
        <v>36</v>
      </c>
      <c r="X63" s="51">
        <v>4</v>
      </c>
      <c r="Y63" s="51">
        <v>3</v>
      </c>
      <c r="Z63" s="55" cm="1">
        <f t="array" ref="Z63">SUMPRODUCT((_xlfn.XLOOKUP(C63, 'Course Stats'!A:A, 'Course Stats'!G:X)=3)*(E63:V63)) / COUNTIF(_xlfn.XLOOKUP(C63, 'Course Stats'!A:A, 'Course Stats'!G:X), 3)</f>
        <v>3.75</v>
      </c>
      <c r="AA63" s="55" cm="1">
        <f t="array" ref="AA63">SUMPRODUCT((_xlfn.XLOOKUP(C63, 'Course Stats'!A:A, 'Course Stats'!G:X)=4)*(E63:V63)) / COUNTIF(_xlfn.XLOOKUP(C63, 'Course Stats'!A:A, 'Course Stats'!G:X), 4)</f>
        <v>5.0909090909090908</v>
      </c>
      <c r="AB63" s="55" cm="1">
        <f t="array" ref="AB63">SUMPRODUCT((_xlfn.XLOOKUP(C63, 'Course Stats'!A:A, 'Course Stats'!G:X)=5)*(E63:V63)) / COUNTIF(_xlfn.XLOOKUP(C63, 'Course Stats'!A:A, 'Course Stats'!G:X), 5)</f>
        <v>5.333333333333333</v>
      </c>
    </row>
    <row r="64" spans="1:28" x14ac:dyDescent="0.25">
      <c r="A64" s="51" t="s">
        <v>130</v>
      </c>
      <c r="B64" s="54">
        <v>45487</v>
      </c>
      <c r="C64" s="51" t="s">
        <v>3</v>
      </c>
      <c r="D64" s="51">
        <f>SUM('Golf Log'!$E64:$V64)</f>
        <v>89</v>
      </c>
      <c r="E64" s="51">
        <v>5</v>
      </c>
      <c r="F64" s="51">
        <v>6</v>
      </c>
      <c r="G64" s="51">
        <v>3</v>
      </c>
      <c r="H64" s="51">
        <v>4</v>
      </c>
      <c r="I64" s="51">
        <v>5</v>
      </c>
      <c r="J64" s="51">
        <v>5</v>
      </c>
      <c r="K64" s="51">
        <v>6</v>
      </c>
      <c r="L64" s="51">
        <v>5</v>
      </c>
      <c r="M64" s="51">
        <v>7</v>
      </c>
      <c r="N64" s="51">
        <v>5</v>
      </c>
      <c r="O64" s="51">
        <v>4</v>
      </c>
      <c r="P64" s="51">
        <v>5</v>
      </c>
      <c r="Q64" s="51">
        <v>6</v>
      </c>
      <c r="R64" s="51">
        <v>5</v>
      </c>
      <c r="S64" s="51">
        <v>3</v>
      </c>
      <c r="T64" s="51">
        <v>5</v>
      </c>
      <c r="U64" s="51">
        <v>5</v>
      </c>
      <c r="V64" s="51">
        <v>5</v>
      </c>
      <c r="W64" s="51">
        <v>34</v>
      </c>
      <c r="X64" s="51">
        <v>2</v>
      </c>
      <c r="Y64" s="51">
        <v>2</v>
      </c>
      <c r="Z64" s="55" cm="1">
        <f t="array" ref="Z64">SUMPRODUCT((_xlfn.XLOOKUP(C64, 'Course Stats'!A:A, 'Course Stats'!G:X)=3)*(E64:V64)) / COUNTIF(_xlfn.XLOOKUP(C64, 'Course Stats'!A:A, 'Course Stats'!G:X), 3)</f>
        <v>3.75</v>
      </c>
      <c r="AA64" s="55" cm="1">
        <f t="array" ref="AA64">SUMPRODUCT((_xlfn.XLOOKUP(C64, 'Course Stats'!A:A, 'Course Stats'!G:X)=4)*(E64:V64)) / COUNTIF(_xlfn.XLOOKUP(C64, 'Course Stats'!A:A, 'Course Stats'!G:X), 4)</f>
        <v>5</v>
      </c>
      <c r="AB64" s="55" cm="1">
        <f t="array" ref="AB64">SUMPRODUCT((_xlfn.XLOOKUP(C64, 'Course Stats'!A:A, 'Course Stats'!G:X)=5)*(E64:V64)) / COUNTIF(_xlfn.XLOOKUP(C64, 'Course Stats'!A:A, 'Course Stats'!G:X), 5)</f>
        <v>6.333333333333333</v>
      </c>
    </row>
    <row r="65" spans="1:28" x14ac:dyDescent="0.25">
      <c r="A65" s="51" t="s">
        <v>130</v>
      </c>
      <c r="B65" s="54">
        <v>45172</v>
      </c>
      <c r="C65" s="51" t="s">
        <v>3</v>
      </c>
      <c r="D65" s="51">
        <f>SUM('Golf Log'!$E65:$V65)</f>
        <v>82</v>
      </c>
      <c r="E65" s="51">
        <v>4</v>
      </c>
      <c r="F65" s="51">
        <v>4</v>
      </c>
      <c r="G65" s="51">
        <v>5</v>
      </c>
      <c r="H65" s="51">
        <v>5</v>
      </c>
      <c r="I65" s="51">
        <v>6</v>
      </c>
      <c r="J65" s="51">
        <v>4</v>
      </c>
      <c r="K65" s="51">
        <v>5</v>
      </c>
      <c r="L65" s="51">
        <v>4</v>
      </c>
      <c r="M65" s="51">
        <v>6</v>
      </c>
      <c r="N65" s="51">
        <v>4</v>
      </c>
      <c r="O65" s="51">
        <v>4</v>
      </c>
      <c r="P65" s="51">
        <v>3</v>
      </c>
      <c r="Q65" s="51">
        <v>6</v>
      </c>
      <c r="R65" s="51">
        <v>5</v>
      </c>
      <c r="S65" s="51">
        <v>3</v>
      </c>
      <c r="T65" s="51">
        <v>4</v>
      </c>
      <c r="U65" s="51">
        <v>5</v>
      </c>
      <c r="V65" s="51">
        <v>5</v>
      </c>
      <c r="W65" s="51">
        <v>32</v>
      </c>
      <c r="X65" s="51">
        <v>5</v>
      </c>
      <c r="Y65" s="51">
        <v>5</v>
      </c>
      <c r="Z65" s="55" cm="1">
        <f t="array" ref="Z65">SUMPRODUCT((_xlfn.XLOOKUP(C65, 'Course Stats'!A:A, 'Course Stats'!G:X)=3)*(E65:V65)) / COUNTIF(_xlfn.XLOOKUP(C65, 'Course Stats'!A:A, 'Course Stats'!G:X), 3)</f>
        <v>4</v>
      </c>
      <c r="AA65" s="55" cm="1">
        <f t="array" ref="AA65">SUMPRODUCT((_xlfn.XLOOKUP(C65, 'Course Stats'!A:A, 'Course Stats'!G:X)=4)*(E65:V65)) / COUNTIF(_xlfn.XLOOKUP(C65, 'Course Stats'!A:A, 'Course Stats'!G:X), 4)</f>
        <v>4.4545454545454541</v>
      </c>
      <c r="AB65" s="55" cm="1">
        <f t="array" ref="AB65">SUMPRODUCT((_xlfn.XLOOKUP(C65, 'Course Stats'!A:A, 'Course Stats'!G:X)=5)*(E65:V65)) / COUNTIF(_xlfn.XLOOKUP(C65, 'Course Stats'!A:A, 'Course Stats'!G:X), 5)</f>
        <v>5.666666666666667</v>
      </c>
    </row>
    <row r="66" spans="1:28" x14ac:dyDescent="0.25">
      <c r="A66" s="68" t="s">
        <v>126</v>
      </c>
      <c r="B66" s="73">
        <v>45941</v>
      </c>
      <c r="C66" s="68" t="s">
        <v>12</v>
      </c>
      <c r="D66" s="68">
        <f>SUM('Golf Log'!$E66:$V66)</f>
        <v>91</v>
      </c>
      <c r="E66" s="68">
        <v>6</v>
      </c>
      <c r="F66" s="68">
        <v>7</v>
      </c>
      <c r="G66" s="68">
        <v>5</v>
      </c>
      <c r="H66" s="68">
        <v>6</v>
      </c>
      <c r="I66" s="68">
        <v>6</v>
      </c>
      <c r="J66" s="68">
        <v>3</v>
      </c>
      <c r="K66" s="68">
        <v>5</v>
      </c>
      <c r="L66" s="68">
        <v>3</v>
      </c>
      <c r="M66" s="68">
        <v>5</v>
      </c>
      <c r="N66" s="68">
        <v>4</v>
      </c>
      <c r="O66" s="68">
        <v>4</v>
      </c>
      <c r="P66" s="68">
        <v>4</v>
      </c>
      <c r="Q66" s="68">
        <v>5</v>
      </c>
      <c r="R66" s="68">
        <v>5</v>
      </c>
      <c r="S66" s="68">
        <v>6</v>
      </c>
      <c r="T66" s="68">
        <v>6</v>
      </c>
      <c r="U66" s="68">
        <v>6</v>
      </c>
      <c r="V66" s="68">
        <v>5</v>
      </c>
      <c r="W66" s="68">
        <v>30</v>
      </c>
      <c r="X66" s="68">
        <v>1</v>
      </c>
      <c r="Y66" s="68">
        <v>3</v>
      </c>
      <c r="Z66" s="74" cm="1">
        <f t="array" ref="Z66">SUMPRODUCT((_xlfn.XLOOKUP(C66, 'Course Stats'!A:A, 'Course Stats'!G:X)=3)*(E66:V66)) / COUNTIF(_xlfn.XLOOKUP(C66, 'Course Stats'!A:A, 'Course Stats'!G:X), 3)</f>
        <v>3.75</v>
      </c>
      <c r="AA66" s="74" cm="1">
        <f t="array" ref="AA66">SUMPRODUCT((_xlfn.XLOOKUP(C66, 'Course Stats'!A:A, 'Course Stats'!G:X)=4)*(E66:V66)) / COUNTIF(_xlfn.XLOOKUP(C66, 'Course Stats'!A:A, 'Course Stats'!G:X), 4)</f>
        <v>5.3</v>
      </c>
      <c r="AB66" s="74" cm="1">
        <f t="array" ref="AB66">SUMPRODUCT((_xlfn.XLOOKUP(C66, 'Course Stats'!A:A, 'Course Stats'!G:X)=5)*(E66:V66)) / COUNTIF(_xlfn.XLOOKUP(C66, 'Course Stats'!A:A, 'Course Stats'!G:X), 5)</f>
        <v>5.75</v>
      </c>
    </row>
    <row r="67" spans="1:28" x14ac:dyDescent="0.25">
      <c r="A67" s="68" t="s">
        <v>130</v>
      </c>
      <c r="B67" s="73">
        <v>45941</v>
      </c>
      <c r="C67" s="68" t="s">
        <v>12</v>
      </c>
      <c r="D67" s="68">
        <f>SUM('Golf Log'!$E67:$V67)</f>
        <v>91</v>
      </c>
      <c r="E67" s="68">
        <v>5</v>
      </c>
      <c r="F67" s="68">
        <v>6</v>
      </c>
      <c r="G67" s="68">
        <v>6</v>
      </c>
      <c r="H67" s="68">
        <v>4</v>
      </c>
      <c r="I67" s="68">
        <v>5</v>
      </c>
      <c r="J67" s="68">
        <v>6</v>
      </c>
      <c r="K67" s="68">
        <v>5</v>
      </c>
      <c r="L67" s="68">
        <v>3</v>
      </c>
      <c r="M67" s="68">
        <v>6</v>
      </c>
      <c r="N67" s="68">
        <v>7</v>
      </c>
      <c r="O67" s="68">
        <v>4</v>
      </c>
      <c r="P67" s="68">
        <v>4</v>
      </c>
      <c r="Q67" s="68">
        <v>5</v>
      </c>
      <c r="R67" s="68">
        <v>4</v>
      </c>
      <c r="S67" s="68">
        <v>6</v>
      </c>
      <c r="T67" s="68">
        <v>5</v>
      </c>
      <c r="U67" s="68">
        <v>5</v>
      </c>
      <c r="V67" s="68">
        <v>5</v>
      </c>
      <c r="W67" s="68">
        <v>33</v>
      </c>
      <c r="X67" s="68">
        <v>7</v>
      </c>
      <c r="Y67" s="68">
        <v>1</v>
      </c>
      <c r="Z67" s="74" cm="1">
        <f t="array" ref="Z67">SUMPRODUCT((_xlfn.XLOOKUP(C67, 'Course Stats'!A:A, 'Course Stats'!G:X)=3)*(E67:V67)) / COUNTIF(_xlfn.XLOOKUP(C67, 'Course Stats'!A:A, 'Course Stats'!G:X), 3)</f>
        <v>4.25</v>
      </c>
      <c r="AA67" s="74" cm="1">
        <f t="array" ref="AA67">SUMPRODUCT((_xlfn.XLOOKUP(C67, 'Course Stats'!A:A, 'Course Stats'!G:X)=4)*(E67:V67)) / COUNTIF(_xlfn.XLOOKUP(C67, 'Course Stats'!A:A, 'Course Stats'!G:X), 4)</f>
        <v>5</v>
      </c>
      <c r="AB67" s="74" cm="1">
        <f t="array" ref="AB67">SUMPRODUCT((_xlfn.XLOOKUP(C67, 'Course Stats'!A:A, 'Course Stats'!G:X)=5)*(E67:V67)) / COUNTIF(_xlfn.XLOOKUP(C67, 'Course Stats'!A:A, 'Course Stats'!G:X), 5)</f>
        <v>6</v>
      </c>
    </row>
    <row r="68" spans="1:28" x14ac:dyDescent="0.25">
      <c r="A68" s="78" t="s">
        <v>130</v>
      </c>
      <c r="B68" s="83">
        <v>45143</v>
      </c>
      <c r="C68" s="78" t="s">
        <v>9</v>
      </c>
      <c r="D68" s="78">
        <f>SUM('Golf Log'!$E68:$V68)</f>
        <v>85</v>
      </c>
      <c r="E68" s="78">
        <v>5</v>
      </c>
      <c r="F68" s="78">
        <v>6</v>
      </c>
      <c r="G68" s="78">
        <v>4</v>
      </c>
      <c r="H68" s="78">
        <v>3</v>
      </c>
      <c r="I68" s="78">
        <v>5</v>
      </c>
      <c r="J68" s="78">
        <v>5</v>
      </c>
      <c r="K68" s="78">
        <v>3</v>
      </c>
      <c r="L68" s="78">
        <v>4</v>
      </c>
      <c r="M68" s="78">
        <v>5</v>
      </c>
      <c r="N68" s="78">
        <v>7</v>
      </c>
      <c r="O68" s="78">
        <v>4</v>
      </c>
      <c r="P68" s="78">
        <v>5</v>
      </c>
      <c r="Q68" s="78">
        <v>5</v>
      </c>
      <c r="R68" s="78">
        <v>5</v>
      </c>
      <c r="S68" s="78">
        <v>4</v>
      </c>
      <c r="T68" s="78">
        <v>4</v>
      </c>
      <c r="U68" s="78">
        <v>6</v>
      </c>
      <c r="V68" s="78">
        <v>5</v>
      </c>
      <c r="W68" s="78">
        <v>38</v>
      </c>
      <c r="X68" s="78">
        <v>8</v>
      </c>
      <c r="Y68" s="78">
        <v>4</v>
      </c>
      <c r="Z68" s="84" cm="1">
        <f t="array" ref="Z68">SUMPRODUCT((_xlfn.XLOOKUP(C68, 'Course Stats'!A:A, 'Course Stats'!G:X)=3)*(E68:V68)) / COUNTIF(_xlfn.XLOOKUP(C68, 'Course Stats'!A:A, 'Course Stats'!G:X), 3)</f>
        <v>3.75</v>
      </c>
      <c r="AA68" s="84" cm="1">
        <f t="array" ref="AA68">SUMPRODUCT((_xlfn.XLOOKUP(C68, 'Course Stats'!A:A, 'Course Stats'!G:X)=4)*(E68:V68)) / COUNTIF(_xlfn.XLOOKUP(C68, 'Course Stats'!A:A, 'Course Stats'!G:X), 4)</f>
        <v>4.7272727272727275</v>
      </c>
      <c r="AB68" s="84" cm="1">
        <f t="array" ref="AB68">SUMPRODUCT((_xlfn.XLOOKUP(C68, 'Course Stats'!A:A, 'Course Stats'!G:X)=5)*(E68:V68)) / COUNTIF(_xlfn.XLOOKUP(C68, 'Course Stats'!A:A, 'Course Stats'!G:X), 5)</f>
        <v>6</v>
      </c>
    </row>
    <row r="69" spans="1:28" x14ac:dyDescent="0.25">
      <c r="A69" s="78" t="s">
        <v>130</v>
      </c>
      <c r="B69" s="83">
        <v>45136</v>
      </c>
      <c r="C69" s="78" t="s">
        <v>5</v>
      </c>
      <c r="D69" s="78">
        <f>SUM('Golf Log'!$E69:$V69)</f>
        <v>87</v>
      </c>
      <c r="E69" s="78">
        <v>4</v>
      </c>
      <c r="F69" s="78">
        <v>6</v>
      </c>
      <c r="G69" s="78">
        <v>3</v>
      </c>
      <c r="H69" s="78">
        <v>5</v>
      </c>
      <c r="I69" s="78">
        <v>4</v>
      </c>
      <c r="J69" s="78">
        <v>5</v>
      </c>
      <c r="K69" s="78">
        <v>3</v>
      </c>
      <c r="L69" s="78">
        <v>7</v>
      </c>
      <c r="M69" s="78">
        <v>6</v>
      </c>
      <c r="N69" s="78">
        <v>4</v>
      </c>
      <c r="O69" s="78">
        <v>4</v>
      </c>
      <c r="P69" s="78">
        <v>7</v>
      </c>
      <c r="Q69" s="78">
        <v>4</v>
      </c>
      <c r="R69" s="78">
        <v>5</v>
      </c>
      <c r="S69" s="78">
        <v>5</v>
      </c>
      <c r="T69" s="78">
        <v>6</v>
      </c>
      <c r="U69" s="78">
        <v>5</v>
      </c>
      <c r="V69" s="78">
        <v>4</v>
      </c>
      <c r="W69" s="78">
        <v>34</v>
      </c>
      <c r="X69" s="78">
        <v>4</v>
      </c>
      <c r="Y69" s="78">
        <v>6</v>
      </c>
      <c r="Z69" s="84" cm="1">
        <f t="array" ref="Z69">SUMPRODUCT((_xlfn.XLOOKUP(C69, 'Course Stats'!A:A, 'Course Stats'!G:X)=3)*(E69:V69)) / COUNTIF(_xlfn.XLOOKUP(C69, 'Course Stats'!A:A, 'Course Stats'!G:X), 3)</f>
        <v>3.75</v>
      </c>
      <c r="AA69" s="84" cm="1">
        <f t="array" ref="AA69">SUMPRODUCT((_xlfn.XLOOKUP(C69, 'Course Stats'!A:A, 'Course Stats'!G:X)=4)*(E69:V69)) / COUNTIF(_xlfn.XLOOKUP(C69, 'Course Stats'!A:A, 'Course Stats'!G:X), 4)</f>
        <v>4.7</v>
      </c>
      <c r="AB69" s="84" cm="1">
        <f t="array" ref="AB69">SUMPRODUCT((_xlfn.XLOOKUP(C69, 'Course Stats'!A:A, 'Course Stats'!G:X)=5)*(E69:V69)) / COUNTIF(_xlfn.XLOOKUP(C69, 'Course Stats'!A:A, 'Course Stats'!G:X), 5)</f>
        <v>6.25</v>
      </c>
    </row>
    <row r="70" spans="1:28" x14ac:dyDescent="0.25">
      <c r="A70" s="92" t="s">
        <v>126</v>
      </c>
      <c r="B70" s="101">
        <v>46160</v>
      </c>
      <c r="C70" s="92" t="s">
        <v>5</v>
      </c>
      <c r="D70" s="92">
        <f>SUM('Golf Log'!$E70:$V70)</f>
        <v>82</v>
      </c>
      <c r="E70" s="92">
        <v>4</v>
      </c>
      <c r="F70" s="92">
        <v>4</v>
      </c>
      <c r="G70" s="92">
        <v>4</v>
      </c>
      <c r="H70" s="92">
        <v>6</v>
      </c>
      <c r="I70" s="92">
        <v>4</v>
      </c>
      <c r="J70" s="92">
        <v>6</v>
      </c>
      <c r="K70" s="92">
        <v>3</v>
      </c>
      <c r="L70" s="92">
        <v>5</v>
      </c>
      <c r="M70" s="92">
        <v>5</v>
      </c>
      <c r="N70" s="92">
        <v>4</v>
      </c>
      <c r="O70" s="92">
        <v>2</v>
      </c>
      <c r="P70" s="92">
        <v>6</v>
      </c>
      <c r="Q70" s="92">
        <v>4</v>
      </c>
      <c r="R70" s="92">
        <v>5</v>
      </c>
      <c r="S70" s="92">
        <v>5</v>
      </c>
      <c r="T70" s="92">
        <v>6</v>
      </c>
      <c r="U70" s="92">
        <v>4</v>
      </c>
      <c r="V70" s="92">
        <v>5</v>
      </c>
      <c r="W70" s="92">
        <v>34</v>
      </c>
      <c r="X70" s="92">
        <v>5</v>
      </c>
      <c r="Y70" s="92">
        <v>8</v>
      </c>
      <c r="Z70" s="102" cm="1">
        <f t="array" ref="Z70">SUMPRODUCT((_xlfn.XLOOKUP(C70, 'Course Stats'!A:A, 'Course Stats'!G:X)=3)*(E70:V70)) / COUNTIF(_xlfn.XLOOKUP(C70, 'Course Stats'!A:A, 'Course Stats'!G:X), 3)</f>
        <v>3.25</v>
      </c>
      <c r="AA70" s="102" cm="1">
        <f t="array" ref="AA70">SUMPRODUCT((_xlfn.XLOOKUP(C70, 'Course Stats'!A:A, 'Course Stats'!G:X)=4)*(E70:V70)) / COUNTIF(_xlfn.XLOOKUP(C70, 'Course Stats'!A:A, 'Course Stats'!G:X), 4)</f>
        <v>4.5999999999999996</v>
      </c>
      <c r="AB70" s="102" cm="1">
        <f t="array" ref="AB70">SUMPRODUCT((_xlfn.XLOOKUP(C70, 'Course Stats'!A:A, 'Course Stats'!G:X)=5)*(E70:V70)) / COUNTIF(_xlfn.XLOOKUP(C70, 'Course Stats'!A:A, 'Course Stats'!G:X), 5)</f>
        <v>5.75</v>
      </c>
    </row>
    <row r="71" spans="1:28" x14ac:dyDescent="0.25">
      <c r="A71" s="107" t="s">
        <v>126</v>
      </c>
      <c r="B71" s="112">
        <v>46164</v>
      </c>
      <c r="C71" s="107" t="s">
        <v>6</v>
      </c>
      <c r="D71" s="107">
        <f>SUM('Golf Log'!$E71:$V71)</f>
        <v>89</v>
      </c>
      <c r="E71" s="107">
        <v>5</v>
      </c>
      <c r="F71" s="107">
        <v>6</v>
      </c>
      <c r="G71" s="107">
        <v>4</v>
      </c>
      <c r="H71" s="107">
        <v>5</v>
      </c>
      <c r="I71" s="107">
        <v>4</v>
      </c>
      <c r="J71" s="107">
        <v>4</v>
      </c>
      <c r="K71" s="107">
        <v>6</v>
      </c>
      <c r="L71" s="107">
        <v>4</v>
      </c>
      <c r="M71" s="107">
        <v>6</v>
      </c>
      <c r="N71" s="107">
        <v>6</v>
      </c>
      <c r="O71" s="107">
        <v>4</v>
      </c>
      <c r="P71" s="107">
        <v>5</v>
      </c>
      <c r="Q71" s="107">
        <v>5</v>
      </c>
      <c r="R71" s="107">
        <v>4</v>
      </c>
      <c r="S71" s="107">
        <v>6</v>
      </c>
      <c r="T71" s="107">
        <v>5</v>
      </c>
      <c r="U71" s="107">
        <v>5</v>
      </c>
      <c r="V71" s="107">
        <v>5</v>
      </c>
      <c r="W71" s="107">
        <v>31</v>
      </c>
      <c r="X71" s="107">
        <v>9</v>
      </c>
      <c r="Y71" s="107">
        <v>2</v>
      </c>
      <c r="Z71" s="113" cm="1">
        <f t="array" ref="Z71">SUMPRODUCT((_xlfn.XLOOKUP(C71, 'Course Stats'!A:A, 'Course Stats'!G:X)=3)*(E71:V71)) / COUNTIF(_xlfn.XLOOKUP(C71, 'Course Stats'!A:A, 'Course Stats'!G:X), 3)</f>
        <v>4</v>
      </c>
      <c r="AA71" s="113" cm="1">
        <f t="array" ref="AA71">SUMPRODUCT((_xlfn.XLOOKUP(C71, 'Course Stats'!A:A, 'Course Stats'!G:X)=4)*(E71:V71)) / COUNTIF(_xlfn.XLOOKUP(C71, 'Course Stats'!A:A, 'Course Stats'!G:X), 4)</f>
        <v>5.166666666666667</v>
      </c>
      <c r="AB71" s="113" cm="1">
        <f t="array" ref="AB71">SUMPRODUCT((_xlfn.XLOOKUP(C71, 'Course Stats'!A:A, 'Course Stats'!G:X)=5)*(E71:V71)) / COUNTIF(_xlfn.XLOOKUP(C71, 'Course Stats'!A:A, 'Course Stats'!G:X), 5)</f>
        <v>5</v>
      </c>
    </row>
    <row r="72" spans="1:28" x14ac:dyDescent="0.25">
      <c r="A72" s="118" t="s">
        <v>127</v>
      </c>
      <c r="B72" s="124">
        <v>46185</v>
      </c>
      <c r="C72" s="118" t="s">
        <v>145</v>
      </c>
      <c r="D72" s="118">
        <f>SUM('Golf Log'!$E72:$V72)</f>
        <v>104</v>
      </c>
      <c r="E72" s="118">
        <v>7</v>
      </c>
      <c r="F72" s="118">
        <v>8</v>
      </c>
      <c r="G72" s="118">
        <v>8</v>
      </c>
      <c r="H72" s="118">
        <v>4</v>
      </c>
      <c r="I72" s="118">
        <v>6</v>
      </c>
      <c r="J72" s="118">
        <v>7</v>
      </c>
      <c r="K72" s="118">
        <v>4</v>
      </c>
      <c r="L72" s="118">
        <v>5</v>
      </c>
      <c r="M72" s="118">
        <v>6</v>
      </c>
      <c r="N72" s="118">
        <v>7</v>
      </c>
      <c r="O72" s="118">
        <v>6</v>
      </c>
      <c r="P72" s="118">
        <v>5</v>
      </c>
      <c r="Q72" s="118">
        <v>6</v>
      </c>
      <c r="R72" s="118">
        <v>4</v>
      </c>
      <c r="S72" s="118">
        <v>6</v>
      </c>
      <c r="T72" s="118">
        <v>3</v>
      </c>
      <c r="U72" s="118">
        <v>5</v>
      </c>
      <c r="V72" s="118">
        <v>7</v>
      </c>
      <c r="W72" s="118">
        <v>41</v>
      </c>
      <c r="X72" s="118">
        <v>4</v>
      </c>
      <c r="Y72" s="118">
        <v>4</v>
      </c>
      <c r="Z72" s="125" cm="1">
        <f t="array" ref="Z72">SUMPRODUCT((_xlfn.XLOOKUP(C72, 'Course Stats'!A:A, 'Course Stats'!G:X)=3)*(E72:V72)) / COUNTIF(_xlfn.XLOOKUP(C72, 'Course Stats'!A:A, 'Course Stats'!G:X), 3)</f>
        <v>3.75</v>
      </c>
      <c r="AA72" s="125" cm="1">
        <f t="array" ref="AA72">SUMPRODUCT((_xlfn.XLOOKUP(C72, 'Course Stats'!A:A, 'Course Stats'!G:X)=4)*(E72:V72)) / COUNTIF(_xlfn.XLOOKUP(C72, 'Course Stats'!A:A, 'Course Stats'!G:X), 4)</f>
        <v>6.3</v>
      </c>
      <c r="AB72" s="125" cm="1">
        <f t="array" ref="AB72">SUMPRODUCT((_xlfn.XLOOKUP(C72, 'Course Stats'!A:A, 'Course Stats'!G:X)=5)*(E72:V72)) / COUNTIF(_xlfn.XLOOKUP(C72, 'Course Stats'!A:A, 'Course Stats'!G:X), 5)</f>
        <v>6.5</v>
      </c>
    </row>
    <row r="73" spans="1:28" x14ac:dyDescent="0.25">
      <c r="A73" s="35"/>
      <c r="B73" s="38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9"/>
      <c r="AA73" s="39"/>
      <c r="AB73" s="39"/>
    </row>
    <row r="74" spans="1:28" x14ac:dyDescent="0.25">
      <c r="A74" s="35"/>
      <c r="B74" s="38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9"/>
      <c r="AA74" s="39"/>
      <c r="AB74" s="39"/>
    </row>
    <row r="75" spans="1:28" x14ac:dyDescent="0.25">
      <c r="A75" s="35"/>
      <c r="B75" s="38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9"/>
      <c r="AA75" s="39"/>
      <c r="AB75" s="39"/>
    </row>
    <row r="76" spans="1:28" x14ac:dyDescent="0.25">
      <c r="A76" s="20" t="s">
        <v>125</v>
      </c>
      <c r="B76" s="32" t="s">
        <v>19</v>
      </c>
      <c r="C76" s="26" t="s">
        <v>24</v>
      </c>
      <c r="D76" s="26" t="s">
        <v>20</v>
      </c>
      <c r="E76" s="26" t="s">
        <v>47</v>
      </c>
      <c r="F76" s="26" t="s">
        <v>48</v>
      </c>
      <c r="G76" s="26" t="s">
        <v>49</v>
      </c>
      <c r="H76" s="26" t="s">
        <v>50</v>
      </c>
      <c r="I76" s="33" t="s">
        <v>51</v>
      </c>
      <c r="J76" s="26" t="s">
        <v>52</v>
      </c>
      <c r="K76" s="26" t="s">
        <v>53</v>
      </c>
      <c r="L76" s="26" t="s">
        <v>54</v>
      </c>
      <c r="M76" s="26" t="s">
        <v>55</v>
      </c>
    </row>
    <row r="77" spans="1:28" x14ac:dyDescent="0.25">
      <c r="A77" s="20" t="s">
        <v>126</v>
      </c>
      <c r="B77" s="30">
        <v>45457</v>
      </c>
      <c r="C77" s="20" t="s">
        <v>38</v>
      </c>
      <c r="D77" s="20">
        <f>SUM('Golf Log'!$E77:$M77)</f>
        <v>44</v>
      </c>
      <c r="E77" s="20">
        <v>6</v>
      </c>
      <c r="F77" s="20">
        <v>5</v>
      </c>
      <c r="G77" s="20">
        <v>4</v>
      </c>
      <c r="H77" s="20">
        <v>5</v>
      </c>
      <c r="I77" s="20">
        <v>4</v>
      </c>
      <c r="J77" s="20">
        <v>3</v>
      </c>
      <c r="K77" s="20">
        <v>5</v>
      </c>
      <c r="L77" s="20">
        <v>6</v>
      </c>
      <c r="M77" s="20">
        <v>6</v>
      </c>
      <c r="Z77" s="5"/>
      <c r="AA77" s="5"/>
      <c r="AB77" s="5"/>
    </row>
    <row r="78" spans="1:28" x14ac:dyDescent="0.25">
      <c r="A78" s="20" t="s">
        <v>126</v>
      </c>
      <c r="B78" s="30">
        <v>45454</v>
      </c>
      <c r="C78" s="20" t="s">
        <v>5</v>
      </c>
      <c r="D78" s="20">
        <f>SUM('Golf Log'!$E78:$M78)</f>
        <v>47</v>
      </c>
      <c r="E78" s="20">
        <v>6</v>
      </c>
      <c r="F78" s="20">
        <v>5</v>
      </c>
      <c r="G78" s="20">
        <v>5</v>
      </c>
      <c r="H78" s="20">
        <v>6</v>
      </c>
      <c r="I78" s="20">
        <v>5</v>
      </c>
      <c r="J78" s="20">
        <v>5</v>
      </c>
      <c r="K78" s="20">
        <v>4</v>
      </c>
      <c r="L78" s="20">
        <v>6</v>
      </c>
      <c r="M78" s="20">
        <v>5</v>
      </c>
      <c r="Z78" s="5"/>
      <c r="AA78" s="5"/>
      <c r="AB78" s="5"/>
    </row>
    <row r="79" spans="1:28" x14ac:dyDescent="0.25">
      <c r="B79" s="31"/>
      <c r="I79" s="2"/>
    </row>
    <row r="80" spans="1:28" x14ac:dyDescent="0.25">
      <c r="B80" s="31"/>
      <c r="I80" s="2"/>
    </row>
    <row r="81" spans="2:9" x14ac:dyDescent="0.25">
      <c r="B81" s="31"/>
      <c r="I81" s="2"/>
    </row>
    <row r="82" spans="2:9" x14ac:dyDescent="0.25">
      <c r="B82" s="31"/>
      <c r="I82" s="2"/>
    </row>
    <row r="83" spans="2:9" x14ac:dyDescent="0.25">
      <c r="B83" s="31"/>
      <c r="I83" s="2"/>
    </row>
    <row r="84" spans="2:9" x14ac:dyDescent="0.25">
      <c r="B84" s="31"/>
      <c r="I84" s="2"/>
    </row>
    <row r="85" spans="2:9" x14ac:dyDescent="0.25">
      <c r="B85" s="31"/>
      <c r="I85" s="2"/>
    </row>
    <row r="86" spans="2:9" x14ac:dyDescent="0.25">
      <c r="B86" s="31"/>
      <c r="I86" s="2"/>
    </row>
    <row r="87" spans="2:9" x14ac:dyDescent="0.25">
      <c r="B87" s="31"/>
      <c r="I87" s="2"/>
    </row>
    <row r="88" spans="2:9" x14ac:dyDescent="0.25">
      <c r="B88" s="31"/>
      <c r="I88" s="2"/>
    </row>
    <row r="89" spans="2:9" x14ac:dyDescent="0.25">
      <c r="B89" s="31"/>
      <c r="I89" s="2"/>
    </row>
    <row r="90" spans="2:9" x14ac:dyDescent="0.25">
      <c r="B90" s="31"/>
      <c r="I90" s="2"/>
    </row>
    <row r="91" spans="2:9" x14ac:dyDescent="0.25">
      <c r="B91" s="31"/>
      <c r="I91" s="2"/>
    </row>
    <row r="92" spans="2:9" x14ac:dyDescent="0.25">
      <c r="B92" s="31"/>
      <c r="I92" s="2"/>
    </row>
    <row r="93" spans="2:9" x14ac:dyDescent="0.25">
      <c r="B93" s="31"/>
      <c r="I93" s="2"/>
    </row>
    <row r="94" spans="2:9" x14ac:dyDescent="0.25">
      <c r="B94" s="31"/>
      <c r="I94" s="2"/>
    </row>
    <row r="95" spans="2:9" x14ac:dyDescent="0.25">
      <c r="B95" s="31"/>
      <c r="I95" s="2"/>
    </row>
    <row r="96" spans="2:9" x14ac:dyDescent="0.25">
      <c r="B96" s="31"/>
      <c r="I96" s="2"/>
    </row>
    <row r="97" spans="2:9" x14ac:dyDescent="0.25">
      <c r="B97" s="31"/>
      <c r="I97" s="2"/>
    </row>
    <row r="98" spans="2:9" x14ac:dyDescent="0.25">
      <c r="B98" s="31"/>
      <c r="I98" s="2"/>
    </row>
    <row r="99" spans="2:9" x14ac:dyDescent="0.25">
      <c r="B99" s="31"/>
      <c r="I99" s="2"/>
    </row>
  </sheetData>
  <phoneticPr fontId="23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1295-6326-4863-B04B-554EA72062E0}">
  <dimension ref="A1:AB77"/>
  <sheetViews>
    <sheetView topLeftCell="D49" workbookViewId="0">
      <selection activeCell="X72" sqref="X72"/>
    </sheetView>
  </sheetViews>
  <sheetFormatPr defaultRowHeight="15" x14ac:dyDescent="0.25"/>
  <cols>
    <col min="2" max="2" width="10.7109375" bestFit="1" customWidth="1"/>
    <col min="3" max="3" width="38.5703125" bestFit="1" customWidth="1"/>
    <col min="4" max="10" width="10.28515625" customWidth="1"/>
    <col min="11" max="28" width="11.28515625" customWidth="1"/>
  </cols>
  <sheetData>
    <row r="1" spans="1:28" x14ac:dyDescent="0.25">
      <c r="A1" s="20" t="s">
        <v>125</v>
      </c>
      <c r="B1" s="26" t="s">
        <v>19</v>
      </c>
      <c r="C1" s="26" t="s">
        <v>24</v>
      </c>
      <c r="D1" s="26" t="s">
        <v>0</v>
      </c>
      <c r="E1" s="26" t="s">
        <v>47</v>
      </c>
      <c r="F1" s="26" t="s">
        <v>48</v>
      </c>
      <c r="G1" s="26" t="s">
        <v>49</v>
      </c>
      <c r="H1" s="26" t="s">
        <v>50</v>
      </c>
      <c r="I1" s="26" t="s">
        <v>51</v>
      </c>
      <c r="J1" s="26" t="s">
        <v>52</v>
      </c>
      <c r="K1" s="26" t="s">
        <v>53</v>
      </c>
      <c r="L1" s="26" t="s">
        <v>54</v>
      </c>
      <c r="M1" s="26" t="s">
        <v>55</v>
      </c>
      <c r="N1" s="26" t="s">
        <v>56</v>
      </c>
      <c r="O1" s="26" t="s">
        <v>57</v>
      </c>
      <c r="P1" s="26" t="s">
        <v>58</v>
      </c>
      <c r="Q1" s="26" t="s">
        <v>59</v>
      </c>
      <c r="R1" s="26" t="s">
        <v>60</v>
      </c>
      <c r="S1" s="26" t="s">
        <v>61</v>
      </c>
      <c r="T1" s="26" t="s">
        <v>62</v>
      </c>
      <c r="U1" s="26" t="s">
        <v>63</v>
      </c>
      <c r="V1" s="26" t="s">
        <v>64</v>
      </c>
      <c r="W1" s="26" t="s">
        <v>83</v>
      </c>
      <c r="X1" s="26" t="s">
        <v>31</v>
      </c>
      <c r="Y1" s="26" t="s">
        <v>1</v>
      </c>
      <c r="Z1" s="26" t="s">
        <v>80</v>
      </c>
      <c r="AA1" s="26" t="s">
        <v>81</v>
      </c>
      <c r="AB1" s="26" t="s">
        <v>82</v>
      </c>
    </row>
    <row r="2" spans="1:28" x14ac:dyDescent="0.25">
      <c r="A2" s="20" t="s">
        <v>126</v>
      </c>
      <c r="B2" s="27">
        <v>45735</v>
      </c>
      <c r="C2" s="20" t="s">
        <v>3</v>
      </c>
      <c r="D2" s="20">
        <f>SUM('Putt Log'!$E2:$V2)</f>
        <v>31</v>
      </c>
      <c r="E2" s="20">
        <v>1</v>
      </c>
      <c r="F2" s="20">
        <v>2</v>
      </c>
      <c r="G2" s="20">
        <v>2</v>
      </c>
      <c r="H2" s="20">
        <v>2</v>
      </c>
      <c r="I2" s="20">
        <v>1</v>
      </c>
      <c r="J2" s="20">
        <v>2</v>
      </c>
      <c r="K2" s="20">
        <v>2</v>
      </c>
      <c r="L2" s="20">
        <v>1</v>
      </c>
      <c r="M2" s="20">
        <v>2</v>
      </c>
      <c r="N2" s="20">
        <v>2</v>
      </c>
      <c r="O2" s="20">
        <v>2</v>
      </c>
      <c r="P2" s="20">
        <v>2</v>
      </c>
      <c r="Q2" s="20">
        <v>2</v>
      </c>
      <c r="R2" s="20">
        <v>2</v>
      </c>
      <c r="S2" s="20">
        <v>1</v>
      </c>
      <c r="T2" s="20">
        <v>2</v>
      </c>
      <c r="U2" s="20">
        <v>2</v>
      </c>
      <c r="V2" s="20">
        <v>1</v>
      </c>
      <c r="W2" s="19">
        <v>31</v>
      </c>
      <c r="X2" s="19">
        <v>7</v>
      </c>
      <c r="Y2" s="19">
        <v>10</v>
      </c>
      <c r="Z2" s="28" cm="1">
        <f t="array" ref="Z2">SUMPRODUCT((_xlfn.XLOOKUP(C2, 'Course Stats'!A:A, 'Course Stats'!G:X)=3)*(E2:V2)) / COUNTIF(_xlfn.XLOOKUP(C2, 'Course Stats'!A:A, 'Course Stats'!G:X), 3)</f>
        <v>1.75</v>
      </c>
      <c r="AA2" s="28" cm="1">
        <f t="array" ref="AA2">SUMPRODUCT((_xlfn.XLOOKUP(C2, 'Course Stats'!A:A, 'Course Stats'!G:X)=4)*(E2:V2)) / COUNTIF(_xlfn.XLOOKUP(C2, 'Course Stats'!A:A, 'Course Stats'!G:X), 4)</f>
        <v>1.6363636363636365</v>
      </c>
      <c r="AB2" s="28" cm="1">
        <f t="array" ref="AB2">SUMPRODUCT((_xlfn.XLOOKUP(C2, 'Course Stats'!A:A, 'Course Stats'!G:X)=5)*(E2:V2)) / COUNTIF(_xlfn.XLOOKUP(C2, 'Course Stats'!A:A, 'Course Stats'!G:X), 5)</f>
        <v>2</v>
      </c>
    </row>
    <row r="3" spans="1:28" x14ac:dyDescent="0.25">
      <c r="A3" s="20" t="s">
        <v>126</v>
      </c>
      <c r="B3" s="27">
        <v>45655</v>
      </c>
      <c r="C3" s="20" t="s">
        <v>4</v>
      </c>
      <c r="D3" s="20">
        <f>SUM('Putt Log'!$E3:$V3)</f>
        <v>34</v>
      </c>
      <c r="E3" s="20">
        <v>2</v>
      </c>
      <c r="F3" s="20">
        <v>3</v>
      </c>
      <c r="G3" s="20">
        <v>2</v>
      </c>
      <c r="H3" s="20">
        <v>2</v>
      </c>
      <c r="I3" s="20">
        <v>2</v>
      </c>
      <c r="J3" s="20">
        <v>2</v>
      </c>
      <c r="K3" s="20">
        <v>1</v>
      </c>
      <c r="L3" s="20">
        <v>2</v>
      </c>
      <c r="M3" s="20">
        <v>2</v>
      </c>
      <c r="N3" s="20">
        <v>2</v>
      </c>
      <c r="O3" s="20">
        <v>1</v>
      </c>
      <c r="P3" s="20">
        <v>2</v>
      </c>
      <c r="Q3" s="20">
        <v>2</v>
      </c>
      <c r="R3" s="20">
        <v>2</v>
      </c>
      <c r="S3" s="20">
        <v>1</v>
      </c>
      <c r="T3" s="20">
        <v>2</v>
      </c>
      <c r="U3" s="20">
        <v>2</v>
      </c>
      <c r="V3" s="20">
        <v>2</v>
      </c>
      <c r="W3" s="19">
        <v>34</v>
      </c>
      <c r="X3" s="19">
        <v>11</v>
      </c>
      <c r="Y3" s="19">
        <v>6</v>
      </c>
      <c r="Z3" s="28" cm="1">
        <f t="array" ref="Z3">SUMPRODUCT((_xlfn.XLOOKUP(C3, 'Course Stats'!A:A, 'Course Stats'!G:X)=3)*(E3:V3)) / COUNTIF(_xlfn.XLOOKUP(C3, 'Course Stats'!A:A, 'Course Stats'!G:X), 3)</f>
        <v>2</v>
      </c>
      <c r="AA3" s="28" cm="1">
        <f t="array" ref="AA3">SUMPRODUCT((_xlfn.XLOOKUP(C3, 'Course Stats'!A:A, 'Course Stats'!G:X)=4)*(E3:V3)) / COUNTIF(_xlfn.XLOOKUP(C3, 'Course Stats'!A:A, 'Course Stats'!G:X), 4)</f>
        <v>1.8</v>
      </c>
      <c r="AB3" s="28" cm="1">
        <f t="array" ref="AB3">SUMPRODUCT((_xlfn.XLOOKUP(C3, 'Course Stats'!A:A, 'Course Stats'!G:X)=5)*(E3:V3)) / COUNTIF(_xlfn.XLOOKUP(C3, 'Course Stats'!A:A, 'Course Stats'!G:X), 5)</f>
        <v>2</v>
      </c>
    </row>
    <row r="4" spans="1:28" x14ac:dyDescent="0.25">
      <c r="A4" s="20" t="s">
        <v>126</v>
      </c>
      <c r="B4" s="27">
        <v>45653</v>
      </c>
      <c r="C4" s="20" t="s">
        <v>2</v>
      </c>
      <c r="D4" s="20">
        <f>SUM('Putt Log'!$E4:$V4)</f>
        <v>31</v>
      </c>
      <c r="E4" s="20">
        <v>2</v>
      </c>
      <c r="F4" s="20">
        <v>3</v>
      </c>
      <c r="G4" s="20">
        <v>2</v>
      </c>
      <c r="H4" s="20">
        <v>2</v>
      </c>
      <c r="I4" s="20">
        <v>1</v>
      </c>
      <c r="J4" s="20">
        <v>2</v>
      </c>
      <c r="K4" s="20">
        <v>1</v>
      </c>
      <c r="L4" s="20">
        <v>2</v>
      </c>
      <c r="M4" s="20">
        <v>2</v>
      </c>
      <c r="N4" s="20">
        <v>2</v>
      </c>
      <c r="O4" s="20">
        <v>2</v>
      </c>
      <c r="P4" s="20">
        <v>2</v>
      </c>
      <c r="Q4" s="20">
        <v>1</v>
      </c>
      <c r="R4" s="20">
        <v>1</v>
      </c>
      <c r="S4" s="20">
        <v>1</v>
      </c>
      <c r="T4" s="20">
        <v>2</v>
      </c>
      <c r="U4" s="20">
        <v>2</v>
      </c>
      <c r="V4" s="20">
        <v>1</v>
      </c>
      <c r="W4" s="19">
        <v>31</v>
      </c>
      <c r="X4" s="19">
        <v>3</v>
      </c>
      <c r="Y4" s="19">
        <v>5</v>
      </c>
      <c r="Z4" s="28" cm="1">
        <f t="array" ref="Z4">SUMPRODUCT((_xlfn.XLOOKUP(C4, 'Course Stats'!A:A, 'Course Stats'!G:X)=3)*(E4:V4)) / COUNTIF(_xlfn.XLOOKUP(C4, 'Course Stats'!A:A, 'Course Stats'!G:X), 3)</f>
        <v>2</v>
      </c>
      <c r="AA4" s="28" cm="1">
        <f t="array" ref="AA4">SUMPRODUCT((_xlfn.XLOOKUP(C4, 'Course Stats'!A:A, 'Course Stats'!G:X)=4)*(E4:V4)) / COUNTIF(_xlfn.XLOOKUP(C4, 'Course Stats'!A:A, 'Course Stats'!G:X), 4)</f>
        <v>1.7</v>
      </c>
      <c r="AB4" s="28" cm="1">
        <f t="array" ref="AB4">SUMPRODUCT((_xlfn.XLOOKUP(C4, 'Course Stats'!A:A, 'Course Stats'!G:X)=5)*(E4:V4)) / COUNTIF(_xlfn.XLOOKUP(C4, 'Course Stats'!A:A, 'Course Stats'!G:X), 5)</f>
        <v>1.5</v>
      </c>
    </row>
    <row r="5" spans="1:28" x14ac:dyDescent="0.25">
      <c r="A5" s="20" t="s">
        <v>126</v>
      </c>
      <c r="B5" s="27">
        <v>45649</v>
      </c>
      <c r="C5" s="20" t="s">
        <v>14</v>
      </c>
      <c r="D5" s="20">
        <f>SUM('Putt Log'!$E5:$V5)</f>
        <v>35</v>
      </c>
      <c r="E5" s="20">
        <v>2</v>
      </c>
      <c r="F5" s="20">
        <v>3</v>
      </c>
      <c r="G5" s="20">
        <v>2</v>
      </c>
      <c r="H5" s="20">
        <v>2</v>
      </c>
      <c r="I5" s="20">
        <v>2</v>
      </c>
      <c r="J5" s="20">
        <v>2</v>
      </c>
      <c r="K5" s="20">
        <v>2</v>
      </c>
      <c r="L5" s="20">
        <v>2</v>
      </c>
      <c r="M5" s="20">
        <v>2</v>
      </c>
      <c r="N5" s="20">
        <v>1</v>
      </c>
      <c r="O5" s="20">
        <v>2</v>
      </c>
      <c r="P5" s="20">
        <v>2</v>
      </c>
      <c r="Q5" s="20">
        <v>1</v>
      </c>
      <c r="R5" s="20">
        <v>2</v>
      </c>
      <c r="S5" s="20">
        <v>2</v>
      </c>
      <c r="T5" s="20">
        <v>2</v>
      </c>
      <c r="U5" s="20">
        <v>2</v>
      </c>
      <c r="V5" s="20">
        <v>2</v>
      </c>
      <c r="W5" s="19">
        <v>35</v>
      </c>
      <c r="X5" s="19">
        <v>5</v>
      </c>
      <c r="Y5" s="19">
        <v>1</v>
      </c>
      <c r="Z5" s="28" cm="1">
        <f t="array" ref="Z5">SUMPRODUCT((_xlfn.XLOOKUP(C5, 'Course Stats'!A:A, 'Course Stats'!G:X)=3)*(E5:V5)) / COUNTIF(_xlfn.XLOOKUP(C5, 'Course Stats'!A:A, 'Course Stats'!G:X), 3)</f>
        <v>2.25</v>
      </c>
      <c r="AA5" s="28" cm="1">
        <f t="array" ref="AA5">SUMPRODUCT((_xlfn.XLOOKUP(C5, 'Course Stats'!A:A, 'Course Stats'!G:X)=4)*(E5:V5)) / COUNTIF(_xlfn.XLOOKUP(C5, 'Course Stats'!A:A, 'Course Stats'!G:X), 4)</f>
        <v>1.8181818181818181</v>
      </c>
      <c r="AB5" s="28" cm="1">
        <f t="array" ref="AB5">SUMPRODUCT((_xlfn.XLOOKUP(C5, 'Course Stats'!A:A, 'Course Stats'!G:X)=5)*(E5:V5)) / COUNTIF(_xlfn.XLOOKUP(C5, 'Course Stats'!A:A, 'Course Stats'!G:X), 5)</f>
        <v>2</v>
      </c>
    </row>
    <row r="6" spans="1:28" x14ac:dyDescent="0.25">
      <c r="A6" s="20" t="s">
        <v>126</v>
      </c>
      <c r="B6" s="27">
        <v>45580</v>
      </c>
      <c r="C6" s="20" t="s">
        <v>7</v>
      </c>
      <c r="D6" s="20">
        <f>SUM('Putt Log'!$E6:$V6)</f>
        <v>29</v>
      </c>
      <c r="E6" s="20">
        <v>3</v>
      </c>
      <c r="F6" s="20">
        <v>3</v>
      </c>
      <c r="G6" s="20">
        <v>1</v>
      </c>
      <c r="H6" s="20">
        <v>2</v>
      </c>
      <c r="I6" s="20">
        <v>1</v>
      </c>
      <c r="J6" s="20">
        <v>1</v>
      </c>
      <c r="K6" s="20">
        <v>1</v>
      </c>
      <c r="L6" s="20">
        <v>1</v>
      </c>
      <c r="M6" s="20">
        <v>2</v>
      </c>
      <c r="N6" s="20">
        <v>1</v>
      </c>
      <c r="O6" s="20">
        <v>2</v>
      </c>
      <c r="P6" s="20">
        <v>2</v>
      </c>
      <c r="Q6" s="20">
        <v>2</v>
      </c>
      <c r="R6" s="20">
        <v>2</v>
      </c>
      <c r="S6" s="20">
        <v>2</v>
      </c>
      <c r="T6" s="20">
        <v>1</v>
      </c>
      <c r="U6" s="20">
        <v>1</v>
      </c>
      <c r="V6" s="20">
        <v>1</v>
      </c>
      <c r="W6" s="19">
        <v>29</v>
      </c>
      <c r="X6" s="19">
        <v>6</v>
      </c>
      <c r="Y6" s="19">
        <v>5</v>
      </c>
      <c r="Z6" s="28" cm="1">
        <f t="array" ref="Z6">SUMPRODUCT((_xlfn.XLOOKUP(C6, 'Course Stats'!A:A, 'Course Stats'!G:X)=3)*(E6:V6)) / COUNTIF(_xlfn.XLOOKUP(C6, 'Course Stats'!A:A, 'Course Stats'!G:X), 3)</f>
        <v>1.5</v>
      </c>
      <c r="AA6" s="28" cm="1">
        <f t="array" ref="AA6">SUMPRODUCT((_xlfn.XLOOKUP(C6, 'Course Stats'!A:A, 'Course Stats'!G:X)=4)*(E6:V6)) / COUNTIF(_xlfn.XLOOKUP(C6, 'Course Stats'!A:A, 'Course Stats'!G:X), 4)</f>
        <v>1.6</v>
      </c>
      <c r="AB6" s="28" cm="1">
        <f t="array" ref="AB6">SUMPRODUCT((_xlfn.XLOOKUP(C6, 'Course Stats'!A:A, 'Course Stats'!G:X)=5)*(E6:V6)) / COUNTIF(_xlfn.XLOOKUP(C6, 'Course Stats'!A:A, 'Course Stats'!G:X), 5)</f>
        <v>1.75</v>
      </c>
    </row>
    <row r="7" spans="1:28" x14ac:dyDescent="0.25">
      <c r="A7" s="20" t="s">
        <v>126</v>
      </c>
      <c r="B7" s="27">
        <v>45570</v>
      </c>
      <c r="C7" s="20" t="s">
        <v>3</v>
      </c>
      <c r="D7" s="20">
        <f>SUM('Putt Log'!$E7:$V7)</f>
        <v>29</v>
      </c>
      <c r="E7" s="20">
        <v>2</v>
      </c>
      <c r="F7" s="20">
        <v>2</v>
      </c>
      <c r="G7" s="20">
        <v>0</v>
      </c>
      <c r="H7" s="20">
        <v>2</v>
      </c>
      <c r="I7" s="20">
        <v>2</v>
      </c>
      <c r="J7" s="20">
        <v>2</v>
      </c>
      <c r="K7" s="20">
        <v>2</v>
      </c>
      <c r="L7" s="20">
        <v>2</v>
      </c>
      <c r="M7" s="20">
        <v>1</v>
      </c>
      <c r="N7" s="20">
        <v>1</v>
      </c>
      <c r="O7" s="20">
        <v>2</v>
      </c>
      <c r="P7" s="20">
        <v>1</v>
      </c>
      <c r="Q7" s="20">
        <v>1</v>
      </c>
      <c r="R7" s="20">
        <v>3</v>
      </c>
      <c r="S7" s="20">
        <v>2</v>
      </c>
      <c r="T7" s="20">
        <v>1</v>
      </c>
      <c r="U7" s="20">
        <v>2</v>
      </c>
      <c r="V7" s="20">
        <v>1</v>
      </c>
      <c r="W7" s="19">
        <v>29</v>
      </c>
      <c r="X7" s="19">
        <v>5</v>
      </c>
      <c r="Y7" s="19">
        <v>5</v>
      </c>
      <c r="Z7" s="28" cm="1">
        <f t="array" ref="Z7">SUMPRODUCT((_xlfn.XLOOKUP(C7, 'Course Stats'!A:A, 'Course Stats'!G:X)=3)*(E7:V7)) / COUNTIF(_xlfn.XLOOKUP(C7, 'Course Stats'!A:A, 'Course Stats'!G:X), 3)</f>
        <v>1.5</v>
      </c>
      <c r="AA7" s="28" cm="1">
        <f t="array" ref="AA7">SUMPRODUCT((_xlfn.XLOOKUP(C7, 'Course Stats'!A:A, 'Course Stats'!G:X)=4)*(E7:V7)) / COUNTIF(_xlfn.XLOOKUP(C7, 'Course Stats'!A:A, 'Course Stats'!G:X), 4)</f>
        <v>1.7272727272727273</v>
      </c>
      <c r="AB7" s="28" cm="1">
        <f t="array" ref="AB7">SUMPRODUCT((_xlfn.XLOOKUP(C7, 'Course Stats'!A:A, 'Course Stats'!G:X)=5)*(E7:V7)) / COUNTIF(_xlfn.XLOOKUP(C7, 'Course Stats'!A:A, 'Course Stats'!G:X), 5)</f>
        <v>1.3333333333333333</v>
      </c>
    </row>
    <row r="8" spans="1:28" x14ac:dyDescent="0.25">
      <c r="A8" s="20" t="s">
        <v>126</v>
      </c>
      <c r="B8" s="27">
        <v>45535</v>
      </c>
      <c r="C8" s="20" t="s">
        <v>9</v>
      </c>
      <c r="D8" s="20">
        <f>SUM('Putt Log'!$E8:$V8)</f>
        <v>32</v>
      </c>
      <c r="E8" s="20">
        <v>2</v>
      </c>
      <c r="F8" s="20">
        <v>2</v>
      </c>
      <c r="G8" s="20">
        <v>2</v>
      </c>
      <c r="H8" s="20">
        <v>2</v>
      </c>
      <c r="I8" s="20">
        <v>1</v>
      </c>
      <c r="J8" s="20">
        <v>2</v>
      </c>
      <c r="K8" s="20">
        <v>2</v>
      </c>
      <c r="L8" s="20">
        <v>2</v>
      </c>
      <c r="M8" s="20">
        <v>1</v>
      </c>
      <c r="N8" s="20">
        <v>2</v>
      </c>
      <c r="O8" s="20">
        <v>2</v>
      </c>
      <c r="P8" s="20">
        <v>2</v>
      </c>
      <c r="Q8" s="20">
        <v>2</v>
      </c>
      <c r="R8" s="20">
        <v>1</v>
      </c>
      <c r="S8" s="20">
        <v>1</v>
      </c>
      <c r="T8" s="20">
        <v>2</v>
      </c>
      <c r="U8" s="20">
        <v>2</v>
      </c>
      <c r="V8" s="20">
        <v>2</v>
      </c>
      <c r="W8" s="19">
        <v>32</v>
      </c>
      <c r="X8" s="19">
        <v>6</v>
      </c>
      <c r="Y8" s="19">
        <v>3</v>
      </c>
      <c r="Z8" s="28" cm="1">
        <f t="array" ref="Z8">SUMPRODUCT((_xlfn.XLOOKUP(C8, 'Course Stats'!A:A, 'Course Stats'!G:X)=3)*(E8:V8)) / COUNTIF(_xlfn.XLOOKUP(C8, 'Course Stats'!A:A, 'Course Stats'!G:X), 3)</f>
        <v>1.75</v>
      </c>
      <c r="AA8" s="28" cm="1">
        <f t="array" ref="AA8">SUMPRODUCT((_xlfn.XLOOKUP(C8, 'Course Stats'!A:A, 'Course Stats'!G:X)=4)*(E8:V8)) / COUNTIF(_xlfn.XLOOKUP(C8, 'Course Stats'!A:A, 'Course Stats'!G:X), 4)</f>
        <v>1.7272727272727273</v>
      </c>
      <c r="AB8" s="28" cm="1">
        <f t="array" ref="AB8">SUMPRODUCT((_xlfn.XLOOKUP(C8, 'Course Stats'!A:A, 'Course Stats'!G:X)=5)*(E8:V8)) / COUNTIF(_xlfn.XLOOKUP(C8, 'Course Stats'!A:A, 'Course Stats'!G:X), 5)</f>
        <v>2</v>
      </c>
    </row>
    <row r="9" spans="1:28" x14ac:dyDescent="0.25">
      <c r="A9" s="20" t="s">
        <v>126</v>
      </c>
      <c r="B9" s="27">
        <v>45514</v>
      </c>
      <c r="C9" s="20" t="s">
        <v>6</v>
      </c>
      <c r="D9" s="20">
        <f>SUM('Putt Log'!$E9:$V9)</f>
        <v>31</v>
      </c>
      <c r="E9" s="20">
        <v>2</v>
      </c>
      <c r="F9" s="20">
        <v>2</v>
      </c>
      <c r="G9" s="20">
        <v>2</v>
      </c>
      <c r="H9" s="20">
        <v>2</v>
      </c>
      <c r="I9" s="20">
        <v>1</v>
      </c>
      <c r="J9" s="20">
        <v>2</v>
      </c>
      <c r="K9" s="20">
        <v>2</v>
      </c>
      <c r="L9" s="20">
        <v>2</v>
      </c>
      <c r="M9" s="20">
        <v>2</v>
      </c>
      <c r="N9" s="20">
        <v>1</v>
      </c>
      <c r="O9" s="20">
        <v>1</v>
      </c>
      <c r="P9" s="20">
        <v>2</v>
      </c>
      <c r="Q9" s="20">
        <v>2</v>
      </c>
      <c r="R9" s="20">
        <v>2</v>
      </c>
      <c r="S9" s="20">
        <v>2</v>
      </c>
      <c r="T9" s="20">
        <v>2</v>
      </c>
      <c r="U9" s="20">
        <v>1</v>
      </c>
      <c r="V9" s="20">
        <v>1</v>
      </c>
      <c r="W9" s="19">
        <v>31</v>
      </c>
      <c r="X9" s="19">
        <v>6</v>
      </c>
      <c r="Y9" s="19">
        <v>4</v>
      </c>
      <c r="Z9" s="28" cm="1">
        <f t="array" ref="Z9">SUMPRODUCT((_xlfn.XLOOKUP(C9, 'Course Stats'!A:A, 'Course Stats'!G:X)=3)*(E9:V9)) / COUNTIF(_xlfn.XLOOKUP(C9, 'Course Stats'!A:A, 'Course Stats'!G:X), 3)</f>
        <v>1.6666666666666667</v>
      </c>
      <c r="AA9" s="28" cm="1">
        <f t="array" ref="AA9">SUMPRODUCT((_xlfn.XLOOKUP(C9, 'Course Stats'!A:A, 'Course Stats'!G:X)=4)*(E9:V9)) / COUNTIF(_xlfn.XLOOKUP(C9, 'Course Stats'!A:A, 'Course Stats'!G:X), 4)</f>
        <v>1.75</v>
      </c>
      <c r="AB9" s="28" cm="1">
        <f t="array" ref="AB9">SUMPRODUCT((_xlfn.XLOOKUP(C9, 'Course Stats'!A:A, 'Course Stats'!G:X)=5)*(E9:V9)) / COUNTIF(_xlfn.XLOOKUP(C9, 'Course Stats'!A:A, 'Course Stats'!G:X), 5)</f>
        <v>1.6666666666666667</v>
      </c>
    </row>
    <row r="10" spans="1:28" x14ac:dyDescent="0.25">
      <c r="A10" s="20" t="s">
        <v>126</v>
      </c>
      <c r="B10" s="27">
        <v>45502</v>
      </c>
      <c r="C10" s="20" t="s">
        <v>3</v>
      </c>
      <c r="D10" s="20">
        <f>SUM('Putt Log'!$E10:$V10)</f>
        <v>29</v>
      </c>
      <c r="E10" s="20">
        <v>2</v>
      </c>
      <c r="F10" s="20">
        <v>2</v>
      </c>
      <c r="G10" s="20">
        <v>2</v>
      </c>
      <c r="H10" s="20">
        <v>1</v>
      </c>
      <c r="I10" s="20">
        <v>1</v>
      </c>
      <c r="J10" s="20">
        <v>2</v>
      </c>
      <c r="K10" s="20">
        <v>1</v>
      </c>
      <c r="L10" s="20">
        <v>2</v>
      </c>
      <c r="M10" s="20">
        <v>1</v>
      </c>
      <c r="N10" s="20">
        <v>1</v>
      </c>
      <c r="O10" s="20">
        <v>1</v>
      </c>
      <c r="P10" s="20">
        <v>2</v>
      </c>
      <c r="Q10" s="20">
        <v>2</v>
      </c>
      <c r="R10" s="20">
        <v>2</v>
      </c>
      <c r="S10" s="20">
        <v>2</v>
      </c>
      <c r="T10" s="20">
        <v>1</v>
      </c>
      <c r="U10" s="20">
        <v>2</v>
      </c>
      <c r="V10" s="20">
        <v>2</v>
      </c>
      <c r="W10" s="19">
        <v>29</v>
      </c>
      <c r="X10" s="19">
        <v>6</v>
      </c>
      <c r="Y10" s="19">
        <v>4</v>
      </c>
      <c r="Z10" s="28" cm="1">
        <f t="array" ref="Z10">SUMPRODUCT((_xlfn.XLOOKUP(C10, 'Course Stats'!A:A, 'Course Stats'!G:X)=3)*(E10:V10)) / COUNTIF(_xlfn.XLOOKUP(C10, 'Course Stats'!A:A, 'Course Stats'!G:X), 3)</f>
        <v>1.75</v>
      </c>
      <c r="AA10" s="28" cm="1">
        <f t="array" ref="AA10">SUMPRODUCT((_xlfn.XLOOKUP(C10, 'Course Stats'!A:A, 'Course Stats'!G:X)=4)*(E10:V10)) / COUNTIF(_xlfn.XLOOKUP(C10, 'Course Stats'!A:A, 'Course Stats'!G:X), 4)</f>
        <v>1.6363636363636365</v>
      </c>
      <c r="AB10" s="28" cm="1">
        <f t="array" ref="AB10">SUMPRODUCT((_xlfn.XLOOKUP(C10, 'Course Stats'!A:A, 'Course Stats'!G:X)=5)*(E10:V10)) / COUNTIF(_xlfn.XLOOKUP(C10, 'Course Stats'!A:A, 'Course Stats'!G:X), 5)</f>
        <v>1.3333333333333333</v>
      </c>
    </row>
    <row r="11" spans="1:28" x14ac:dyDescent="0.25">
      <c r="A11" s="20" t="s">
        <v>126</v>
      </c>
      <c r="B11" s="27">
        <v>45496</v>
      </c>
      <c r="C11" s="20" t="s">
        <v>6</v>
      </c>
      <c r="D11" s="20">
        <f>SUM('Putt Log'!$E11:$V11)</f>
        <v>27</v>
      </c>
      <c r="E11" s="20">
        <v>1</v>
      </c>
      <c r="F11" s="20">
        <v>1</v>
      </c>
      <c r="G11" s="20">
        <v>2</v>
      </c>
      <c r="H11" s="20">
        <v>1</v>
      </c>
      <c r="I11" s="20">
        <v>2</v>
      </c>
      <c r="J11" s="20">
        <v>2</v>
      </c>
      <c r="K11" s="20">
        <v>2</v>
      </c>
      <c r="L11" s="20">
        <v>2</v>
      </c>
      <c r="M11" s="20">
        <v>2</v>
      </c>
      <c r="N11" s="20">
        <v>2</v>
      </c>
      <c r="O11" s="20">
        <v>1</v>
      </c>
      <c r="P11" s="20">
        <v>2</v>
      </c>
      <c r="Q11" s="20">
        <v>1</v>
      </c>
      <c r="R11" s="20">
        <v>1</v>
      </c>
      <c r="S11" s="20">
        <v>1</v>
      </c>
      <c r="T11" s="20">
        <v>1</v>
      </c>
      <c r="U11" s="20">
        <v>1</v>
      </c>
      <c r="V11" s="20">
        <v>2</v>
      </c>
      <c r="W11" s="19">
        <v>27</v>
      </c>
      <c r="X11" s="19">
        <v>9</v>
      </c>
      <c r="Y11" s="19">
        <v>3</v>
      </c>
      <c r="Z11" s="28" cm="1">
        <f t="array" ref="Z11">SUMPRODUCT((_xlfn.XLOOKUP(C11, 'Course Stats'!A:A, 'Course Stats'!G:X)=3)*(E11:V11)) / COUNTIF(_xlfn.XLOOKUP(C11, 'Course Stats'!A:A, 'Course Stats'!G:X), 3)</f>
        <v>1.6666666666666667</v>
      </c>
      <c r="AA11" s="28" cm="1">
        <f t="array" ref="AA11">SUMPRODUCT((_xlfn.XLOOKUP(C11, 'Course Stats'!A:A, 'Course Stats'!G:X)=4)*(E11:V11)) / COUNTIF(_xlfn.XLOOKUP(C11, 'Course Stats'!A:A, 'Course Stats'!G:X), 4)</f>
        <v>1.5833333333333333</v>
      </c>
      <c r="AB11" s="28" cm="1">
        <f t="array" ref="AB11">SUMPRODUCT((_xlfn.XLOOKUP(C11, 'Course Stats'!A:A, 'Course Stats'!G:X)=5)*(E11:V11)) / COUNTIF(_xlfn.XLOOKUP(C11, 'Course Stats'!A:A, 'Course Stats'!G:X), 5)</f>
        <v>1</v>
      </c>
    </row>
    <row r="12" spans="1:28" x14ac:dyDescent="0.25">
      <c r="A12" s="20" t="s">
        <v>126</v>
      </c>
      <c r="B12" s="27">
        <v>45492</v>
      </c>
      <c r="C12" s="20" t="s">
        <v>6</v>
      </c>
      <c r="D12" s="20">
        <f>SUM('Putt Log'!$E12:$V12)</f>
        <v>29</v>
      </c>
      <c r="E12" s="20">
        <v>2</v>
      </c>
      <c r="F12" s="20">
        <v>2</v>
      </c>
      <c r="G12" s="20">
        <v>2</v>
      </c>
      <c r="H12" s="20">
        <v>2</v>
      </c>
      <c r="I12" s="20">
        <v>1</v>
      </c>
      <c r="J12" s="20">
        <v>1</v>
      </c>
      <c r="K12" s="20">
        <v>1</v>
      </c>
      <c r="L12" s="20">
        <v>1</v>
      </c>
      <c r="M12" s="20">
        <v>2</v>
      </c>
      <c r="N12" s="20">
        <v>2</v>
      </c>
      <c r="O12" s="20">
        <v>2</v>
      </c>
      <c r="P12" s="20">
        <v>2</v>
      </c>
      <c r="Q12" s="20">
        <v>2</v>
      </c>
      <c r="R12" s="20">
        <v>1</v>
      </c>
      <c r="S12" s="20">
        <v>2</v>
      </c>
      <c r="T12" s="20">
        <v>1</v>
      </c>
      <c r="U12" s="20">
        <v>1</v>
      </c>
      <c r="V12" s="20">
        <v>2</v>
      </c>
      <c r="W12" s="19">
        <v>29</v>
      </c>
      <c r="X12" s="19">
        <v>8</v>
      </c>
      <c r="Y12" s="19">
        <v>5</v>
      </c>
      <c r="Z12" s="28" cm="1">
        <f t="array" ref="Z12">SUMPRODUCT((_xlfn.XLOOKUP(C12, 'Course Stats'!A:A, 'Course Stats'!G:X)=3)*(E12:V12)) / COUNTIF(_xlfn.XLOOKUP(C12, 'Course Stats'!A:A, 'Course Stats'!G:X), 3)</f>
        <v>1.3333333333333333</v>
      </c>
      <c r="AA12" s="28" cm="1">
        <f t="array" ref="AA12">SUMPRODUCT((_xlfn.XLOOKUP(C12, 'Course Stats'!A:A, 'Course Stats'!G:X)=4)*(E12:V12)) / COUNTIF(_xlfn.XLOOKUP(C12, 'Course Stats'!A:A, 'Course Stats'!G:X), 4)</f>
        <v>1.6666666666666667</v>
      </c>
      <c r="AB12" s="28" cm="1">
        <f t="array" ref="AB12">SUMPRODUCT((_xlfn.XLOOKUP(C12, 'Course Stats'!A:A, 'Course Stats'!G:X)=5)*(E12:V12)) / COUNTIF(_xlfn.XLOOKUP(C12, 'Course Stats'!A:A, 'Course Stats'!G:X), 5)</f>
        <v>1.6666666666666667</v>
      </c>
    </row>
    <row r="13" spans="1:28" x14ac:dyDescent="0.25">
      <c r="A13" s="20" t="s">
        <v>126</v>
      </c>
      <c r="B13" s="27">
        <v>45487</v>
      </c>
      <c r="C13" s="20" t="s">
        <v>3</v>
      </c>
      <c r="D13" s="20">
        <f>SUM('Putt Log'!$E13:$V13)</f>
        <v>29</v>
      </c>
      <c r="E13" s="20">
        <v>1</v>
      </c>
      <c r="F13" s="20">
        <v>2</v>
      </c>
      <c r="G13" s="20">
        <v>1</v>
      </c>
      <c r="H13" s="20">
        <v>2</v>
      </c>
      <c r="I13" s="20">
        <v>1</v>
      </c>
      <c r="J13" s="20">
        <v>2</v>
      </c>
      <c r="K13" s="20">
        <v>2</v>
      </c>
      <c r="L13" s="20">
        <v>2</v>
      </c>
      <c r="M13" s="20">
        <v>2</v>
      </c>
      <c r="N13" s="20">
        <v>1</v>
      </c>
      <c r="O13" s="20">
        <v>2</v>
      </c>
      <c r="P13" s="20">
        <v>1</v>
      </c>
      <c r="Q13" s="20">
        <v>2</v>
      </c>
      <c r="R13" s="20">
        <v>2</v>
      </c>
      <c r="S13" s="20">
        <v>2</v>
      </c>
      <c r="T13" s="20">
        <v>1</v>
      </c>
      <c r="U13" s="20">
        <v>1</v>
      </c>
      <c r="V13" s="20">
        <v>2</v>
      </c>
      <c r="W13" s="19">
        <v>29</v>
      </c>
      <c r="X13" s="19">
        <v>3</v>
      </c>
      <c r="Y13" s="19">
        <v>6</v>
      </c>
      <c r="Z13" s="28" cm="1">
        <f t="array" ref="Z13">SUMPRODUCT((_xlfn.XLOOKUP(C13, 'Course Stats'!A:A, 'Course Stats'!G:X)=3)*(E13:V13)) / COUNTIF(_xlfn.XLOOKUP(C13, 'Course Stats'!A:A, 'Course Stats'!G:X), 3)</f>
        <v>1.75</v>
      </c>
      <c r="AA13" s="28" cm="1">
        <f t="array" ref="AA13">SUMPRODUCT((_xlfn.XLOOKUP(C13, 'Course Stats'!A:A, 'Course Stats'!G:X)=4)*(E13:V13)) / COUNTIF(_xlfn.XLOOKUP(C13, 'Course Stats'!A:A, 'Course Stats'!G:X), 4)</f>
        <v>1.4545454545454546</v>
      </c>
      <c r="AB13" s="28" cm="1">
        <f t="array" ref="AB13">SUMPRODUCT((_xlfn.XLOOKUP(C13, 'Course Stats'!A:A, 'Course Stats'!G:X)=5)*(E13:V13)) / COUNTIF(_xlfn.XLOOKUP(C13, 'Course Stats'!A:A, 'Course Stats'!G:X), 5)</f>
        <v>2</v>
      </c>
    </row>
    <row r="14" spans="1:28" x14ac:dyDescent="0.25">
      <c r="A14" s="20" t="s">
        <v>126</v>
      </c>
      <c r="B14" s="27">
        <v>45480</v>
      </c>
      <c r="C14" s="20" t="s">
        <v>10</v>
      </c>
      <c r="D14" s="20">
        <f>SUM('Putt Log'!$E14:$V14)</f>
        <v>30</v>
      </c>
      <c r="E14" s="20">
        <v>2</v>
      </c>
      <c r="F14" s="20">
        <v>1</v>
      </c>
      <c r="G14" s="20">
        <v>2</v>
      </c>
      <c r="H14" s="20">
        <v>2</v>
      </c>
      <c r="I14" s="20">
        <v>2</v>
      </c>
      <c r="J14" s="20">
        <v>2</v>
      </c>
      <c r="K14" s="20">
        <v>2</v>
      </c>
      <c r="L14" s="20">
        <v>2</v>
      </c>
      <c r="M14" s="20">
        <v>2</v>
      </c>
      <c r="N14" s="20">
        <v>2</v>
      </c>
      <c r="O14" s="20">
        <v>1</v>
      </c>
      <c r="P14" s="20">
        <v>1</v>
      </c>
      <c r="Q14" s="20">
        <v>2</v>
      </c>
      <c r="R14" s="20">
        <v>1</v>
      </c>
      <c r="S14" s="20">
        <v>2</v>
      </c>
      <c r="T14" s="20">
        <v>2</v>
      </c>
      <c r="U14" s="20">
        <v>1</v>
      </c>
      <c r="V14" s="20">
        <v>1</v>
      </c>
      <c r="W14" s="19">
        <v>30</v>
      </c>
      <c r="X14" s="19">
        <v>8</v>
      </c>
      <c r="Y14" s="19">
        <v>2</v>
      </c>
      <c r="Z14" s="28" cm="1">
        <f t="array" ref="Z14">SUMPRODUCT((_xlfn.XLOOKUP(C14, 'Course Stats'!A:A, 'Course Stats'!G:X)=3)*(E14:V14)) / COUNTIF(_xlfn.XLOOKUP(C14, 'Course Stats'!A:A, 'Course Stats'!G:X), 3)</f>
        <v>1.5</v>
      </c>
      <c r="AA14" s="28" cm="1">
        <f t="array" ref="AA14">SUMPRODUCT((_xlfn.XLOOKUP(C14, 'Course Stats'!A:A, 'Course Stats'!G:X)=4)*(E14:V14)) / COUNTIF(_xlfn.XLOOKUP(C14, 'Course Stats'!A:A, 'Course Stats'!G:X), 4)</f>
        <v>1.6666666666666667</v>
      </c>
      <c r="AB14" s="28" cm="1">
        <f t="array" ref="AB14">SUMPRODUCT((_xlfn.XLOOKUP(C14, 'Course Stats'!A:A, 'Course Stats'!G:X)=5)*(E14:V14)) / COUNTIF(_xlfn.XLOOKUP(C14, 'Course Stats'!A:A, 'Course Stats'!G:X), 5)</f>
        <v>2</v>
      </c>
    </row>
    <row r="15" spans="1:28" x14ac:dyDescent="0.25">
      <c r="A15" s="20" t="s">
        <v>126</v>
      </c>
      <c r="B15" s="27">
        <v>45475</v>
      </c>
      <c r="C15" s="20" t="s">
        <v>5</v>
      </c>
      <c r="D15" s="20">
        <f>SUM('Putt Log'!$E15:$V15)</f>
        <v>29</v>
      </c>
      <c r="E15" s="20">
        <v>2</v>
      </c>
      <c r="F15" s="20">
        <v>1</v>
      </c>
      <c r="G15" s="20">
        <v>2</v>
      </c>
      <c r="H15" s="20">
        <v>2</v>
      </c>
      <c r="I15" s="20">
        <v>1</v>
      </c>
      <c r="J15" s="20">
        <v>1</v>
      </c>
      <c r="K15" s="20">
        <v>1</v>
      </c>
      <c r="L15" s="20">
        <v>2</v>
      </c>
      <c r="M15" s="20">
        <v>1</v>
      </c>
      <c r="N15" s="20">
        <v>2</v>
      </c>
      <c r="O15" s="20">
        <v>1</v>
      </c>
      <c r="P15" s="20">
        <v>1</v>
      </c>
      <c r="Q15" s="20">
        <v>2</v>
      </c>
      <c r="R15" s="20">
        <v>2</v>
      </c>
      <c r="S15" s="20">
        <v>2</v>
      </c>
      <c r="T15" s="20">
        <v>2</v>
      </c>
      <c r="U15" s="20">
        <v>2</v>
      </c>
      <c r="V15" s="20">
        <v>2</v>
      </c>
      <c r="W15" s="19">
        <v>29</v>
      </c>
      <c r="X15" s="19">
        <v>8</v>
      </c>
      <c r="Y15" s="19">
        <v>8</v>
      </c>
      <c r="Z15" s="28" cm="1">
        <f t="array" ref="Z15">SUMPRODUCT((_xlfn.XLOOKUP(C15, 'Course Stats'!A:A, 'Course Stats'!G:X)=3)*(E15:V15)) / COUNTIF(_xlfn.XLOOKUP(C15, 'Course Stats'!A:A, 'Course Stats'!G:X), 3)</f>
        <v>1.5</v>
      </c>
      <c r="AA15" s="28" cm="1">
        <f t="array" ref="AA15">SUMPRODUCT((_xlfn.XLOOKUP(C15, 'Course Stats'!A:A, 'Course Stats'!G:X)=4)*(E15:V15)) / COUNTIF(_xlfn.XLOOKUP(C15, 'Course Stats'!A:A, 'Course Stats'!G:X), 4)</f>
        <v>1.6</v>
      </c>
      <c r="AB15" s="28" cm="1">
        <f t="array" ref="AB15">SUMPRODUCT((_xlfn.XLOOKUP(C15, 'Course Stats'!A:A, 'Course Stats'!G:X)=5)*(E15:V15)) / COUNTIF(_xlfn.XLOOKUP(C15, 'Course Stats'!A:A, 'Course Stats'!G:X), 5)</f>
        <v>1.75</v>
      </c>
    </row>
    <row r="16" spans="1:28" x14ac:dyDescent="0.25">
      <c r="A16" s="20" t="s">
        <v>126</v>
      </c>
      <c r="B16" s="27">
        <v>45467</v>
      </c>
      <c r="C16" s="20" t="s">
        <v>5</v>
      </c>
      <c r="D16" s="20">
        <f>SUM('Putt Log'!$E16:$V16)</f>
        <v>33</v>
      </c>
      <c r="E16" s="20">
        <v>2</v>
      </c>
      <c r="F16" s="20">
        <v>2</v>
      </c>
      <c r="G16" s="20">
        <v>1</v>
      </c>
      <c r="H16" s="20">
        <v>2</v>
      </c>
      <c r="I16" s="20">
        <v>2</v>
      </c>
      <c r="J16" s="20">
        <v>2</v>
      </c>
      <c r="K16" s="20">
        <v>2</v>
      </c>
      <c r="L16" s="20">
        <v>1</v>
      </c>
      <c r="M16" s="20">
        <v>1</v>
      </c>
      <c r="N16" s="20">
        <v>2</v>
      </c>
      <c r="O16" s="20">
        <v>2</v>
      </c>
      <c r="P16" s="20">
        <v>2</v>
      </c>
      <c r="Q16" s="20">
        <v>2</v>
      </c>
      <c r="R16" s="20">
        <v>2</v>
      </c>
      <c r="S16" s="20">
        <v>2</v>
      </c>
      <c r="T16" s="20">
        <v>2</v>
      </c>
      <c r="U16" s="20">
        <v>2</v>
      </c>
      <c r="V16" s="20">
        <v>2</v>
      </c>
      <c r="W16" s="19">
        <v>33</v>
      </c>
      <c r="X16" s="19">
        <v>6</v>
      </c>
      <c r="Y16" s="19">
        <v>9</v>
      </c>
      <c r="Z16" s="28" cm="1">
        <f t="array" ref="Z16">SUMPRODUCT((_xlfn.XLOOKUP(C16, 'Course Stats'!A:A, 'Course Stats'!G:X)=3)*(E16:V16)) / COUNTIF(_xlfn.XLOOKUP(C16, 'Course Stats'!A:A, 'Course Stats'!G:X), 3)</f>
        <v>1.75</v>
      </c>
      <c r="AA16" s="28" cm="1">
        <f t="array" ref="AA16">SUMPRODUCT((_xlfn.XLOOKUP(C16, 'Course Stats'!A:A, 'Course Stats'!G:X)=4)*(E16:V16)) / COUNTIF(_xlfn.XLOOKUP(C16, 'Course Stats'!A:A, 'Course Stats'!G:X), 4)</f>
        <v>1.9</v>
      </c>
      <c r="AB16" s="28" cm="1">
        <f t="array" ref="AB16">SUMPRODUCT((_xlfn.XLOOKUP(C16, 'Course Stats'!A:A, 'Course Stats'!G:X)=5)*(E16:V16)) / COUNTIF(_xlfn.XLOOKUP(C16, 'Course Stats'!A:A, 'Course Stats'!G:X), 5)</f>
        <v>1.75</v>
      </c>
    </row>
    <row r="17" spans="1:28" x14ac:dyDescent="0.25">
      <c r="A17" s="20" t="s">
        <v>126</v>
      </c>
      <c r="B17" s="27">
        <v>45466</v>
      </c>
      <c r="C17" s="20" t="s">
        <v>10</v>
      </c>
      <c r="D17" s="20">
        <f>SUM('Putt Log'!$E17:$V17)</f>
        <v>30</v>
      </c>
      <c r="E17" s="20">
        <v>1</v>
      </c>
      <c r="F17" s="20">
        <v>2</v>
      </c>
      <c r="G17" s="20">
        <v>2</v>
      </c>
      <c r="H17" s="20">
        <v>1</v>
      </c>
      <c r="I17" s="20">
        <v>1</v>
      </c>
      <c r="J17" s="20">
        <v>2</v>
      </c>
      <c r="K17" s="20">
        <v>2</v>
      </c>
      <c r="L17" s="20">
        <v>2</v>
      </c>
      <c r="M17" s="20">
        <v>2</v>
      </c>
      <c r="N17" s="20">
        <v>1</v>
      </c>
      <c r="O17" s="20">
        <v>2</v>
      </c>
      <c r="P17" s="20">
        <v>2</v>
      </c>
      <c r="Q17" s="20">
        <v>2</v>
      </c>
      <c r="R17" s="20">
        <v>2</v>
      </c>
      <c r="S17" s="20">
        <v>1</v>
      </c>
      <c r="T17" s="20">
        <v>1</v>
      </c>
      <c r="U17" s="20">
        <v>2</v>
      </c>
      <c r="V17" s="20">
        <v>2</v>
      </c>
      <c r="W17" s="19">
        <v>30</v>
      </c>
      <c r="X17" s="19">
        <v>7</v>
      </c>
      <c r="Y17" s="19">
        <v>4</v>
      </c>
      <c r="Z17" s="28" cm="1">
        <f t="array" ref="Z17">SUMPRODUCT((_xlfn.XLOOKUP(C17, 'Course Stats'!A:A, 'Course Stats'!G:X)=3)*(E17:V17)) / COUNTIF(_xlfn.XLOOKUP(C17, 'Course Stats'!A:A, 'Course Stats'!G:X), 3)</f>
        <v>1.75</v>
      </c>
      <c r="AA17" s="28" cm="1">
        <f t="array" ref="AA17">SUMPRODUCT((_xlfn.XLOOKUP(C17, 'Course Stats'!A:A, 'Course Stats'!G:X)=4)*(E17:V17)) / COUNTIF(_xlfn.XLOOKUP(C17, 'Course Stats'!A:A, 'Course Stats'!G:X), 4)</f>
        <v>1.75</v>
      </c>
      <c r="AB17" s="28" cm="1">
        <f t="array" ref="AB17">SUMPRODUCT((_xlfn.XLOOKUP(C17, 'Course Stats'!A:A, 'Course Stats'!G:X)=5)*(E17:V17)) / COUNTIF(_xlfn.XLOOKUP(C17, 'Course Stats'!A:A, 'Course Stats'!G:X), 5)</f>
        <v>1</v>
      </c>
    </row>
    <row r="18" spans="1:28" x14ac:dyDescent="0.25">
      <c r="A18" s="20" t="s">
        <v>126</v>
      </c>
      <c r="B18" s="27">
        <v>45465</v>
      </c>
      <c r="C18" s="20" t="s">
        <v>12</v>
      </c>
      <c r="D18" s="20">
        <f>SUM('Putt Log'!$E18:$V18)</f>
        <v>35</v>
      </c>
      <c r="E18" s="20">
        <v>2</v>
      </c>
      <c r="F18" s="20">
        <v>3</v>
      </c>
      <c r="G18" s="20">
        <v>1</v>
      </c>
      <c r="H18" s="20">
        <v>2</v>
      </c>
      <c r="I18" s="20">
        <v>2</v>
      </c>
      <c r="J18" s="20">
        <v>2</v>
      </c>
      <c r="K18" s="20">
        <v>2</v>
      </c>
      <c r="L18" s="20">
        <v>3</v>
      </c>
      <c r="M18" s="20">
        <v>1</v>
      </c>
      <c r="N18" s="20">
        <v>2</v>
      </c>
      <c r="O18" s="20">
        <v>1</v>
      </c>
      <c r="P18" s="20">
        <v>2</v>
      </c>
      <c r="Q18" s="20">
        <v>2</v>
      </c>
      <c r="R18" s="20">
        <v>2</v>
      </c>
      <c r="S18" s="20">
        <v>2</v>
      </c>
      <c r="T18" s="20">
        <v>2</v>
      </c>
      <c r="U18" s="20">
        <v>2</v>
      </c>
      <c r="V18" s="20">
        <v>2</v>
      </c>
      <c r="W18" s="19">
        <v>35</v>
      </c>
      <c r="X18" s="19">
        <v>3</v>
      </c>
      <c r="Y18" s="19">
        <v>2</v>
      </c>
      <c r="Z18" s="28" cm="1">
        <f t="array" ref="Z18">SUMPRODUCT((_xlfn.XLOOKUP(C18, 'Course Stats'!A:A, 'Course Stats'!G:X)=3)*(E18:V18)) / COUNTIF(_xlfn.XLOOKUP(C18, 'Course Stats'!A:A, 'Course Stats'!G:X), 3)</f>
        <v>2.25</v>
      </c>
      <c r="AA18" s="28" cm="1">
        <f t="array" ref="AA18">SUMPRODUCT((_xlfn.XLOOKUP(C18, 'Course Stats'!A:A, 'Course Stats'!G:X)=4)*(E18:V18)) / COUNTIF(_xlfn.XLOOKUP(C18, 'Course Stats'!A:A, 'Course Stats'!G:X), 4)</f>
        <v>1.7</v>
      </c>
      <c r="AB18" s="28" cm="1">
        <f t="array" ref="AB18">SUMPRODUCT((_xlfn.XLOOKUP(C18, 'Course Stats'!A:A, 'Course Stats'!G:X)=5)*(E18:V18)) / COUNTIF(_xlfn.XLOOKUP(C18, 'Course Stats'!A:A, 'Course Stats'!G:X), 5)</f>
        <v>2.25</v>
      </c>
    </row>
    <row r="19" spans="1:28" x14ac:dyDescent="0.25">
      <c r="A19" s="20" t="s">
        <v>126</v>
      </c>
      <c r="B19" s="27">
        <v>45453</v>
      </c>
      <c r="C19" s="20" t="s">
        <v>11</v>
      </c>
      <c r="D19" s="20">
        <f>SUM('Putt Log'!$E19:$V19)</f>
        <v>35</v>
      </c>
      <c r="E19" s="20">
        <v>2</v>
      </c>
      <c r="F19" s="20">
        <v>2</v>
      </c>
      <c r="G19" s="20">
        <v>2</v>
      </c>
      <c r="H19" s="20">
        <v>2</v>
      </c>
      <c r="I19" s="20">
        <v>2</v>
      </c>
      <c r="J19" s="20">
        <v>2</v>
      </c>
      <c r="K19" s="20">
        <v>2</v>
      </c>
      <c r="L19" s="20">
        <v>2</v>
      </c>
      <c r="M19" s="20">
        <v>2</v>
      </c>
      <c r="N19" s="20">
        <v>2</v>
      </c>
      <c r="O19" s="20">
        <v>1</v>
      </c>
      <c r="P19" s="20">
        <v>2</v>
      </c>
      <c r="Q19" s="20">
        <v>2</v>
      </c>
      <c r="R19" s="20">
        <v>1</v>
      </c>
      <c r="S19" s="20">
        <v>2</v>
      </c>
      <c r="T19" s="20">
        <v>2</v>
      </c>
      <c r="U19" s="20">
        <v>2</v>
      </c>
      <c r="V19" s="20">
        <v>3</v>
      </c>
      <c r="W19" s="19">
        <v>35</v>
      </c>
      <c r="X19" s="19">
        <v>5</v>
      </c>
      <c r="Y19" s="19">
        <v>3</v>
      </c>
      <c r="Z19" s="28" cm="1">
        <f t="array" ref="Z19">SUMPRODUCT((_xlfn.XLOOKUP(C19, 'Course Stats'!A:A, 'Course Stats'!G:X)=3)*(E19:V19)) / COUNTIF(_xlfn.XLOOKUP(C19, 'Course Stats'!A:A, 'Course Stats'!G:X), 3)</f>
        <v>1.6</v>
      </c>
      <c r="AA19" s="28" cm="1">
        <f t="array" ref="AA19">SUMPRODUCT((_xlfn.XLOOKUP(C19, 'Course Stats'!A:A, 'Course Stats'!G:X)=4)*(E19:V19)) / COUNTIF(_xlfn.XLOOKUP(C19, 'Course Stats'!A:A, 'Course Stats'!G:X), 4)</f>
        <v>2.1111111111111112</v>
      </c>
      <c r="AB19" s="28" cm="1">
        <f t="array" ref="AB19">SUMPRODUCT((_xlfn.XLOOKUP(C19, 'Course Stats'!A:A, 'Course Stats'!G:X)=5)*(E19:V19)) / COUNTIF(_xlfn.XLOOKUP(C19, 'Course Stats'!A:A, 'Course Stats'!G:X), 5)</f>
        <v>2</v>
      </c>
    </row>
    <row r="20" spans="1:28" x14ac:dyDescent="0.25">
      <c r="A20" s="20" t="s">
        <v>126</v>
      </c>
      <c r="B20" s="27">
        <v>45443</v>
      </c>
      <c r="C20" s="20" t="s">
        <v>3</v>
      </c>
      <c r="D20" s="20">
        <f>SUM('Putt Log'!$E20:$V20)</f>
        <v>35</v>
      </c>
      <c r="E20" s="20">
        <v>2</v>
      </c>
      <c r="F20" s="20">
        <v>2</v>
      </c>
      <c r="G20" s="20">
        <v>2</v>
      </c>
      <c r="H20" s="20">
        <v>3</v>
      </c>
      <c r="I20" s="20">
        <v>1</v>
      </c>
      <c r="J20" s="20">
        <v>2</v>
      </c>
      <c r="K20" s="20">
        <v>2</v>
      </c>
      <c r="L20" s="20">
        <v>2</v>
      </c>
      <c r="M20" s="20">
        <v>2</v>
      </c>
      <c r="N20" s="20">
        <v>2</v>
      </c>
      <c r="O20" s="20">
        <v>2</v>
      </c>
      <c r="P20" s="20">
        <v>3</v>
      </c>
      <c r="Q20" s="20">
        <v>2</v>
      </c>
      <c r="R20" s="20">
        <v>1</v>
      </c>
      <c r="S20" s="20">
        <v>2</v>
      </c>
      <c r="T20" s="20">
        <v>1</v>
      </c>
      <c r="U20" s="20">
        <v>2</v>
      </c>
      <c r="V20" s="20">
        <v>2</v>
      </c>
      <c r="W20" s="19">
        <v>35</v>
      </c>
      <c r="X20" s="19">
        <v>4</v>
      </c>
      <c r="Y20" s="19">
        <v>6</v>
      </c>
      <c r="Z20" s="28" cm="1">
        <f t="array" ref="Z20">SUMPRODUCT((_xlfn.XLOOKUP(C20, 'Course Stats'!A:A, 'Course Stats'!G:X)=3)*(E20:V20)) / COUNTIF(_xlfn.XLOOKUP(C20, 'Course Stats'!A:A, 'Course Stats'!G:X), 3)</f>
        <v>2</v>
      </c>
      <c r="AA20" s="28" cm="1">
        <f t="array" ref="AA20">SUMPRODUCT((_xlfn.XLOOKUP(C20, 'Course Stats'!A:A, 'Course Stats'!G:X)=4)*(E20:V20)) / COUNTIF(_xlfn.XLOOKUP(C20, 'Course Stats'!A:A, 'Course Stats'!G:X), 4)</f>
        <v>1.9090909090909092</v>
      </c>
      <c r="AB20" s="28" cm="1">
        <f t="array" ref="AB20">SUMPRODUCT((_xlfn.XLOOKUP(C20, 'Course Stats'!A:A, 'Course Stats'!G:X)=5)*(E20:V20)) / COUNTIF(_xlfn.XLOOKUP(C20, 'Course Stats'!A:A, 'Course Stats'!G:X), 5)</f>
        <v>2</v>
      </c>
    </row>
    <row r="21" spans="1:28" x14ac:dyDescent="0.25">
      <c r="A21" s="20" t="s">
        <v>126</v>
      </c>
      <c r="B21" s="27">
        <v>45440</v>
      </c>
      <c r="C21" s="20" t="s">
        <v>9</v>
      </c>
      <c r="D21" s="20">
        <f>SUM('Putt Log'!$E21:$V21)</f>
        <v>33</v>
      </c>
      <c r="E21" s="20">
        <v>3</v>
      </c>
      <c r="F21" s="20">
        <v>2</v>
      </c>
      <c r="G21" s="20">
        <v>2</v>
      </c>
      <c r="H21" s="20">
        <v>1</v>
      </c>
      <c r="I21" s="20">
        <v>2</v>
      </c>
      <c r="J21" s="20">
        <v>1</v>
      </c>
      <c r="K21" s="20">
        <v>2</v>
      </c>
      <c r="L21" s="20">
        <v>2</v>
      </c>
      <c r="M21" s="20">
        <v>2</v>
      </c>
      <c r="N21" s="20">
        <v>1</v>
      </c>
      <c r="O21" s="20">
        <v>2</v>
      </c>
      <c r="P21" s="20">
        <v>1</v>
      </c>
      <c r="Q21" s="20">
        <v>2</v>
      </c>
      <c r="R21" s="20">
        <v>2</v>
      </c>
      <c r="S21" s="20">
        <v>2</v>
      </c>
      <c r="T21" s="20">
        <v>2</v>
      </c>
      <c r="U21" s="20">
        <v>2</v>
      </c>
      <c r="V21" s="20">
        <v>2</v>
      </c>
      <c r="W21" s="19">
        <v>33</v>
      </c>
      <c r="X21" s="19">
        <v>8</v>
      </c>
      <c r="Y21" s="19">
        <v>2</v>
      </c>
      <c r="Z21" s="28" cm="1">
        <f t="array" ref="Z21">SUMPRODUCT((_xlfn.XLOOKUP(C21, 'Course Stats'!A:A, 'Course Stats'!G:X)=3)*(E21:V21)) / COUNTIF(_xlfn.XLOOKUP(C21, 'Course Stats'!A:A, 'Course Stats'!G:X), 3)</f>
        <v>1.75</v>
      </c>
      <c r="AA21" s="28" cm="1">
        <f t="array" ref="AA21">SUMPRODUCT((_xlfn.XLOOKUP(C21, 'Course Stats'!A:A, 'Course Stats'!G:X)=4)*(E21:V21)) / COUNTIF(_xlfn.XLOOKUP(C21, 'Course Stats'!A:A, 'Course Stats'!G:X), 4)</f>
        <v>2</v>
      </c>
      <c r="AB21" s="28" cm="1">
        <f t="array" ref="AB21">SUMPRODUCT((_xlfn.XLOOKUP(C21, 'Course Stats'!A:A, 'Course Stats'!G:X)=5)*(E21:V21)) / COUNTIF(_xlfn.XLOOKUP(C21, 'Course Stats'!A:A, 'Course Stats'!G:X), 5)</f>
        <v>1.3333333333333333</v>
      </c>
    </row>
    <row r="22" spans="1:28" x14ac:dyDescent="0.25">
      <c r="A22" s="20" t="s">
        <v>126</v>
      </c>
      <c r="B22" s="27">
        <v>45434</v>
      </c>
      <c r="C22" s="20" t="s">
        <v>9</v>
      </c>
      <c r="D22" s="20">
        <f>SUM('Putt Log'!$E22:$V22)</f>
        <v>38</v>
      </c>
      <c r="E22" s="20">
        <v>3</v>
      </c>
      <c r="F22" s="20">
        <v>2</v>
      </c>
      <c r="G22" s="20">
        <v>2</v>
      </c>
      <c r="H22" s="20">
        <v>3</v>
      </c>
      <c r="I22" s="20">
        <v>2</v>
      </c>
      <c r="J22" s="20">
        <v>2</v>
      </c>
      <c r="K22" s="20">
        <v>2</v>
      </c>
      <c r="L22" s="20">
        <v>2</v>
      </c>
      <c r="M22" s="20">
        <v>2</v>
      </c>
      <c r="N22" s="20">
        <v>2</v>
      </c>
      <c r="O22" s="20">
        <v>2</v>
      </c>
      <c r="P22" s="20">
        <v>3</v>
      </c>
      <c r="Q22" s="20">
        <v>1</v>
      </c>
      <c r="R22" s="20">
        <v>2</v>
      </c>
      <c r="S22" s="20">
        <v>2</v>
      </c>
      <c r="T22" s="20">
        <v>2</v>
      </c>
      <c r="U22" s="20">
        <v>2</v>
      </c>
      <c r="V22" s="20">
        <v>2</v>
      </c>
      <c r="W22" s="19">
        <v>38</v>
      </c>
      <c r="X22" s="19">
        <v>3</v>
      </c>
      <c r="Y22" s="19">
        <v>6</v>
      </c>
      <c r="Z22" s="28" cm="1">
        <f t="array" ref="Z22">SUMPRODUCT((_xlfn.XLOOKUP(C22, 'Course Stats'!A:A, 'Course Stats'!G:X)=3)*(E22:V22)) / COUNTIF(_xlfn.XLOOKUP(C22, 'Course Stats'!A:A, 'Course Stats'!G:X), 3)</f>
        <v>2.25</v>
      </c>
      <c r="AA22" s="28" cm="1">
        <f t="array" ref="AA22">SUMPRODUCT((_xlfn.XLOOKUP(C22, 'Course Stats'!A:A, 'Course Stats'!G:X)=4)*(E22:V22)) / COUNTIF(_xlfn.XLOOKUP(C22, 'Course Stats'!A:A, 'Course Stats'!G:X), 4)</f>
        <v>2.0909090909090908</v>
      </c>
      <c r="AB22" s="28" cm="1">
        <f t="array" ref="AB22">SUMPRODUCT((_xlfn.XLOOKUP(C22, 'Course Stats'!A:A, 'Course Stats'!G:X)=5)*(E22:V22)) / COUNTIF(_xlfn.XLOOKUP(C22, 'Course Stats'!A:A, 'Course Stats'!G:X), 5)</f>
        <v>2</v>
      </c>
    </row>
    <row r="23" spans="1:28" x14ac:dyDescent="0.25">
      <c r="A23" s="20" t="s">
        <v>126</v>
      </c>
      <c r="B23" s="27">
        <v>45172</v>
      </c>
      <c r="C23" s="20" t="s">
        <v>3</v>
      </c>
      <c r="D23" s="20">
        <f>SUM('Putt Log'!$E23:$V23)</f>
        <v>37</v>
      </c>
      <c r="E23" s="20">
        <v>2</v>
      </c>
      <c r="F23" s="20">
        <v>2</v>
      </c>
      <c r="G23" s="20">
        <v>2</v>
      </c>
      <c r="H23" s="20">
        <v>2</v>
      </c>
      <c r="I23" s="20">
        <v>3</v>
      </c>
      <c r="J23" s="20">
        <v>2</v>
      </c>
      <c r="K23" s="20">
        <v>2</v>
      </c>
      <c r="L23" s="20">
        <v>2</v>
      </c>
      <c r="M23" s="20">
        <v>2</v>
      </c>
      <c r="N23" s="20">
        <v>2</v>
      </c>
      <c r="O23" s="20">
        <v>1</v>
      </c>
      <c r="P23" s="20">
        <v>2</v>
      </c>
      <c r="Q23" s="20">
        <v>3</v>
      </c>
      <c r="R23" s="20">
        <v>3</v>
      </c>
      <c r="S23" s="20">
        <v>2</v>
      </c>
      <c r="T23" s="20">
        <v>2</v>
      </c>
      <c r="U23" s="20">
        <v>1</v>
      </c>
      <c r="V23" s="20">
        <v>2</v>
      </c>
      <c r="W23" s="19">
        <v>37</v>
      </c>
      <c r="X23" s="19">
        <v>8</v>
      </c>
      <c r="Y23" s="19">
        <v>6</v>
      </c>
      <c r="Z23" s="28" cm="1">
        <f t="array" ref="Z23">SUMPRODUCT((_xlfn.XLOOKUP(C23, 'Course Stats'!A:A, 'Course Stats'!G:X)=3)*(E23:V23)) / COUNTIF(_xlfn.XLOOKUP(C23, 'Course Stats'!A:A, 'Course Stats'!G:X), 3)</f>
        <v>1.75</v>
      </c>
      <c r="AA23" s="28" cm="1">
        <f t="array" ref="AA23">SUMPRODUCT((_xlfn.XLOOKUP(C23, 'Course Stats'!A:A, 'Course Stats'!G:X)=4)*(E23:V23)) / COUNTIF(_xlfn.XLOOKUP(C23, 'Course Stats'!A:A, 'Course Stats'!G:X), 4)</f>
        <v>2.0909090909090908</v>
      </c>
      <c r="AB23" s="28" cm="1">
        <f t="array" ref="AB23">SUMPRODUCT((_xlfn.XLOOKUP(C23, 'Course Stats'!A:A, 'Course Stats'!G:X)=5)*(E23:V23)) / COUNTIF(_xlfn.XLOOKUP(C23, 'Course Stats'!A:A, 'Course Stats'!G:X), 5)</f>
        <v>2.3333333333333335</v>
      </c>
    </row>
    <row r="24" spans="1:28" x14ac:dyDescent="0.25">
      <c r="A24" s="20" t="s">
        <v>126</v>
      </c>
      <c r="B24" s="27">
        <v>45156</v>
      </c>
      <c r="C24" s="20" t="s">
        <v>46</v>
      </c>
      <c r="D24" s="20">
        <f>SUM('Putt Log'!$E24:$V24)</f>
        <v>35</v>
      </c>
      <c r="E24" s="20">
        <v>2</v>
      </c>
      <c r="F24" s="20">
        <v>2</v>
      </c>
      <c r="G24" s="20">
        <v>2</v>
      </c>
      <c r="H24" s="20">
        <v>2</v>
      </c>
      <c r="I24" s="20">
        <v>2</v>
      </c>
      <c r="J24" s="20">
        <v>2</v>
      </c>
      <c r="K24" s="20">
        <v>2</v>
      </c>
      <c r="L24" s="20">
        <v>2</v>
      </c>
      <c r="M24" s="20">
        <v>1</v>
      </c>
      <c r="N24" s="20">
        <v>2</v>
      </c>
      <c r="O24" s="20">
        <v>2</v>
      </c>
      <c r="P24" s="20">
        <v>2</v>
      </c>
      <c r="Q24" s="20">
        <v>2</v>
      </c>
      <c r="R24" s="20">
        <v>2</v>
      </c>
      <c r="S24" s="20">
        <v>2</v>
      </c>
      <c r="T24" s="20">
        <v>2</v>
      </c>
      <c r="U24" s="20">
        <v>2</v>
      </c>
      <c r="V24" s="20">
        <v>2</v>
      </c>
      <c r="W24" s="19">
        <v>35</v>
      </c>
      <c r="X24" s="19">
        <v>6</v>
      </c>
      <c r="Y24" s="19">
        <v>4</v>
      </c>
      <c r="Z24" s="28" cm="1">
        <f t="array" ref="Z24">SUMPRODUCT((_xlfn.XLOOKUP(C24, 'Course Stats'!A:A, 'Course Stats'!G:X)=3)*(E24:V24)) / COUNTIF(_xlfn.XLOOKUP(C24, 'Course Stats'!A:A, 'Course Stats'!G:X), 3)</f>
        <v>2</v>
      </c>
      <c r="AA24" s="28" cm="1">
        <f t="array" ref="AA24">SUMPRODUCT((_xlfn.XLOOKUP(C24, 'Course Stats'!A:A, 'Course Stats'!G:X)=4)*(E24:V24)) / COUNTIF(_xlfn.XLOOKUP(C24, 'Course Stats'!A:A, 'Course Stats'!G:X), 4)</f>
        <v>2</v>
      </c>
      <c r="AB24" s="28" cm="1">
        <f t="array" ref="AB24">SUMPRODUCT((_xlfn.XLOOKUP(C24, 'Course Stats'!A:A, 'Course Stats'!G:X)=5)*(E24:V24)) / COUNTIF(_xlfn.XLOOKUP(C24, 'Course Stats'!A:A, 'Course Stats'!G:X), 5)</f>
        <v>1.6666666666666667</v>
      </c>
    </row>
    <row r="25" spans="1:28" x14ac:dyDescent="0.25">
      <c r="A25" s="20" t="s">
        <v>126</v>
      </c>
      <c r="B25" s="27">
        <v>45144</v>
      </c>
      <c r="C25" s="20" t="s">
        <v>16</v>
      </c>
      <c r="D25" s="20">
        <f>SUM('Putt Log'!$E25:$V25)</f>
        <v>32</v>
      </c>
      <c r="E25" s="20">
        <v>2</v>
      </c>
      <c r="F25" s="20">
        <v>2</v>
      </c>
      <c r="G25" s="20">
        <v>2</v>
      </c>
      <c r="H25" s="20">
        <v>1</v>
      </c>
      <c r="I25" s="20">
        <v>2</v>
      </c>
      <c r="J25" s="20">
        <v>1</v>
      </c>
      <c r="K25" s="20">
        <v>2</v>
      </c>
      <c r="L25" s="20">
        <v>2</v>
      </c>
      <c r="M25" s="20">
        <v>3</v>
      </c>
      <c r="N25" s="20">
        <v>2</v>
      </c>
      <c r="O25" s="20">
        <v>2</v>
      </c>
      <c r="P25" s="20">
        <v>2</v>
      </c>
      <c r="Q25" s="20">
        <v>1</v>
      </c>
      <c r="R25" s="20">
        <v>1</v>
      </c>
      <c r="S25" s="20">
        <v>1</v>
      </c>
      <c r="T25" s="20">
        <v>1</v>
      </c>
      <c r="U25" s="20">
        <v>3</v>
      </c>
      <c r="V25" s="20">
        <v>2</v>
      </c>
      <c r="W25" s="19">
        <v>32</v>
      </c>
      <c r="X25" s="19">
        <v>8</v>
      </c>
      <c r="Y25" s="19">
        <v>1</v>
      </c>
      <c r="Z25" s="28" cm="1">
        <f t="array" ref="Z25">SUMPRODUCT((_xlfn.XLOOKUP(C25, 'Course Stats'!A:A, 'Course Stats'!G:X)=3)*(E25:V25)) / COUNTIF(_xlfn.XLOOKUP(C25, 'Course Stats'!A:A, 'Course Stats'!G:X), 3)</f>
        <v>2</v>
      </c>
      <c r="AA25" s="28" cm="1">
        <f t="array" ref="AA25">SUMPRODUCT((_xlfn.XLOOKUP(C25, 'Course Stats'!A:A, 'Course Stats'!G:X)=4)*(E25:V25)) / COUNTIF(_xlfn.XLOOKUP(C25, 'Course Stats'!A:A, 'Course Stats'!G:X), 4)</f>
        <v>1.8181818181818181</v>
      </c>
      <c r="AB25" s="28" cm="1">
        <f t="array" ref="AB25">SUMPRODUCT((_xlfn.XLOOKUP(C25, 'Course Stats'!A:A, 'Course Stats'!G:X)=5)*(E25:V25)) / COUNTIF(_xlfn.XLOOKUP(C25, 'Course Stats'!A:A, 'Course Stats'!G:X), 5)</f>
        <v>1.3333333333333333</v>
      </c>
    </row>
    <row r="26" spans="1:28" x14ac:dyDescent="0.25">
      <c r="A26" s="20" t="s">
        <v>126</v>
      </c>
      <c r="B26" s="27">
        <v>45143</v>
      </c>
      <c r="C26" s="20" t="s">
        <v>9</v>
      </c>
      <c r="D26" s="20">
        <f>SUM('Putt Log'!$E26:$V26)</f>
        <v>39</v>
      </c>
      <c r="E26" s="20">
        <v>2</v>
      </c>
      <c r="F26" s="20">
        <v>3</v>
      </c>
      <c r="G26" s="20">
        <v>2</v>
      </c>
      <c r="H26" s="20">
        <v>2</v>
      </c>
      <c r="I26" s="20">
        <v>2</v>
      </c>
      <c r="J26" s="20">
        <v>3</v>
      </c>
      <c r="K26" s="20">
        <v>3</v>
      </c>
      <c r="L26" s="20">
        <v>2</v>
      </c>
      <c r="M26" s="20">
        <v>2</v>
      </c>
      <c r="N26" s="20">
        <v>2</v>
      </c>
      <c r="O26" s="20">
        <v>2</v>
      </c>
      <c r="P26" s="20">
        <v>2</v>
      </c>
      <c r="Q26" s="20">
        <v>2</v>
      </c>
      <c r="R26" s="20">
        <v>2</v>
      </c>
      <c r="S26" s="20">
        <v>2</v>
      </c>
      <c r="T26" s="20">
        <v>2</v>
      </c>
      <c r="U26" s="20">
        <v>2</v>
      </c>
      <c r="V26" s="20">
        <v>2</v>
      </c>
      <c r="W26" s="19">
        <v>39</v>
      </c>
      <c r="X26" s="19">
        <v>6</v>
      </c>
      <c r="Y26" s="19">
        <v>5</v>
      </c>
      <c r="Z26" s="28" cm="1">
        <f t="array" ref="Z26">SUMPRODUCT((_xlfn.XLOOKUP(C26, 'Course Stats'!A:A, 'Course Stats'!G:X)=3)*(E26:V26)) / COUNTIF(_xlfn.XLOOKUP(C26, 'Course Stats'!A:A, 'Course Stats'!G:X), 3)</f>
        <v>2.25</v>
      </c>
      <c r="AA26" s="28" cm="1">
        <f t="array" ref="AA26">SUMPRODUCT((_xlfn.XLOOKUP(C26, 'Course Stats'!A:A, 'Course Stats'!G:X)=4)*(E26:V26)) / COUNTIF(_xlfn.XLOOKUP(C26, 'Course Stats'!A:A, 'Course Stats'!G:X), 4)</f>
        <v>2.0909090909090908</v>
      </c>
      <c r="AB26" s="28" cm="1">
        <f t="array" ref="AB26">SUMPRODUCT((_xlfn.XLOOKUP(C26, 'Course Stats'!A:A, 'Course Stats'!G:X)=5)*(E26:V26)) / COUNTIF(_xlfn.XLOOKUP(C26, 'Course Stats'!A:A, 'Course Stats'!G:X), 5)</f>
        <v>2.3333333333333335</v>
      </c>
    </row>
    <row r="27" spans="1:28" x14ac:dyDescent="0.25">
      <c r="A27" s="20" t="s">
        <v>126</v>
      </c>
      <c r="B27" s="27">
        <v>45137</v>
      </c>
      <c r="C27" s="20" t="s">
        <v>9</v>
      </c>
      <c r="D27" s="20">
        <f>SUM('Putt Log'!$E27:$V27)</f>
        <v>32</v>
      </c>
      <c r="E27" s="20">
        <v>2</v>
      </c>
      <c r="F27" s="20">
        <v>2</v>
      </c>
      <c r="G27" s="20">
        <v>2</v>
      </c>
      <c r="H27" s="20">
        <v>1</v>
      </c>
      <c r="I27" s="20">
        <v>2</v>
      </c>
      <c r="J27" s="20">
        <v>1</v>
      </c>
      <c r="K27" s="20">
        <v>3</v>
      </c>
      <c r="L27" s="20">
        <v>2</v>
      </c>
      <c r="M27" s="20">
        <v>2</v>
      </c>
      <c r="N27" s="20">
        <v>1</v>
      </c>
      <c r="O27" s="20">
        <v>1</v>
      </c>
      <c r="P27" s="20">
        <v>2</v>
      </c>
      <c r="Q27" s="20">
        <v>2</v>
      </c>
      <c r="R27" s="20">
        <v>1</v>
      </c>
      <c r="S27" s="20">
        <v>2</v>
      </c>
      <c r="T27" s="20">
        <v>2</v>
      </c>
      <c r="U27" s="20">
        <v>2</v>
      </c>
      <c r="V27" s="20">
        <v>2</v>
      </c>
      <c r="W27" s="19">
        <v>32</v>
      </c>
      <c r="X27" s="19">
        <v>4</v>
      </c>
      <c r="Y27" s="19">
        <v>4</v>
      </c>
      <c r="Z27" s="28" cm="1">
        <f t="array" ref="Z27">SUMPRODUCT((_xlfn.XLOOKUP(C27, 'Course Stats'!A:A, 'Course Stats'!G:X)=3)*(E27:V27)) / COUNTIF(_xlfn.XLOOKUP(C27, 'Course Stats'!A:A, 'Course Stats'!G:X), 3)</f>
        <v>1.5</v>
      </c>
      <c r="AA27" s="28" cm="1">
        <f t="array" ref="AA27">SUMPRODUCT((_xlfn.XLOOKUP(C27, 'Course Stats'!A:A, 'Course Stats'!G:X)=4)*(E27:V27)) / COUNTIF(_xlfn.XLOOKUP(C27, 'Course Stats'!A:A, 'Course Stats'!G:X), 4)</f>
        <v>2</v>
      </c>
      <c r="AB27" s="28" cm="1">
        <f t="array" ref="AB27">SUMPRODUCT((_xlfn.XLOOKUP(C27, 'Course Stats'!A:A, 'Course Stats'!G:X)=5)*(E27:V27)) / COUNTIF(_xlfn.XLOOKUP(C27, 'Course Stats'!A:A, 'Course Stats'!G:X), 5)</f>
        <v>1.3333333333333333</v>
      </c>
    </row>
    <row r="28" spans="1:28" x14ac:dyDescent="0.25">
      <c r="A28" s="20" t="s">
        <v>126</v>
      </c>
      <c r="B28" s="27">
        <v>45136</v>
      </c>
      <c r="C28" s="20" t="s">
        <v>5</v>
      </c>
      <c r="D28" s="20">
        <f>SUM('Putt Log'!$E28:$V28)</f>
        <v>31</v>
      </c>
      <c r="E28" s="20">
        <v>2</v>
      </c>
      <c r="F28" s="20">
        <v>1</v>
      </c>
      <c r="G28" s="20">
        <v>1</v>
      </c>
      <c r="H28" s="20">
        <v>2</v>
      </c>
      <c r="I28" s="20">
        <v>1</v>
      </c>
      <c r="J28" s="20">
        <v>2</v>
      </c>
      <c r="K28" s="20">
        <v>1</v>
      </c>
      <c r="L28" s="20">
        <v>2</v>
      </c>
      <c r="M28" s="20">
        <v>1</v>
      </c>
      <c r="N28" s="20">
        <v>2</v>
      </c>
      <c r="O28" s="20">
        <v>2</v>
      </c>
      <c r="P28" s="20">
        <v>2</v>
      </c>
      <c r="Q28" s="20">
        <v>2</v>
      </c>
      <c r="R28" s="20">
        <v>2</v>
      </c>
      <c r="S28" s="20">
        <v>1</v>
      </c>
      <c r="T28" s="20">
        <v>3</v>
      </c>
      <c r="U28" s="20">
        <v>2</v>
      </c>
      <c r="V28" s="20">
        <v>2</v>
      </c>
      <c r="W28" s="19">
        <v>31</v>
      </c>
      <c r="X28" s="19">
        <v>6</v>
      </c>
      <c r="Y28" s="19">
        <v>3</v>
      </c>
      <c r="Z28" s="28" cm="1">
        <f t="array" ref="Z28">SUMPRODUCT((_xlfn.XLOOKUP(C28, 'Course Stats'!A:A, 'Course Stats'!G:X)=3)*(E28:V28)) / COUNTIF(_xlfn.XLOOKUP(C28, 'Course Stats'!A:A, 'Course Stats'!G:X), 3)</f>
        <v>1.5</v>
      </c>
      <c r="AA28" s="28" cm="1">
        <f t="array" ref="AA28">SUMPRODUCT((_xlfn.XLOOKUP(C28, 'Course Stats'!A:A, 'Course Stats'!G:X)=4)*(E28:V28)) / COUNTIF(_xlfn.XLOOKUP(C28, 'Course Stats'!A:A, 'Course Stats'!G:X), 4)</f>
        <v>1.6</v>
      </c>
      <c r="AB28" s="28" cm="1">
        <f t="array" ref="AB28">SUMPRODUCT((_xlfn.XLOOKUP(C28, 'Course Stats'!A:A, 'Course Stats'!G:X)=5)*(E28:V28)) / COUNTIF(_xlfn.XLOOKUP(C28, 'Course Stats'!A:A, 'Course Stats'!G:X), 5)</f>
        <v>2.25</v>
      </c>
    </row>
    <row r="29" spans="1:28" x14ac:dyDescent="0.25">
      <c r="A29" s="20" t="s">
        <v>126</v>
      </c>
      <c r="B29" s="27">
        <v>45114</v>
      </c>
      <c r="C29" s="20" t="s">
        <v>5</v>
      </c>
      <c r="D29" s="20">
        <f>SUM('Putt Log'!$E29:$V29)</f>
        <v>32</v>
      </c>
      <c r="E29" s="20">
        <v>1</v>
      </c>
      <c r="F29" s="20">
        <v>2</v>
      </c>
      <c r="G29" s="20">
        <v>2</v>
      </c>
      <c r="H29" s="20">
        <v>2</v>
      </c>
      <c r="I29" s="20">
        <v>2</v>
      </c>
      <c r="J29" s="20">
        <v>2</v>
      </c>
      <c r="K29" s="20">
        <v>2</v>
      </c>
      <c r="L29" s="20">
        <v>2</v>
      </c>
      <c r="M29" s="20">
        <v>2</v>
      </c>
      <c r="N29" s="20">
        <v>2</v>
      </c>
      <c r="O29" s="20">
        <v>1</v>
      </c>
      <c r="P29" s="20">
        <v>3</v>
      </c>
      <c r="Q29" s="20">
        <v>1</v>
      </c>
      <c r="R29" s="20">
        <v>1</v>
      </c>
      <c r="S29" s="20">
        <v>2</v>
      </c>
      <c r="T29" s="20">
        <v>2</v>
      </c>
      <c r="U29" s="20">
        <v>2</v>
      </c>
      <c r="V29" s="20">
        <v>1</v>
      </c>
      <c r="W29" s="19">
        <v>32</v>
      </c>
      <c r="X29" s="19">
        <v>3</v>
      </c>
      <c r="Y29" s="19">
        <v>5</v>
      </c>
      <c r="Z29" s="28" cm="1">
        <f t="array" ref="Z29">SUMPRODUCT((_xlfn.XLOOKUP(C29, 'Course Stats'!A:A, 'Course Stats'!G:X)=3)*(E29:V29)) / COUNTIF(_xlfn.XLOOKUP(C29, 'Course Stats'!A:A, 'Course Stats'!G:X), 3)</f>
        <v>1.75</v>
      </c>
      <c r="AA29" s="28" cm="1">
        <f t="array" ref="AA29">SUMPRODUCT((_xlfn.XLOOKUP(C29, 'Course Stats'!A:A, 'Course Stats'!G:X)=4)*(E29:V29)) / COUNTIF(_xlfn.XLOOKUP(C29, 'Course Stats'!A:A, 'Course Stats'!G:X), 4)</f>
        <v>1.6</v>
      </c>
      <c r="AB29" s="28" cm="1">
        <f t="array" ref="AB29">SUMPRODUCT((_xlfn.XLOOKUP(C29, 'Course Stats'!A:A, 'Course Stats'!G:X)=5)*(E29:V29)) / COUNTIF(_xlfn.XLOOKUP(C29, 'Course Stats'!A:A, 'Course Stats'!G:X), 5)</f>
        <v>2.25</v>
      </c>
    </row>
    <row r="30" spans="1:28" x14ac:dyDescent="0.25">
      <c r="A30" s="20" t="s">
        <v>126</v>
      </c>
      <c r="B30" s="27">
        <v>45084</v>
      </c>
      <c r="C30" s="20" t="s">
        <v>5</v>
      </c>
      <c r="D30" s="20">
        <f>SUM('Putt Log'!$E30:$V30)</f>
        <v>37</v>
      </c>
      <c r="E30" s="20">
        <v>2</v>
      </c>
      <c r="F30" s="20">
        <v>2</v>
      </c>
      <c r="G30" s="20">
        <v>2</v>
      </c>
      <c r="H30" s="20">
        <v>3</v>
      </c>
      <c r="I30" s="20">
        <v>2</v>
      </c>
      <c r="J30" s="20">
        <v>2</v>
      </c>
      <c r="K30" s="20">
        <v>2</v>
      </c>
      <c r="L30" s="20">
        <v>3</v>
      </c>
      <c r="M30" s="20">
        <v>2</v>
      </c>
      <c r="N30" s="20">
        <v>3</v>
      </c>
      <c r="O30" s="20">
        <v>1</v>
      </c>
      <c r="P30" s="20">
        <v>2</v>
      </c>
      <c r="Q30" s="20">
        <v>3</v>
      </c>
      <c r="R30" s="20">
        <v>2</v>
      </c>
      <c r="S30" s="20">
        <v>1</v>
      </c>
      <c r="T30" s="20">
        <v>2</v>
      </c>
      <c r="U30" s="20">
        <v>1</v>
      </c>
      <c r="V30" s="20">
        <v>2</v>
      </c>
      <c r="W30" s="19">
        <v>37</v>
      </c>
      <c r="X30" s="19">
        <v>6</v>
      </c>
      <c r="Y30" s="19">
        <v>2</v>
      </c>
      <c r="Z30" s="28" cm="1">
        <f t="array" ref="Z30">SUMPRODUCT((_xlfn.XLOOKUP(C30, 'Course Stats'!A:A, 'Course Stats'!G:X)=3)*(E30:V30)) / COUNTIF(_xlfn.XLOOKUP(C30, 'Course Stats'!A:A, 'Course Stats'!G:X), 3)</f>
        <v>1.5</v>
      </c>
      <c r="AA30" s="28" cm="1">
        <f t="array" ref="AA30">SUMPRODUCT((_xlfn.XLOOKUP(C30, 'Course Stats'!A:A, 'Course Stats'!G:X)=4)*(E30:V30)) / COUNTIF(_xlfn.XLOOKUP(C30, 'Course Stats'!A:A, 'Course Stats'!G:X), 4)</f>
        <v>2.1</v>
      </c>
      <c r="AB30" s="28" cm="1">
        <f t="array" ref="AB30">SUMPRODUCT((_xlfn.XLOOKUP(C30, 'Course Stats'!A:A, 'Course Stats'!G:X)=5)*(E30:V30)) / COUNTIF(_xlfn.XLOOKUP(C30, 'Course Stats'!A:A, 'Course Stats'!G:X), 5)</f>
        <v>2.5</v>
      </c>
    </row>
    <row r="31" spans="1:28" x14ac:dyDescent="0.25">
      <c r="A31" s="20" t="s">
        <v>126</v>
      </c>
      <c r="B31" s="27">
        <v>45053</v>
      </c>
      <c r="C31" s="20" t="s">
        <v>3</v>
      </c>
      <c r="D31" s="20">
        <f>SUM('Putt Log'!$E31:$V31)</f>
        <v>37</v>
      </c>
      <c r="E31" s="20">
        <v>2</v>
      </c>
      <c r="F31" s="20">
        <v>2</v>
      </c>
      <c r="G31" s="20">
        <v>2</v>
      </c>
      <c r="H31" s="20">
        <v>2</v>
      </c>
      <c r="I31" s="20">
        <v>2</v>
      </c>
      <c r="J31" s="20">
        <v>2</v>
      </c>
      <c r="K31" s="20">
        <v>2</v>
      </c>
      <c r="L31" s="20">
        <v>1</v>
      </c>
      <c r="M31" s="20">
        <v>3</v>
      </c>
      <c r="N31" s="20">
        <v>1</v>
      </c>
      <c r="O31" s="20">
        <v>2</v>
      </c>
      <c r="P31" s="20">
        <v>2</v>
      </c>
      <c r="Q31" s="20">
        <v>2</v>
      </c>
      <c r="R31" s="20">
        <v>3</v>
      </c>
      <c r="S31" s="20">
        <v>2</v>
      </c>
      <c r="T31" s="20">
        <v>3</v>
      </c>
      <c r="U31" s="20">
        <v>2</v>
      </c>
      <c r="V31" s="20">
        <v>2</v>
      </c>
      <c r="W31" s="19">
        <v>37</v>
      </c>
      <c r="X31" s="19">
        <v>7</v>
      </c>
      <c r="Y31" s="19">
        <v>4</v>
      </c>
      <c r="Z31" s="28" cm="1">
        <f t="array" ref="Z31">SUMPRODUCT((_xlfn.XLOOKUP(C31, 'Course Stats'!A:A, 'Course Stats'!G:X)=3)*(E31:V31)) / COUNTIF(_xlfn.XLOOKUP(C31, 'Course Stats'!A:A, 'Course Stats'!G:X), 3)</f>
        <v>2</v>
      </c>
      <c r="AA31" s="28" cm="1">
        <f t="array" ref="AA31">SUMPRODUCT((_xlfn.XLOOKUP(C31, 'Course Stats'!A:A, 'Course Stats'!G:X)=4)*(E31:V31)) / COUNTIF(_xlfn.XLOOKUP(C31, 'Course Stats'!A:A, 'Course Stats'!G:X), 4)</f>
        <v>2</v>
      </c>
      <c r="AB31" s="28" cm="1">
        <f t="array" ref="AB31">SUMPRODUCT((_xlfn.XLOOKUP(C31, 'Course Stats'!A:A, 'Course Stats'!G:X)=5)*(E31:V31)) / COUNTIF(_xlfn.XLOOKUP(C31, 'Course Stats'!A:A, 'Course Stats'!G:X), 5)</f>
        <v>2.3333333333333335</v>
      </c>
    </row>
    <row r="32" spans="1:28" x14ac:dyDescent="0.25">
      <c r="A32" s="20" t="s">
        <v>126</v>
      </c>
      <c r="B32" s="27">
        <v>45053</v>
      </c>
      <c r="C32" s="20" t="s">
        <v>9</v>
      </c>
      <c r="D32" s="20">
        <f>SUM('Putt Log'!$E32:$V32)</f>
        <v>36</v>
      </c>
      <c r="E32" s="20">
        <v>3</v>
      </c>
      <c r="F32" s="20">
        <v>3</v>
      </c>
      <c r="G32" s="20">
        <v>2</v>
      </c>
      <c r="H32" s="20">
        <v>1</v>
      </c>
      <c r="I32" s="20">
        <v>2</v>
      </c>
      <c r="J32" s="20">
        <v>2</v>
      </c>
      <c r="K32" s="20">
        <v>3</v>
      </c>
      <c r="L32" s="20">
        <v>2</v>
      </c>
      <c r="M32" s="20">
        <v>2</v>
      </c>
      <c r="N32" s="20">
        <v>2</v>
      </c>
      <c r="O32" s="20">
        <v>1</v>
      </c>
      <c r="P32" s="20">
        <v>2</v>
      </c>
      <c r="Q32" s="20">
        <v>3</v>
      </c>
      <c r="R32" s="20">
        <v>1</v>
      </c>
      <c r="S32" s="20">
        <v>1</v>
      </c>
      <c r="T32" s="20">
        <v>2</v>
      </c>
      <c r="U32" s="20">
        <v>2</v>
      </c>
      <c r="V32" s="20">
        <v>2</v>
      </c>
      <c r="W32" s="19">
        <v>36</v>
      </c>
      <c r="X32" s="19">
        <v>6</v>
      </c>
      <c r="Y32" s="19">
        <v>2</v>
      </c>
      <c r="Z32" s="28" cm="1">
        <f t="array" ref="Z32">SUMPRODUCT((_xlfn.XLOOKUP(C32, 'Course Stats'!A:A, 'Course Stats'!G:X)=3)*(E32:V32)) / COUNTIF(_xlfn.XLOOKUP(C32, 'Course Stats'!A:A, 'Course Stats'!G:X), 3)</f>
        <v>1.5</v>
      </c>
      <c r="AA32" s="28" cm="1">
        <f t="array" ref="AA32">SUMPRODUCT((_xlfn.XLOOKUP(C32, 'Course Stats'!A:A, 'Course Stats'!G:X)=4)*(E32:V32)) / COUNTIF(_xlfn.XLOOKUP(C32, 'Course Stats'!A:A, 'Course Stats'!G:X), 4)</f>
        <v>2.1818181818181817</v>
      </c>
      <c r="AB32" s="28" cm="1">
        <f t="array" ref="AB32">SUMPRODUCT((_xlfn.XLOOKUP(C32, 'Course Stats'!A:A, 'Course Stats'!G:X)=5)*(E32:V32)) / COUNTIF(_xlfn.XLOOKUP(C32, 'Course Stats'!A:A, 'Course Stats'!G:X), 5)</f>
        <v>2</v>
      </c>
    </row>
    <row r="33" spans="1:28" x14ac:dyDescent="0.25">
      <c r="A33" s="20" t="s">
        <v>126</v>
      </c>
      <c r="B33" s="27">
        <v>45050</v>
      </c>
      <c r="C33" s="20" t="s">
        <v>3</v>
      </c>
      <c r="D33" s="20">
        <f>SUM('Putt Log'!$E33:$V33)</f>
        <v>37</v>
      </c>
      <c r="E33" s="20">
        <v>2</v>
      </c>
      <c r="F33" s="20">
        <v>1</v>
      </c>
      <c r="G33" s="20">
        <v>2</v>
      </c>
      <c r="H33" s="20">
        <v>2</v>
      </c>
      <c r="I33" s="20">
        <v>2</v>
      </c>
      <c r="J33" s="20">
        <v>2</v>
      </c>
      <c r="K33" s="20">
        <v>3</v>
      </c>
      <c r="L33" s="20">
        <v>2</v>
      </c>
      <c r="M33" s="20">
        <v>3</v>
      </c>
      <c r="N33" s="20">
        <v>2</v>
      </c>
      <c r="O33" s="20">
        <v>3</v>
      </c>
      <c r="P33" s="20">
        <v>2</v>
      </c>
      <c r="Q33" s="20">
        <v>2</v>
      </c>
      <c r="R33" s="20">
        <v>2</v>
      </c>
      <c r="S33" s="20">
        <v>2</v>
      </c>
      <c r="T33" s="20">
        <v>2</v>
      </c>
      <c r="U33" s="20">
        <v>2</v>
      </c>
      <c r="V33" s="20">
        <v>1</v>
      </c>
      <c r="W33" s="19">
        <v>37</v>
      </c>
      <c r="X33" s="19">
        <v>7</v>
      </c>
      <c r="Y33" s="19">
        <v>4</v>
      </c>
      <c r="Z33" s="28" cm="1">
        <f t="array" ref="Z33">SUMPRODUCT((_xlfn.XLOOKUP(C33, 'Course Stats'!A:A, 'Course Stats'!G:X)=3)*(E33:V33)) / COUNTIF(_xlfn.XLOOKUP(C33, 'Course Stats'!A:A, 'Course Stats'!G:X), 3)</f>
        <v>2.25</v>
      </c>
      <c r="AA33" s="28" cm="1">
        <f t="array" ref="AA33">SUMPRODUCT((_xlfn.XLOOKUP(C33, 'Course Stats'!A:A, 'Course Stats'!G:X)=4)*(E33:V33)) / COUNTIF(_xlfn.XLOOKUP(C33, 'Course Stats'!A:A, 'Course Stats'!G:X), 4)</f>
        <v>1.8181818181818181</v>
      </c>
      <c r="AB33" s="28" cm="1">
        <f t="array" ref="AB33">SUMPRODUCT((_xlfn.XLOOKUP(C33, 'Course Stats'!A:A, 'Course Stats'!G:X)=5)*(E33:V33)) / COUNTIF(_xlfn.XLOOKUP(C33, 'Course Stats'!A:A, 'Course Stats'!G:X), 5)</f>
        <v>2.6666666666666665</v>
      </c>
    </row>
    <row r="34" spans="1:28" x14ac:dyDescent="0.25">
      <c r="A34" s="20" t="s">
        <v>126</v>
      </c>
      <c r="B34" s="27">
        <v>45048</v>
      </c>
      <c r="C34" s="20" t="s">
        <v>5</v>
      </c>
      <c r="D34" s="20">
        <f>SUM('Putt Log'!$E34:$V34)</f>
        <v>36</v>
      </c>
      <c r="E34" s="20">
        <v>2</v>
      </c>
      <c r="F34" s="20">
        <v>3</v>
      </c>
      <c r="G34" s="20">
        <v>2</v>
      </c>
      <c r="H34" s="20">
        <v>2</v>
      </c>
      <c r="I34" s="20">
        <v>2</v>
      </c>
      <c r="J34" s="20">
        <v>2</v>
      </c>
      <c r="K34" s="20">
        <v>1</v>
      </c>
      <c r="L34" s="20">
        <v>3</v>
      </c>
      <c r="M34" s="20">
        <v>2</v>
      </c>
      <c r="N34" s="20">
        <v>2</v>
      </c>
      <c r="O34" s="20">
        <v>2</v>
      </c>
      <c r="P34" s="20">
        <v>3</v>
      </c>
      <c r="Q34" s="20">
        <v>2</v>
      </c>
      <c r="R34" s="20">
        <v>2</v>
      </c>
      <c r="S34" s="20">
        <v>1</v>
      </c>
      <c r="T34" s="20">
        <v>3</v>
      </c>
      <c r="U34" s="20">
        <v>1</v>
      </c>
      <c r="V34" s="20">
        <v>1</v>
      </c>
      <c r="W34" s="19">
        <v>36</v>
      </c>
      <c r="X34" s="19">
        <v>9</v>
      </c>
      <c r="Y34" s="19">
        <v>3</v>
      </c>
      <c r="Z34" s="28" cm="1">
        <f t="array" ref="Z34">SUMPRODUCT((_xlfn.XLOOKUP(C34, 'Course Stats'!A:A, 'Course Stats'!G:X)=3)*(E34:V34)) / COUNTIF(_xlfn.XLOOKUP(C34, 'Course Stats'!A:A, 'Course Stats'!G:X), 3)</f>
        <v>1.5</v>
      </c>
      <c r="AA34" s="28" cm="1">
        <f t="array" ref="AA34">SUMPRODUCT((_xlfn.XLOOKUP(C34, 'Course Stats'!A:A, 'Course Stats'!G:X)=4)*(E34:V34)) / COUNTIF(_xlfn.XLOOKUP(C34, 'Course Stats'!A:A, 'Course Stats'!G:X), 4)</f>
        <v>1.9</v>
      </c>
      <c r="AB34" s="28" cm="1">
        <f t="array" ref="AB34">SUMPRODUCT((_xlfn.XLOOKUP(C34, 'Course Stats'!A:A, 'Course Stats'!G:X)=5)*(E34:V34)) / COUNTIF(_xlfn.XLOOKUP(C34, 'Course Stats'!A:A, 'Course Stats'!G:X), 5)</f>
        <v>2.75</v>
      </c>
    </row>
    <row r="35" spans="1:28" x14ac:dyDescent="0.25">
      <c r="A35" s="20" t="s">
        <v>126</v>
      </c>
      <c r="B35" s="27">
        <v>45829</v>
      </c>
      <c r="C35" s="20" t="s">
        <v>6</v>
      </c>
      <c r="D35" s="20">
        <f>SUM('Putt Log'!$E35:$V35)</f>
        <v>28</v>
      </c>
      <c r="E35" s="20">
        <v>2</v>
      </c>
      <c r="F35" s="20">
        <v>1</v>
      </c>
      <c r="G35" s="20">
        <v>2</v>
      </c>
      <c r="H35" s="20">
        <v>2</v>
      </c>
      <c r="I35" s="20">
        <v>2</v>
      </c>
      <c r="J35" s="20">
        <v>1</v>
      </c>
      <c r="K35" s="20">
        <v>2</v>
      </c>
      <c r="L35" s="20">
        <v>1</v>
      </c>
      <c r="M35" s="20">
        <v>2</v>
      </c>
      <c r="N35" s="20">
        <v>2</v>
      </c>
      <c r="O35" s="20">
        <v>1</v>
      </c>
      <c r="P35" s="20">
        <v>1</v>
      </c>
      <c r="Q35" s="20">
        <v>2</v>
      </c>
      <c r="R35" s="20">
        <v>1</v>
      </c>
      <c r="S35" s="20">
        <v>1</v>
      </c>
      <c r="T35" s="20">
        <v>2</v>
      </c>
      <c r="U35" s="20">
        <v>2</v>
      </c>
      <c r="V35" s="20">
        <v>1</v>
      </c>
      <c r="W35" s="19">
        <v>28</v>
      </c>
      <c r="X35" s="19">
        <v>9</v>
      </c>
      <c r="Y35" s="19">
        <v>7</v>
      </c>
      <c r="Z35" s="28" cm="1">
        <f t="array" ref="Z35">SUMPRODUCT((_xlfn.XLOOKUP(C35, 'Course Stats'!A:A, 'Course Stats'!G:X)=3)*(E35:V35)) / COUNTIF(_xlfn.XLOOKUP(C35, 'Course Stats'!A:A, 'Course Stats'!G:X), 3)</f>
        <v>1.6666666666666667</v>
      </c>
      <c r="AA35" s="28" cm="1">
        <f t="array" ref="AA35">SUMPRODUCT((_xlfn.XLOOKUP(C35, 'Course Stats'!A:A, 'Course Stats'!G:X)=4)*(E35:V35)) / COUNTIF(_xlfn.XLOOKUP(C35, 'Course Stats'!A:A, 'Course Stats'!G:X), 4)</f>
        <v>1.4166666666666667</v>
      </c>
      <c r="AB35" s="28" cm="1">
        <f t="array" ref="AB35">SUMPRODUCT((_xlfn.XLOOKUP(C35, 'Course Stats'!A:A, 'Course Stats'!G:X)=5)*(E35:V35)) / COUNTIF(_xlfn.XLOOKUP(C35, 'Course Stats'!A:A, 'Course Stats'!G:X), 5)</f>
        <v>2</v>
      </c>
    </row>
    <row r="36" spans="1:28" x14ac:dyDescent="0.25">
      <c r="A36" s="20" t="s">
        <v>126</v>
      </c>
      <c r="B36" s="27">
        <v>45831</v>
      </c>
      <c r="C36" s="20" t="s">
        <v>5</v>
      </c>
      <c r="D36" s="20">
        <f>SUM('Putt Log'!$E36:$V36)</f>
        <v>32</v>
      </c>
      <c r="E36" s="20">
        <v>2</v>
      </c>
      <c r="F36" s="20">
        <v>2</v>
      </c>
      <c r="G36" s="20">
        <v>2</v>
      </c>
      <c r="H36" s="20">
        <v>2</v>
      </c>
      <c r="I36" s="20">
        <v>2</v>
      </c>
      <c r="J36" s="20">
        <v>2</v>
      </c>
      <c r="K36" s="20">
        <v>2</v>
      </c>
      <c r="L36" s="20">
        <v>2</v>
      </c>
      <c r="M36" s="20">
        <v>1</v>
      </c>
      <c r="N36" s="20">
        <v>1</v>
      </c>
      <c r="O36" s="20">
        <v>2</v>
      </c>
      <c r="P36" s="20">
        <v>1</v>
      </c>
      <c r="Q36" s="20">
        <v>2</v>
      </c>
      <c r="R36" s="20">
        <v>2</v>
      </c>
      <c r="S36" s="20">
        <v>2</v>
      </c>
      <c r="T36" s="20">
        <v>1</v>
      </c>
      <c r="U36" s="20">
        <v>2</v>
      </c>
      <c r="V36" s="20">
        <v>2</v>
      </c>
      <c r="W36" s="19">
        <v>32</v>
      </c>
      <c r="X36" s="19">
        <v>8</v>
      </c>
      <c r="Y36" s="19">
        <v>8</v>
      </c>
      <c r="Z36" s="28" cm="1">
        <f t="array" ref="Z36">SUMPRODUCT((_xlfn.XLOOKUP(C36, 'Course Stats'!A:A, 'Course Stats'!G:X)=3)*(E36:V36)) / COUNTIF(_xlfn.XLOOKUP(C36, 'Course Stats'!A:A, 'Course Stats'!G:X), 3)</f>
        <v>2</v>
      </c>
      <c r="AA36" s="28" cm="1">
        <f t="array" ref="AA36">SUMPRODUCT((_xlfn.XLOOKUP(C36, 'Course Stats'!A:A, 'Course Stats'!G:X)=4)*(E36:V36)) / COUNTIF(_xlfn.XLOOKUP(C36, 'Course Stats'!A:A, 'Course Stats'!G:X), 4)</f>
        <v>1.8</v>
      </c>
      <c r="AB36" s="28" cm="1">
        <f t="array" ref="AB36">SUMPRODUCT((_xlfn.XLOOKUP(C36, 'Course Stats'!A:A, 'Course Stats'!G:X)=5)*(E36:V36)) / COUNTIF(_xlfn.XLOOKUP(C36, 'Course Stats'!A:A, 'Course Stats'!G:X), 5)</f>
        <v>1.5</v>
      </c>
    </row>
    <row r="37" spans="1:28" x14ac:dyDescent="0.25">
      <c r="A37" s="20" t="s">
        <v>126</v>
      </c>
      <c r="B37" s="27">
        <v>45844</v>
      </c>
      <c r="C37" s="20" t="s">
        <v>3</v>
      </c>
      <c r="D37" s="20">
        <f>SUM('Putt Log'!$E37:$V37)</f>
        <v>32</v>
      </c>
      <c r="E37" s="20">
        <v>2</v>
      </c>
      <c r="F37" s="20">
        <v>2</v>
      </c>
      <c r="G37" s="20">
        <v>2</v>
      </c>
      <c r="H37" s="20">
        <v>1</v>
      </c>
      <c r="I37" s="20">
        <v>1</v>
      </c>
      <c r="J37" s="20">
        <v>2</v>
      </c>
      <c r="K37" s="20">
        <v>2</v>
      </c>
      <c r="L37" s="20">
        <v>2</v>
      </c>
      <c r="M37" s="20">
        <v>2</v>
      </c>
      <c r="N37" s="20">
        <v>1</v>
      </c>
      <c r="O37" s="20">
        <v>2</v>
      </c>
      <c r="P37" s="20">
        <v>2</v>
      </c>
      <c r="Q37" s="20">
        <v>2</v>
      </c>
      <c r="R37" s="20">
        <v>2</v>
      </c>
      <c r="S37" s="20">
        <v>1</v>
      </c>
      <c r="T37" s="20">
        <v>2</v>
      </c>
      <c r="U37" s="20">
        <v>2</v>
      </c>
      <c r="V37" s="20">
        <v>2</v>
      </c>
      <c r="W37" s="19">
        <v>32</v>
      </c>
      <c r="X37" s="19">
        <v>7</v>
      </c>
      <c r="Y37" s="19">
        <v>8</v>
      </c>
      <c r="Z37" s="28" cm="1">
        <f t="array" ref="Z37">SUMPRODUCT((_xlfn.XLOOKUP(C37, 'Course Stats'!A:A, 'Course Stats'!G:X)=3)*(E37:V37)) / COUNTIF(_xlfn.XLOOKUP(C37, 'Course Stats'!A:A, 'Course Stats'!G:X), 3)</f>
        <v>1.75</v>
      </c>
      <c r="AA37" s="28" cm="1">
        <f t="array" ref="AA37">SUMPRODUCT((_xlfn.XLOOKUP(C37, 'Course Stats'!A:A, 'Course Stats'!G:X)=4)*(E37:V37)) / COUNTIF(_xlfn.XLOOKUP(C37, 'Course Stats'!A:A, 'Course Stats'!G:X), 4)</f>
        <v>1.7272727272727273</v>
      </c>
      <c r="AB37" s="28" cm="1">
        <f t="array" ref="AB37">SUMPRODUCT((_xlfn.XLOOKUP(C37, 'Course Stats'!A:A, 'Course Stats'!G:X)=5)*(E37:V37)) / COUNTIF(_xlfn.XLOOKUP(C37, 'Course Stats'!A:A, 'Course Stats'!G:X), 5)</f>
        <v>2</v>
      </c>
    </row>
    <row r="38" spans="1:28" x14ac:dyDescent="0.25">
      <c r="A38" s="20" t="s">
        <v>126</v>
      </c>
      <c r="B38" s="27">
        <v>45857</v>
      </c>
      <c r="C38" s="20" t="s">
        <v>3</v>
      </c>
      <c r="D38" s="20">
        <f>SUM('Putt Log'!$E38:$V38)</f>
        <v>33</v>
      </c>
      <c r="E38" s="20">
        <v>2</v>
      </c>
      <c r="F38" s="20">
        <v>2</v>
      </c>
      <c r="G38" s="20">
        <v>2</v>
      </c>
      <c r="H38" s="20">
        <v>3</v>
      </c>
      <c r="I38" s="20">
        <v>1</v>
      </c>
      <c r="J38" s="20">
        <v>2</v>
      </c>
      <c r="K38" s="20">
        <v>2</v>
      </c>
      <c r="L38" s="20">
        <v>2</v>
      </c>
      <c r="M38" s="20">
        <v>2</v>
      </c>
      <c r="N38" s="20">
        <v>2</v>
      </c>
      <c r="O38" s="20">
        <v>2</v>
      </c>
      <c r="P38" s="20">
        <v>1</v>
      </c>
      <c r="Q38" s="20">
        <v>2</v>
      </c>
      <c r="R38" s="20">
        <v>1</v>
      </c>
      <c r="S38" s="20">
        <v>2</v>
      </c>
      <c r="T38" s="20">
        <v>2</v>
      </c>
      <c r="U38" s="20">
        <v>1</v>
      </c>
      <c r="V38" s="20">
        <v>2</v>
      </c>
      <c r="W38" s="19">
        <v>33</v>
      </c>
      <c r="X38" s="19">
        <v>8</v>
      </c>
      <c r="Y38" s="19">
        <v>11</v>
      </c>
      <c r="Z38" s="28" cm="1">
        <f t="array" ref="Z38">SUMPRODUCT((_xlfn.XLOOKUP(C38, 'Course Stats'!A:A, 'Course Stats'!G:X)=3)*(E38:V38)) / COUNTIF(_xlfn.XLOOKUP(C38, 'Course Stats'!A:A, 'Course Stats'!G:X), 3)</f>
        <v>2</v>
      </c>
      <c r="AA38" s="28" cm="1">
        <f t="array" ref="AA38">SUMPRODUCT((_xlfn.XLOOKUP(C38, 'Course Stats'!A:A, 'Course Stats'!G:X)=4)*(E38:V38)) / COUNTIF(_xlfn.XLOOKUP(C38, 'Course Stats'!A:A, 'Course Stats'!G:X), 4)</f>
        <v>1.7272727272727273</v>
      </c>
      <c r="AB38" s="28" cm="1">
        <f t="array" ref="AB38">SUMPRODUCT((_xlfn.XLOOKUP(C38, 'Course Stats'!A:A, 'Course Stats'!G:X)=5)*(E38:V38)) / COUNTIF(_xlfn.XLOOKUP(C38, 'Course Stats'!A:A, 'Course Stats'!G:X), 5)</f>
        <v>2</v>
      </c>
    </row>
    <row r="39" spans="1:28" x14ac:dyDescent="0.25">
      <c r="A39" s="20" t="s">
        <v>126</v>
      </c>
      <c r="B39" s="27">
        <v>45868</v>
      </c>
      <c r="C39" s="20" t="s">
        <v>10</v>
      </c>
      <c r="D39" s="20">
        <f>SUM('Putt Log'!$E39:$V39)</f>
        <v>29</v>
      </c>
      <c r="E39" s="20">
        <v>2</v>
      </c>
      <c r="F39" s="20">
        <v>2</v>
      </c>
      <c r="G39" s="20">
        <v>1</v>
      </c>
      <c r="H39" s="20">
        <v>2</v>
      </c>
      <c r="I39" s="20">
        <v>2</v>
      </c>
      <c r="J39" s="20">
        <v>2</v>
      </c>
      <c r="K39" s="20">
        <v>1</v>
      </c>
      <c r="L39" s="20">
        <v>1</v>
      </c>
      <c r="M39" s="20">
        <v>2</v>
      </c>
      <c r="N39" s="20">
        <v>1</v>
      </c>
      <c r="O39" s="20">
        <v>1</v>
      </c>
      <c r="P39" s="20">
        <v>1</v>
      </c>
      <c r="Q39" s="20">
        <v>1</v>
      </c>
      <c r="R39" s="20">
        <v>2</v>
      </c>
      <c r="S39" s="20">
        <v>2</v>
      </c>
      <c r="T39" s="20">
        <v>2</v>
      </c>
      <c r="U39" s="20">
        <v>2</v>
      </c>
      <c r="V39" s="20">
        <v>2</v>
      </c>
      <c r="W39" s="19">
        <v>29</v>
      </c>
      <c r="X39" s="19">
        <v>7</v>
      </c>
      <c r="Y39" s="19">
        <v>4</v>
      </c>
      <c r="Z39" s="28" cm="1">
        <f t="array" ref="Z39">SUMPRODUCT((_xlfn.XLOOKUP(C39, 'Course Stats'!A:A, 'Course Stats'!G:X)=3)*(E39:V39)) / COUNTIF(_xlfn.XLOOKUP(C39, 'Course Stats'!A:A, 'Course Stats'!G:X), 3)</f>
        <v>1.5</v>
      </c>
      <c r="AA39" s="28" cm="1">
        <f t="array" ref="AA39">SUMPRODUCT((_xlfn.XLOOKUP(C39, 'Course Stats'!A:A, 'Course Stats'!G:X)=4)*(E39:V39)) / COUNTIF(_xlfn.XLOOKUP(C39, 'Course Stats'!A:A, 'Course Stats'!G:X), 4)</f>
        <v>1.5833333333333333</v>
      </c>
      <c r="AB39" s="28" cm="1">
        <f t="array" ref="AB39">SUMPRODUCT((_xlfn.XLOOKUP(C39, 'Course Stats'!A:A, 'Course Stats'!G:X)=5)*(E39:V39)) / COUNTIF(_xlfn.XLOOKUP(C39, 'Course Stats'!A:A, 'Course Stats'!G:X), 5)</f>
        <v>2</v>
      </c>
    </row>
    <row r="40" spans="1:28" x14ac:dyDescent="0.25">
      <c r="A40" s="20" t="s">
        <v>126</v>
      </c>
      <c r="B40" s="27">
        <v>45886</v>
      </c>
      <c r="C40" s="20" t="s">
        <v>41</v>
      </c>
      <c r="D40" s="20">
        <f>SUM('Putt Log'!$E40:$V40)</f>
        <v>30</v>
      </c>
      <c r="E40" s="20">
        <v>2</v>
      </c>
      <c r="F40" s="20">
        <v>2</v>
      </c>
      <c r="G40" s="20">
        <v>2</v>
      </c>
      <c r="H40" s="20">
        <v>2</v>
      </c>
      <c r="I40" s="20">
        <v>1</v>
      </c>
      <c r="J40" s="20">
        <v>2</v>
      </c>
      <c r="K40" s="20">
        <v>2</v>
      </c>
      <c r="L40" s="20">
        <v>2</v>
      </c>
      <c r="M40" s="20">
        <v>2</v>
      </c>
      <c r="N40" s="20">
        <v>2</v>
      </c>
      <c r="O40" s="20">
        <v>1</v>
      </c>
      <c r="P40" s="20">
        <v>1</v>
      </c>
      <c r="Q40" s="20">
        <v>2</v>
      </c>
      <c r="R40" s="20">
        <v>1</v>
      </c>
      <c r="S40" s="20">
        <v>1</v>
      </c>
      <c r="T40" s="20">
        <v>1</v>
      </c>
      <c r="U40" s="20">
        <v>3</v>
      </c>
      <c r="V40" s="20">
        <v>1</v>
      </c>
      <c r="W40" s="19">
        <v>30</v>
      </c>
      <c r="X40" s="19">
        <v>11</v>
      </c>
      <c r="Y40" s="19">
        <v>4</v>
      </c>
      <c r="Z40" s="28" cm="1">
        <f t="array" ref="Z40">SUMPRODUCT((_xlfn.XLOOKUP(C40, 'Course Stats'!A:A, 'Course Stats'!G:X)=3)*(E40:V40)) / COUNTIF(_xlfn.XLOOKUP(C40, 'Course Stats'!A:A, 'Course Stats'!G:X), 3)</f>
        <v>1.75</v>
      </c>
      <c r="AA40" s="28" cm="1">
        <f t="array" ref="AA40">SUMPRODUCT((_xlfn.XLOOKUP(C40, 'Course Stats'!A:A, 'Course Stats'!G:X)=4)*(E40:V40)) / COUNTIF(_xlfn.XLOOKUP(C40, 'Course Stats'!A:A, 'Course Stats'!G:X), 4)</f>
        <v>1.7</v>
      </c>
      <c r="AB40" s="28" cm="1">
        <f t="array" ref="AB40">SUMPRODUCT((_xlfn.XLOOKUP(C40, 'Course Stats'!A:A, 'Course Stats'!G:X)=5)*(E40:V40)) / COUNTIF(_xlfn.XLOOKUP(C40, 'Course Stats'!A:A, 'Course Stats'!G:X), 5)</f>
        <v>1.5</v>
      </c>
    </row>
    <row r="41" spans="1:28" x14ac:dyDescent="0.25">
      <c r="A41" s="20" t="s">
        <v>126</v>
      </c>
      <c r="B41" s="27">
        <v>45892</v>
      </c>
      <c r="C41" s="20" t="s">
        <v>41</v>
      </c>
      <c r="D41" s="20">
        <f>SUM('Putt Log'!$E41:$V41)</f>
        <v>32</v>
      </c>
      <c r="E41" s="20">
        <v>2</v>
      </c>
      <c r="F41" s="20">
        <v>2</v>
      </c>
      <c r="G41" s="20">
        <v>1</v>
      </c>
      <c r="H41" s="20">
        <v>1</v>
      </c>
      <c r="I41" s="20">
        <v>2</v>
      </c>
      <c r="J41" s="20">
        <v>1</v>
      </c>
      <c r="K41" s="20">
        <v>2</v>
      </c>
      <c r="L41" s="20">
        <v>1</v>
      </c>
      <c r="M41" s="20">
        <v>2</v>
      </c>
      <c r="N41" s="20">
        <v>2</v>
      </c>
      <c r="O41" s="20">
        <v>2</v>
      </c>
      <c r="P41" s="20">
        <v>2</v>
      </c>
      <c r="Q41" s="20">
        <v>2</v>
      </c>
      <c r="R41" s="20">
        <v>2</v>
      </c>
      <c r="S41" s="20">
        <v>2</v>
      </c>
      <c r="T41" s="20">
        <v>2</v>
      </c>
      <c r="U41" s="20">
        <v>2</v>
      </c>
      <c r="V41" s="20">
        <v>2</v>
      </c>
      <c r="W41" s="19">
        <v>32</v>
      </c>
      <c r="X41" s="19">
        <v>6</v>
      </c>
      <c r="Y41" s="19">
        <v>5</v>
      </c>
      <c r="Z41" s="28" cm="1">
        <f t="array" ref="Z41">SUMPRODUCT((_xlfn.XLOOKUP(C41, 'Course Stats'!A:A, 'Course Stats'!G:X)=3)*(E41:V41)) / COUNTIF(_xlfn.XLOOKUP(C41, 'Course Stats'!A:A, 'Course Stats'!G:X), 3)</f>
        <v>1.5</v>
      </c>
      <c r="AA41" s="28" cm="1">
        <f t="array" ref="AA41">SUMPRODUCT((_xlfn.XLOOKUP(C41, 'Course Stats'!A:A, 'Course Stats'!G:X)=4)*(E41:V41)) / COUNTIF(_xlfn.XLOOKUP(C41, 'Course Stats'!A:A, 'Course Stats'!G:X), 4)</f>
        <v>1.9</v>
      </c>
      <c r="AB41" s="28" cm="1">
        <f t="array" ref="AB41">SUMPRODUCT((_xlfn.XLOOKUP(C41, 'Course Stats'!A:A, 'Course Stats'!G:X)=5)*(E41:V41)) / COUNTIF(_xlfn.XLOOKUP(C41, 'Course Stats'!A:A, 'Course Stats'!G:X), 5)</f>
        <v>1.75</v>
      </c>
    </row>
    <row r="42" spans="1:28" x14ac:dyDescent="0.25">
      <c r="A42" s="20" t="s">
        <v>126</v>
      </c>
      <c r="B42" s="27">
        <v>45894</v>
      </c>
      <c r="C42" s="20" t="s">
        <v>11</v>
      </c>
      <c r="D42" s="20">
        <f>SUM('Putt Log'!$E42:$V42)</f>
        <v>38</v>
      </c>
      <c r="E42" s="20">
        <v>2</v>
      </c>
      <c r="F42" s="20">
        <v>1</v>
      </c>
      <c r="G42" s="20">
        <v>2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20">
        <v>2</v>
      </c>
      <c r="N42" s="20">
        <v>2</v>
      </c>
      <c r="O42" s="20">
        <v>3</v>
      </c>
      <c r="P42" s="20">
        <v>2</v>
      </c>
      <c r="Q42" s="20">
        <v>2</v>
      </c>
      <c r="R42" s="20">
        <v>3</v>
      </c>
      <c r="S42" s="20">
        <v>2</v>
      </c>
      <c r="T42" s="20">
        <v>2</v>
      </c>
      <c r="U42" s="20">
        <v>3</v>
      </c>
      <c r="V42" s="20">
        <v>2</v>
      </c>
      <c r="W42" s="19">
        <v>38</v>
      </c>
      <c r="X42" s="19">
        <v>6</v>
      </c>
      <c r="Y42" s="19">
        <v>1</v>
      </c>
      <c r="Z42" s="28" cm="1">
        <f t="array" ref="Z42">SUMPRODUCT((_xlfn.XLOOKUP(C42, 'Course Stats'!A:A, 'Course Stats'!G:X)=3)*(E42:V42)) / COUNTIF(_xlfn.XLOOKUP(C42, 'Course Stats'!A:A, 'Course Stats'!G:X), 3)</f>
        <v>2.2000000000000002</v>
      </c>
      <c r="AA42" s="28" cm="1">
        <f t="array" ref="AA42">SUMPRODUCT((_xlfn.XLOOKUP(C42, 'Course Stats'!A:A, 'Course Stats'!G:X)=4)*(E42:V42)) / COUNTIF(_xlfn.XLOOKUP(C42, 'Course Stats'!A:A, 'Course Stats'!G:X), 4)</f>
        <v>2.1111111111111112</v>
      </c>
      <c r="AB42" s="28" cm="1">
        <f t="array" ref="AB42">SUMPRODUCT((_xlfn.XLOOKUP(C42, 'Course Stats'!A:A, 'Course Stats'!G:X)=5)*(E42:V42)) / COUNTIF(_xlfn.XLOOKUP(C42, 'Course Stats'!A:A, 'Course Stats'!G:X), 5)</f>
        <v>2</v>
      </c>
    </row>
    <row r="43" spans="1:28" x14ac:dyDescent="0.25">
      <c r="A43" s="20" t="s">
        <v>126</v>
      </c>
      <c r="B43" s="18">
        <v>45897</v>
      </c>
      <c r="C43" s="20" t="s">
        <v>41</v>
      </c>
      <c r="D43" s="20">
        <f>SUM('Putt Log'!$E43:$V43)</f>
        <v>31</v>
      </c>
      <c r="E43" s="20">
        <v>2</v>
      </c>
      <c r="F43" s="20">
        <v>1</v>
      </c>
      <c r="G43" s="20">
        <v>2</v>
      </c>
      <c r="H43" s="20">
        <v>2</v>
      </c>
      <c r="I43" s="20">
        <v>2</v>
      </c>
      <c r="J43" s="20">
        <v>2</v>
      </c>
      <c r="K43" s="20">
        <v>2</v>
      </c>
      <c r="L43" s="20">
        <v>1</v>
      </c>
      <c r="M43" s="20">
        <v>2</v>
      </c>
      <c r="N43" s="20">
        <v>2</v>
      </c>
      <c r="O43" s="20">
        <v>1</v>
      </c>
      <c r="P43" s="20">
        <v>2</v>
      </c>
      <c r="Q43" s="20">
        <v>2</v>
      </c>
      <c r="R43" s="20">
        <v>1</v>
      </c>
      <c r="S43" s="20">
        <v>2</v>
      </c>
      <c r="T43" s="20">
        <v>1</v>
      </c>
      <c r="U43" s="20">
        <v>2</v>
      </c>
      <c r="V43" s="20">
        <v>2</v>
      </c>
      <c r="W43" s="19">
        <v>31</v>
      </c>
      <c r="X43" s="19">
        <v>3</v>
      </c>
      <c r="Y43" s="19">
        <v>4</v>
      </c>
      <c r="Z43" s="28" cm="1">
        <f t="array" ref="Z43">SUMPRODUCT((_xlfn.XLOOKUP(C43, 'Course Stats'!A:A, 'Course Stats'!G:X)=3)*(E43:V43)) / COUNTIF(_xlfn.XLOOKUP(C43, 'Course Stats'!A:A, 'Course Stats'!G:X), 3)</f>
        <v>1.75</v>
      </c>
      <c r="AA43" s="28" cm="1">
        <f t="array" ref="AA43">SUMPRODUCT((_xlfn.XLOOKUP(C43, 'Course Stats'!A:A, 'Course Stats'!G:X)=4)*(E43:V43)) / COUNTIF(_xlfn.XLOOKUP(C43, 'Course Stats'!A:A, 'Course Stats'!G:X), 4)</f>
        <v>1.7</v>
      </c>
      <c r="AB43" s="28" cm="1">
        <f t="array" ref="AB43">SUMPRODUCT((_xlfn.XLOOKUP(C43, 'Course Stats'!A:A, 'Course Stats'!G:X)=5)*(E43:V43)) / COUNTIF(_xlfn.XLOOKUP(C43, 'Course Stats'!A:A, 'Course Stats'!G:X), 5)</f>
        <v>1.75</v>
      </c>
    </row>
    <row r="44" spans="1:28" x14ac:dyDescent="0.25">
      <c r="A44" s="20" t="s">
        <v>127</v>
      </c>
      <c r="B44" s="27">
        <v>45894</v>
      </c>
      <c r="C44" s="20" t="s">
        <v>11</v>
      </c>
      <c r="D44" s="20">
        <f>SUM('Putt Log'!$E44:$V44)</f>
        <v>42</v>
      </c>
      <c r="E44" s="20">
        <v>2</v>
      </c>
      <c r="F44" s="20">
        <v>1</v>
      </c>
      <c r="G44" s="20">
        <v>3</v>
      </c>
      <c r="H44" s="20">
        <v>3</v>
      </c>
      <c r="I44" s="20">
        <v>3</v>
      </c>
      <c r="J44" s="20">
        <v>2</v>
      </c>
      <c r="K44" s="20">
        <v>2</v>
      </c>
      <c r="L44" s="20">
        <v>2</v>
      </c>
      <c r="M44" s="20">
        <v>2</v>
      </c>
      <c r="N44" s="20">
        <v>3</v>
      </c>
      <c r="O44" s="20">
        <v>3</v>
      </c>
      <c r="P44" s="20">
        <v>1</v>
      </c>
      <c r="Q44" s="20">
        <v>2</v>
      </c>
      <c r="R44" s="20">
        <v>3</v>
      </c>
      <c r="S44" s="20">
        <v>2</v>
      </c>
      <c r="T44" s="20">
        <v>3</v>
      </c>
      <c r="U44" s="20">
        <v>3</v>
      </c>
      <c r="V44" s="20">
        <v>2</v>
      </c>
      <c r="W44" s="19">
        <v>42</v>
      </c>
      <c r="X44" s="19">
        <v>3</v>
      </c>
      <c r="Y44" s="19">
        <v>3</v>
      </c>
      <c r="Z44" s="28" cm="1">
        <f t="array" ref="Z44">SUMPRODUCT((_xlfn.XLOOKUP(C44, 'Course Stats'!A:A, 'Course Stats'!G:X)=3)*(E44:V44)) / COUNTIF(_xlfn.XLOOKUP(C44, 'Course Stats'!A:A, 'Course Stats'!G:X), 3)</f>
        <v>2.6</v>
      </c>
      <c r="AA44" s="28" cm="1">
        <f t="array" ref="AA44">SUMPRODUCT((_xlfn.XLOOKUP(C44, 'Course Stats'!A:A, 'Course Stats'!G:X)=4)*(E44:V44)) / COUNTIF(_xlfn.XLOOKUP(C44, 'Course Stats'!A:A, 'Course Stats'!G:X), 4)</f>
        <v>2.2222222222222223</v>
      </c>
      <c r="AB44" s="28" cm="1">
        <f t="array" ref="AB44">SUMPRODUCT((_xlfn.XLOOKUP(C44, 'Course Stats'!A:A, 'Course Stats'!G:X)=5)*(E44:V44)) / COUNTIF(_xlfn.XLOOKUP(C44, 'Course Stats'!A:A, 'Course Stats'!G:X), 5)</f>
        <v>2.25</v>
      </c>
    </row>
    <row r="45" spans="1:28" x14ac:dyDescent="0.25">
      <c r="A45" s="35" t="s">
        <v>127</v>
      </c>
      <c r="B45" s="40">
        <v>45853</v>
      </c>
      <c r="C45" s="35" t="s">
        <v>128</v>
      </c>
      <c r="D45" s="35">
        <f>SUM('Putt Log'!$E45:$V45)</f>
        <v>45</v>
      </c>
      <c r="E45" s="35">
        <v>3</v>
      </c>
      <c r="F45" s="35">
        <v>2</v>
      </c>
      <c r="G45" s="35">
        <v>3</v>
      </c>
      <c r="H45" s="35">
        <v>3</v>
      </c>
      <c r="I45" s="35">
        <v>3</v>
      </c>
      <c r="J45" s="35">
        <v>3</v>
      </c>
      <c r="K45" s="35">
        <v>2</v>
      </c>
      <c r="L45" s="35">
        <v>2</v>
      </c>
      <c r="M45" s="35">
        <v>2</v>
      </c>
      <c r="N45" s="35">
        <v>2</v>
      </c>
      <c r="O45" s="35">
        <v>3</v>
      </c>
      <c r="P45" s="35">
        <v>2</v>
      </c>
      <c r="Q45" s="35">
        <v>3</v>
      </c>
      <c r="R45" s="35">
        <v>2</v>
      </c>
      <c r="S45" s="35">
        <v>3</v>
      </c>
      <c r="T45" s="35">
        <v>2</v>
      </c>
      <c r="U45" s="35">
        <v>3</v>
      </c>
      <c r="V45" s="35">
        <v>2</v>
      </c>
      <c r="W45" s="37">
        <v>45</v>
      </c>
      <c r="X45" s="37">
        <v>0</v>
      </c>
      <c r="Y45" s="37">
        <v>2</v>
      </c>
      <c r="Z45" s="39" cm="1">
        <f t="array" ref="Z45">SUMPRODUCT((_xlfn.XLOOKUP(C45, 'Course Stats'!A:A, 'Course Stats'!G:X)=3)*(E45:V45)) / COUNTIF(_xlfn.XLOOKUP(C45, 'Course Stats'!A:A, 'Course Stats'!G:X), 3)</f>
        <v>2.25</v>
      </c>
      <c r="AA45" s="39" cm="1">
        <f t="array" ref="AA45">SUMPRODUCT((_xlfn.XLOOKUP(C45, 'Course Stats'!A:A, 'Course Stats'!G:X)=4)*(E45:V45)) / COUNTIF(_xlfn.XLOOKUP(C45, 'Course Stats'!A:A, 'Course Stats'!G:X), 4)</f>
        <v>2.4545454545454546</v>
      </c>
      <c r="AB45" s="39" cm="1">
        <f t="array" ref="AB45">SUMPRODUCT((_xlfn.XLOOKUP(C45, 'Course Stats'!A:A, 'Course Stats'!G:X)=5)*(E45:V45)) / COUNTIF(_xlfn.XLOOKUP(C45, 'Course Stats'!A:A, 'Course Stats'!G:X), 5)</f>
        <v>3</v>
      </c>
    </row>
    <row r="46" spans="1:28" x14ac:dyDescent="0.25">
      <c r="A46" s="35" t="s">
        <v>127</v>
      </c>
      <c r="B46" s="40">
        <v>45765</v>
      </c>
      <c r="C46" s="35" t="s">
        <v>129</v>
      </c>
      <c r="D46" s="35">
        <f>SUM('Putt Log'!$E46:$V46)</f>
        <v>42</v>
      </c>
      <c r="E46" s="35">
        <v>3</v>
      </c>
      <c r="F46" s="35">
        <v>2</v>
      </c>
      <c r="G46" s="35">
        <v>3</v>
      </c>
      <c r="H46" s="35">
        <v>2</v>
      </c>
      <c r="I46" s="35">
        <v>2</v>
      </c>
      <c r="J46" s="35">
        <v>3</v>
      </c>
      <c r="K46" s="35">
        <v>3</v>
      </c>
      <c r="L46" s="35">
        <v>3</v>
      </c>
      <c r="M46" s="35">
        <v>2</v>
      </c>
      <c r="N46" s="35">
        <v>2</v>
      </c>
      <c r="O46" s="35">
        <v>2</v>
      </c>
      <c r="P46" s="35">
        <v>2</v>
      </c>
      <c r="Q46" s="35">
        <v>2</v>
      </c>
      <c r="R46" s="35">
        <v>2</v>
      </c>
      <c r="S46" s="35">
        <v>2</v>
      </c>
      <c r="T46" s="35">
        <v>2</v>
      </c>
      <c r="U46" s="35">
        <v>3</v>
      </c>
      <c r="V46" s="35">
        <v>2</v>
      </c>
      <c r="W46" s="37">
        <v>42</v>
      </c>
      <c r="X46" s="37">
        <v>5</v>
      </c>
      <c r="Y46" s="37">
        <v>2</v>
      </c>
      <c r="Z46" s="39" cm="1">
        <f t="array" ref="Z46">SUMPRODUCT((_xlfn.XLOOKUP(C46, 'Course Stats'!A:A, 'Course Stats'!G:X)=3)*(E46:V46)) / COUNTIF(_xlfn.XLOOKUP(C46, 'Course Stats'!A:A, 'Course Stats'!G:X), 3)</f>
        <v>2.6</v>
      </c>
      <c r="AA46" s="39" cm="1">
        <f t="array" ref="AA46">SUMPRODUCT((_xlfn.XLOOKUP(C46, 'Course Stats'!A:A, 'Course Stats'!G:X)=4)*(E46:V46)) / COUNTIF(_xlfn.XLOOKUP(C46, 'Course Stats'!A:A, 'Course Stats'!G:X), 4)</f>
        <v>2.2222222222222223</v>
      </c>
      <c r="AB46" s="39" cm="1">
        <f t="array" ref="AB46">SUMPRODUCT((_xlfn.XLOOKUP(C46, 'Course Stats'!A:A, 'Course Stats'!G:X)=5)*(E46:V46)) / COUNTIF(_xlfn.XLOOKUP(C46, 'Course Stats'!A:A, 'Course Stats'!G:X), 5)</f>
        <v>2.25</v>
      </c>
    </row>
    <row r="47" spans="1:28" x14ac:dyDescent="0.25">
      <c r="A47" s="43" t="s">
        <v>127</v>
      </c>
      <c r="B47" s="50">
        <v>45520</v>
      </c>
      <c r="C47" s="43" t="s">
        <v>46</v>
      </c>
      <c r="D47" s="43">
        <f>SUM('Putt Log'!$E47:$V47)</f>
        <v>36</v>
      </c>
      <c r="E47" s="43">
        <v>2</v>
      </c>
      <c r="F47" s="43">
        <v>2</v>
      </c>
      <c r="G47" s="43">
        <v>2</v>
      </c>
      <c r="H47" s="43">
        <v>2</v>
      </c>
      <c r="I47" s="43">
        <v>1</v>
      </c>
      <c r="J47" s="43">
        <v>2</v>
      </c>
      <c r="K47" s="43">
        <v>3</v>
      </c>
      <c r="L47" s="43">
        <v>2</v>
      </c>
      <c r="M47" s="43">
        <v>2</v>
      </c>
      <c r="N47" s="43">
        <v>0</v>
      </c>
      <c r="O47" s="43">
        <v>3</v>
      </c>
      <c r="P47" s="43">
        <v>3</v>
      </c>
      <c r="Q47" s="43">
        <v>2</v>
      </c>
      <c r="R47" s="43">
        <v>1</v>
      </c>
      <c r="S47" s="43">
        <v>3</v>
      </c>
      <c r="T47" s="43">
        <v>2</v>
      </c>
      <c r="U47" s="43">
        <v>2</v>
      </c>
      <c r="V47" s="43">
        <v>2</v>
      </c>
      <c r="W47" s="45">
        <v>36</v>
      </c>
      <c r="X47" s="45">
        <v>7</v>
      </c>
      <c r="Y47" s="45">
        <v>4</v>
      </c>
      <c r="Z47" s="49" cm="1">
        <f t="array" ref="Z47">SUMPRODUCT((_xlfn.XLOOKUP(C47, 'Course Stats'!A:A, 'Course Stats'!G:X)=3)*(E47:V47)) / COUNTIF(_xlfn.XLOOKUP(C47, 'Course Stats'!A:A, 'Course Stats'!G:X), 3)</f>
        <v>2</v>
      </c>
      <c r="AA47" s="49" cm="1">
        <f t="array" ref="AA47">SUMPRODUCT((_xlfn.XLOOKUP(C47, 'Course Stats'!A:A, 'Course Stats'!G:X)=4)*(E47:V47)) / COUNTIF(_xlfn.XLOOKUP(C47, 'Course Stats'!A:A, 'Course Stats'!G:X), 4)</f>
        <v>1.9090909090909092</v>
      </c>
      <c r="AB47" s="49" cm="1">
        <f t="array" ref="AB47">SUMPRODUCT((_xlfn.XLOOKUP(C47, 'Course Stats'!A:A, 'Course Stats'!G:X)=5)*(E47:V47)) / COUNTIF(_xlfn.XLOOKUP(C47, 'Course Stats'!A:A, 'Course Stats'!G:X), 5)</f>
        <v>2.3333333333333335</v>
      </c>
    </row>
    <row r="48" spans="1:28" x14ac:dyDescent="0.25">
      <c r="A48" s="43" t="s">
        <v>127</v>
      </c>
      <c r="B48" s="50">
        <v>45492</v>
      </c>
      <c r="C48" s="43" t="s">
        <v>6</v>
      </c>
      <c r="D48" s="43">
        <f>SUM('Putt Log'!$E48:$V48)</f>
        <v>34</v>
      </c>
      <c r="E48" s="43">
        <v>2</v>
      </c>
      <c r="F48" s="43">
        <v>2</v>
      </c>
      <c r="G48" s="43">
        <v>3</v>
      </c>
      <c r="H48" s="43">
        <v>2</v>
      </c>
      <c r="I48" s="43">
        <v>2</v>
      </c>
      <c r="J48" s="43">
        <v>2</v>
      </c>
      <c r="K48" s="43">
        <v>3</v>
      </c>
      <c r="L48" s="43">
        <v>2</v>
      </c>
      <c r="M48" s="43">
        <v>2</v>
      </c>
      <c r="N48" s="43">
        <v>2</v>
      </c>
      <c r="O48" s="43">
        <v>2</v>
      </c>
      <c r="P48" s="43">
        <v>1</v>
      </c>
      <c r="Q48" s="43">
        <v>1</v>
      </c>
      <c r="R48" s="43">
        <v>1</v>
      </c>
      <c r="S48" s="43">
        <v>2</v>
      </c>
      <c r="T48" s="43">
        <v>1</v>
      </c>
      <c r="U48" s="43">
        <v>2</v>
      </c>
      <c r="V48" s="43">
        <v>2</v>
      </c>
      <c r="W48" s="45">
        <v>34</v>
      </c>
      <c r="X48" s="45">
        <v>7</v>
      </c>
      <c r="Y48" s="45">
        <v>1</v>
      </c>
      <c r="Z48" s="49" cm="1">
        <f t="array" ref="Z48">SUMPRODUCT((_xlfn.XLOOKUP(C48, 'Course Stats'!A:A, 'Course Stats'!G:X)=3)*(E48:V48)) / COUNTIF(_xlfn.XLOOKUP(C48, 'Course Stats'!A:A, 'Course Stats'!G:X), 3)</f>
        <v>2</v>
      </c>
      <c r="AA48" s="49" cm="1">
        <f t="array" ref="AA48">SUMPRODUCT((_xlfn.XLOOKUP(C48, 'Course Stats'!A:A, 'Course Stats'!G:X)=4)*(E48:V48)) / COUNTIF(_xlfn.XLOOKUP(C48, 'Course Stats'!A:A, 'Course Stats'!G:X), 4)</f>
        <v>1.8333333333333333</v>
      </c>
      <c r="AB48" s="49" cm="1">
        <f t="array" ref="AB48">SUMPRODUCT((_xlfn.XLOOKUP(C48, 'Course Stats'!A:A, 'Course Stats'!G:X)=5)*(E48:V48)) / COUNTIF(_xlfn.XLOOKUP(C48, 'Course Stats'!A:A, 'Course Stats'!G:X), 5)</f>
        <v>2</v>
      </c>
    </row>
    <row r="49" spans="1:28" x14ac:dyDescent="0.25">
      <c r="A49" s="43" t="s">
        <v>127</v>
      </c>
      <c r="B49" s="50">
        <v>45453</v>
      </c>
      <c r="C49" s="43" t="s">
        <v>11</v>
      </c>
      <c r="D49" s="43">
        <f>SUM('Putt Log'!$E49:$V49)</f>
        <v>35</v>
      </c>
      <c r="E49" s="43">
        <v>1</v>
      </c>
      <c r="F49" s="43">
        <v>2</v>
      </c>
      <c r="G49" s="43">
        <v>1</v>
      </c>
      <c r="H49" s="43">
        <v>3</v>
      </c>
      <c r="I49" s="43">
        <v>2</v>
      </c>
      <c r="J49" s="43">
        <v>2</v>
      </c>
      <c r="K49" s="43">
        <v>2</v>
      </c>
      <c r="L49" s="43">
        <v>3</v>
      </c>
      <c r="M49" s="43">
        <v>2</v>
      </c>
      <c r="N49" s="43">
        <v>2</v>
      </c>
      <c r="O49" s="43">
        <v>1</v>
      </c>
      <c r="P49" s="43">
        <v>2</v>
      </c>
      <c r="Q49" s="43">
        <v>2</v>
      </c>
      <c r="R49" s="43">
        <v>2</v>
      </c>
      <c r="S49" s="43">
        <v>2</v>
      </c>
      <c r="T49" s="43">
        <v>2</v>
      </c>
      <c r="U49" s="43">
        <v>2</v>
      </c>
      <c r="V49" s="43">
        <v>2</v>
      </c>
      <c r="W49" s="45">
        <v>35</v>
      </c>
      <c r="X49" s="45">
        <v>0</v>
      </c>
      <c r="Y49" s="45">
        <v>1</v>
      </c>
      <c r="Z49" s="49" cm="1">
        <f t="array" ref="Z49">SUMPRODUCT((_xlfn.XLOOKUP(C49, 'Course Stats'!A:A, 'Course Stats'!G:X)=3)*(E49:V49)) / COUNTIF(_xlfn.XLOOKUP(C49, 'Course Stats'!A:A, 'Course Stats'!G:X), 3)</f>
        <v>2</v>
      </c>
      <c r="AA49" s="49" cm="1">
        <f t="array" ref="AA49">SUMPRODUCT((_xlfn.XLOOKUP(C49, 'Course Stats'!A:A, 'Course Stats'!G:X)=4)*(E49:V49)) / COUNTIF(_xlfn.XLOOKUP(C49, 'Course Stats'!A:A, 'Course Stats'!G:X), 4)</f>
        <v>1.8888888888888888</v>
      </c>
      <c r="AB49" s="49" cm="1">
        <f t="array" ref="AB49">SUMPRODUCT((_xlfn.XLOOKUP(C49, 'Course Stats'!A:A, 'Course Stats'!G:X)=5)*(E49:V49)) / COUNTIF(_xlfn.XLOOKUP(C49, 'Course Stats'!A:A, 'Course Stats'!G:X), 5)</f>
        <v>2</v>
      </c>
    </row>
    <row r="50" spans="1:28" x14ac:dyDescent="0.25">
      <c r="A50" s="51" t="s">
        <v>130</v>
      </c>
      <c r="B50" s="58">
        <v>45156</v>
      </c>
      <c r="C50" s="51" t="s">
        <v>46</v>
      </c>
      <c r="D50" s="51">
        <f>SUM('Putt Log'!$E50:$V50)</f>
        <v>31</v>
      </c>
      <c r="E50" s="51">
        <v>1</v>
      </c>
      <c r="F50" s="51">
        <v>2</v>
      </c>
      <c r="G50" s="51">
        <v>2</v>
      </c>
      <c r="H50" s="51">
        <v>3</v>
      </c>
      <c r="I50" s="51">
        <v>1</v>
      </c>
      <c r="J50" s="51">
        <v>2</v>
      </c>
      <c r="K50" s="51">
        <v>2</v>
      </c>
      <c r="L50" s="51">
        <v>1</v>
      </c>
      <c r="M50" s="51">
        <v>1</v>
      </c>
      <c r="N50" s="51">
        <v>2</v>
      </c>
      <c r="O50" s="51">
        <v>2</v>
      </c>
      <c r="P50" s="51">
        <v>2</v>
      </c>
      <c r="Q50" s="51">
        <v>1</v>
      </c>
      <c r="R50" s="51">
        <v>2</v>
      </c>
      <c r="S50" s="51">
        <v>1</v>
      </c>
      <c r="T50" s="51">
        <v>1</v>
      </c>
      <c r="U50" s="51">
        <v>2</v>
      </c>
      <c r="V50" s="51">
        <v>3</v>
      </c>
      <c r="W50" s="53">
        <v>31</v>
      </c>
      <c r="X50" s="53"/>
      <c r="Y50" s="53"/>
      <c r="Z50" s="55" cm="1">
        <f t="array" ref="Z50">SUMPRODUCT((_xlfn.XLOOKUP(C50, 'Course Stats'!A:A, 'Course Stats'!G:X)=3)*(E50:V50)) / COUNTIF(_xlfn.XLOOKUP(C50, 'Course Stats'!A:A, 'Course Stats'!G:X), 3)</f>
        <v>1.75</v>
      </c>
      <c r="AA50" s="55" cm="1">
        <f t="array" ref="AA50">SUMPRODUCT((_xlfn.XLOOKUP(C50, 'Course Stats'!A:A, 'Course Stats'!G:X)=4)*(E50:V50)) / COUNTIF(_xlfn.XLOOKUP(C50, 'Course Stats'!A:A, 'Course Stats'!G:X), 4)</f>
        <v>1.8181818181818181</v>
      </c>
      <c r="AB50" s="55" cm="1">
        <f t="array" ref="AB50">SUMPRODUCT((_xlfn.XLOOKUP(C50, 'Course Stats'!A:A, 'Course Stats'!G:X)=5)*(E50:V50)) / COUNTIF(_xlfn.XLOOKUP(C50, 'Course Stats'!A:A, 'Course Stats'!G:X), 5)</f>
        <v>1.3333333333333333</v>
      </c>
    </row>
    <row r="51" spans="1:28" x14ac:dyDescent="0.25">
      <c r="A51" s="51" t="s">
        <v>130</v>
      </c>
      <c r="B51" s="58">
        <v>45465</v>
      </c>
      <c r="C51" s="51" t="s">
        <v>12</v>
      </c>
      <c r="D51" s="51">
        <f>SUM('Putt Log'!$E51:$V51)</f>
        <v>34</v>
      </c>
      <c r="E51" s="51">
        <v>1</v>
      </c>
      <c r="F51" s="51">
        <v>1</v>
      </c>
      <c r="G51" s="51">
        <v>2</v>
      </c>
      <c r="H51" s="51">
        <v>2</v>
      </c>
      <c r="I51" s="51">
        <v>2</v>
      </c>
      <c r="J51" s="51">
        <v>2</v>
      </c>
      <c r="K51" s="51">
        <v>2</v>
      </c>
      <c r="L51" s="51">
        <v>2</v>
      </c>
      <c r="M51" s="51">
        <v>2</v>
      </c>
      <c r="N51" s="51">
        <v>2</v>
      </c>
      <c r="O51" s="51">
        <v>2</v>
      </c>
      <c r="P51" s="51">
        <v>2</v>
      </c>
      <c r="Q51" s="51">
        <v>2</v>
      </c>
      <c r="R51" s="51">
        <v>2</v>
      </c>
      <c r="S51" s="51">
        <v>1</v>
      </c>
      <c r="T51" s="51">
        <v>3</v>
      </c>
      <c r="U51" s="51">
        <v>2</v>
      </c>
      <c r="V51" s="51">
        <v>2</v>
      </c>
      <c r="W51" s="53">
        <v>34</v>
      </c>
      <c r="X51" s="53">
        <v>0</v>
      </c>
      <c r="Y51" s="53">
        <v>1</v>
      </c>
      <c r="Z51" s="55" cm="1">
        <f t="array" ref="Z51">SUMPRODUCT((_xlfn.XLOOKUP(C51, 'Course Stats'!A:A, 'Course Stats'!G:X)=3)*(E51:V51)) / COUNTIF(_xlfn.XLOOKUP(C51, 'Course Stats'!A:A, 'Course Stats'!G:X), 3)</f>
        <v>2</v>
      </c>
      <c r="AA51" s="55" cm="1">
        <f t="array" ref="AA51">SUMPRODUCT((_xlfn.XLOOKUP(C51, 'Course Stats'!A:A, 'Course Stats'!G:X)=4)*(E51:V51)) / COUNTIF(_xlfn.XLOOKUP(C51, 'Course Stats'!A:A, 'Course Stats'!G:X), 4)</f>
        <v>2</v>
      </c>
      <c r="AB51" s="55" cm="1">
        <f t="array" ref="AB51">SUMPRODUCT((_xlfn.XLOOKUP(C51, 'Course Stats'!A:A, 'Course Stats'!G:X)=5)*(E51:V51)) / COUNTIF(_xlfn.XLOOKUP(C51, 'Course Stats'!A:A, 'Course Stats'!G:X), 5)</f>
        <v>1.5</v>
      </c>
    </row>
    <row r="52" spans="1:28" x14ac:dyDescent="0.25">
      <c r="A52" s="51" t="s">
        <v>130</v>
      </c>
      <c r="B52" s="58">
        <v>45514</v>
      </c>
      <c r="C52" s="51" t="s">
        <v>6</v>
      </c>
      <c r="D52" s="51">
        <f>SUM('Putt Log'!$E52:$V52)</f>
        <v>28</v>
      </c>
      <c r="E52" s="51">
        <v>1</v>
      </c>
      <c r="F52" s="51">
        <v>1</v>
      </c>
      <c r="G52" s="51">
        <v>1</v>
      </c>
      <c r="H52" s="51">
        <v>1</v>
      </c>
      <c r="I52" s="51">
        <v>2</v>
      </c>
      <c r="J52" s="51">
        <v>2</v>
      </c>
      <c r="K52" s="51">
        <v>2</v>
      </c>
      <c r="L52" s="51">
        <v>1</v>
      </c>
      <c r="M52" s="51">
        <v>2</v>
      </c>
      <c r="N52" s="51">
        <v>2</v>
      </c>
      <c r="O52" s="51">
        <v>2</v>
      </c>
      <c r="P52" s="51">
        <v>2</v>
      </c>
      <c r="Q52" s="51">
        <v>2</v>
      </c>
      <c r="R52" s="51">
        <v>1</v>
      </c>
      <c r="S52" s="51">
        <v>2</v>
      </c>
      <c r="T52" s="51">
        <v>1</v>
      </c>
      <c r="U52" s="51">
        <v>1</v>
      </c>
      <c r="V52" s="51">
        <v>2</v>
      </c>
      <c r="W52" s="53">
        <v>28</v>
      </c>
      <c r="X52" s="53">
        <v>4</v>
      </c>
      <c r="Y52" s="53">
        <v>1</v>
      </c>
      <c r="Z52" s="55" cm="1">
        <f t="array" ref="Z52">SUMPRODUCT((_xlfn.XLOOKUP(C52, 'Course Stats'!A:A, 'Course Stats'!G:X)=3)*(E52:V52)) / COUNTIF(_xlfn.XLOOKUP(C52, 'Course Stats'!A:A, 'Course Stats'!G:X), 3)</f>
        <v>1.3333333333333333</v>
      </c>
      <c r="AA52" s="55" cm="1">
        <f t="array" ref="AA52">SUMPRODUCT((_xlfn.XLOOKUP(C52, 'Course Stats'!A:A, 'Course Stats'!G:X)=4)*(E52:V52)) / COUNTIF(_xlfn.XLOOKUP(C52, 'Course Stats'!A:A, 'Course Stats'!G:X), 4)</f>
        <v>1.75</v>
      </c>
      <c r="AB52" s="55" cm="1">
        <f t="array" ref="AB52">SUMPRODUCT((_xlfn.XLOOKUP(C52, 'Course Stats'!A:A, 'Course Stats'!G:X)=5)*(E52:V52)) / COUNTIF(_xlfn.XLOOKUP(C52, 'Course Stats'!A:A, 'Course Stats'!G:X), 5)</f>
        <v>1</v>
      </c>
    </row>
    <row r="53" spans="1:28" x14ac:dyDescent="0.25">
      <c r="A53" s="51" t="s">
        <v>130</v>
      </c>
      <c r="B53" s="58">
        <v>45892</v>
      </c>
      <c r="C53" s="51" t="s">
        <v>41</v>
      </c>
      <c r="D53" s="51">
        <f>SUM('Putt Log'!$E53:$V53)</f>
        <v>38</v>
      </c>
      <c r="E53" s="51">
        <v>2</v>
      </c>
      <c r="F53" s="51">
        <v>2</v>
      </c>
      <c r="G53" s="51">
        <v>2</v>
      </c>
      <c r="H53" s="51">
        <v>2</v>
      </c>
      <c r="I53" s="51">
        <v>1</v>
      </c>
      <c r="J53" s="51">
        <v>2</v>
      </c>
      <c r="K53" s="51">
        <v>2</v>
      </c>
      <c r="L53" s="51">
        <v>3</v>
      </c>
      <c r="M53" s="51">
        <v>2</v>
      </c>
      <c r="N53" s="51">
        <v>3</v>
      </c>
      <c r="O53" s="51">
        <v>2</v>
      </c>
      <c r="P53" s="51">
        <v>2</v>
      </c>
      <c r="Q53" s="51">
        <v>2</v>
      </c>
      <c r="R53" s="51">
        <v>2</v>
      </c>
      <c r="S53" s="51">
        <v>3</v>
      </c>
      <c r="T53" s="51">
        <v>2</v>
      </c>
      <c r="U53" s="51">
        <v>2</v>
      </c>
      <c r="V53" s="51">
        <v>2</v>
      </c>
      <c r="W53" s="53">
        <v>38</v>
      </c>
      <c r="X53" s="53">
        <v>8</v>
      </c>
      <c r="Y53" s="53">
        <v>6</v>
      </c>
      <c r="Z53" s="55" cm="1">
        <f t="array" ref="Z53">SUMPRODUCT((_xlfn.XLOOKUP(C53, 'Course Stats'!A:A, 'Course Stats'!G:X)=3)*(E53:V53)) / COUNTIF(_xlfn.XLOOKUP(C53, 'Course Stats'!A:A, 'Course Stats'!G:X), 3)</f>
        <v>2</v>
      </c>
      <c r="AA53" s="55" cm="1">
        <f t="array" ref="AA53">SUMPRODUCT((_xlfn.XLOOKUP(C53, 'Course Stats'!A:A, 'Course Stats'!G:X)=4)*(E53:V53)) / COUNTIF(_xlfn.XLOOKUP(C53, 'Course Stats'!A:A, 'Course Stats'!G:X), 4)</f>
        <v>2.2000000000000002</v>
      </c>
      <c r="AB53" s="55" cm="1">
        <f t="array" ref="AB53">SUMPRODUCT((_xlfn.XLOOKUP(C53, 'Course Stats'!A:A, 'Course Stats'!G:X)=5)*(E53:V53)) / COUNTIF(_xlfn.XLOOKUP(C53, 'Course Stats'!A:A, 'Course Stats'!G:X), 5)</f>
        <v>2</v>
      </c>
    </row>
    <row r="54" spans="1:28" x14ac:dyDescent="0.25">
      <c r="A54" s="51" t="s">
        <v>130</v>
      </c>
      <c r="B54" s="58">
        <v>45886</v>
      </c>
      <c r="C54" s="51" t="s">
        <v>41</v>
      </c>
      <c r="D54" s="51">
        <f>SUM('Putt Log'!$E54:$V54)</f>
        <v>39</v>
      </c>
      <c r="E54" s="51">
        <v>3</v>
      </c>
      <c r="F54" s="51">
        <v>3</v>
      </c>
      <c r="G54" s="51">
        <v>2</v>
      </c>
      <c r="H54" s="51">
        <v>3</v>
      </c>
      <c r="I54" s="51">
        <v>2</v>
      </c>
      <c r="J54" s="51">
        <v>2</v>
      </c>
      <c r="K54" s="51">
        <v>2</v>
      </c>
      <c r="L54" s="51">
        <v>2</v>
      </c>
      <c r="M54" s="51">
        <v>2</v>
      </c>
      <c r="N54" s="51">
        <v>2</v>
      </c>
      <c r="O54" s="51">
        <v>2</v>
      </c>
      <c r="P54" s="51">
        <v>1</v>
      </c>
      <c r="Q54" s="51">
        <v>2</v>
      </c>
      <c r="R54" s="51">
        <v>2</v>
      </c>
      <c r="S54" s="51">
        <v>2</v>
      </c>
      <c r="T54" s="51">
        <v>2</v>
      </c>
      <c r="U54" s="51">
        <v>3</v>
      </c>
      <c r="V54" s="51">
        <v>2</v>
      </c>
      <c r="W54" s="53">
        <v>39</v>
      </c>
      <c r="X54" s="53">
        <v>8</v>
      </c>
      <c r="Y54" s="53">
        <v>8</v>
      </c>
      <c r="Z54" s="55" cm="1">
        <f t="array" ref="Z54">SUMPRODUCT((_xlfn.XLOOKUP(C54, 'Course Stats'!A:A, 'Course Stats'!G:X)=3)*(E54:V54)) / COUNTIF(_xlfn.XLOOKUP(C54, 'Course Stats'!A:A, 'Course Stats'!G:X), 3)</f>
        <v>2</v>
      </c>
      <c r="AA54" s="55" cm="1">
        <f t="array" ref="AA54">SUMPRODUCT((_xlfn.XLOOKUP(C54, 'Course Stats'!A:A, 'Course Stats'!G:X)=4)*(E54:V54)) / COUNTIF(_xlfn.XLOOKUP(C54, 'Course Stats'!A:A, 'Course Stats'!G:X), 4)</f>
        <v>2.2000000000000002</v>
      </c>
      <c r="AB54" s="55" cm="1">
        <f t="array" ref="AB54">SUMPRODUCT((_xlfn.XLOOKUP(C54, 'Course Stats'!A:A, 'Course Stats'!G:X)=5)*(E54:V54)) / COUNTIF(_xlfn.XLOOKUP(C54, 'Course Stats'!A:A, 'Course Stats'!G:X), 5)</f>
        <v>2.25</v>
      </c>
    </row>
    <row r="55" spans="1:28" x14ac:dyDescent="0.25">
      <c r="A55" s="51" t="s">
        <v>130</v>
      </c>
      <c r="B55" s="58">
        <v>45897</v>
      </c>
      <c r="C55" s="51" t="s">
        <v>41</v>
      </c>
      <c r="D55" s="51">
        <f>SUM('Putt Log'!$E55:$V55)</f>
        <v>32</v>
      </c>
      <c r="E55" s="51">
        <v>2</v>
      </c>
      <c r="F55" s="51">
        <v>1</v>
      </c>
      <c r="G55" s="51">
        <v>2</v>
      </c>
      <c r="H55" s="51">
        <v>2</v>
      </c>
      <c r="I55" s="51">
        <v>2</v>
      </c>
      <c r="J55" s="51">
        <v>1</v>
      </c>
      <c r="K55" s="51">
        <v>1</v>
      </c>
      <c r="L55" s="51">
        <v>2</v>
      </c>
      <c r="M55" s="51">
        <v>2</v>
      </c>
      <c r="N55" s="51">
        <v>2</v>
      </c>
      <c r="O55" s="51">
        <v>2</v>
      </c>
      <c r="P55" s="51">
        <v>2</v>
      </c>
      <c r="Q55" s="51">
        <v>2</v>
      </c>
      <c r="R55" s="51">
        <v>1</v>
      </c>
      <c r="S55" s="51">
        <v>2</v>
      </c>
      <c r="T55" s="51">
        <v>2</v>
      </c>
      <c r="U55" s="51">
        <v>2</v>
      </c>
      <c r="V55" s="51">
        <v>2</v>
      </c>
      <c r="W55" s="53">
        <v>32</v>
      </c>
      <c r="X55" s="53">
        <v>5</v>
      </c>
      <c r="Y55" s="53">
        <v>0</v>
      </c>
      <c r="Z55" s="55" cm="1">
        <f t="array" ref="Z55">SUMPRODUCT((_xlfn.XLOOKUP(C55, 'Course Stats'!A:A, 'Course Stats'!G:X)=3)*(E55:V55)) / COUNTIF(_xlfn.XLOOKUP(C55, 'Course Stats'!A:A, 'Course Stats'!G:X), 3)</f>
        <v>1.75</v>
      </c>
      <c r="AA55" s="55" cm="1">
        <f t="array" ref="AA55">SUMPRODUCT((_xlfn.XLOOKUP(C55, 'Course Stats'!A:A, 'Course Stats'!G:X)=4)*(E55:V55)) / COUNTIF(_xlfn.XLOOKUP(C55, 'Course Stats'!A:A, 'Course Stats'!G:X), 4)</f>
        <v>1.7</v>
      </c>
      <c r="AB55" s="55" cm="1">
        <f t="array" ref="AB55">SUMPRODUCT((_xlfn.XLOOKUP(C55, 'Course Stats'!A:A, 'Course Stats'!G:X)=5)*(E55:V55)) / COUNTIF(_xlfn.XLOOKUP(C55, 'Course Stats'!A:A, 'Course Stats'!G:X), 5)</f>
        <v>2</v>
      </c>
    </row>
    <row r="56" spans="1:28" x14ac:dyDescent="0.25">
      <c r="A56" s="51" t="s">
        <v>130</v>
      </c>
      <c r="B56" s="58">
        <v>45829</v>
      </c>
      <c r="C56" s="51" t="s">
        <v>6</v>
      </c>
      <c r="D56" s="51">
        <f>SUM('Putt Log'!$E56:$V56)</f>
        <v>34</v>
      </c>
      <c r="E56" s="51">
        <v>2</v>
      </c>
      <c r="F56" s="51">
        <v>1</v>
      </c>
      <c r="G56" s="51">
        <v>2</v>
      </c>
      <c r="H56" s="51">
        <v>2</v>
      </c>
      <c r="I56" s="51">
        <v>2</v>
      </c>
      <c r="J56" s="51">
        <v>2</v>
      </c>
      <c r="K56" s="51">
        <v>2</v>
      </c>
      <c r="L56" s="51">
        <v>2</v>
      </c>
      <c r="M56" s="51">
        <v>2</v>
      </c>
      <c r="N56" s="51">
        <v>2</v>
      </c>
      <c r="O56" s="51">
        <v>2</v>
      </c>
      <c r="P56" s="51">
        <v>2</v>
      </c>
      <c r="Q56" s="51">
        <v>2</v>
      </c>
      <c r="R56" s="51">
        <v>1</v>
      </c>
      <c r="S56" s="51">
        <v>2</v>
      </c>
      <c r="T56" s="51">
        <v>2</v>
      </c>
      <c r="U56" s="51">
        <v>2</v>
      </c>
      <c r="V56" s="51">
        <v>2</v>
      </c>
      <c r="W56" s="53">
        <v>34</v>
      </c>
      <c r="X56" s="53">
        <v>1</v>
      </c>
      <c r="Y56" s="53">
        <v>6</v>
      </c>
      <c r="Z56" s="55" cm="1">
        <f t="array" ref="Z56">SUMPRODUCT((_xlfn.XLOOKUP(C56, 'Course Stats'!A:A, 'Course Stats'!G:X)=3)*(E56:V56)) / COUNTIF(_xlfn.XLOOKUP(C56, 'Course Stats'!A:A, 'Course Stats'!G:X), 3)</f>
        <v>1.6666666666666667</v>
      </c>
      <c r="AA56" s="55" cm="1">
        <f t="array" ref="AA56">SUMPRODUCT((_xlfn.XLOOKUP(C56, 'Course Stats'!A:A, 'Course Stats'!G:X)=4)*(E56:V56)) / COUNTIF(_xlfn.XLOOKUP(C56, 'Course Stats'!A:A, 'Course Stats'!G:X), 4)</f>
        <v>1.9166666666666667</v>
      </c>
      <c r="AB56" s="55" cm="1">
        <f t="array" ref="AB56">SUMPRODUCT((_xlfn.XLOOKUP(C56, 'Course Stats'!A:A, 'Course Stats'!G:X)=5)*(E56:V56)) / COUNTIF(_xlfn.XLOOKUP(C56, 'Course Stats'!A:A, 'Course Stats'!G:X), 5)</f>
        <v>2</v>
      </c>
    </row>
    <row r="57" spans="1:28" x14ac:dyDescent="0.25">
      <c r="A57" s="51" t="s">
        <v>130</v>
      </c>
      <c r="B57" s="58">
        <v>45857</v>
      </c>
      <c r="C57" s="51" t="s">
        <v>3</v>
      </c>
      <c r="D57" s="51">
        <f>SUM('Putt Log'!$E57:$V57)</f>
        <v>35</v>
      </c>
      <c r="E57" s="51">
        <v>2</v>
      </c>
      <c r="F57" s="51">
        <v>2</v>
      </c>
      <c r="G57" s="51">
        <v>2</v>
      </c>
      <c r="H57" s="51">
        <v>2</v>
      </c>
      <c r="I57" s="51">
        <v>2</v>
      </c>
      <c r="J57" s="51">
        <v>2</v>
      </c>
      <c r="K57" s="51">
        <v>2</v>
      </c>
      <c r="L57" s="51">
        <v>1</v>
      </c>
      <c r="M57" s="51">
        <v>2</v>
      </c>
      <c r="N57" s="51">
        <v>2</v>
      </c>
      <c r="O57" s="51">
        <v>2</v>
      </c>
      <c r="P57" s="51">
        <v>2</v>
      </c>
      <c r="Q57" s="51">
        <v>2</v>
      </c>
      <c r="R57" s="51">
        <v>2</v>
      </c>
      <c r="S57" s="51">
        <v>2</v>
      </c>
      <c r="T57" s="51">
        <v>1</v>
      </c>
      <c r="U57" s="51">
        <v>3</v>
      </c>
      <c r="V57" s="51">
        <v>2</v>
      </c>
      <c r="W57" s="53">
        <v>35</v>
      </c>
      <c r="X57" s="53">
        <v>6</v>
      </c>
      <c r="Y57" s="53">
        <v>8</v>
      </c>
      <c r="Z57" s="55" cm="1">
        <f t="array" ref="Z57">SUMPRODUCT((_xlfn.XLOOKUP(C57, 'Course Stats'!A:A, 'Course Stats'!G:X)=3)*(E57:V57)) / COUNTIF(_xlfn.XLOOKUP(C57, 'Course Stats'!A:A, 'Course Stats'!G:X), 3)</f>
        <v>2</v>
      </c>
      <c r="AA57" s="55" cm="1">
        <f t="array" ref="AA57">SUMPRODUCT((_xlfn.XLOOKUP(C57, 'Course Stats'!A:A, 'Course Stats'!G:X)=4)*(E57:V57)) / COUNTIF(_xlfn.XLOOKUP(C57, 'Course Stats'!A:A, 'Course Stats'!G:X), 4)</f>
        <v>1.9090909090909092</v>
      </c>
      <c r="AB57" s="55" cm="1">
        <f t="array" ref="AB57">SUMPRODUCT((_xlfn.XLOOKUP(C57, 'Course Stats'!A:A, 'Course Stats'!G:X)=5)*(E57:V57)) / COUNTIF(_xlfn.XLOOKUP(C57, 'Course Stats'!A:A, 'Course Stats'!G:X), 5)</f>
        <v>2</v>
      </c>
    </row>
    <row r="58" spans="1:28" x14ac:dyDescent="0.25">
      <c r="A58" s="51" t="s">
        <v>130</v>
      </c>
      <c r="B58" s="58">
        <v>45844</v>
      </c>
      <c r="C58" s="51" t="s">
        <v>3</v>
      </c>
      <c r="D58" s="51">
        <f>SUM('Putt Log'!$E58:$V58)</f>
        <v>31</v>
      </c>
      <c r="E58" s="51">
        <v>2</v>
      </c>
      <c r="F58" s="51">
        <v>2</v>
      </c>
      <c r="G58" s="51">
        <v>2</v>
      </c>
      <c r="H58" s="51">
        <v>2</v>
      </c>
      <c r="I58" s="51">
        <v>2</v>
      </c>
      <c r="J58" s="51">
        <v>1</v>
      </c>
      <c r="K58" s="51">
        <v>1</v>
      </c>
      <c r="L58" s="51">
        <v>1</v>
      </c>
      <c r="M58" s="51">
        <v>2</v>
      </c>
      <c r="N58" s="51">
        <v>1</v>
      </c>
      <c r="O58" s="51">
        <v>2</v>
      </c>
      <c r="P58" s="51">
        <v>2</v>
      </c>
      <c r="Q58" s="51">
        <v>2</v>
      </c>
      <c r="R58" s="51">
        <v>2</v>
      </c>
      <c r="S58" s="51">
        <v>1</v>
      </c>
      <c r="T58" s="51">
        <v>2</v>
      </c>
      <c r="U58" s="51">
        <v>2</v>
      </c>
      <c r="V58" s="51">
        <v>2</v>
      </c>
      <c r="W58" s="53">
        <v>31</v>
      </c>
      <c r="X58" s="53">
        <v>6</v>
      </c>
      <c r="Y58" s="53">
        <v>3</v>
      </c>
      <c r="Z58" s="55" cm="1">
        <f t="array" ref="Z58">SUMPRODUCT((_xlfn.XLOOKUP(C58, 'Course Stats'!A:A, 'Course Stats'!G:X)=3)*(E58:V58)) / COUNTIF(_xlfn.XLOOKUP(C58, 'Course Stats'!A:A, 'Course Stats'!G:X), 3)</f>
        <v>1.5</v>
      </c>
      <c r="AA58" s="55" cm="1">
        <f t="array" ref="AA58">SUMPRODUCT((_xlfn.XLOOKUP(C58, 'Course Stats'!A:A, 'Course Stats'!G:X)=4)*(E58:V58)) / COUNTIF(_xlfn.XLOOKUP(C58, 'Course Stats'!A:A, 'Course Stats'!G:X), 4)</f>
        <v>1.8181818181818181</v>
      </c>
      <c r="AB58" s="55" cm="1">
        <f t="array" ref="AB58">SUMPRODUCT((_xlfn.XLOOKUP(C58, 'Course Stats'!A:A, 'Course Stats'!G:X)=5)*(E58:V58)) / COUNTIF(_xlfn.XLOOKUP(C58, 'Course Stats'!A:A, 'Course Stats'!G:X), 5)</f>
        <v>1.6666666666666667</v>
      </c>
    </row>
    <row r="59" spans="1:28" x14ac:dyDescent="0.25">
      <c r="A59" s="51" t="s">
        <v>130</v>
      </c>
      <c r="B59" s="58">
        <v>45653</v>
      </c>
      <c r="C59" s="51" t="s">
        <v>2</v>
      </c>
      <c r="D59" s="51">
        <f>SUM('Putt Log'!$E59:$V59)</f>
        <v>36</v>
      </c>
      <c r="E59" s="51">
        <v>2</v>
      </c>
      <c r="F59" s="51">
        <v>2</v>
      </c>
      <c r="G59" s="51">
        <v>2</v>
      </c>
      <c r="H59" s="51">
        <v>2</v>
      </c>
      <c r="I59" s="51">
        <v>2</v>
      </c>
      <c r="J59" s="51">
        <v>2</v>
      </c>
      <c r="K59" s="51">
        <v>2</v>
      </c>
      <c r="L59" s="51">
        <v>2</v>
      </c>
      <c r="M59" s="51">
        <v>2</v>
      </c>
      <c r="N59" s="51">
        <v>2</v>
      </c>
      <c r="O59" s="51">
        <v>2</v>
      </c>
      <c r="P59" s="51">
        <v>2</v>
      </c>
      <c r="Q59" s="51">
        <v>2</v>
      </c>
      <c r="R59" s="51">
        <v>2</v>
      </c>
      <c r="S59" s="51">
        <v>2</v>
      </c>
      <c r="T59" s="51">
        <v>2</v>
      </c>
      <c r="U59" s="51">
        <v>2</v>
      </c>
      <c r="V59" s="51">
        <v>2</v>
      </c>
      <c r="W59" s="53">
        <v>36</v>
      </c>
      <c r="X59" s="53">
        <v>3</v>
      </c>
      <c r="Y59" s="53">
        <v>2</v>
      </c>
      <c r="Z59" s="55" cm="1">
        <f t="array" ref="Z59">SUMPRODUCT((_xlfn.XLOOKUP(C59, 'Course Stats'!A:A, 'Course Stats'!G:X)=3)*(E59:V59)) / COUNTIF(_xlfn.XLOOKUP(C59, 'Course Stats'!A:A, 'Course Stats'!G:X), 3)</f>
        <v>2</v>
      </c>
      <c r="AA59" s="55" cm="1">
        <f t="array" ref="AA59">SUMPRODUCT((_xlfn.XLOOKUP(C59, 'Course Stats'!A:A, 'Course Stats'!G:X)=4)*(E59:V59)) / COUNTIF(_xlfn.XLOOKUP(C59, 'Course Stats'!A:A, 'Course Stats'!G:X), 4)</f>
        <v>2</v>
      </c>
      <c r="AB59" s="55" cm="1">
        <f t="array" ref="AB59">SUMPRODUCT((_xlfn.XLOOKUP(C59, 'Course Stats'!A:A, 'Course Stats'!G:X)=5)*(E59:V59)) / COUNTIF(_xlfn.XLOOKUP(C59, 'Course Stats'!A:A, 'Course Stats'!G:X), 5)</f>
        <v>2</v>
      </c>
    </row>
    <row r="60" spans="1:28" x14ac:dyDescent="0.25">
      <c r="A60" s="51" t="s">
        <v>130</v>
      </c>
      <c r="B60" s="58">
        <v>45655</v>
      </c>
      <c r="C60" s="51" t="s">
        <v>4</v>
      </c>
      <c r="D60" s="51">
        <f>SUM('Putt Log'!$E60:$V60)</f>
        <v>36</v>
      </c>
      <c r="E60" s="51">
        <v>2</v>
      </c>
      <c r="F60" s="51">
        <v>3</v>
      </c>
      <c r="G60" s="51">
        <v>1</v>
      </c>
      <c r="H60" s="51">
        <v>1</v>
      </c>
      <c r="I60" s="51">
        <v>2</v>
      </c>
      <c r="J60" s="51">
        <v>2</v>
      </c>
      <c r="K60" s="51">
        <v>2</v>
      </c>
      <c r="L60" s="51">
        <v>2</v>
      </c>
      <c r="M60" s="51">
        <v>1</v>
      </c>
      <c r="N60" s="51">
        <v>3</v>
      </c>
      <c r="O60" s="51">
        <v>3</v>
      </c>
      <c r="P60" s="51">
        <v>2</v>
      </c>
      <c r="Q60" s="51">
        <v>2</v>
      </c>
      <c r="R60" s="51">
        <v>2</v>
      </c>
      <c r="S60" s="51">
        <v>2</v>
      </c>
      <c r="T60" s="51">
        <v>2</v>
      </c>
      <c r="U60" s="51">
        <v>2</v>
      </c>
      <c r="V60" s="51">
        <v>2</v>
      </c>
      <c r="W60" s="53">
        <v>36</v>
      </c>
      <c r="X60" s="53">
        <v>3</v>
      </c>
      <c r="Y60" s="53">
        <v>4</v>
      </c>
      <c r="Z60" s="55" cm="1">
        <f t="array" ref="Z60">SUMPRODUCT((_xlfn.XLOOKUP(C60, 'Course Stats'!A:A, 'Course Stats'!G:X)=3)*(E60:V60)) / COUNTIF(_xlfn.XLOOKUP(C60, 'Course Stats'!A:A, 'Course Stats'!G:X), 3)</f>
        <v>1.75</v>
      </c>
      <c r="AA60" s="55" cm="1">
        <f t="array" ref="AA60">SUMPRODUCT((_xlfn.XLOOKUP(C60, 'Course Stats'!A:A, 'Course Stats'!G:X)=4)*(E60:V60)) / COUNTIF(_xlfn.XLOOKUP(C60, 'Course Stats'!A:A, 'Course Stats'!G:X), 4)</f>
        <v>2</v>
      </c>
      <c r="AB60" s="55" cm="1">
        <f t="array" ref="AB60">SUMPRODUCT((_xlfn.XLOOKUP(C60, 'Course Stats'!A:A, 'Course Stats'!G:X)=5)*(E60:V60)) / COUNTIF(_xlfn.XLOOKUP(C60, 'Course Stats'!A:A, 'Course Stats'!G:X), 5)</f>
        <v>2.25</v>
      </c>
    </row>
    <row r="61" spans="1:28" x14ac:dyDescent="0.25">
      <c r="A61" s="51" t="s">
        <v>130</v>
      </c>
      <c r="B61" s="58">
        <v>45649</v>
      </c>
      <c r="C61" s="51" t="s">
        <v>14</v>
      </c>
      <c r="D61" s="51">
        <f>SUM('Putt Log'!$E61:$V61)</f>
        <v>37</v>
      </c>
      <c r="E61" s="51">
        <v>2</v>
      </c>
      <c r="F61" s="51">
        <v>2</v>
      </c>
      <c r="G61" s="51">
        <v>1</v>
      </c>
      <c r="H61" s="51">
        <v>2</v>
      </c>
      <c r="I61" s="51">
        <v>2</v>
      </c>
      <c r="J61" s="51">
        <v>2</v>
      </c>
      <c r="K61" s="51">
        <v>2</v>
      </c>
      <c r="L61" s="51">
        <v>2</v>
      </c>
      <c r="M61" s="51">
        <v>2</v>
      </c>
      <c r="N61" s="51">
        <v>2</v>
      </c>
      <c r="O61" s="51">
        <v>2</v>
      </c>
      <c r="P61" s="51">
        <v>2</v>
      </c>
      <c r="Q61" s="51">
        <v>3</v>
      </c>
      <c r="R61" s="51">
        <v>3</v>
      </c>
      <c r="S61" s="51">
        <v>2</v>
      </c>
      <c r="T61" s="51">
        <v>2</v>
      </c>
      <c r="U61" s="51">
        <v>2</v>
      </c>
      <c r="V61" s="51">
        <v>2</v>
      </c>
      <c r="W61" s="53">
        <v>37</v>
      </c>
      <c r="X61" s="53">
        <v>3</v>
      </c>
      <c r="Y61" s="53">
        <v>3</v>
      </c>
      <c r="Z61" s="55" cm="1">
        <f t="array" ref="Z61">SUMPRODUCT((_xlfn.XLOOKUP(C61, 'Course Stats'!A:A, 'Course Stats'!G:X)=3)*(E61:V61)) / COUNTIF(_xlfn.XLOOKUP(C61, 'Course Stats'!A:A, 'Course Stats'!G:X), 3)</f>
        <v>2</v>
      </c>
      <c r="AA61" s="55" cm="1">
        <f t="array" ref="AA61">SUMPRODUCT((_xlfn.XLOOKUP(C61, 'Course Stats'!A:A, 'Course Stats'!G:X)=4)*(E61:V61)) / COUNTIF(_xlfn.XLOOKUP(C61, 'Course Stats'!A:A, 'Course Stats'!G:X), 4)</f>
        <v>2.0909090909090908</v>
      </c>
      <c r="AB61" s="55" cm="1">
        <f t="array" ref="AB61">SUMPRODUCT((_xlfn.XLOOKUP(C61, 'Course Stats'!A:A, 'Course Stats'!G:X)=5)*(E61:V61)) / COUNTIF(_xlfn.XLOOKUP(C61, 'Course Stats'!A:A, 'Course Stats'!G:X), 5)</f>
        <v>2</v>
      </c>
    </row>
    <row r="62" spans="1:28" x14ac:dyDescent="0.25">
      <c r="A62" s="51" t="s">
        <v>130</v>
      </c>
      <c r="B62" s="58">
        <v>45570</v>
      </c>
      <c r="C62" s="51" t="s">
        <v>3</v>
      </c>
      <c r="D62" s="51">
        <f>SUM('Putt Log'!$E62:$V62)</f>
        <v>38</v>
      </c>
      <c r="E62" s="51">
        <v>2</v>
      </c>
      <c r="F62" s="51">
        <v>2</v>
      </c>
      <c r="G62" s="51">
        <v>3</v>
      </c>
      <c r="H62" s="51">
        <v>2</v>
      </c>
      <c r="I62" s="51">
        <v>2</v>
      </c>
      <c r="J62" s="51">
        <v>2</v>
      </c>
      <c r="K62" s="51">
        <v>3</v>
      </c>
      <c r="L62" s="51">
        <v>2</v>
      </c>
      <c r="M62" s="51">
        <v>3</v>
      </c>
      <c r="N62" s="51">
        <v>1</v>
      </c>
      <c r="O62" s="51">
        <v>2</v>
      </c>
      <c r="P62" s="51">
        <v>3</v>
      </c>
      <c r="Q62" s="51">
        <v>2</v>
      </c>
      <c r="R62" s="51">
        <v>1</v>
      </c>
      <c r="S62" s="51">
        <v>3</v>
      </c>
      <c r="T62" s="51">
        <v>2</v>
      </c>
      <c r="U62" s="51">
        <v>1</v>
      </c>
      <c r="V62" s="51">
        <v>2</v>
      </c>
      <c r="W62" s="53">
        <v>38</v>
      </c>
      <c r="X62" s="53">
        <v>2</v>
      </c>
      <c r="Y62" s="53">
        <v>6</v>
      </c>
      <c r="Z62" s="55" cm="1">
        <f t="array" ref="Z62">SUMPRODUCT((_xlfn.XLOOKUP(C62, 'Course Stats'!A:A, 'Course Stats'!G:X)=3)*(E62:V62)) / COUNTIF(_xlfn.XLOOKUP(C62, 'Course Stats'!A:A, 'Course Stats'!G:X), 3)</f>
        <v>2.5</v>
      </c>
      <c r="AA62" s="55" cm="1">
        <f t="array" ref="AA62">SUMPRODUCT((_xlfn.XLOOKUP(C62, 'Course Stats'!A:A, 'Course Stats'!G:X)=4)*(E62:V62)) / COUNTIF(_xlfn.XLOOKUP(C62, 'Course Stats'!A:A, 'Course Stats'!G:X), 4)</f>
        <v>1.8181818181818181</v>
      </c>
      <c r="AB62" s="55" cm="1">
        <f t="array" ref="AB62">SUMPRODUCT((_xlfn.XLOOKUP(C62, 'Course Stats'!A:A, 'Course Stats'!G:X)=5)*(E62:V62)) / COUNTIF(_xlfn.XLOOKUP(C62, 'Course Stats'!A:A, 'Course Stats'!G:X), 5)</f>
        <v>2.6666666666666665</v>
      </c>
    </row>
    <row r="63" spans="1:28" x14ac:dyDescent="0.25">
      <c r="A63" s="51" t="s">
        <v>130</v>
      </c>
      <c r="B63" s="58">
        <v>45535</v>
      </c>
      <c r="C63" s="51" t="s">
        <v>9</v>
      </c>
      <c r="D63" s="51">
        <f>SUM('Putt Log'!$E63:$V63)</f>
        <v>36</v>
      </c>
      <c r="E63" s="51">
        <v>2</v>
      </c>
      <c r="F63" s="51">
        <v>2</v>
      </c>
      <c r="G63" s="51">
        <v>2</v>
      </c>
      <c r="H63" s="51">
        <v>2</v>
      </c>
      <c r="I63" s="51">
        <v>2</v>
      </c>
      <c r="J63" s="51">
        <v>2</v>
      </c>
      <c r="K63" s="51">
        <v>2</v>
      </c>
      <c r="L63" s="51">
        <v>2</v>
      </c>
      <c r="M63" s="51">
        <v>2</v>
      </c>
      <c r="N63" s="51">
        <v>2</v>
      </c>
      <c r="O63" s="51">
        <v>2</v>
      </c>
      <c r="P63" s="51">
        <v>2</v>
      </c>
      <c r="Q63" s="51">
        <v>2</v>
      </c>
      <c r="R63" s="51">
        <v>2</v>
      </c>
      <c r="S63" s="51">
        <v>2</v>
      </c>
      <c r="T63" s="51">
        <v>2</v>
      </c>
      <c r="U63" s="51">
        <v>2</v>
      </c>
      <c r="V63" s="51">
        <v>2</v>
      </c>
      <c r="W63" s="51">
        <v>36</v>
      </c>
      <c r="X63" s="51">
        <v>4</v>
      </c>
      <c r="Y63" s="51">
        <v>3</v>
      </c>
      <c r="Z63" s="55" cm="1">
        <f t="array" ref="Z63">SUMPRODUCT((_xlfn.XLOOKUP(C63, 'Course Stats'!A:A, 'Course Stats'!G:X)=3)*(E63:V63)) / COUNTIF(_xlfn.XLOOKUP(C63, 'Course Stats'!A:A, 'Course Stats'!G:X), 3)</f>
        <v>2</v>
      </c>
      <c r="AA63" s="55" cm="1">
        <f t="array" ref="AA63">SUMPRODUCT((_xlfn.XLOOKUP(C63, 'Course Stats'!A:A, 'Course Stats'!G:X)=4)*(E63:V63)) / COUNTIF(_xlfn.XLOOKUP(C63, 'Course Stats'!A:A, 'Course Stats'!G:X), 4)</f>
        <v>2</v>
      </c>
      <c r="AB63" s="55" cm="1">
        <f t="array" ref="AB63">SUMPRODUCT((_xlfn.XLOOKUP(C63, 'Course Stats'!A:A, 'Course Stats'!G:X)=5)*(E63:V63)) / COUNTIF(_xlfn.XLOOKUP(C63, 'Course Stats'!A:A, 'Course Stats'!G:X), 5)</f>
        <v>2</v>
      </c>
    </row>
    <row r="64" spans="1:28" x14ac:dyDescent="0.25">
      <c r="A64" s="51" t="s">
        <v>130</v>
      </c>
      <c r="B64" s="58">
        <v>45487</v>
      </c>
      <c r="C64" s="51" t="s">
        <v>3</v>
      </c>
      <c r="D64" s="51">
        <f>SUM('Putt Log'!$E64:$V64)</f>
        <v>34</v>
      </c>
      <c r="E64" s="51">
        <v>2</v>
      </c>
      <c r="F64" s="51">
        <v>2</v>
      </c>
      <c r="G64" s="51">
        <v>2</v>
      </c>
      <c r="H64" s="51">
        <v>1</v>
      </c>
      <c r="I64" s="51">
        <v>2</v>
      </c>
      <c r="J64" s="51">
        <v>2</v>
      </c>
      <c r="K64" s="51">
        <v>2</v>
      </c>
      <c r="L64" s="51">
        <v>3</v>
      </c>
      <c r="M64" s="51">
        <v>2</v>
      </c>
      <c r="N64" s="51">
        <v>2</v>
      </c>
      <c r="O64" s="51">
        <v>2</v>
      </c>
      <c r="P64" s="51">
        <v>2</v>
      </c>
      <c r="Q64" s="51">
        <v>2</v>
      </c>
      <c r="R64" s="51">
        <v>1</v>
      </c>
      <c r="S64" s="51">
        <v>1</v>
      </c>
      <c r="T64" s="51">
        <v>2</v>
      </c>
      <c r="U64" s="51">
        <v>2</v>
      </c>
      <c r="V64" s="51">
        <v>2</v>
      </c>
      <c r="W64" s="53">
        <v>34</v>
      </c>
      <c r="X64" s="53">
        <v>2</v>
      </c>
      <c r="Y64" s="53">
        <v>2</v>
      </c>
      <c r="Z64" s="55" cm="1">
        <f t="array" ref="Z64">SUMPRODUCT((_xlfn.XLOOKUP(C64, 'Course Stats'!A:A, 'Course Stats'!G:X)=3)*(E64:V64)) / COUNTIF(_xlfn.XLOOKUP(C64, 'Course Stats'!A:A, 'Course Stats'!G:X), 3)</f>
        <v>1.75</v>
      </c>
      <c r="AA64" s="55" cm="1">
        <f t="array" ref="AA64">SUMPRODUCT((_xlfn.XLOOKUP(C64, 'Course Stats'!A:A, 'Course Stats'!G:X)=4)*(E64:V64)) / COUNTIF(_xlfn.XLOOKUP(C64, 'Course Stats'!A:A, 'Course Stats'!G:X), 4)</f>
        <v>1.9090909090909092</v>
      </c>
      <c r="AB64" s="55" cm="1">
        <f t="array" ref="AB64">SUMPRODUCT((_xlfn.XLOOKUP(C64, 'Course Stats'!A:A, 'Course Stats'!G:X)=5)*(E64:V64)) / COUNTIF(_xlfn.XLOOKUP(C64, 'Course Stats'!A:A, 'Course Stats'!G:X), 5)</f>
        <v>2</v>
      </c>
    </row>
    <row r="65" spans="1:28" x14ac:dyDescent="0.25">
      <c r="A65" s="51" t="s">
        <v>130</v>
      </c>
      <c r="B65" s="58">
        <v>45172</v>
      </c>
      <c r="C65" s="51" t="s">
        <v>3</v>
      </c>
      <c r="D65" s="51">
        <f>SUM('Putt Log'!$E65:$V65)</f>
        <v>32</v>
      </c>
      <c r="E65" s="51">
        <v>2</v>
      </c>
      <c r="F65" s="51">
        <v>1</v>
      </c>
      <c r="G65" s="51">
        <v>3</v>
      </c>
      <c r="H65" s="51">
        <v>2</v>
      </c>
      <c r="I65" s="51">
        <v>2</v>
      </c>
      <c r="J65" s="51">
        <v>2</v>
      </c>
      <c r="K65" s="51">
        <v>2</v>
      </c>
      <c r="L65" s="51">
        <v>2</v>
      </c>
      <c r="M65" s="51">
        <v>2</v>
      </c>
      <c r="N65" s="51">
        <v>2</v>
      </c>
      <c r="O65" s="51">
        <v>2</v>
      </c>
      <c r="P65" s="51">
        <v>1</v>
      </c>
      <c r="Q65" s="51">
        <v>1</v>
      </c>
      <c r="R65" s="51">
        <v>2</v>
      </c>
      <c r="S65" s="51">
        <v>1</v>
      </c>
      <c r="T65" s="51">
        <v>1</v>
      </c>
      <c r="U65" s="51">
        <v>2</v>
      </c>
      <c r="V65" s="51">
        <v>2</v>
      </c>
      <c r="W65" s="53">
        <v>32</v>
      </c>
      <c r="X65" s="53">
        <v>5</v>
      </c>
      <c r="Y65" s="53">
        <v>5</v>
      </c>
      <c r="Z65" s="55" cm="1">
        <f t="array" ref="Z65">SUMPRODUCT((_xlfn.XLOOKUP(C65, 'Course Stats'!A:A, 'Course Stats'!G:X)=3)*(E65:V65)) / COUNTIF(_xlfn.XLOOKUP(C65, 'Course Stats'!A:A, 'Course Stats'!G:X), 3)</f>
        <v>2</v>
      </c>
      <c r="AA65" s="55" cm="1">
        <f t="array" ref="AA65">SUMPRODUCT((_xlfn.XLOOKUP(C65, 'Course Stats'!A:A, 'Course Stats'!G:X)=4)*(E65:V65)) / COUNTIF(_xlfn.XLOOKUP(C65, 'Course Stats'!A:A, 'Course Stats'!G:X), 4)</f>
        <v>1.7272727272727273</v>
      </c>
      <c r="AB65" s="55" cm="1">
        <f t="array" ref="AB65">SUMPRODUCT((_xlfn.XLOOKUP(C65, 'Course Stats'!A:A, 'Course Stats'!G:X)=5)*(E65:V65)) / COUNTIF(_xlfn.XLOOKUP(C65, 'Course Stats'!A:A, 'Course Stats'!G:X), 5)</f>
        <v>1.6666666666666667</v>
      </c>
    </row>
    <row r="66" spans="1:28" x14ac:dyDescent="0.25">
      <c r="A66" s="68" t="s">
        <v>126</v>
      </c>
      <c r="B66" s="75">
        <v>45941</v>
      </c>
      <c r="C66" s="68" t="s">
        <v>12</v>
      </c>
      <c r="D66" s="68">
        <f>SUM('Putt Log'!$E66:$V66)</f>
        <v>30</v>
      </c>
      <c r="E66" s="68">
        <v>2</v>
      </c>
      <c r="F66" s="68">
        <v>2</v>
      </c>
      <c r="G66" s="68">
        <v>2</v>
      </c>
      <c r="H66" s="68">
        <v>2</v>
      </c>
      <c r="I66" s="68">
        <v>1</v>
      </c>
      <c r="J66" s="68">
        <v>1</v>
      </c>
      <c r="K66" s="68">
        <v>1</v>
      </c>
      <c r="L66" s="68">
        <v>1</v>
      </c>
      <c r="M66" s="68">
        <v>2</v>
      </c>
      <c r="N66" s="68">
        <v>1</v>
      </c>
      <c r="O66" s="68">
        <v>1</v>
      </c>
      <c r="P66" s="68">
        <v>2</v>
      </c>
      <c r="Q66" s="68">
        <v>3</v>
      </c>
      <c r="R66" s="68">
        <v>2</v>
      </c>
      <c r="S66" s="68">
        <v>2</v>
      </c>
      <c r="T66" s="68">
        <v>1</v>
      </c>
      <c r="U66" s="68">
        <v>2</v>
      </c>
      <c r="V66" s="68">
        <v>2</v>
      </c>
      <c r="W66" s="70">
        <v>30</v>
      </c>
      <c r="X66" s="70">
        <v>3</v>
      </c>
      <c r="Y66" s="70">
        <v>1</v>
      </c>
      <c r="Z66" s="74" cm="1">
        <f t="array" ref="Z66">SUMPRODUCT((_xlfn.XLOOKUP(C66, 'Course Stats'!A:A, 'Course Stats'!G:X)=3)*(E66:V66)) / COUNTIF(_xlfn.XLOOKUP(C66, 'Course Stats'!A:A, 'Course Stats'!G:X), 3)</f>
        <v>1.5</v>
      </c>
      <c r="AA66" s="74" cm="1">
        <f t="array" ref="AA66">SUMPRODUCT((_xlfn.XLOOKUP(C66, 'Course Stats'!A:A, 'Course Stats'!G:X)=4)*(E66:V66)) / COUNTIF(_xlfn.XLOOKUP(C66, 'Course Stats'!A:A, 'Course Stats'!G:X), 4)</f>
        <v>1.8</v>
      </c>
      <c r="AB66" s="74" cm="1">
        <f t="array" ref="AB66">SUMPRODUCT((_xlfn.XLOOKUP(C66, 'Course Stats'!A:A, 'Course Stats'!G:X)=5)*(E66:V66)) / COUNTIF(_xlfn.XLOOKUP(C66, 'Course Stats'!A:A, 'Course Stats'!G:X), 5)</f>
        <v>1.5</v>
      </c>
    </row>
    <row r="67" spans="1:28" x14ac:dyDescent="0.25">
      <c r="A67" s="68" t="s">
        <v>130</v>
      </c>
      <c r="B67" s="75">
        <v>45941</v>
      </c>
      <c r="C67" s="68" t="s">
        <v>12</v>
      </c>
      <c r="D67" s="68">
        <f>SUM('Putt Log'!$E67:$V67)</f>
        <v>33</v>
      </c>
      <c r="E67" s="68">
        <v>2</v>
      </c>
      <c r="F67" s="68">
        <v>2</v>
      </c>
      <c r="G67" s="68">
        <v>2</v>
      </c>
      <c r="H67" s="68">
        <v>1</v>
      </c>
      <c r="I67" s="68">
        <v>2</v>
      </c>
      <c r="J67" s="68">
        <v>3</v>
      </c>
      <c r="K67" s="68">
        <v>2</v>
      </c>
      <c r="L67" s="68">
        <v>1</v>
      </c>
      <c r="M67" s="68">
        <v>3</v>
      </c>
      <c r="N67" s="68">
        <v>2</v>
      </c>
      <c r="O67" s="68">
        <v>1</v>
      </c>
      <c r="P67" s="68">
        <v>2</v>
      </c>
      <c r="Q67" s="68">
        <v>1</v>
      </c>
      <c r="R67" s="68">
        <v>1</v>
      </c>
      <c r="S67" s="68">
        <v>2</v>
      </c>
      <c r="T67" s="68">
        <v>2</v>
      </c>
      <c r="U67" s="68">
        <v>2</v>
      </c>
      <c r="V67" s="68">
        <v>2</v>
      </c>
      <c r="W67" s="70">
        <v>33</v>
      </c>
      <c r="X67" s="70">
        <v>7</v>
      </c>
      <c r="Y67" s="70">
        <v>1</v>
      </c>
      <c r="Z67" s="74" cm="1">
        <f t="array" ref="Z67">SUMPRODUCT((_xlfn.XLOOKUP(C67, 'Course Stats'!A:A, 'Course Stats'!G:X)=3)*(E67:V67)) / COUNTIF(_xlfn.XLOOKUP(C67, 'Course Stats'!A:A, 'Course Stats'!G:X), 3)</f>
        <v>1.75</v>
      </c>
      <c r="AA67" s="74" cm="1">
        <f t="array" ref="AA67">SUMPRODUCT((_xlfn.XLOOKUP(C67, 'Course Stats'!A:A, 'Course Stats'!G:X)=4)*(E67:V67)) / COUNTIF(_xlfn.XLOOKUP(C67, 'Course Stats'!A:A, 'Course Stats'!G:X), 4)</f>
        <v>1.8</v>
      </c>
      <c r="AB67" s="74" cm="1">
        <f t="array" ref="AB67">SUMPRODUCT((_xlfn.XLOOKUP(C67, 'Course Stats'!A:A, 'Course Stats'!G:X)=5)*(E67:V67)) / COUNTIF(_xlfn.XLOOKUP(C67, 'Course Stats'!A:A, 'Course Stats'!G:X), 5)</f>
        <v>2</v>
      </c>
    </row>
    <row r="68" spans="1:28" x14ac:dyDescent="0.25">
      <c r="A68" s="78" t="s">
        <v>130</v>
      </c>
      <c r="B68" s="83">
        <v>45143</v>
      </c>
      <c r="C68" s="78" t="s">
        <v>9</v>
      </c>
      <c r="D68" s="68">
        <f>SUM('Putt Log'!$E68:$V68)</f>
        <v>38</v>
      </c>
      <c r="E68" s="78">
        <v>3</v>
      </c>
      <c r="F68" s="78">
        <v>3</v>
      </c>
      <c r="G68" s="78">
        <v>2</v>
      </c>
      <c r="H68" s="78">
        <v>1</v>
      </c>
      <c r="I68" s="78">
        <v>3</v>
      </c>
      <c r="J68" s="78">
        <v>2</v>
      </c>
      <c r="K68" s="78">
        <v>2</v>
      </c>
      <c r="L68" s="78">
        <v>2</v>
      </c>
      <c r="M68" s="78">
        <v>2</v>
      </c>
      <c r="N68" s="78">
        <v>2</v>
      </c>
      <c r="O68" s="78">
        <v>2</v>
      </c>
      <c r="P68" s="78">
        <v>2</v>
      </c>
      <c r="Q68" s="78">
        <v>2</v>
      </c>
      <c r="R68" s="78">
        <v>2</v>
      </c>
      <c r="S68" s="78">
        <v>2</v>
      </c>
      <c r="T68" s="78">
        <v>2</v>
      </c>
      <c r="U68" s="78">
        <v>2</v>
      </c>
      <c r="V68" s="78">
        <v>2</v>
      </c>
      <c r="W68" s="80">
        <v>38</v>
      </c>
      <c r="X68" s="80">
        <v>8</v>
      </c>
      <c r="Y68" s="80">
        <v>4</v>
      </c>
      <c r="Z68" s="84" cm="1">
        <f t="array" ref="Z68">SUMPRODUCT((_xlfn.XLOOKUP(C68, 'Course Stats'!A:A, 'Course Stats'!G:X)=3)*(E68:V68)) / COUNTIF(_xlfn.XLOOKUP(C68, 'Course Stats'!A:A, 'Course Stats'!G:X), 3)</f>
        <v>1.75</v>
      </c>
      <c r="AA68" s="84" cm="1">
        <f t="array" ref="AA68">SUMPRODUCT((_xlfn.XLOOKUP(C68, 'Course Stats'!A:A, 'Course Stats'!G:X)=4)*(E68:V68)) / COUNTIF(_xlfn.XLOOKUP(C68, 'Course Stats'!A:A, 'Course Stats'!G:X), 4)</f>
        <v>2.2727272727272729</v>
      </c>
      <c r="AB68" s="84" cm="1">
        <f t="array" ref="AB68">SUMPRODUCT((_xlfn.XLOOKUP(C68, 'Course Stats'!A:A, 'Course Stats'!G:X)=5)*(E68:V68)) / COUNTIF(_xlfn.XLOOKUP(C68, 'Course Stats'!A:A, 'Course Stats'!G:X), 5)</f>
        <v>2</v>
      </c>
    </row>
    <row r="69" spans="1:28" x14ac:dyDescent="0.25">
      <c r="A69" s="78" t="s">
        <v>130</v>
      </c>
      <c r="B69" s="83">
        <v>45136</v>
      </c>
      <c r="C69" s="78" t="s">
        <v>5</v>
      </c>
      <c r="D69" s="68">
        <f>SUM('Putt Log'!$E69:$V69)</f>
        <v>34</v>
      </c>
      <c r="E69" s="78">
        <v>2</v>
      </c>
      <c r="F69" s="78">
        <v>2</v>
      </c>
      <c r="G69" s="78">
        <v>1</v>
      </c>
      <c r="H69" s="78">
        <v>2</v>
      </c>
      <c r="I69" s="78">
        <v>2</v>
      </c>
      <c r="J69" s="78">
        <v>2</v>
      </c>
      <c r="K69" s="78">
        <v>2</v>
      </c>
      <c r="L69" s="78">
        <v>2</v>
      </c>
      <c r="M69" s="78">
        <v>2</v>
      </c>
      <c r="N69" s="78">
        <v>1</v>
      </c>
      <c r="O69" s="78">
        <v>2</v>
      </c>
      <c r="P69" s="78">
        <v>2</v>
      </c>
      <c r="Q69" s="78">
        <v>2</v>
      </c>
      <c r="R69" s="78">
        <v>2</v>
      </c>
      <c r="S69" s="78">
        <v>2</v>
      </c>
      <c r="T69" s="78">
        <v>2</v>
      </c>
      <c r="U69" s="78">
        <v>2</v>
      </c>
      <c r="V69" s="78">
        <v>2</v>
      </c>
      <c r="W69" s="80">
        <v>34</v>
      </c>
      <c r="X69" s="80">
        <v>4</v>
      </c>
      <c r="Y69" s="80">
        <v>6</v>
      </c>
      <c r="Z69" s="84" cm="1">
        <f t="array" ref="Z69">SUMPRODUCT((_xlfn.XLOOKUP(C69, 'Course Stats'!A:A, 'Course Stats'!G:X)=3)*(E69:V69)) / COUNTIF(_xlfn.XLOOKUP(C69, 'Course Stats'!A:A, 'Course Stats'!G:X), 3)</f>
        <v>1.75</v>
      </c>
      <c r="AA69" s="84" cm="1">
        <f t="array" ref="AA69">SUMPRODUCT((_xlfn.XLOOKUP(C69, 'Course Stats'!A:A, 'Course Stats'!G:X)=4)*(E69:V69)) / COUNTIF(_xlfn.XLOOKUP(C69, 'Course Stats'!A:A, 'Course Stats'!G:X), 4)</f>
        <v>1.9</v>
      </c>
      <c r="AB69" s="84" cm="1">
        <f t="array" ref="AB69">SUMPRODUCT((_xlfn.XLOOKUP(C69, 'Course Stats'!A:A, 'Course Stats'!G:X)=5)*(E69:V69)) / COUNTIF(_xlfn.XLOOKUP(C69, 'Course Stats'!A:A, 'Course Stats'!G:X), 5)</f>
        <v>2</v>
      </c>
    </row>
    <row r="70" spans="1:28" x14ac:dyDescent="0.25">
      <c r="A70" s="92" t="s">
        <v>126</v>
      </c>
      <c r="B70" s="101">
        <v>46160</v>
      </c>
      <c r="C70" s="92" t="s">
        <v>5</v>
      </c>
      <c r="D70" s="92">
        <f>SUM('Putt Log'!$E70:$V70)</f>
        <v>34</v>
      </c>
      <c r="E70" s="92">
        <v>1</v>
      </c>
      <c r="F70" s="92">
        <v>2</v>
      </c>
      <c r="G70" s="92">
        <v>2</v>
      </c>
      <c r="H70" s="92">
        <v>3</v>
      </c>
      <c r="I70" s="92">
        <v>2</v>
      </c>
      <c r="J70" s="92">
        <v>2</v>
      </c>
      <c r="K70" s="92">
        <v>2</v>
      </c>
      <c r="L70" s="92">
        <v>2</v>
      </c>
      <c r="M70" s="92">
        <v>2</v>
      </c>
      <c r="N70" s="92">
        <v>2</v>
      </c>
      <c r="O70" s="92">
        <v>1</v>
      </c>
      <c r="P70" s="92">
        <v>2</v>
      </c>
      <c r="Q70" s="92">
        <v>2</v>
      </c>
      <c r="R70" s="92">
        <v>1</v>
      </c>
      <c r="S70" s="92">
        <v>2</v>
      </c>
      <c r="T70" s="92">
        <v>2</v>
      </c>
      <c r="U70" s="92">
        <v>2</v>
      </c>
      <c r="V70" s="92">
        <v>2</v>
      </c>
      <c r="W70" s="94">
        <v>34</v>
      </c>
      <c r="X70" s="94">
        <v>5</v>
      </c>
      <c r="Y70" s="94">
        <v>8</v>
      </c>
      <c r="Z70" s="102" cm="1">
        <f t="array" ref="Z70">SUMPRODUCT((_xlfn.XLOOKUP(C70, 'Course Stats'!A:A, 'Course Stats'!G:X)=3)*(E70:V70)) / COUNTIF(_xlfn.XLOOKUP(C70, 'Course Stats'!A:A, 'Course Stats'!G:X), 3)</f>
        <v>1.75</v>
      </c>
      <c r="AA70" s="102" cm="1">
        <f t="array" ref="AA70">SUMPRODUCT((_xlfn.XLOOKUP(C70, 'Course Stats'!A:A, 'Course Stats'!G:X)=4)*(E70:V70)) / COUNTIF(_xlfn.XLOOKUP(C70, 'Course Stats'!A:A, 'Course Stats'!G:X), 4)</f>
        <v>1.8</v>
      </c>
      <c r="AB70" s="102" cm="1">
        <f t="array" ref="AB70">SUMPRODUCT((_xlfn.XLOOKUP(C70, 'Course Stats'!A:A, 'Course Stats'!G:X)=5)*(E70:V70)) / COUNTIF(_xlfn.XLOOKUP(C70, 'Course Stats'!A:A, 'Course Stats'!G:X), 5)</f>
        <v>2.25</v>
      </c>
    </row>
    <row r="71" spans="1:28" x14ac:dyDescent="0.25">
      <c r="A71" s="107" t="s">
        <v>126</v>
      </c>
      <c r="B71" s="112">
        <v>46164</v>
      </c>
      <c r="C71" s="107" t="s">
        <v>6</v>
      </c>
      <c r="D71" s="107">
        <f>SUM('Putt Log'!$E71:$V71)</f>
        <v>31</v>
      </c>
      <c r="E71" s="107">
        <v>2</v>
      </c>
      <c r="F71" s="107">
        <v>2</v>
      </c>
      <c r="G71" s="107">
        <v>2</v>
      </c>
      <c r="H71" s="107">
        <v>1</v>
      </c>
      <c r="I71" s="107">
        <v>2</v>
      </c>
      <c r="J71" s="107">
        <v>2</v>
      </c>
      <c r="K71" s="107">
        <v>2</v>
      </c>
      <c r="L71" s="107">
        <v>1</v>
      </c>
      <c r="M71" s="107">
        <v>2</v>
      </c>
      <c r="N71" s="107">
        <v>2</v>
      </c>
      <c r="O71" s="107">
        <v>1</v>
      </c>
      <c r="P71" s="107">
        <v>1</v>
      </c>
      <c r="Q71" s="107">
        <v>2</v>
      </c>
      <c r="R71" s="107">
        <v>2</v>
      </c>
      <c r="S71" s="107">
        <v>2</v>
      </c>
      <c r="T71" s="107">
        <v>2</v>
      </c>
      <c r="U71" s="107">
        <v>1</v>
      </c>
      <c r="V71" s="107">
        <v>2</v>
      </c>
      <c r="W71" s="109">
        <v>31</v>
      </c>
      <c r="X71" s="109">
        <v>9</v>
      </c>
      <c r="Y71" s="109">
        <v>2</v>
      </c>
      <c r="Z71" s="113" cm="1">
        <f t="array" ref="Z71">SUMPRODUCT((_xlfn.XLOOKUP(C71, 'Course Stats'!A:A, 'Course Stats'!G:X)=3)*(E71:V71)) / COUNTIF(_xlfn.XLOOKUP(C71, 'Course Stats'!A:A, 'Course Stats'!G:X), 3)</f>
        <v>2</v>
      </c>
      <c r="AA71" s="113" cm="1">
        <f t="array" ref="AA71">SUMPRODUCT((_xlfn.XLOOKUP(C71, 'Course Stats'!A:A, 'Course Stats'!G:X)=4)*(E71:V71)) / COUNTIF(_xlfn.XLOOKUP(C71, 'Course Stats'!A:A, 'Course Stats'!G:X), 4)</f>
        <v>1.75</v>
      </c>
      <c r="AB71" s="113" cm="1">
        <f t="array" ref="AB71">SUMPRODUCT((_xlfn.XLOOKUP(C71, 'Course Stats'!A:A, 'Course Stats'!G:X)=5)*(E71:V71)) / COUNTIF(_xlfn.XLOOKUP(C71, 'Course Stats'!A:A, 'Course Stats'!G:X), 5)</f>
        <v>1.3333333333333333</v>
      </c>
    </row>
    <row r="72" spans="1:28" x14ac:dyDescent="0.25">
      <c r="A72" s="117" t="s">
        <v>127</v>
      </c>
      <c r="B72" s="124">
        <v>46185</v>
      </c>
      <c r="C72" s="118" t="s">
        <v>145</v>
      </c>
      <c r="D72" s="118">
        <f>SUM('Putt Log'!$E72:$V72)</f>
        <v>41</v>
      </c>
      <c r="E72" s="118">
        <v>2</v>
      </c>
      <c r="F72" s="118">
        <v>2</v>
      </c>
      <c r="G72" s="118">
        <v>2</v>
      </c>
      <c r="H72" s="118">
        <v>2</v>
      </c>
      <c r="I72" s="118">
        <v>3</v>
      </c>
      <c r="J72" s="118">
        <v>2</v>
      </c>
      <c r="K72" s="118">
        <v>3</v>
      </c>
      <c r="L72" s="118">
        <v>3</v>
      </c>
      <c r="M72" s="118">
        <v>3</v>
      </c>
      <c r="N72" s="118">
        <v>1</v>
      </c>
      <c r="O72" s="118">
        <v>3</v>
      </c>
      <c r="P72" s="118">
        <v>2</v>
      </c>
      <c r="Q72" s="118">
        <v>3</v>
      </c>
      <c r="R72" s="118">
        <v>2</v>
      </c>
      <c r="S72" s="118">
        <v>2</v>
      </c>
      <c r="T72" s="118">
        <v>2</v>
      </c>
      <c r="U72" s="118">
        <v>2</v>
      </c>
      <c r="V72" s="118">
        <v>2</v>
      </c>
      <c r="W72" s="120">
        <v>41</v>
      </c>
      <c r="X72" s="120">
        <v>4</v>
      </c>
      <c r="Y72" s="120">
        <v>4</v>
      </c>
      <c r="Z72" s="125" cm="1">
        <f t="array" ref="Z72">SUMPRODUCT((_xlfn.XLOOKUP(C72, 'Course Stats'!A:A, 'Course Stats'!G:X)=3)*(E72:V72)) / COUNTIF(_xlfn.XLOOKUP(C72, 'Course Stats'!A:A, 'Course Stats'!G:X), 3)</f>
        <v>2.25</v>
      </c>
      <c r="AA72" s="125" cm="1">
        <f t="array" ref="AA72">SUMPRODUCT((_xlfn.XLOOKUP(C72, 'Course Stats'!A:A, 'Course Stats'!G:X)=4)*(E72:V72)) / COUNTIF(_xlfn.XLOOKUP(C72, 'Course Stats'!A:A, 'Course Stats'!G:X), 4)</f>
        <v>2.4</v>
      </c>
      <c r="AB72" s="125" cm="1">
        <f t="array" ref="AB72">SUMPRODUCT((_xlfn.XLOOKUP(C72, 'Course Stats'!A:A, 'Course Stats'!G:X)=5)*(E72:V72)) / COUNTIF(_xlfn.XLOOKUP(C72, 'Course Stats'!A:A, 'Course Stats'!G:X), 5)</f>
        <v>2</v>
      </c>
    </row>
    <row r="73" spans="1:28" x14ac:dyDescent="0.25">
      <c r="A73" s="78"/>
      <c r="B73" s="83"/>
      <c r="C73" s="78"/>
      <c r="D73" s="6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80"/>
      <c r="X73" s="80"/>
      <c r="Y73" s="80"/>
      <c r="Z73" s="84"/>
      <c r="AA73" s="84"/>
      <c r="AB73" s="84"/>
    </row>
    <row r="74" spans="1:28" x14ac:dyDescent="0.25">
      <c r="A74" s="35"/>
      <c r="B74" s="40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7"/>
      <c r="X74" s="37"/>
      <c r="Y74" s="37"/>
      <c r="Z74" s="39"/>
      <c r="AA74" s="39"/>
      <c r="AB74" s="39"/>
    </row>
    <row r="75" spans="1:28" x14ac:dyDescent="0.25">
      <c r="A75" s="20" t="s">
        <v>125</v>
      </c>
      <c r="B75" s="26" t="s">
        <v>19</v>
      </c>
      <c r="C75" s="26" t="s">
        <v>24</v>
      </c>
      <c r="D75" s="26" t="s">
        <v>0</v>
      </c>
      <c r="E75" s="26" t="s">
        <v>47</v>
      </c>
      <c r="F75" s="26" t="s">
        <v>48</v>
      </c>
      <c r="G75" s="26" t="s">
        <v>49</v>
      </c>
      <c r="H75" s="26" t="s">
        <v>50</v>
      </c>
      <c r="I75" s="26" t="s">
        <v>51</v>
      </c>
      <c r="J75" s="26" t="s">
        <v>52</v>
      </c>
      <c r="K75" s="26" t="s">
        <v>53</v>
      </c>
      <c r="L75" s="26" t="s">
        <v>54</v>
      </c>
      <c r="M75" s="26" t="s">
        <v>55</v>
      </c>
    </row>
    <row r="76" spans="1:28" x14ac:dyDescent="0.25">
      <c r="A76" s="20" t="s">
        <v>126</v>
      </c>
      <c r="B76" s="27">
        <v>45457</v>
      </c>
      <c r="C76" s="20" t="s">
        <v>38</v>
      </c>
      <c r="D76" s="20">
        <f>SUM('Putt Log'!$E76:$M76)</f>
        <v>16</v>
      </c>
      <c r="E76" s="20">
        <v>3</v>
      </c>
      <c r="F76" s="20">
        <v>2</v>
      </c>
      <c r="G76" s="20">
        <v>1</v>
      </c>
      <c r="H76" s="20">
        <v>2</v>
      </c>
      <c r="I76" s="20">
        <v>1</v>
      </c>
      <c r="J76" s="20">
        <v>1</v>
      </c>
      <c r="K76" s="20">
        <v>2</v>
      </c>
      <c r="L76" s="20">
        <v>2</v>
      </c>
      <c r="M76" s="20">
        <v>2</v>
      </c>
    </row>
    <row r="77" spans="1:28" x14ac:dyDescent="0.25">
      <c r="A77" s="20" t="s">
        <v>126</v>
      </c>
      <c r="B77" s="27">
        <v>45454</v>
      </c>
      <c r="C77" s="20" t="s">
        <v>5</v>
      </c>
      <c r="D77" s="20">
        <f>SUM('Putt Log'!$E77:$M77)</f>
        <v>14</v>
      </c>
      <c r="E77" s="20">
        <v>2</v>
      </c>
      <c r="F77" s="20">
        <v>1</v>
      </c>
      <c r="G77" s="20">
        <v>2</v>
      </c>
      <c r="H77" s="20">
        <v>2</v>
      </c>
      <c r="I77" s="20">
        <v>1</v>
      </c>
      <c r="J77" s="20">
        <v>1</v>
      </c>
      <c r="K77" s="20">
        <v>1</v>
      </c>
      <c r="L77" s="20">
        <v>2</v>
      </c>
      <c r="M77" s="20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2E58-C4A1-4C81-90B1-776547AC31A9}">
  <dimension ref="A1:W77"/>
  <sheetViews>
    <sheetView topLeftCell="A46" workbookViewId="0">
      <selection activeCell="S76" sqref="S76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41" bestFit="1" customWidth="1"/>
    <col min="4" max="4" width="11" bestFit="1" customWidth="1"/>
    <col min="5" max="13" width="8.85546875" bestFit="1" customWidth="1"/>
    <col min="14" max="22" width="9.85546875" bestFit="1" customWidth="1"/>
    <col min="24" max="27" width="3" bestFit="1" customWidth="1"/>
  </cols>
  <sheetData>
    <row r="1" spans="1:23" x14ac:dyDescent="0.25">
      <c r="A1" s="20" t="s">
        <v>125</v>
      </c>
      <c r="B1" s="26" t="s">
        <v>19</v>
      </c>
      <c r="C1" s="26" t="s">
        <v>24</v>
      </c>
      <c r="D1" s="26" t="s">
        <v>31</v>
      </c>
      <c r="E1" s="26" t="s">
        <v>47</v>
      </c>
      <c r="F1" s="26" t="s">
        <v>48</v>
      </c>
      <c r="G1" s="26" t="s">
        <v>49</v>
      </c>
      <c r="H1" s="26" t="s">
        <v>50</v>
      </c>
      <c r="I1" s="26" t="s">
        <v>51</v>
      </c>
      <c r="J1" s="26" t="s">
        <v>52</v>
      </c>
      <c r="K1" s="26" t="s">
        <v>53</v>
      </c>
      <c r="L1" s="26" t="s">
        <v>54</v>
      </c>
      <c r="M1" s="26" t="s">
        <v>55</v>
      </c>
      <c r="N1" s="26" t="s">
        <v>56</v>
      </c>
      <c r="O1" s="26" t="s">
        <v>57</v>
      </c>
      <c r="P1" s="26" t="s">
        <v>58</v>
      </c>
      <c r="Q1" s="26" t="s">
        <v>59</v>
      </c>
      <c r="R1" s="26" t="s">
        <v>60</v>
      </c>
      <c r="S1" s="26" t="s">
        <v>61</v>
      </c>
      <c r="T1" s="26" t="s">
        <v>62</v>
      </c>
      <c r="U1" s="26" t="s">
        <v>63</v>
      </c>
      <c r="V1" s="26" t="s">
        <v>64</v>
      </c>
      <c r="W1" s="26" t="s">
        <v>140</v>
      </c>
    </row>
    <row r="2" spans="1:23" x14ac:dyDescent="0.25">
      <c r="A2" s="20" t="s">
        <v>126</v>
      </c>
      <c r="B2" s="27">
        <v>45735</v>
      </c>
      <c r="C2" s="20" t="s">
        <v>3</v>
      </c>
      <c r="D2" s="20">
        <f>SUM('Fairway Log'!$E2:$V2)</f>
        <v>7</v>
      </c>
      <c r="E2" s="61">
        <v>1</v>
      </c>
      <c r="F2" s="60" t="s">
        <v>135</v>
      </c>
      <c r="G2" s="61"/>
      <c r="H2" s="61">
        <v>1</v>
      </c>
      <c r="I2" s="60" t="s">
        <v>139</v>
      </c>
      <c r="J2" s="61"/>
      <c r="K2" s="60" t="s">
        <v>139</v>
      </c>
      <c r="L2" s="61">
        <v>1</v>
      </c>
      <c r="M2" s="61">
        <v>1</v>
      </c>
      <c r="N2" s="60" t="s">
        <v>135</v>
      </c>
      <c r="O2" s="61"/>
      <c r="P2" s="61">
        <v>1</v>
      </c>
      <c r="Q2" s="61">
        <v>1</v>
      </c>
      <c r="R2" s="60" t="s">
        <v>135</v>
      </c>
      <c r="S2" s="61"/>
      <c r="T2" s="60" t="s">
        <v>135</v>
      </c>
      <c r="U2" s="61">
        <v>1</v>
      </c>
      <c r="V2" s="60" t="s">
        <v>135</v>
      </c>
      <c r="W2" s="67">
        <f>IFERROR(COUNTIF('Fairway Log'!$E2:$V2,1)/COUNTA('Fairway Log'!$E2:$V2),"")</f>
        <v>0.5</v>
      </c>
    </row>
    <row r="3" spans="1:23" x14ac:dyDescent="0.25">
      <c r="A3" s="20" t="s">
        <v>126</v>
      </c>
      <c r="B3" s="27">
        <v>45655</v>
      </c>
      <c r="C3" s="20" t="s">
        <v>4</v>
      </c>
      <c r="D3" s="20">
        <f>SUM('Fairway Log'!$E3:$V3)</f>
        <v>11</v>
      </c>
      <c r="E3" s="61" t="s">
        <v>135</v>
      </c>
      <c r="F3" s="60">
        <v>1</v>
      </c>
      <c r="G3" s="61"/>
      <c r="H3" s="61">
        <v>1</v>
      </c>
      <c r="I3" s="60">
        <v>1</v>
      </c>
      <c r="J3" s="61">
        <v>1</v>
      </c>
      <c r="K3" s="60" t="s">
        <v>135</v>
      </c>
      <c r="L3" s="61"/>
      <c r="M3" s="61">
        <v>1</v>
      </c>
      <c r="N3" s="60">
        <v>1</v>
      </c>
      <c r="O3" s="61">
        <v>1</v>
      </c>
      <c r="P3" s="61">
        <v>1</v>
      </c>
      <c r="Q3" s="61"/>
      <c r="R3" s="60" t="s">
        <v>135</v>
      </c>
      <c r="S3" s="61">
        <v>1</v>
      </c>
      <c r="T3" s="60"/>
      <c r="U3" s="61">
        <v>1</v>
      </c>
      <c r="V3" s="60">
        <v>1</v>
      </c>
      <c r="W3" s="67">
        <f>IFERROR(COUNTIF('Fairway Log'!$E3:$V3,1)/COUNTA('Fairway Log'!$E3:$V3),"")</f>
        <v>0.7857142857142857</v>
      </c>
    </row>
    <row r="4" spans="1:23" x14ac:dyDescent="0.25">
      <c r="A4" s="20" t="s">
        <v>126</v>
      </c>
      <c r="B4" s="27">
        <v>45653</v>
      </c>
      <c r="C4" s="20" t="s">
        <v>2</v>
      </c>
      <c r="D4" s="20">
        <f>SUM('Fairway Log'!$E4:$V4)</f>
        <v>8</v>
      </c>
      <c r="E4" s="61">
        <v>1</v>
      </c>
      <c r="F4" s="60">
        <v>1</v>
      </c>
      <c r="G4" s="61"/>
      <c r="H4" s="61">
        <v>1</v>
      </c>
      <c r="I4" s="60" t="s">
        <v>139</v>
      </c>
      <c r="J4" s="61" t="s">
        <v>135</v>
      </c>
      <c r="K4" s="60">
        <v>1</v>
      </c>
      <c r="L4" s="61"/>
      <c r="M4" s="61">
        <v>1</v>
      </c>
      <c r="N4" s="60">
        <v>1</v>
      </c>
      <c r="O4" s="61"/>
      <c r="P4" s="61" t="s">
        <v>139</v>
      </c>
      <c r="Q4" s="61" t="s">
        <v>135</v>
      </c>
      <c r="R4" s="60" t="s">
        <v>135</v>
      </c>
      <c r="S4" s="61" t="s">
        <v>135</v>
      </c>
      <c r="T4" s="60"/>
      <c r="U4" s="61">
        <v>1</v>
      </c>
      <c r="V4" s="60">
        <v>1</v>
      </c>
      <c r="W4" s="67">
        <f>IFERROR(COUNTIF('Fairway Log'!$E4:$V4,1)/COUNTA('Fairway Log'!$E4:$V4),"")</f>
        <v>0.5714285714285714</v>
      </c>
    </row>
    <row r="5" spans="1:23" x14ac:dyDescent="0.25">
      <c r="A5" s="20" t="s">
        <v>126</v>
      </c>
      <c r="B5" s="27">
        <v>45649</v>
      </c>
      <c r="C5" s="20" t="s">
        <v>14</v>
      </c>
      <c r="D5" s="20">
        <f>SUM('Fairway Log'!$E5:$V5)</f>
        <v>5</v>
      </c>
      <c r="E5" s="61" t="s">
        <v>136</v>
      </c>
      <c r="F5" s="60"/>
      <c r="G5" s="61" t="s">
        <v>135</v>
      </c>
      <c r="H5" s="61" t="s">
        <v>136</v>
      </c>
      <c r="I5" s="60">
        <v>0</v>
      </c>
      <c r="J5" s="61" t="s">
        <v>139</v>
      </c>
      <c r="K5" s="60" t="s">
        <v>135</v>
      </c>
      <c r="L5" s="61"/>
      <c r="M5" s="61" t="s">
        <v>135</v>
      </c>
      <c r="N5" s="60" t="s">
        <v>139</v>
      </c>
      <c r="O5" s="61">
        <v>1</v>
      </c>
      <c r="P5" s="61">
        <v>1</v>
      </c>
      <c r="Q5" s="61">
        <v>1</v>
      </c>
      <c r="R5" s="60">
        <v>1</v>
      </c>
      <c r="S5" s="61"/>
      <c r="T5" s="60" t="s">
        <v>135</v>
      </c>
      <c r="U5" s="61"/>
      <c r="V5" s="60">
        <v>1</v>
      </c>
      <c r="W5" s="67">
        <f>IFERROR(COUNTIF('Fairway Log'!$E5:$V5,1)/COUNTA('Fairway Log'!$E5:$V5),"")</f>
        <v>0.35714285714285715</v>
      </c>
    </row>
    <row r="6" spans="1:23" x14ac:dyDescent="0.25">
      <c r="A6" s="20" t="s">
        <v>126</v>
      </c>
      <c r="B6" s="27">
        <v>45580</v>
      </c>
      <c r="C6" s="20" t="s">
        <v>7</v>
      </c>
      <c r="D6" s="20">
        <f>SUM('Fairway Log'!$E6:$V6)</f>
        <v>6</v>
      </c>
      <c r="E6" s="61" t="s">
        <v>139</v>
      </c>
      <c r="F6" s="60">
        <v>1</v>
      </c>
      <c r="G6" s="61" t="s">
        <v>135</v>
      </c>
      <c r="H6" s="61"/>
      <c r="I6" s="60">
        <v>1</v>
      </c>
      <c r="J6" s="61" t="s">
        <v>135</v>
      </c>
      <c r="K6" s="60" t="s">
        <v>139</v>
      </c>
      <c r="L6" s="61"/>
      <c r="M6" s="61">
        <v>1</v>
      </c>
      <c r="N6" s="60">
        <v>1</v>
      </c>
      <c r="O6" s="61" t="s">
        <v>139</v>
      </c>
      <c r="P6" s="61"/>
      <c r="Q6" s="61" t="s">
        <v>135</v>
      </c>
      <c r="R6" s="60">
        <v>1</v>
      </c>
      <c r="S6" s="61">
        <v>1</v>
      </c>
      <c r="T6" s="60" t="s">
        <v>135</v>
      </c>
      <c r="U6" s="61"/>
      <c r="V6" s="60" t="s">
        <v>135</v>
      </c>
      <c r="W6" s="67">
        <f>IFERROR(COUNTIF('Fairway Log'!$E6:$V6,1)/COUNTA('Fairway Log'!$E6:$V6),"")</f>
        <v>0.42857142857142855</v>
      </c>
    </row>
    <row r="7" spans="1:23" x14ac:dyDescent="0.25">
      <c r="A7" s="20" t="s">
        <v>126</v>
      </c>
      <c r="B7" s="27">
        <v>45570</v>
      </c>
      <c r="C7" s="20" t="s">
        <v>3</v>
      </c>
      <c r="D7" s="20">
        <f>SUM('Fairway Log'!$E7:$V7)</f>
        <v>5</v>
      </c>
      <c r="E7" s="61" t="s">
        <v>139</v>
      </c>
      <c r="F7" s="60" t="s">
        <v>135</v>
      </c>
      <c r="G7" s="61"/>
      <c r="H7" s="61" t="s">
        <v>135</v>
      </c>
      <c r="I7" s="60" t="s">
        <v>138</v>
      </c>
      <c r="J7" s="61"/>
      <c r="K7" s="60">
        <v>1</v>
      </c>
      <c r="L7" s="61">
        <v>1</v>
      </c>
      <c r="M7" s="61">
        <v>1</v>
      </c>
      <c r="N7" s="60" t="s">
        <v>138</v>
      </c>
      <c r="O7" s="61"/>
      <c r="P7" s="61" t="s">
        <v>135</v>
      </c>
      <c r="Q7" s="61" t="s">
        <v>135</v>
      </c>
      <c r="R7" s="60">
        <v>1</v>
      </c>
      <c r="S7" s="61"/>
      <c r="T7" s="60" t="s">
        <v>135</v>
      </c>
      <c r="U7" s="61" t="s">
        <v>135</v>
      </c>
      <c r="V7" s="60">
        <v>1</v>
      </c>
      <c r="W7" s="67">
        <f>IFERROR(COUNTIF('Fairway Log'!$E7:$V7,1)/COUNTA('Fairway Log'!$E7:$V7),"")</f>
        <v>0.35714285714285715</v>
      </c>
    </row>
    <row r="8" spans="1:23" x14ac:dyDescent="0.25">
      <c r="A8" s="20" t="s">
        <v>126</v>
      </c>
      <c r="B8" s="27">
        <v>45535</v>
      </c>
      <c r="C8" s="20" t="s">
        <v>9</v>
      </c>
      <c r="D8" s="20">
        <f>SUM('Fairway Log'!$E8:$V8)</f>
        <v>6</v>
      </c>
      <c r="E8" s="61">
        <v>1</v>
      </c>
      <c r="F8" s="60" t="s">
        <v>135</v>
      </c>
      <c r="G8" s="61" t="s">
        <v>136</v>
      </c>
      <c r="H8" s="61"/>
      <c r="I8" s="60" t="s">
        <v>136</v>
      </c>
      <c r="J8" s="61">
        <v>1</v>
      </c>
      <c r="K8" s="60"/>
      <c r="L8" s="61" t="s">
        <v>135</v>
      </c>
      <c r="M8" s="61" t="s">
        <v>135</v>
      </c>
      <c r="N8" s="60">
        <v>1</v>
      </c>
      <c r="O8" s="61"/>
      <c r="P8" s="61">
        <v>1</v>
      </c>
      <c r="Q8" s="61" t="s">
        <v>135</v>
      </c>
      <c r="R8" s="60"/>
      <c r="S8" s="61" t="s">
        <v>135</v>
      </c>
      <c r="T8" s="60">
        <v>1</v>
      </c>
      <c r="U8" s="61">
        <v>1</v>
      </c>
      <c r="V8" s="60" t="s">
        <v>135</v>
      </c>
      <c r="W8" s="67">
        <f>IFERROR(COUNTIF('Fairway Log'!$E8:$V8,1)/COUNTA('Fairway Log'!$E8:$V8),"")</f>
        <v>0.42857142857142855</v>
      </c>
    </row>
    <row r="9" spans="1:23" x14ac:dyDescent="0.25">
      <c r="A9" s="20" t="s">
        <v>126</v>
      </c>
      <c r="B9" s="27">
        <v>45514</v>
      </c>
      <c r="C9" s="20" t="s">
        <v>6</v>
      </c>
      <c r="D9" s="20">
        <f>SUM('Fairway Log'!$E9:$V9)</f>
        <v>6</v>
      </c>
      <c r="E9" s="61" t="s">
        <v>135</v>
      </c>
      <c r="F9" s="60">
        <v>1</v>
      </c>
      <c r="G9" s="61"/>
      <c r="H9" s="61" t="s">
        <v>136</v>
      </c>
      <c r="I9" s="60"/>
      <c r="J9" s="61" t="s">
        <v>139</v>
      </c>
      <c r="K9" s="60" t="s">
        <v>139</v>
      </c>
      <c r="L9" s="61">
        <v>1</v>
      </c>
      <c r="M9" s="61">
        <v>1</v>
      </c>
      <c r="N9" s="60" t="s">
        <v>135</v>
      </c>
      <c r="O9" s="61" t="s">
        <v>135</v>
      </c>
      <c r="P9" s="61" t="s">
        <v>139</v>
      </c>
      <c r="Q9" s="61" t="s">
        <v>135</v>
      </c>
      <c r="R9" s="60"/>
      <c r="S9" s="61">
        <v>1</v>
      </c>
      <c r="T9" s="60">
        <v>1</v>
      </c>
      <c r="U9" s="61" t="s">
        <v>135</v>
      </c>
      <c r="V9" s="60">
        <v>1</v>
      </c>
      <c r="W9" s="67">
        <f>IFERROR(COUNTIF('Fairway Log'!$E9:$V9,1)/COUNTA('Fairway Log'!$E9:$V9),"")</f>
        <v>0.4</v>
      </c>
    </row>
    <row r="10" spans="1:23" x14ac:dyDescent="0.25">
      <c r="A10" s="20" t="s">
        <v>126</v>
      </c>
      <c r="B10" s="27">
        <v>45502</v>
      </c>
      <c r="C10" s="20" t="s">
        <v>3</v>
      </c>
      <c r="D10" s="20">
        <f>SUM('Fairway Log'!$E10:$V10)</f>
        <v>6</v>
      </c>
      <c r="E10" s="61" t="s">
        <v>139</v>
      </c>
      <c r="F10" s="60" t="s">
        <v>135</v>
      </c>
      <c r="G10" s="61"/>
      <c r="H10" s="61" t="s">
        <v>135</v>
      </c>
      <c r="I10" s="60" t="s">
        <v>135</v>
      </c>
      <c r="J10" s="61"/>
      <c r="K10" s="60">
        <v>1</v>
      </c>
      <c r="L10" s="61">
        <v>1</v>
      </c>
      <c r="M10" s="61" t="s">
        <v>135</v>
      </c>
      <c r="N10" s="60">
        <v>1</v>
      </c>
      <c r="O10" s="61"/>
      <c r="P10" s="61">
        <v>1</v>
      </c>
      <c r="Q10" s="61" t="s">
        <v>135</v>
      </c>
      <c r="R10" s="60" t="s">
        <v>135</v>
      </c>
      <c r="S10" s="61"/>
      <c r="T10" s="60">
        <v>1</v>
      </c>
      <c r="U10" s="61">
        <v>1</v>
      </c>
      <c r="V10" s="60" t="s">
        <v>135</v>
      </c>
      <c r="W10" s="67">
        <f>IFERROR(COUNTIF('Fairway Log'!$E10:$V10,1)/COUNTA('Fairway Log'!$E10:$V10),"")</f>
        <v>0.42857142857142855</v>
      </c>
    </row>
    <row r="11" spans="1:23" x14ac:dyDescent="0.25">
      <c r="A11" s="20" t="s">
        <v>126</v>
      </c>
      <c r="B11" s="27">
        <v>45496</v>
      </c>
      <c r="C11" s="20" t="s">
        <v>6</v>
      </c>
      <c r="D11" s="20">
        <f>SUM('Fairway Log'!$E11:$V11)</f>
        <v>9</v>
      </c>
      <c r="E11" s="61">
        <v>1</v>
      </c>
      <c r="F11" s="60">
        <v>1</v>
      </c>
      <c r="G11" s="61"/>
      <c r="H11" s="61">
        <v>1</v>
      </c>
      <c r="I11" s="60"/>
      <c r="J11" s="61" t="s">
        <v>135</v>
      </c>
      <c r="K11" s="60" t="s">
        <v>135</v>
      </c>
      <c r="L11" s="61" t="s">
        <v>135</v>
      </c>
      <c r="M11" s="61">
        <v>1</v>
      </c>
      <c r="N11" s="60" t="s">
        <v>139</v>
      </c>
      <c r="O11" s="61" t="s">
        <v>139</v>
      </c>
      <c r="P11" s="61">
        <v>1</v>
      </c>
      <c r="Q11" s="61">
        <v>1</v>
      </c>
      <c r="R11" s="60"/>
      <c r="S11" s="61" t="s">
        <v>135</v>
      </c>
      <c r="T11" s="60">
        <v>1</v>
      </c>
      <c r="U11" s="61">
        <v>1</v>
      </c>
      <c r="V11" s="60">
        <v>1</v>
      </c>
      <c r="W11" s="67">
        <f>IFERROR(COUNTIF('Fairway Log'!$E11:$V11,1)/COUNTA('Fairway Log'!$E11:$V11),"")</f>
        <v>0.6</v>
      </c>
    </row>
    <row r="12" spans="1:23" x14ac:dyDescent="0.25">
      <c r="A12" s="20" t="s">
        <v>126</v>
      </c>
      <c r="B12" s="27">
        <v>45492</v>
      </c>
      <c r="C12" s="20" t="s">
        <v>6</v>
      </c>
      <c r="D12" s="20">
        <f>SUM('Fairway Log'!$E12:$V12)</f>
        <v>8</v>
      </c>
      <c r="E12" s="61">
        <v>1</v>
      </c>
      <c r="F12" s="60" t="s">
        <v>135</v>
      </c>
      <c r="G12" s="61"/>
      <c r="H12" s="61">
        <v>1</v>
      </c>
      <c r="I12" s="60"/>
      <c r="J12" s="61" t="s">
        <v>139</v>
      </c>
      <c r="K12" s="60" t="s">
        <v>135</v>
      </c>
      <c r="L12" s="61" t="s">
        <v>135</v>
      </c>
      <c r="M12" s="61">
        <v>1</v>
      </c>
      <c r="N12" s="60">
        <v>1</v>
      </c>
      <c r="O12" s="61">
        <v>1</v>
      </c>
      <c r="P12" s="61">
        <v>1</v>
      </c>
      <c r="Q12" s="61">
        <v>1</v>
      </c>
      <c r="R12" s="60"/>
      <c r="S12" s="61" t="s">
        <v>135</v>
      </c>
      <c r="T12" s="60">
        <v>1</v>
      </c>
      <c r="U12" s="61" t="s">
        <v>135</v>
      </c>
      <c r="V12" s="60" t="s">
        <v>135</v>
      </c>
      <c r="W12" s="67">
        <f>IFERROR(COUNTIF('Fairway Log'!$E12:$V12,1)/COUNTA('Fairway Log'!$E12:$V12),"")</f>
        <v>0.53333333333333333</v>
      </c>
    </row>
    <row r="13" spans="1:23" x14ac:dyDescent="0.25">
      <c r="A13" s="20" t="s">
        <v>126</v>
      </c>
      <c r="B13" s="27">
        <v>45487</v>
      </c>
      <c r="C13" s="20" t="s">
        <v>3</v>
      </c>
      <c r="D13" s="20">
        <f>SUM('Fairway Log'!$E13:$V13)</f>
        <v>3</v>
      </c>
      <c r="E13" s="61">
        <v>1</v>
      </c>
      <c r="F13" s="60" t="s">
        <v>135</v>
      </c>
      <c r="G13" s="61"/>
      <c r="H13" s="61" t="s">
        <v>139</v>
      </c>
      <c r="I13" s="60">
        <v>1</v>
      </c>
      <c r="J13" s="61"/>
      <c r="K13" s="60">
        <v>1</v>
      </c>
      <c r="L13" s="61" t="s">
        <v>139</v>
      </c>
      <c r="M13" s="61" t="s">
        <v>139</v>
      </c>
      <c r="N13" s="60" t="s">
        <v>139</v>
      </c>
      <c r="O13" s="61"/>
      <c r="P13" s="61" t="s">
        <v>138</v>
      </c>
      <c r="Q13" s="61" t="s">
        <v>135</v>
      </c>
      <c r="R13" s="60" t="s">
        <v>135</v>
      </c>
      <c r="S13" s="61"/>
      <c r="T13" s="60" t="s">
        <v>135</v>
      </c>
      <c r="U13" s="61" t="s">
        <v>139</v>
      </c>
      <c r="V13" s="60" t="s">
        <v>135</v>
      </c>
      <c r="W13" s="67">
        <f>IFERROR(COUNTIF('Fairway Log'!$E13:$V13,1)/COUNTA('Fairway Log'!$E13:$V13),"")</f>
        <v>0.21428571428571427</v>
      </c>
    </row>
    <row r="14" spans="1:23" x14ac:dyDescent="0.25">
      <c r="A14" s="20" t="s">
        <v>126</v>
      </c>
      <c r="B14" s="27">
        <v>45480</v>
      </c>
      <c r="C14" s="20" t="s">
        <v>10</v>
      </c>
      <c r="D14" s="20">
        <f>SUM('Fairway Log'!$E14:$V14)</f>
        <v>8</v>
      </c>
      <c r="E14" s="61" t="s">
        <v>139</v>
      </c>
      <c r="F14" s="60">
        <v>1</v>
      </c>
      <c r="G14" s="61">
        <v>1</v>
      </c>
      <c r="H14" s="61"/>
      <c r="I14" s="60">
        <v>1</v>
      </c>
      <c r="J14" s="61">
        <v>1</v>
      </c>
      <c r="K14" s="60"/>
      <c r="L14" s="61">
        <v>1</v>
      </c>
      <c r="M14" s="61" t="s">
        <v>139</v>
      </c>
      <c r="N14" s="60" t="s">
        <v>135</v>
      </c>
      <c r="O14" s="61">
        <v>1</v>
      </c>
      <c r="P14" s="61"/>
      <c r="Q14" s="61" t="s">
        <v>139</v>
      </c>
      <c r="R14" s="60">
        <v>1</v>
      </c>
      <c r="S14" s="61" t="s">
        <v>135</v>
      </c>
      <c r="T14" s="60">
        <v>1</v>
      </c>
      <c r="U14" s="61"/>
      <c r="V14" s="60" t="s">
        <v>135</v>
      </c>
      <c r="W14" s="67">
        <f>IFERROR(COUNTIF('Fairway Log'!$E14:$V14,1)/COUNTA('Fairway Log'!$E14:$V14),"")</f>
        <v>0.5714285714285714</v>
      </c>
    </row>
    <row r="15" spans="1:23" x14ac:dyDescent="0.25">
      <c r="A15" s="20" t="s">
        <v>126</v>
      </c>
      <c r="B15" s="27">
        <v>45475</v>
      </c>
      <c r="C15" s="20" t="s">
        <v>5</v>
      </c>
      <c r="D15" s="20">
        <f>SUM('Fairway Log'!$E15:$V15)</f>
        <v>8</v>
      </c>
      <c r="E15" s="61" t="s">
        <v>135</v>
      </c>
      <c r="F15" s="60" t="s">
        <v>135</v>
      </c>
      <c r="G15" s="61"/>
      <c r="H15" s="61">
        <v>1</v>
      </c>
      <c r="I15" s="60">
        <v>1</v>
      </c>
      <c r="J15" s="61" t="s">
        <v>138</v>
      </c>
      <c r="K15" s="60"/>
      <c r="L15" s="61">
        <v>1</v>
      </c>
      <c r="M15" s="61">
        <v>1</v>
      </c>
      <c r="N15" s="60">
        <v>1</v>
      </c>
      <c r="O15" s="61"/>
      <c r="P15" s="61" t="s">
        <v>135</v>
      </c>
      <c r="Q15" s="61">
        <v>1</v>
      </c>
      <c r="R15" s="60">
        <v>1</v>
      </c>
      <c r="S15" s="61" t="s">
        <v>136</v>
      </c>
      <c r="T15" s="60" t="s">
        <v>135</v>
      </c>
      <c r="U15" s="61"/>
      <c r="V15" s="60">
        <v>1</v>
      </c>
      <c r="W15" s="67">
        <f>IFERROR(COUNTIF('Fairway Log'!$E15:$V15,1)/COUNTA('Fairway Log'!$E15:$V15),"")</f>
        <v>0.5714285714285714</v>
      </c>
    </row>
    <row r="16" spans="1:23" x14ac:dyDescent="0.25">
      <c r="A16" s="20" t="s">
        <v>126</v>
      </c>
      <c r="B16" s="27">
        <v>45467</v>
      </c>
      <c r="C16" s="20" t="s">
        <v>5</v>
      </c>
      <c r="D16" s="20">
        <f>SUM('Fairway Log'!$E16:$V16)</f>
        <v>6</v>
      </c>
      <c r="E16" s="61" t="s">
        <v>139</v>
      </c>
      <c r="F16" s="60" t="s">
        <v>139</v>
      </c>
      <c r="G16" s="61"/>
      <c r="H16" s="61" t="s">
        <v>135</v>
      </c>
      <c r="I16" s="60">
        <v>1</v>
      </c>
      <c r="J16" s="61">
        <v>1</v>
      </c>
      <c r="K16" s="60"/>
      <c r="L16" s="61" t="s">
        <v>139</v>
      </c>
      <c r="M16" s="61">
        <v>1</v>
      </c>
      <c r="N16" s="60" t="s">
        <v>136</v>
      </c>
      <c r="O16" s="61"/>
      <c r="P16" s="61" t="s">
        <v>135</v>
      </c>
      <c r="Q16" s="61">
        <v>1</v>
      </c>
      <c r="R16" s="60">
        <v>1</v>
      </c>
      <c r="S16" s="61" t="s">
        <v>135</v>
      </c>
      <c r="T16" s="60" t="s">
        <v>139</v>
      </c>
      <c r="U16" s="61"/>
      <c r="V16" s="60">
        <v>1</v>
      </c>
      <c r="W16" s="67">
        <f>IFERROR(COUNTIF('Fairway Log'!$E16:$V16,1)/COUNTA('Fairway Log'!$E16:$V16),"")</f>
        <v>0.42857142857142855</v>
      </c>
    </row>
    <row r="17" spans="1:23" x14ac:dyDescent="0.25">
      <c r="A17" s="20" t="s">
        <v>126</v>
      </c>
      <c r="B17" s="27">
        <v>45466</v>
      </c>
      <c r="C17" s="20" t="s">
        <v>10</v>
      </c>
      <c r="D17" s="20">
        <f>SUM('Fairway Log'!$E17:$V17)</f>
        <v>7</v>
      </c>
      <c r="E17" s="61">
        <v>1</v>
      </c>
      <c r="F17" s="60" t="s">
        <v>139</v>
      </c>
      <c r="G17" s="61">
        <v>1</v>
      </c>
      <c r="H17" s="61"/>
      <c r="I17" s="60" t="s">
        <v>139</v>
      </c>
      <c r="J17" s="61">
        <v>1</v>
      </c>
      <c r="K17" s="60"/>
      <c r="L17" s="61">
        <v>1</v>
      </c>
      <c r="M17" s="61">
        <v>1</v>
      </c>
      <c r="N17" s="60">
        <v>1</v>
      </c>
      <c r="O17" s="61" t="s">
        <v>135</v>
      </c>
      <c r="P17" s="61"/>
      <c r="Q17" s="61" t="s">
        <v>139</v>
      </c>
      <c r="R17" s="60" t="s">
        <v>139</v>
      </c>
      <c r="S17" s="61" t="s">
        <v>135</v>
      </c>
      <c r="T17" s="60">
        <v>1</v>
      </c>
      <c r="U17" s="61"/>
      <c r="V17" s="60" t="s">
        <v>135</v>
      </c>
      <c r="W17" s="67">
        <f>IFERROR(COUNTIF('Fairway Log'!$E17:$V17,1)/COUNTA('Fairway Log'!$E17:$V17),"")</f>
        <v>0.5</v>
      </c>
    </row>
    <row r="18" spans="1:23" x14ac:dyDescent="0.25">
      <c r="A18" s="20" t="s">
        <v>126</v>
      </c>
      <c r="B18" s="27">
        <v>45465</v>
      </c>
      <c r="C18" s="20" t="s">
        <v>12</v>
      </c>
      <c r="D18" s="20">
        <f>SUM('Fairway Log'!$E18:$V18)</f>
        <v>3</v>
      </c>
      <c r="E18" s="61" t="s">
        <v>136</v>
      </c>
      <c r="F18" s="60" t="s">
        <v>136</v>
      </c>
      <c r="G18" s="61" t="s">
        <v>135</v>
      </c>
      <c r="H18" s="61" t="s">
        <v>139</v>
      </c>
      <c r="I18" s="60">
        <v>1</v>
      </c>
      <c r="J18" s="61"/>
      <c r="K18" s="60" t="s">
        <v>139</v>
      </c>
      <c r="L18" s="61"/>
      <c r="M18" s="61" t="s">
        <v>139</v>
      </c>
      <c r="N18" s="60" t="s">
        <v>136</v>
      </c>
      <c r="O18" s="61" t="s">
        <v>136</v>
      </c>
      <c r="P18" s="61"/>
      <c r="Q18" s="61">
        <v>1</v>
      </c>
      <c r="R18" s="60"/>
      <c r="S18" s="61">
        <v>1</v>
      </c>
      <c r="T18" s="60" t="s">
        <v>139</v>
      </c>
      <c r="U18" s="61"/>
      <c r="V18" s="60" t="s">
        <v>135</v>
      </c>
      <c r="W18" s="67">
        <f>IFERROR(COUNTIF('Fairway Log'!$E18:$V18,1)/COUNTA('Fairway Log'!$E18:$V18),"")</f>
        <v>0.23076923076923078</v>
      </c>
    </row>
    <row r="19" spans="1:23" x14ac:dyDescent="0.25">
      <c r="A19" s="20" t="s">
        <v>126</v>
      </c>
      <c r="B19" s="27">
        <v>45453</v>
      </c>
      <c r="C19" s="20" t="s">
        <v>11</v>
      </c>
      <c r="D19" s="20">
        <f>SUM('Fairway Log'!$E19:$V19)</f>
        <v>5</v>
      </c>
      <c r="E19" s="61" t="s">
        <v>136</v>
      </c>
      <c r="F19" s="60"/>
      <c r="G19" s="61">
        <v>1</v>
      </c>
      <c r="H19" s="61"/>
      <c r="I19" s="60" t="s">
        <v>139</v>
      </c>
      <c r="J19" s="61" t="s">
        <v>139</v>
      </c>
      <c r="K19" s="60">
        <v>1</v>
      </c>
      <c r="L19" s="61" t="s">
        <v>139</v>
      </c>
      <c r="M19" s="61">
        <v>1</v>
      </c>
      <c r="N19" s="60">
        <v>1</v>
      </c>
      <c r="O19" s="61"/>
      <c r="P19" s="61" t="s">
        <v>135</v>
      </c>
      <c r="Q19" s="61" t="s">
        <v>136</v>
      </c>
      <c r="R19" s="60"/>
      <c r="S19" s="61" t="s">
        <v>135</v>
      </c>
      <c r="T19" s="60"/>
      <c r="U19" s="61">
        <v>1</v>
      </c>
      <c r="V19" s="60" t="s">
        <v>135</v>
      </c>
      <c r="W19" s="67">
        <f>IFERROR(COUNTIF('Fairway Log'!$E19:$V19,1)/COUNTA('Fairway Log'!$E19:$V19),"")</f>
        <v>0.38461538461538464</v>
      </c>
    </row>
    <row r="20" spans="1:23" x14ac:dyDescent="0.25">
      <c r="A20" s="20" t="s">
        <v>126</v>
      </c>
      <c r="B20" s="27">
        <v>45443</v>
      </c>
      <c r="C20" s="20" t="s">
        <v>3</v>
      </c>
      <c r="D20" s="20">
        <f>SUM('Fairway Log'!$E20:$V20)</f>
        <v>4</v>
      </c>
      <c r="E20" s="61">
        <v>1</v>
      </c>
      <c r="F20" s="60" t="s">
        <v>135</v>
      </c>
      <c r="G20" s="61"/>
      <c r="H20" s="61" t="s">
        <v>135</v>
      </c>
      <c r="I20" s="60" t="s">
        <v>138</v>
      </c>
      <c r="J20" s="61"/>
      <c r="K20" s="60" t="s">
        <v>135</v>
      </c>
      <c r="L20" s="61" t="s">
        <v>135</v>
      </c>
      <c r="M20" s="61">
        <v>1</v>
      </c>
      <c r="N20" s="60" t="s">
        <v>135</v>
      </c>
      <c r="O20" s="61"/>
      <c r="P20" s="61" t="s">
        <v>138</v>
      </c>
      <c r="Q20" s="61" t="s">
        <v>135</v>
      </c>
      <c r="R20" s="60" t="s">
        <v>139</v>
      </c>
      <c r="S20" s="61"/>
      <c r="T20" s="60">
        <v>1</v>
      </c>
      <c r="U20" s="61" t="s">
        <v>135</v>
      </c>
      <c r="V20" s="60">
        <v>1</v>
      </c>
      <c r="W20" s="67">
        <f>IFERROR(COUNTIF('Fairway Log'!$E20:$V20,1)/COUNTA('Fairway Log'!$E20:$V20),"")</f>
        <v>0.2857142857142857</v>
      </c>
    </row>
    <row r="21" spans="1:23" x14ac:dyDescent="0.25">
      <c r="A21" s="20" t="s">
        <v>126</v>
      </c>
      <c r="B21" s="27">
        <v>45440</v>
      </c>
      <c r="C21" s="20" t="s">
        <v>9</v>
      </c>
      <c r="D21" s="20">
        <f>SUM('Fairway Log'!$E21:$V21)</f>
        <v>7</v>
      </c>
      <c r="E21" s="61">
        <v>1</v>
      </c>
      <c r="F21" s="60">
        <v>1</v>
      </c>
      <c r="G21" s="61" t="s">
        <v>138</v>
      </c>
      <c r="H21" s="61"/>
      <c r="I21" s="60">
        <v>1</v>
      </c>
      <c r="J21" s="61">
        <v>1</v>
      </c>
      <c r="K21" s="60"/>
      <c r="L21" s="61" t="s">
        <v>136</v>
      </c>
      <c r="M21" s="61" t="s">
        <v>136</v>
      </c>
      <c r="N21" s="60">
        <v>1</v>
      </c>
      <c r="O21" s="61"/>
      <c r="P21" s="61" t="s">
        <v>135</v>
      </c>
      <c r="Q21" s="61" t="s">
        <v>139</v>
      </c>
      <c r="R21" s="60"/>
      <c r="S21" s="61" t="s">
        <v>135</v>
      </c>
      <c r="T21" s="60">
        <v>1</v>
      </c>
      <c r="U21" s="61">
        <v>1</v>
      </c>
      <c r="V21" s="60" t="s">
        <v>135</v>
      </c>
      <c r="W21" s="67">
        <f>IFERROR(COUNTIF('Fairway Log'!$E21:$V21,1)/COUNTA('Fairway Log'!$E21:$V21),"")</f>
        <v>0.5</v>
      </c>
    </row>
    <row r="22" spans="1:23" x14ac:dyDescent="0.25">
      <c r="A22" s="20" t="s">
        <v>126</v>
      </c>
      <c r="B22" s="27">
        <v>45434</v>
      </c>
      <c r="C22" s="20" t="s">
        <v>9</v>
      </c>
      <c r="D22" s="20">
        <f>SUM('Fairway Log'!$E22:$V22)</f>
        <v>3</v>
      </c>
      <c r="E22" s="61" t="s">
        <v>138</v>
      </c>
      <c r="F22" s="60" t="s">
        <v>139</v>
      </c>
      <c r="G22" s="61" t="s">
        <v>139</v>
      </c>
      <c r="H22" s="61"/>
      <c r="I22" s="60" t="s">
        <v>135</v>
      </c>
      <c r="J22" s="61" t="s">
        <v>135</v>
      </c>
      <c r="K22" s="60"/>
      <c r="L22" s="61">
        <v>1</v>
      </c>
      <c r="M22" s="61" t="s">
        <v>138</v>
      </c>
      <c r="N22" s="60">
        <v>1</v>
      </c>
      <c r="O22" s="61"/>
      <c r="P22" s="61" t="s">
        <v>135</v>
      </c>
      <c r="Q22" s="61" t="s">
        <v>139</v>
      </c>
      <c r="R22" s="60"/>
      <c r="S22" s="61" t="s">
        <v>135</v>
      </c>
      <c r="T22" s="60" t="s">
        <v>139</v>
      </c>
      <c r="U22" s="61" t="s">
        <v>139</v>
      </c>
      <c r="V22" s="60">
        <v>1</v>
      </c>
      <c r="W22" s="67">
        <f>IFERROR(COUNTIF('Fairway Log'!$E22:$V22,1)/COUNTA('Fairway Log'!$E22:$V22),"")</f>
        <v>0.21428571428571427</v>
      </c>
    </row>
    <row r="23" spans="1:23" x14ac:dyDescent="0.25">
      <c r="A23" s="20" t="s">
        <v>126</v>
      </c>
      <c r="B23" s="27">
        <v>45172</v>
      </c>
      <c r="C23" s="20" t="s">
        <v>3</v>
      </c>
      <c r="D23" s="20">
        <f>SUM('Fairway Log'!$E23:$V23)</f>
        <v>8</v>
      </c>
      <c r="E23" s="61" t="s">
        <v>139</v>
      </c>
      <c r="F23" s="60">
        <v>1</v>
      </c>
      <c r="G23" s="61"/>
      <c r="H23" s="61" t="s">
        <v>138</v>
      </c>
      <c r="I23" s="60">
        <v>1</v>
      </c>
      <c r="J23" s="61"/>
      <c r="K23" s="60">
        <v>1</v>
      </c>
      <c r="L23" s="61">
        <v>1</v>
      </c>
      <c r="M23" s="61">
        <v>1</v>
      </c>
      <c r="N23" s="60" t="s">
        <v>138</v>
      </c>
      <c r="O23" s="61"/>
      <c r="P23" s="61">
        <v>1</v>
      </c>
      <c r="Q23" s="61">
        <v>1</v>
      </c>
      <c r="R23" s="60" t="s">
        <v>138</v>
      </c>
      <c r="S23" s="61"/>
      <c r="T23" s="60" t="s">
        <v>135</v>
      </c>
      <c r="U23" s="61" t="s">
        <v>135</v>
      </c>
      <c r="V23" s="60">
        <v>1</v>
      </c>
      <c r="W23" s="67">
        <f>IFERROR(COUNTIF('Fairway Log'!$E23:$V23,1)/COUNTA('Fairway Log'!$E23:$V23),"")</f>
        <v>0.5714285714285714</v>
      </c>
    </row>
    <row r="24" spans="1:23" x14ac:dyDescent="0.25">
      <c r="A24" s="20" t="s">
        <v>126</v>
      </c>
      <c r="B24" s="27">
        <v>45156</v>
      </c>
      <c r="C24" s="20" t="s">
        <v>46</v>
      </c>
      <c r="D24" s="20">
        <f>SUM('Fairway Log'!$E24:$V24)</f>
        <v>6</v>
      </c>
      <c r="E24" s="61" t="s">
        <v>135</v>
      </c>
      <c r="F24" s="60">
        <v>1</v>
      </c>
      <c r="G24" s="61" t="s">
        <v>138</v>
      </c>
      <c r="H24" s="61"/>
      <c r="I24" s="60" t="s">
        <v>135</v>
      </c>
      <c r="J24" s="61">
        <v>1</v>
      </c>
      <c r="K24" s="60">
        <v>1</v>
      </c>
      <c r="L24" s="61"/>
      <c r="M24" s="61" t="s">
        <v>135</v>
      </c>
      <c r="N24" s="60" t="s">
        <v>138</v>
      </c>
      <c r="O24" s="61">
        <v>1</v>
      </c>
      <c r="P24" s="61" t="s">
        <v>135</v>
      </c>
      <c r="Q24" s="61"/>
      <c r="R24" s="60" t="s">
        <v>135</v>
      </c>
      <c r="S24" s="61" t="s">
        <v>135</v>
      </c>
      <c r="T24" s="60">
        <v>1</v>
      </c>
      <c r="U24" s="61"/>
      <c r="V24" s="60">
        <v>1</v>
      </c>
      <c r="W24" s="67">
        <f>IFERROR(COUNTIF('Fairway Log'!$E24:$V24,1)/COUNTA('Fairway Log'!$E24:$V24),"")</f>
        <v>0.42857142857142855</v>
      </c>
    </row>
    <row r="25" spans="1:23" x14ac:dyDescent="0.25">
      <c r="A25" s="20" t="s">
        <v>126</v>
      </c>
      <c r="B25" s="27">
        <v>45144</v>
      </c>
      <c r="C25" s="20" t="s">
        <v>16</v>
      </c>
      <c r="D25" s="20">
        <f>SUM('Fairway Log'!$E25:$V25)</f>
        <v>8</v>
      </c>
      <c r="E25" s="61" t="s">
        <v>135</v>
      </c>
      <c r="F25" s="60" t="s">
        <v>139</v>
      </c>
      <c r="G25" s="61"/>
      <c r="H25" s="61">
        <v>1</v>
      </c>
      <c r="I25" s="60" t="s">
        <v>135</v>
      </c>
      <c r="J25" s="61">
        <v>1</v>
      </c>
      <c r="K25" s="60">
        <v>1</v>
      </c>
      <c r="L25" s="61"/>
      <c r="M25" s="61">
        <v>1</v>
      </c>
      <c r="N25" s="60" t="s">
        <v>135</v>
      </c>
      <c r="O25" s="61" t="s">
        <v>135</v>
      </c>
      <c r="P25" s="61">
        <v>1</v>
      </c>
      <c r="Q25" s="61">
        <v>1</v>
      </c>
      <c r="R25" s="60"/>
      <c r="S25" s="61" t="s">
        <v>135</v>
      </c>
      <c r="T25" s="60">
        <v>1</v>
      </c>
      <c r="U25" s="61"/>
      <c r="V25" s="60">
        <v>1</v>
      </c>
      <c r="W25" s="67">
        <f>IFERROR(COUNTIF('Fairway Log'!$E25:$V25,1)/COUNTA('Fairway Log'!$E25:$V25),"")</f>
        <v>0.5714285714285714</v>
      </c>
    </row>
    <row r="26" spans="1:23" x14ac:dyDescent="0.25">
      <c r="A26" s="20" t="s">
        <v>126</v>
      </c>
      <c r="B26" s="27">
        <v>45143</v>
      </c>
      <c r="C26" s="20" t="s">
        <v>9</v>
      </c>
      <c r="D26" s="20">
        <f>SUM('Fairway Log'!$E26:$V26)</f>
        <v>6</v>
      </c>
      <c r="E26" s="61">
        <v>1</v>
      </c>
      <c r="F26" s="60" t="s">
        <v>135</v>
      </c>
      <c r="G26" s="61">
        <v>1</v>
      </c>
      <c r="H26" s="61"/>
      <c r="I26" s="60" t="s">
        <v>139</v>
      </c>
      <c r="J26" s="61">
        <v>1</v>
      </c>
      <c r="K26" s="60"/>
      <c r="L26" s="61" t="s">
        <v>139</v>
      </c>
      <c r="M26" s="61">
        <v>0</v>
      </c>
      <c r="N26" s="60" t="s">
        <v>135</v>
      </c>
      <c r="O26" s="61"/>
      <c r="P26" s="61" t="s">
        <v>135</v>
      </c>
      <c r="Q26" s="61" t="s">
        <v>135</v>
      </c>
      <c r="R26" s="60"/>
      <c r="S26" s="61">
        <v>1</v>
      </c>
      <c r="T26" s="60">
        <v>1</v>
      </c>
      <c r="U26" s="61">
        <v>1</v>
      </c>
      <c r="V26" s="60" t="s">
        <v>135</v>
      </c>
      <c r="W26" s="67">
        <f>IFERROR(COUNTIF('Fairway Log'!$E26:$V26,1)/COUNTA('Fairway Log'!$E26:$V26),"")</f>
        <v>0.42857142857142855</v>
      </c>
    </row>
    <row r="27" spans="1:23" x14ac:dyDescent="0.25">
      <c r="A27" s="20" t="s">
        <v>126</v>
      </c>
      <c r="B27" s="27">
        <v>45137</v>
      </c>
      <c r="C27" s="20" t="s">
        <v>9</v>
      </c>
      <c r="D27" s="20">
        <f>SUM('Fairway Log'!$E27:$V27)</f>
        <v>4</v>
      </c>
      <c r="E27" s="61" t="s">
        <v>138</v>
      </c>
      <c r="F27" s="60">
        <v>1</v>
      </c>
      <c r="G27" s="61" t="s">
        <v>135</v>
      </c>
      <c r="H27" s="61"/>
      <c r="I27" s="60" t="s">
        <v>135</v>
      </c>
      <c r="J27" s="61" t="s">
        <v>135</v>
      </c>
      <c r="K27" s="60"/>
      <c r="L27" s="61" t="s">
        <v>135</v>
      </c>
      <c r="M27" s="61" t="s">
        <v>138</v>
      </c>
      <c r="N27" s="60">
        <v>1</v>
      </c>
      <c r="O27" s="61"/>
      <c r="P27" s="61" t="s">
        <v>139</v>
      </c>
      <c r="Q27" s="61" t="s">
        <v>138</v>
      </c>
      <c r="R27" s="60"/>
      <c r="S27" s="61">
        <v>1</v>
      </c>
      <c r="T27" s="60">
        <v>1</v>
      </c>
      <c r="U27" s="61" t="s">
        <v>135</v>
      </c>
      <c r="V27" s="60" t="s">
        <v>135</v>
      </c>
      <c r="W27" s="67">
        <f>IFERROR(COUNTIF('Fairway Log'!$E27:$V27,1)/COUNTA('Fairway Log'!$E27:$V27),"")</f>
        <v>0.2857142857142857</v>
      </c>
    </row>
    <row r="28" spans="1:23" x14ac:dyDescent="0.25">
      <c r="A28" s="20" t="s">
        <v>126</v>
      </c>
      <c r="B28" s="27">
        <v>45136</v>
      </c>
      <c r="C28" s="20" t="s">
        <v>5</v>
      </c>
      <c r="D28" s="20">
        <f>SUM('Fairway Log'!$E28:$V28)</f>
        <v>7</v>
      </c>
      <c r="E28" s="61" t="s">
        <v>135</v>
      </c>
      <c r="F28" s="60" t="s">
        <v>135</v>
      </c>
      <c r="G28" s="61"/>
      <c r="H28" s="61" t="s">
        <v>135</v>
      </c>
      <c r="I28" s="60">
        <v>1</v>
      </c>
      <c r="J28" s="61">
        <v>1</v>
      </c>
      <c r="K28" s="60"/>
      <c r="L28" s="61" t="s">
        <v>135</v>
      </c>
      <c r="M28" s="61">
        <v>1</v>
      </c>
      <c r="N28" s="60">
        <v>1</v>
      </c>
      <c r="O28" s="61"/>
      <c r="P28" s="61" t="s">
        <v>135</v>
      </c>
      <c r="Q28" s="61">
        <v>1</v>
      </c>
      <c r="R28" s="60" t="s">
        <v>139</v>
      </c>
      <c r="S28" s="61">
        <v>1</v>
      </c>
      <c r="T28" s="60">
        <v>1</v>
      </c>
      <c r="U28" s="61"/>
      <c r="V28" s="60">
        <v>0</v>
      </c>
      <c r="W28" s="67">
        <f>IFERROR(COUNTIF('Fairway Log'!$E28:$V28,1)/COUNTA('Fairway Log'!$E28:$V28),"")</f>
        <v>0.5</v>
      </c>
    </row>
    <row r="29" spans="1:23" x14ac:dyDescent="0.25">
      <c r="A29" s="20" t="s">
        <v>126</v>
      </c>
      <c r="B29" s="27">
        <v>45114</v>
      </c>
      <c r="C29" s="20" t="s">
        <v>5</v>
      </c>
      <c r="D29" s="20">
        <f>SUM('Fairway Log'!$E29:$V29)</f>
        <v>3</v>
      </c>
      <c r="E29" s="61" t="s">
        <v>135</v>
      </c>
      <c r="F29" s="60" t="s">
        <v>139</v>
      </c>
      <c r="G29" s="61"/>
      <c r="H29" s="61">
        <v>1</v>
      </c>
      <c r="I29" s="60" t="s">
        <v>138</v>
      </c>
      <c r="J29" s="61">
        <v>1</v>
      </c>
      <c r="K29" s="60"/>
      <c r="L29" s="61" t="s">
        <v>138</v>
      </c>
      <c r="M29" s="61" t="s">
        <v>135</v>
      </c>
      <c r="N29" s="60" t="s">
        <v>135</v>
      </c>
      <c r="O29" s="61"/>
      <c r="P29" s="61" t="s">
        <v>135</v>
      </c>
      <c r="Q29" s="61" t="s">
        <v>138</v>
      </c>
      <c r="R29" s="60" t="s">
        <v>135</v>
      </c>
      <c r="S29" s="61">
        <v>1</v>
      </c>
      <c r="T29" s="60" t="s">
        <v>139</v>
      </c>
      <c r="U29" s="61"/>
      <c r="V29" s="60" t="s">
        <v>135</v>
      </c>
      <c r="W29" s="67">
        <f>IFERROR(COUNTIF('Fairway Log'!$E29:$V29,1)/COUNTA('Fairway Log'!$E29:$V29),"")</f>
        <v>0.21428571428571427</v>
      </c>
    </row>
    <row r="30" spans="1:23" x14ac:dyDescent="0.25">
      <c r="A30" s="20" t="s">
        <v>126</v>
      </c>
      <c r="B30" s="27">
        <v>45084</v>
      </c>
      <c r="C30" s="20" t="s">
        <v>5</v>
      </c>
      <c r="D30" s="20">
        <f>SUM('Fairway Log'!$E30:$V30)</f>
        <v>6</v>
      </c>
      <c r="E30" s="61" t="s">
        <v>135</v>
      </c>
      <c r="F30" s="60" t="s">
        <v>135</v>
      </c>
      <c r="G30" s="61"/>
      <c r="H30" s="61">
        <v>1</v>
      </c>
      <c r="I30" s="60" t="s">
        <v>135</v>
      </c>
      <c r="J30" s="61" t="s">
        <v>138</v>
      </c>
      <c r="K30" s="60"/>
      <c r="L30" s="61" t="s">
        <v>135</v>
      </c>
      <c r="M30" s="61">
        <v>1</v>
      </c>
      <c r="N30" s="60" t="s">
        <v>135</v>
      </c>
      <c r="O30" s="61"/>
      <c r="P30" s="61">
        <v>1</v>
      </c>
      <c r="Q30" s="61" t="s">
        <v>138</v>
      </c>
      <c r="R30" s="60">
        <v>1</v>
      </c>
      <c r="S30" s="61">
        <v>1</v>
      </c>
      <c r="T30" s="60">
        <v>1</v>
      </c>
      <c r="U30" s="61"/>
      <c r="V30" s="60" t="s">
        <v>135</v>
      </c>
      <c r="W30" s="67">
        <f>IFERROR(COUNTIF('Fairway Log'!$E30:$V30,1)/COUNTA('Fairway Log'!$E30:$V30),"")</f>
        <v>0.42857142857142855</v>
      </c>
    </row>
    <row r="31" spans="1:23" x14ac:dyDescent="0.25">
      <c r="A31" s="20" t="s">
        <v>126</v>
      </c>
      <c r="B31" s="27">
        <v>45053</v>
      </c>
      <c r="C31" s="20" t="s">
        <v>3</v>
      </c>
      <c r="D31" s="20">
        <f>SUM('Fairway Log'!$E31:$V31)</f>
        <v>7</v>
      </c>
      <c r="E31" s="61">
        <v>1</v>
      </c>
      <c r="F31" s="60">
        <v>1</v>
      </c>
      <c r="G31" s="61"/>
      <c r="H31" s="61">
        <v>1</v>
      </c>
      <c r="I31" s="60">
        <v>1</v>
      </c>
      <c r="J31" s="61"/>
      <c r="K31" s="60">
        <v>1</v>
      </c>
      <c r="L31" s="61">
        <v>1</v>
      </c>
      <c r="M31" s="61" t="s">
        <v>135</v>
      </c>
      <c r="N31" s="60">
        <v>0</v>
      </c>
      <c r="O31" s="61"/>
      <c r="P31" s="61" t="s">
        <v>136</v>
      </c>
      <c r="Q31" s="61" t="s">
        <v>135</v>
      </c>
      <c r="R31" s="60" t="s">
        <v>135</v>
      </c>
      <c r="S31" s="61"/>
      <c r="T31" s="60">
        <v>1</v>
      </c>
      <c r="U31" s="61" t="s">
        <v>135</v>
      </c>
      <c r="V31" s="60" t="s">
        <v>135</v>
      </c>
      <c r="W31" s="67">
        <f>IFERROR(COUNTIF('Fairway Log'!$E31:$V31,1)/COUNTA('Fairway Log'!$E31:$V31),"")</f>
        <v>0.5</v>
      </c>
    </row>
    <row r="32" spans="1:23" x14ac:dyDescent="0.25">
      <c r="A32" s="20" t="s">
        <v>126</v>
      </c>
      <c r="B32" s="27">
        <v>45053</v>
      </c>
      <c r="C32" s="20" t="s">
        <v>9</v>
      </c>
      <c r="D32" s="20">
        <f>SUM('Fairway Log'!$E32:$V32)</f>
        <v>6</v>
      </c>
      <c r="E32" s="61">
        <v>1</v>
      </c>
      <c r="F32" s="60">
        <v>1</v>
      </c>
      <c r="G32" s="61" t="s">
        <v>135</v>
      </c>
      <c r="H32" s="61"/>
      <c r="I32" s="60" t="s">
        <v>139</v>
      </c>
      <c r="J32" s="61">
        <v>1</v>
      </c>
      <c r="K32" s="60"/>
      <c r="L32" s="61" t="s">
        <v>135</v>
      </c>
      <c r="M32" s="61" t="s">
        <v>135</v>
      </c>
      <c r="N32" s="60" t="s">
        <v>138</v>
      </c>
      <c r="O32" s="61"/>
      <c r="P32" s="61">
        <v>1</v>
      </c>
      <c r="Q32" s="61">
        <v>1</v>
      </c>
      <c r="R32" s="60"/>
      <c r="S32" s="61">
        <v>1</v>
      </c>
      <c r="T32" s="60">
        <v>0</v>
      </c>
      <c r="U32" s="61">
        <v>0</v>
      </c>
      <c r="V32" s="60">
        <v>0</v>
      </c>
      <c r="W32" s="67">
        <f>IFERROR(COUNTIF('Fairway Log'!$E32:$V32,1)/COUNTA('Fairway Log'!$E32:$V32),"")</f>
        <v>0.42857142857142855</v>
      </c>
    </row>
    <row r="33" spans="1:23" x14ac:dyDescent="0.25">
      <c r="A33" s="20" t="s">
        <v>126</v>
      </c>
      <c r="B33" s="27">
        <v>45050</v>
      </c>
      <c r="C33" s="20" t="s">
        <v>3</v>
      </c>
      <c r="D33" s="20">
        <f>SUM('Fairway Log'!$E33:$V33)</f>
        <v>7</v>
      </c>
      <c r="E33" s="61" t="s">
        <v>136</v>
      </c>
      <c r="F33" s="60" t="s">
        <v>135</v>
      </c>
      <c r="G33" s="61"/>
      <c r="H33" s="61">
        <v>1</v>
      </c>
      <c r="I33" s="60">
        <v>1</v>
      </c>
      <c r="J33" s="61"/>
      <c r="K33" s="60">
        <v>1</v>
      </c>
      <c r="L33" s="61" t="s">
        <v>138</v>
      </c>
      <c r="M33" s="61" t="s">
        <v>135</v>
      </c>
      <c r="N33" s="60">
        <v>1</v>
      </c>
      <c r="O33" s="61"/>
      <c r="P33" s="61" t="s">
        <v>138</v>
      </c>
      <c r="Q33" s="61" t="s">
        <v>135</v>
      </c>
      <c r="R33" s="60">
        <v>1</v>
      </c>
      <c r="S33" s="61"/>
      <c r="T33" s="60">
        <v>1</v>
      </c>
      <c r="U33" s="61">
        <v>1</v>
      </c>
      <c r="V33" s="60" t="s">
        <v>135</v>
      </c>
      <c r="W33" s="67">
        <f>IFERROR(COUNTIF('Fairway Log'!$E33:$V33,1)/COUNTA('Fairway Log'!$E33:$V33),"")</f>
        <v>0.5</v>
      </c>
    </row>
    <row r="34" spans="1:23" x14ac:dyDescent="0.25">
      <c r="A34" s="20" t="s">
        <v>126</v>
      </c>
      <c r="B34" s="27">
        <v>45048</v>
      </c>
      <c r="C34" s="20" t="s">
        <v>5</v>
      </c>
      <c r="D34" s="20">
        <f>SUM('Fairway Log'!$E34:$V34)</f>
        <v>9</v>
      </c>
      <c r="E34" s="61">
        <v>1</v>
      </c>
      <c r="F34" s="60">
        <v>1</v>
      </c>
      <c r="G34" s="61"/>
      <c r="H34" s="61">
        <v>1</v>
      </c>
      <c r="I34" s="60">
        <v>1</v>
      </c>
      <c r="J34" s="61">
        <v>1</v>
      </c>
      <c r="K34" s="60"/>
      <c r="L34" s="61">
        <v>1</v>
      </c>
      <c r="M34" s="61">
        <v>1</v>
      </c>
      <c r="N34" s="60">
        <v>1</v>
      </c>
      <c r="O34" s="61"/>
      <c r="P34" s="61" t="s">
        <v>139</v>
      </c>
      <c r="Q34" s="61" t="s">
        <v>135</v>
      </c>
      <c r="R34" s="60" t="s">
        <v>139</v>
      </c>
      <c r="S34" s="61" t="s">
        <v>139</v>
      </c>
      <c r="T34" s="60">
        <v>1</v>
      </c>
      <c r="U34" s="61"/>
      <c r="V34" s="60" t="s">
        <v>139</v>
      </c>
      <c r="W34" s="67">
        <f>IFERROR(COUNTIF('Fairway Log'!$E34:$V34,1)/COUNTA('Fairway Log'!$E34:$V34),"")</f>
        <v>0.6428571428571429</v>
      </c>
    </row>
    <row r="35" spans="1:23" x14ac:dyDescent="0.25">
      <c r="A35" s="20" t="s">
        <v>126</v>
      </c>
      <c r="B35" s="27">
        <v>45829</v>
      </c>
      <c r="C35" s="20" t="s">
        <v>6</v>
      </c>
      <c r="D35" s="20">
        <f>SUM('Fairway Log'!$E35:$V35)</f>
        <v>9</v>
      </c>
      <c r="E35" s="61">
        <v>1</v>
      </c>
      <c r="F35" s="60" t="s">
        <v>135</v>
      </c>
      <c r="G35" s="61"/>
      <c r="H35" s="61" t="s">
        <v>139</v>
      </c>
      <c r="I35" s="60"/>
      <c r="J35" s="61">
        <v>1</v>
      </c>
      <c r="K35" s="60">
        <v>1</v>
      </c>
      <c r="L35" s="61">
        <v>1</v>
      </c>
      <c r="M35" s="61" t="s">
        <v>136</v>
      </c>
      <c r="N35" s="60">
        <v>1</v>
      </c>
      <c r="O35" s="61">
        <v>1</v>
      </c>
      <c r="P35" s="61" t="s">
        <v>135</v>
      </c>
      <c r="Q35" s="61" t="s">
        <v>135</v>
      </c>
      <c r="R35" s="60"/>
      <c r="S35" s="61" t="s">
        <v>135</v>
      </c>
      <c r="T35" s="60">
        <v>1</v>
      </c>
      <c r="U35" s="61">
        <v>1</v>
      </c>
      <c r="V35" s="60">
        <v>1</v>
      </c>
      <c r="W35" s="67">
        <f>IFERROR(COUNTIF('Fairway Log'!$E35:$V35,1)/COUNTA('Fairway Log'!$E35:$V35),"")</f>
        <v>0.6</v>
      </c>
    </row>
    <row r="36" spans="1:23" x14ac:dyDescent="0.25">
      <c r="A36" s="20" t="s">
        <v>126</v>
      </c>
      <c r="B36" s="27">
        <v>45831</v>
      </c>
      <c r="C36" s="20" t="s">
        <v>5</v>
      </c>
      <c r="D36" s="20">
        <f>SUM('Fairway Log'!$E36:$V36)</f>
        <v>8</v>
      </c>
      <c r="E36" s="61" t="s">
        <v>135</v>
      </c>
      <c r="F36" s="60">
        <v>1</v>
      </c>
      <c r="G36" s="61"/>
      <c r="H36" s="61" t="s">
        <v>135</v>
      </c>
      <c r="I36" s="60" t="s">
        <v>138</v>
      </c>
      <c r="J36" s="61">
        <v>1</v>
      </c>
      <c r="K36" s="60"/>
      <c r="L36" s="61">
        <v>1</v>
      </c>
      <c r="M36" s="61" t="s">
        <v>135</v>
      </c>
      <c r="N36" s="60">
        <v>1</v>
      </c>
      <c r="O36" s="61"/>
      <c r="P36" s="61">
        <v>1</v>
      </c>
      <c r="Q36" s="61">
        <v>1</v>
      </c>
      <c r="R36" s="60" t="s">
        <v>135</v>
      </c>
      <c r="S36" s="61" t="s">
        <v>135</v>
      </c>
      <c r="T36" s="60">
        <v>1</v>
      </c>
      <c r="U36" s="61"/>
      <c r="V36" s="60">
        <v>1</v>
      </c>
      <c r="W36" s="67">
        <f>IFERROR(COUNTIF('Fairway Log'!$E36:$V36,1)/COUNTA('Fairway Log'!$E36:$V36),"")</f>
        <v>0.5714285714285714</v>
      </c>
    </row>
    <row r="37" spans="1:23" x14ac:dyDescent="0.25">
      <c r="A37" s="20" t="s">
        <v>126</v>
      </c>
      <c r="B37" s="27">
        <v>45844</v>
      </c>
      <c r="C37" s="20" t="s">
        <v>3</v>
      </c>
      <c r="D37" s="20">
        <f>SUM('Fairway Log'!$E37:$V37)</f>
        <v>7</v>
      </c>
      <c r="E37" s="61">
        <v>1</v>
      </c>
      <c r="F37" s="60" t="s">
        <v>135</v>
      </c>
      <c r="G37" s="61"/>
      <c r="H37" s="61" t="s">
        <v>135</v>
      </c>
      <c r="I37" s="60">
        <v>1</v>
      </c>
      <c r="J37" s="61"/>
      <c r="K37" s="60" t="s">
        <v>135</v>
      </c>
      <c r="L37" s="61">
        <v>1</v>
      </c>
      <c r="M37" s="61">
        <v>1</v>
      </c>
      <c r="N37" s="60">
        <v>1</v>
      </c>
      <c r="O37" s="61"/>
      <c r="P37" s="61">
        <v>1</v>
      </c>
      <c r="Q37" s="61" t="s">
        <v>135</v>
      </c>
      <c r="R37" s="60" t="s">
        <v>135</v>
      </c>
      <c r="S37" s="61"/>
      <c r="T37" s="60" t="s">
        <v>139</v>
      </c>
      <c r="U37" s="61" t="s">
        <v>135</v>
      </c>
      <c r="V37" s="60">
        <v>1</v>
      </c>
      <c r="W37" s="67">
        <f>IFERROR(COUNTIF('Fairway Log'!$E37:$V37,1)/COUNTA('Fairway Log'!$E37:$V37),"")</f>
        <v>0.5</v>
      </c>
    </row>
    <row r="38" spans="1:23" x14ac:dyDescent="0.25">
      <c r="A38" s="20" t="s">
        <v>126</v>
      </c>
      <c r="B38" s="27">
        <v>45857</v>
      </c>
      <c r="C38" s="20" t="s">
        <v>3</v>
      </c>
      <c r="D38" s="20">
        <f>SUM('Fairway Log'!$E38:$V38)</f>
        <v>9</v>
      </c>
      <c r="E38" s="61">
        <v>1</v>
      </c>
      <c r="F38" s="60">
        <v>1</v>
      </c>
      <c r="G38" s="61"/>
      <c r="H38" s="61" t="s">
        <v>135</v>
      </c>
      <c r="I38" s="60" t="s">
        <v>138</v>
      </c>
      <c r="J38" s="61"/>
      <c r="K38" s="60">
        <v>1</v>
      </c>
      <c r="L38" s="61">
        <v>1</v>
      </c>
      <c r="M38" s="61">
        <v>1</v>
      </c>
      <c r="N38" s="60" t="s">
        <v>135</v>
      </c>
      <c r="O38" s="61"/>
      <c r="P38" s="61">
        <v>1</v>
      </c>
      <c r="Q38" s="61" t="s">
        <v>135</v>
      </c>
      <c r="R38" s="60">
        <v>1</v>
      </c>
      <c r="S38" s="61"/>
      <c r="T38" s="60" t="s">
        <v>135</v>
      </c>
      <c r="U38" s="61">
        <v>1</v>
      </c>
      <c r="V38" s="60">
        <v>1</v>
      </c>
      <c r="W38" s="67">
        <f>IFERROR(COUNTIF('Fairway Log'!$E38:$V38,1)/COUNTA('Fairway Log'!$E38:$V38),"")</f>
        <v>0.6428571428571429</v>
      </c>
    </row>
    <row r="39" spans="1:23" x14ac:dyDescent="0.25">
      <c r="A39" s="20" t="s">
        <v>126</v>
      </c>
      <c r="B39" s="27">
        <v>45868</v>
      </c>
      <c r="C39" s="20" t="s">
        <v>10</v>
      </c>
      <c r="D39" s="20">
        <f>SUM('Fairway Log'!$E39:$V39)</f>
        <v>7</v>
      </c>
      <c r="E39" s="61">
        <v>1</v>
      </c>
      <c r="F39" s="60" t="s">
        <v>135</v>
      </c>
      <c r="G39" s="61">
        <v>1</v>
      </c>
      <c r="H39" s="61"/>
      <c r="I39" s="60">
        <v>1</v>
      </c>
      <c r="J39" s="61" t="s">
        <v>135</v>
      </c>
      <c r="K39" s="60"/>
      <c r="L39" s="61">
        <v>1</v>
      </c>
      <c r="M39" s="61">
        <v>1</v>
      </c>
      <c r="N39" s="60" t="s">
        <v>135</v>
      </c>
      <c r="O39" s="61" t="s">
        <v>135</v>
      </c>
      <c r="P39" s="61"/>
      <c r="Q39" s="61" t="s">
        <v>135</v>
      </c>
      <c r="R39" s="60">
        <v>1</v>
      </c>
      <c r="S39" s="61" t="s">
        <v>135</v>
      </c>
      <c r="T39" s="60">
        <v>1</v>
      </c>
      <c r="U39" s="61"/>
      <c r="V39" s="60" t="s">
        <v>135</v>
      </c>
      <c r="W39" s="67">
        <f>IFERROR(COUNTIF('Fairway Log'!$E39:$V39,1)/COUNTA('Fairway Log'!$E39:$V39),"")</f>
        <v>0.5</v>
      </c>
    </row>
    <row r="40" spans="1:23" x14ac:dyDescent="0.25">
      <c r="A40" s="20" t="s">
        <v>126</v>
      </c>
      <c r="B40" s="27">
        <v>45886</v>
      </c>
      <c r="C40" s="20" t="s">
        <v>41</v>
      </c>
      <c r="D40" s="20">
        <f>SUM('Fairway Log'!$E40:$V40)</f>
        <v>11</v>
      </c>
      <c r="E40" s="61">
        <v>1</v>
      </c>
      <c r="F40" s="60">
        <v>1</v>
      </c>
      <c r="G40" s="61"/>
      <c r="H40" s="61" t="s">
        <v>135</v>
      </c>
      <c r="I40" s="60">
        <v>1</v>
      </c>
      <c r="J40" s="61"/>
      <c r="K40" s="60">
        <v>1</v>
      </c>
      <c r="L40" s="61" t="s">
        <v>135</v>
      </c>
      <c r="M40" s="61">
        <v>1</v>
      </c>
      <c r="N40" s="60">
        <v>1</v>
      </c>
      <c r="O40" s="61" t="s">
        <v>135</v>
      </c>
      <c r="P40" s="61">
        <v>1</v>
      </c>
      <c r="Q40" s="61"/>
      <c r="R40" s="60">
        <v>1</v>
      </c>
      <c r="S40" s="61">
        <v>1</v>
      </c>
      <c r="T40" s="60"/>
      <c r="U40" s="61">
        <v>1</v>
      </c>
      <c r="V40" s="60">
        <v>1</v>
      </c>
      <c r="W40" s="67">
        <f>IFERROR(COUNTIF('Fairway Log'!$E40:$V40,1)/COUNTA('Fairway Log'!$E40:$V40),"")</f>
        <v>0.7857142857142857</v>
      </c>
    </row>
    <row r="41" spans="1:23" x14ac:dyDescent="0.25">
      <c r="A41" s="20" t="s">
        <v>126</v>
      </c>
      <c r="B41" s="27">
        <v>45892</v>
      </c>
      <c r="C41" s="20" t="s">
        <v>41</v>
      </c>
      <c r="D41" s="20">
        <f>SUM('Fairway Log'!$E41:$V41)</f>
        <v>6</v>
      </c>
      <c r="E41" s="61">
        <v>1</v>
      </c>
      <c r="F41" s="60" t="s">
        <v>135</v>
      </c>
      <c r="G41" s="61"/>
      <c r="H41" s="61" t="s">
        <v>135</v>
      </c>
      <c r="I41" s="60">
        <v>1</v>
      </c>
      <c r="J41" s="61"/>
      <c r="K41" s="60" t="s">
        <v>135</v>
      </c>
      <c r="L41" s="61">
        <v>1</v>
      </c>
      <c r="M41" s="61" t="s">
        <v>135</v>
      </c>
      <c r="N41" s="60" t="s">
        <v>135</v>
      </c>
      <c r="O41" s="61">
        <v>1</v>
      </c>
      <c r="P41" s="61" t="s">
        <v>136</v>
      </c>
      <c r="Q41" s="61"/>
      <c r="R41" s="60" t="s">
        <v>136</v>
      </c>
      <c r="S41" s="61">
        <v>1</v>
      </c>
      <c r="T41" s="60"/>
      <c r="U41" s="61" t="s">
        <v>135</v>
      </c>
      <c r="V41" s="60">
        <v>1</v>
      </c>
      <c r="W41" s="67">
        <f>IFERROR(COUNTIF('Fairway Log'!$E41:$V41,1)/COUNTA('Fairway Log'!$E41:$V41),"")</f>
        <v>0.42857142857142855</v>
      </c>
    </row>
    <row r="42" spans="1:23" x14ac:dyDescent="0.25">
      <c r="A42" s="20" t="s">
        <v>126</v>
      </c>
      <c r="B42" s="27">
        <v>45894</v>
      </c>
      <c r="C42" s="20" t="s">
        <v>11</v>
      </c>
      <c r="D42" s="20">
        <f>SUM('Fairway Log'!$E42:$V42)</f>
        <v>6</v>
      </c>
      <c r="E42" s="61">
        <v>1</v>
      </c>
      <c r="F42" s="60"/>
      <c r="G42" s="61" t="s">
        <v>136</v>
      </c>
      <c r="H42" s="61"/>
      <c r="I42" s="60">
        <v>1</v>
      </c>
      <c r="J42" s="61">
        <v>1</v>
      </c>
      <c r="K42" s="60">
        <v>1</v>
      </c>
      <c r="L42" s="61" t="s">
        <v>135</v>
      </c>
      <c r="M42" s="61" t="s">
        <v>136</v>
      </c>
      <c r="N42" s="60" t="s">
        <v>135</v>
      </c>
      <c r="O42" s="61"/>
      <c r="P42" s="61" t="s">
        <v>135</v>
      </c>
      <c r="Q42" s="61">
        <v>1</v>
      </c>
      <c r="R42" s="60"/>
      <c r="S42" s="61" t="s">
        <v>135</v>
      </c>
      <c r="T42" s="60"/>
      <c r="U42" s="61">
        <v>1</v>
      </c>
      <c r="V42" s="60" t="s">
        <v>135</v>
      </c>
      <c r="W42" s="67">
        <f>IFERROR(COUNTIF('Fairway Log'!$E42:$V42,1)/COUNTA('Fairway Log'!$E42:$V42),"")</f>
        <v>0.46153846153846156</v>
      </c>
    </row>
    <row r="43" spans="1:23" x14ac:dyDescent="0.25">
      <c r="A43" s="20" t="s">
        <v>126</v>
      </c>
      <c r="B43" s="27">
        <v>45897</v>
      </c>
      <c r="C43" s="20" t="s">
        <v>41</v>
      </c>
      <c r="D43" s="20">
        <f>SUM('Fairway Log'!$E43:$V43)</f>
        <v>3</v>
      </c>
      <c r="E43" s="61">
        <v>1</v>
      </c>
      <c r="F43" s="60" t="s">
        <v>136</v>
      </c>
      <c r="G43" s="61"/>
      <c r="H43" s="61" t="s">
        <v>135</v>
      </c>
      <c r="I43" s="60" t="s">
        <v>136</v>
      </c>
      <c r="J43" s="61"/>
      <c r="K43" s="60" t="s">
        <v>135</v>
      </c>
      <c r="L43" s="61" t="s">
        <v>135</v>
      </c>
      <c r="M43" s="61" t="s">
        <v>135</v>
      </c>
      <c r="N43" s="60">
        <v>1</v>
      </c>
      <c r="O43" s="61" t="s">
        <v>135</v>
      </c>
      <c r="P43" s="61" t="s">
        <v>135</v>
      </c>
      <c r="Q43" s="61"/>
      <c r="R43" s="60" t="s">
        <v>139</v>
      </c>
      <c r="S43" s="61" t="s">
        <v>135</v>
      </c>
      <c r="T43" s="60"/>
      <c r="U43" s="61" t="s">
        <v>135</v>
      </c>
      <c r="V43" s="60">
        <v>1</v>
      </c>
      <c r="W43" s="67">
        <f>IFERROR(COUNTIF('Fairway Log'!$E43:$V43,1)/COUNTA('Fairway Log'!$E43:$V43),"")</f>
        <v>0.21428571428571427</v>
      </c>
    </row>
    <row r="44" spans="1:23" x14ac:dyDescent="0.25">
      <c r="A44" s="20" t="s">
        <v>127</v>
      </c>
      <c r="B44" s="27">
        <v>45894</v>
      </c>
      <c r="C44" s="20" t="s">
        <v>11</v>
      </c>
      <c r="D44" s="20">
        <f>SUM('Fairway Log'!$E44:$V44)</f>
        <v>3</v>
      </c>
      <c r="E44" s="61">
        <v>1</v>
      </c>
      <c r="F44" s="60"/>
      <c r="G44" s="61" t="s">
        <v>135</v>
      </c>
      <c r="H44" s="61"/>
      <c r="I44" s="60" t="s">
        <v>135</v>
      </c>
      <c r="J44" s="61" t="s">
        <v>135</v>
      </c>
      <c r="K44" s="60">
        <v>1</v>
      </c>
      <c r="L44" s="61" t="s">
        <v>135</v>
      </c>
      <c r="M44" s="61" t="s">
        <v>135</v>
      </c>
      <c r="N44" s="60" t="s">
        <v>135</v>
      </c>
      <c r="O44" s="61"/>
      <c r="P44" s="61" t="s">
        <v>135</v>
      </c>
      <c r="Q44" s="61" t="s">
        <v>135</v>
      </c>
      <c r="R44" s="60"/>
      <c r="S44" s="61" t="s">
        <v>136</v>
      </c>
      <c r="T44" s="60"/>
      <c r="U44" s="61">
        <v>1</v>
      </c>
      <c r="V44" s="60" t="s">
        <v>135</v>
      </c>
      <c r="W44" s="67">
        <f>IFERROR(COUNTIF('Fairway Log'!$E44:$V44,1)/COUNTA('Fairway Log'!$E44:$V44),"")</f>
        <v>0.23076923076923078</v>
      </c>
    </row>
    <row r="45" spans="1:23" x14ac:dyDescent="0.25">
      <c r="A45" s="20" t="s">
        <v>127</v>
      </c>
      <c r="B45" s="27">
        <v>45853</v>
      </c>
      <c r="C45" s="20" t="s">
        <v>128</v>
      </c>
      <c r="D45" s="20">
        <f>SUM('Fairway Log'!$E45:$V45)</f>
        <v>0</v>
      </c>
      <c r="E45" s="61">
        <v>0</v>
      </c>
      <c r="F45" s="60"/>
      <c r="G45" s="61">
        <v>0</v>
      </c>
      <c r="H45" s="61">
        <v>0</v>
      </c>
      <c r="I45" s="60">
        <v>0</v>
      </c>
      <c r="J45" s="61">
        <v>0</v>
      </c>
      <c r="K45" s="60">
        <v>0</v>
      </c>
      <c r="L45" s="61"/>
      <c r="M45" s="61">
        <v>0</v>
      </c>
      <c r="N45" s="60">
        <v>0</v>
      </c>
      <c r="O45" s="61"/>
      <c r="P45" s="61">
        <v>0</v>
      </c>
      <c r="Q45" s="61">
        <v>0</v>
      </c>
      <c r="R45" s="60"/>
      <c r="S45" s="61">
        <v>0</v>
      </c>
      <c r="T45" s="60">
        <v>0</v>
      </c>
      <c r="U45" s="61">
        <v>0</v>
      </c>
      <c r="V45" s="60">
        <v>0</v>
      </c>
      <c r="W45" s="67">
        <f>IFERROR(COUNTIF('Fairway Log'!$E45:$V45,1)/COUNTA('Fairway Log'!$E45:$V45),"")</f>
        <v>0</v>
      </c>
    </row>
    <row r="46" spans="1:23" x14ac:dyDescent="0.25">
      <c r="A46" s="20" t="s">
        <v>127</v>
      </c>
      <c r="B46" s="27">
        <v>45765</v>
      </c>
      <c r="C46" s="20" t="s">
        <v>129</v>
      </c>
      <c r="D46" s="20">
        <f>SUM('Fairway Log'!$E46:$V46)</f>
        <v>5</v>
      </c>
      <c r="E46" s="61" t="s">
        <v>136</v>
      </c>
      <c r="F46" s="60"/>
      <c r="G46" s="61" t="s">
        <v>139</v>
      </c>
      <c r="H46" s="61" t="s">
        <v>139</v>
      </c>
      <c r="I46" s="60" t="s">
        <v>139</v>
      </c>
      <c r="J46" s="61"/>
      <c r="K46" s="60">
        <v>1</v>
      </c>
      <c r="L46" s="61"/>
      <c r="M46" s="61">
        <v>1</v>
      </c>
      <c r="N46" s="60" t="s">
        <v>135</v>
      </c>
      <c r="O46" s="61" t="s">
        <v>135</v>
      </c>
      <c r="P46" s="61">
        <v>1</v>
      </c>
      <c r="Q46" s="61"/>
      <c r="R46" s="60" t="s">
        <v>135</v>
      </c>
      <c r="S46" s="61" t="s">
        <v>139</v>
      </c>
      <c r="T46" s="60">
        <v>1</v>
      </c>
      <c r="U46" s="61"/>
      <c r="V46" s="60">
        <v>1</v>
      </c>
      <c r="W46" s="67">
        <f>IFERROR(COUNTIF('Fairway Log'!$E46:$V46,1)/COUNTA('Fairway Log'!$E46:$V46),"")</f>
        <v>0.38461538461538464</v>
      </c>
    </row>
    <row r="47" spans="1:23" x14ac:dyDescent="0.25">
      <c r="A47" s="20" t="s">
        <v>127</v>
      </c>
      <c r="B47" s="27">
        <v>45520</v>
      </c>
      <c r="C47" s="20" t="s">
        <v>46</v>
      </c>
      <c r="D47" s="20">
        <f>SUM('Fairway Log'!$E47:$V47)</f>
        <v>7</v>
      </c>
      <c r="E47" s="61" t="s">
        <v>139</v>
      </c>
      <c r="F47" s="60" t="s">
        <v>139</v>
      </c>
      <c r="G47" s="61">
        <v>1</v>
      </c>
      <c r="H47" s="61"/>
      <c r="I47" s="60">
        <v>1</v>
      </c>
      <c r="J47" s="61">
        <v>1</v>
      </c>
      <c r="K47" s="60">
        <v>1</v>
      </c>
      <c r="L47" s="61"/>
      <c r="M47" s="61" t="s">
        <v>139</v>
      </c>
      <c r="N47" s="60" t="s">
        <v>139</v>
      </c>
      <c r="O47" s="61" t="s">
        <v>139</v>
      </c>
      <c r="P47" s="61">
        <v>1</v>
      </c>
      <c r="Q47" s="61"/>
      <c r="R47" s="60">
        <v>1</v>
      </c>
      <c r="S47" s="61" t="s">
        <v>139</v>
      </c>
      <c r="T47" s="60" t="s">
        <v>135</v>
      </c>
      <c r="U47" s="61"/>
      <c r="V47" s="60">
        <v>1</v>
      </c>
      <c r="W47" s="67">
        <f>IFERROR(COUNTIF('Fairway Log'!$E47:$V47,1)/COUNTA('Fairway Log'!$E47:$V47),"")</f>
        <v>0.5</v>
      </c>
    </row>
    <row r="48" spans="1:23" x14ac:dyDescent="0.25">
      <c r="A48" s="20" t="s">
        <v>127</v>
      </c>
      <c r="B48" s="27">
        <v>45492</v>
      </c>
      <c r="C48" s="20" t="s">
        <v>6</v>
      </c>
      <c r="D48" s="20">
        <f>SUM('Fairway Log'!$E48:$V48)</f>
        <v>7</v>
      </c>
      <c r="E48" s="61">
        <v>1</v>
      </c>
      <c r="F48" s="60" t="s">
        <v>136</v>
      </c>
      <c r="G48" s="61"/>
      <c r="H48" s="61" t="s">
        <v>135</v>
      </c>
      <c r="I48" s="60"/>
      <c r="J48" s="61">
        <v>1</v>
      </c>
      <c r="K48" s="60" t="s">
        <v>135</v>
      </c>
      <c r="L48" s="61" t="s">
        <v>136</v>
      </c>
      <c r="M48" s="61" t="s">
        <v>136</v>
      </c>
      <c r="N48" s="60" t="s">
        <v>136</v>
      </c>
      <c r="O48" s="61" t="s">
        <v>135</v>
      </c>
      <c r="P48" s="61" t="s">
        <v>135</v>
      </c>
      <c r="Q48" s="61">
        <v>1</v>
      </c>
      <c r="R48" s="60"/>
      <c r="S48" s="61">
        <v>1</v>
      </c>
      <c r="T48" s="60">
        <v>1</v>
      </c>
      <c r="U48" s="61">
        <v>1</v>
      </c>
      <c r="V48" s="60">
        <v>1</v>
      </c>
      <c r="W48" s="67">
        <f>IFERROR(COUNTIF('Fairway Log'!$E48:$V48,1)/COUNTA('Fairway Log'!$E48:$V48),"")</f>
        <v>0.46666666666666667</v>
      </c>
    </row>
    <row r="49" spans="1:23" x14ac:dyDescent="0.25">
      <c r="A49" s="20" t="s">
        <v>127</v>
      </c>
      <c r="B49" s="27">
        <v>45453</v>
      </c>
      <c r="C49" s="20" t="s">
        <v>11</v>
      </c>
      <c r="D49" s="20">
        <f>SUM('Fairway Log'!$E49:$V49)</f>
        <v>0</v>
      </c>
      <c r="E49" s="61">
        <v>0</v>
      </c>
      <c r="F49" s="60"/>
      <c r="G49" s="61">
        <v>0</v>
      </c>
      <c r="H49" s="61"/>
      <c r="I49" s="60">
        <v>0</v>
      </c>
      <c r="J49" s="61">
        <v>0</v>
      </c>
      <c r="K49" s="60">
        <v>0</v>
      </c>
      <c r="L49" s="61">
        <v>0</v>
      </c>
      <c r="M49" s="61">
        <v>0</v>
      </c>
      <c r="N49" s="60">
        <v>0</v>
      </c>
      <c r="O49" s="61"/>
      <c r="P49" s="61">
        <v>0</v>
      </c>
      <c r="Q49" s="61">
        <v>0</v>
      </c>
      <c r="R49" s="60"/>
      <c r="S49" s="61">
        <v>0</v>
      </c>
      <c r="T49" s="60"/>
      <c r="U49" s="61">
        <v>0</v>
      </c>
      <c r="V49" s="60">
        <v>0</v>
      </c>
      <c r="W49" s="67">
        <f>IFERROR(COUNTIF('Fairway Log'!$E49:$V49,1)/COUNTA('Fairway Log'!$E49:$V49),"")</f>
        <v>0</v>
      </c>
    </row>
    <row r="50" spans="1:23" x14ac:dyDescent="0.25">
      <c r="A50" s="20" t="s">
        <v>130</v>
      </c>
      <c r="B50" s="27">
        <v>45156</v>
      </c>
      <c r="C50" s="20" t="s">
        <v>46</v>
      </c>
      <c r="D50" s="20"/>
      <c r="E50" s="61"/>
      <c r="F50" s="60"/>
      <c r="G50" s="61"/>
      <c r="H50" s="61"/>
      <c r="I50" s="60"/>
      <c r="J50" s="61"/>
      <c r="K50" s="60"/>
      <c r="L50" s="61"/>
      <c r="M50" s="61"/>
      <c r="N50" s="60"/>
      <c r="O50" s="61"/>
      <c r="P50" s="61"/>
      <c r="Q50" s="61"/>
      <c r="R50" s="60"/>
      <c r="S50" s="61"/>
      <c r="T50" s="60"/>
      <c r="U50" s="61"/>
      <c r="V50" s="60"/>
      <c r="W50" s="67" t="str">
        <f>IFERROR(COUNTIF('Fairway Log'!$E50:$V50,1)/COUNTA('Fairway Log'!$E50:$V50),"")</f>
        <v/>
      </c>
    </row>
    <row r="51" spans="1:23" x14ac:dyDescent="0.25">
      <c r="A51" s="20" t="s">
        <v>130</v>
      </c>
      <c r="B51" s="27">
        <v>45465</v>
      </c>
      <c r="C51" s="20" t="s">
        <v>12</v>
      </c>
      <c r="D51" s="20">
        <f>SUM('Fairway Log'!$E51:$V51)</f>
        <v>0</v>
      </c>
      <c r="E51" s="61" t="s">
        <v>136</v>
      </c>
      <c r="F51" s="60" t="s">
        <v>139</v>
      </c>
      <c r="G51" s="61" t="s">
        <v>139</v>
      </c>
      <c r="H51" s="61" t="s">
        <v>139</v>
      </c>
      <c r="I51" s="60" t="s">
        <v>139</v>
      </c>
      <c r="J51" s="61"/>
      <c r="K51" s="60" t="s">
        <v>139</v>
      </c>
      <c r="L51" s="61"/>
      <c r="M51" s="61" t="s">
        <v>136</v>
      </c>
      <c r="N51" s="60" t="s">
        <v>136</v>
      </c>
      <c r="O51" s="61" t="s">
        <v>135</v>
      </c>
      <c r="P51" s="61"/>
      <c r="Q51" s="61" t="s">
        <v>139</v>
      </c>
      <c r="R51" s="60"/>
      <c r="S51" s="61" t="s">
        <v>139</v>
      </c>
      <c r="T51" s="60" t="s">
        <v>136</v>
      </c>
      <c r="U51" s="61" t="s">
        <v>139</v>
      </c>
      <c r="V51" s="60" t="s">
        <v>135</v>
      </c>
      <c r="W51" s="67">
        <f>IFERROR(COUNTIF('Fairway Log'!$E51:$V51,1)/COUNTA('Fairway Log'!$E51:$V51),"")</f>
        <v>0</v>
      </c>
    </row>
    <row r="52" spans="1:23" x14ac:dyDescent="0.25">
      <c r="A52" s="20" t="s">
        <v>130</v>
      </c>
      <c r="B52" s="27">
        <v>45514</v>
      </c>
      <c r="C52" s="20" t="s">
        <v>6</v>
      </c>
      <c r="D52" s="20">
        <f>SUM('Fairway Log'!$E52:$V52)</f>
        <v>4</v>
      </c>
      <c r="E52" s="61" t="s">
        <v>139</v>
      </c>
      <c r="F52" s="60" t="s">
        <v>139</v>
      </c>
      <c r="G52" s="61"/>
      <c r="H52" s="61">
        <v>1</v>
      </c>
      <c r="I52" s="60"/>
      <c r="J52" s="61">
        <v>1</v>
      </c>
      <c r="K52" s="60" t="s">
        <v>139</v>
      </c>
      <c r="L52" s="61" t="s">
        <v>139</v>
      </c>
      <c r="M52" s="61" t="s">
        <v>139</v>
      </c>
      <c r="N52" s="60" t="s">
        <v>135</v>
      </c>
      <c r="O52" s="61" t="s">
        <v>139</v>
      </c>
      <c r="P52" s="61">
        <v>1</v>
      </c>
      <c r="Q52" s="61" t="s">
        <v>139</v>
      </c>
      <c r="R52" s="60"/>
      <c r="S52" s="61" t="s">
        <v>135</v>
      </c>
      <c r="T52" s="60" t="s">
        <v>139</v>
      </c>
      <c r="U52" s="61">
        <v>1</v>
      </c>
      <c r="V52" s="60" t="s">
        <v>139</v>
      </c>
      <c r="W52" s="67">
        <f>IFERROR(COUNTIF('Fairway Log'!$E52:$V52,1)/COUNTA('Fairway Log'!$E52:$V52),"")</f>
        <v>0.26666666666666666</v>
      </c>
    </row>
    <row r="53" spans="1:23" x14ac:dyDescent="0.25">
      <c r="A53" s="20" t="s">
        <v>130</v>
      </c>
      <c r="B53" s="27">
        <v>45892</v>
      </c>
      <c r="C53" s="20" t="s">
        <v>41</v>
      </c>
      <c r="D53" s="20">
        <f>SUM('Fairway Log'!$E53:$V53)</f>
        <v>8</v>
      </c>
      <c r="E53" s="61" t="s">
        <v>139</v>
      </c>
      <c r="F53" s="60">
        <v>1</v>
      </c>
      <c r="G53" s="61"/>
      <c r="H53" s="61">
        <v>1</v>
      </c>
      <c r="I53" s="60">
        <v>1</v>
      </c>
      <c r="J53" s="61"/>
      <c r="K53" s="60" t="s">
        <v>135</v>
      </c>
      <c r="L53" s="61">
        <v>1</v>
      </c>
      <c r="M53" s="61">
        <v>1</v>
      </c>
      <c r="N53" s="60" t="s">
        <v>139</v>
      </c>
      <c r="O53" s="61">
        <v>1</v>
      </c>
      <c r="P53" s="61" t="s">
        <v>135</v>
      </c>
      <c r="Q53" s="61"/>
      <c r="R53" s="60" t="s">
        <v>136</v>
      </c>
      <c r="S53" s="61" t="s">
        <v>136</v>
      </c>
      <c r="T53" s="60"/>
      <c r="U53" s="61">
        <v>1</v>
      </c>
      <c r="V53" s="60">
        <v>1</v>
      </c>
      <c r="W53" s="67">
        <f>IFERROR(COUNTIF('Fairway Log'!$E53:$V53,1)/COUNTA('Fairway Log'!$E53:$V53),"")</f>
        <v>0.5714285714285714</v>
      </c>
    </row>
    <row r="54" spans="1:23" x14ac:dyDescent="0.25">
      <c r="A54" s="20" t="s">
        <v>130</v>
      </c>
      <c r="B54" s="27">
        <v>45886</v>
      </c>
      <c r="C54" s="20" t="s">
        <v>41</v>
      </c>
      <c r="D54" s="20">
        <f>SUM('Fairway Log'!$E54:$V54)</f>
        <v>8</v>
      </c>
      <c r="E54" s="61" t="s">
        <v>139</v>
      </c>
      <c r="F54" s="60" t="s">
        <v>136</v>
      </c>
      <c r="G54" s="61"/>
      <c r="H54" s="61">
        <v>1</v>
      </c>
      <c r="I54" s="60" t="s">
        <v>136</v>
      </c>
      <c r="J54" s="61"/>
      <c r="K54" s="60">
        <v>1</v>
      </c>
      <c r="L54" s="61">
        <v>1</v>
      </c>
      <c r="M54" s="61" t="s">
        <v>139</v>
      </c>
      <c r="N54" s="60">
        <v>1</v>
      </c>
      <c r="O54" s="61">
        <v>1</v>
      </c>
      <c r="P54" s="61">
        <v>1</v>
      </c>
      <c r="Q54" s="61"/>
      <c r="R54" s="60">
        <v>1</v>
      </c>
      <c r="S54" s="61" t="s">
        <v>139</v>
      </c>
      <c r="T54" s="60"/>
      <c r="U54" s="61" t="s">
        <v>135</v>
      </c>
      <c r="V54" s="60">
        <v>1</v>
      </c>
      <c r="W54" s="67">
        <f>IFERROR(COUNTIF('Fairway Log'!$E54:$V54,1)/COUNTA('Fairway Log'!$E54:$V54),"")</f>
        <v>0.5714285714285714</v>
      </c>
    </row>
    <row r="55" spans="1:23" x14ac:dyDescent="0.25">
      <c r="A55" s="20" t="s">
        <v>130</v>
      </c>
      <c r="B55" s="27">
        <v>45897</v>
      </c>
      <c r="C55" s="20" t="s">
        <v>41</v>
      </c>
      <c r="D55" s="20">
        <f>SUM('Fairway Log'!$E55:$V55)</f>
        <v>5</v>
      </c>
      <c r="E55" s="61" t="s">
        <v>139</v>
      </c>
      <c r="F55" s="60" t="s">
        <v>139</v>
      </c>
      <c r="G55" s="61"/>
      <c r="H55" s="61">
        <v>1</v>
      </c>
      <c r="I55" s="60" t="s">
        <v>139</v>
      </c>
      <c r="J55" s="61"/>
      <c r="K55" s="60" t="s">
        <v>139</v>
      </c>
      <c r="L55" s="61">
        <v>1</v>
      </c>
      <c r="M55" s="61">
        <v>1</v>
      </c>
      <c r="N55" s="60" t="s">
        <v>139</v>
      </c>
      <c r="O55" s="61" t="s">
        <v>135</v>
      </c>
      <c r="P55" s="61" t="s">
        <v>135</v>
      </c>
      <c r="Q55" s="61"/>
      <c r="R55" s="60" t="s">
        <v>139</v>
      </c>
      <c r="S55" s="61" t="s">
        <v>138</v>
      </c>
      <c r="T55" s="60"/>
      <c r="U55" s="61">
        <v>1</v>
      </c>
      <c r="V55" s="60">
        <v>1</v>
      </c>
      <c r="W55" s="67">
        <f>IFERROR(COUNTIF('Fairway Log'!$E55:$V55,1)/COUNTA('Fairway Log'!$E55:$V55),"")</f>
        <v>0.35714285714285715</v>
      </c>
    </row>
    <row r="56" spans="1:23" x14ac:dyDescent="0.25">
      <c r="A56" s="20" t="s">
        <v>130</v>
      </c>
      <c r="B56" s="27">
        <v>45829</v>
      </c>
      <c r="C56" s="20" t="s">
        <v>6</v>
      </c>
      <c r="D56" s="20">
        <f>SUM('Fairway Log'!$E56:$V56)</f>
        <v>1</v>
      </c>
      <c r="E56" s="61" t="s">
        <v>136</v>
      </c>
      <c r="F56" s="60" t="s">
        <v>139</v>
      </c>
      <c r="G56" s="61"/>
      <c r="H56" s="61" t="s">
        <v>139</v>
      </c>
      <c r="I56" s="60"/>
      <c r="J56" s="61" t="s">
        <v>139</v>
      </c>
      <c r="K56" s="60" t="s">
        <v>139</v>
      </c>
      <c r="L56" s="61" t="s">
        <v>139</v>
      </c>
      <c r="M56" s="61" t="s">
        <v>139</v>
      </c>
      <c r="N56" s="60" t="s">
        <v>139</v>
      </c>
      <c r="O56" s="61" t="s">
        <v>139</v>
      </c>
      <c r="P56" s="61" t="s">
        <v>138</v>
      </c>
      <c r="Q56" s="61" t="s">
        <v>138</v>
      </c>
      <c r="R56" s="60"/>
      <c r="S56" s="61" t="s">
        <v>139</v>
      </c>
      <c r="T56" s="60">
        <v>1</v>
      </c>
      <c r="U56" s="61" t="s">
        <v>139</v>
      </c>
      <c r="V56" s="60" t="s">
        <v>139</v>
      </c>
      <c r="W56" s="67">
        <f>IFERROR(COUNTIF('Fairway Log'!$E56:$V56,1)/COUNTA('Fairway Log'!$E56:$V56),"")</f>
        <v>6.6666666666666666E-2</v>
      </c>
    </row>
    <row r="57" spans="1:23" x14ac:dyDescent="0.25">
      <c r="A57" s="20" t="s">
        <v>130</v>
      </c>
      <c r="B57" s="27">
        <v>45857</v>
      </c>
      <c r="C57" s="20" t="s">
        <v>3</v>
      </c>
      <c r="D57" s="20">
        <f>SUM('Fairway Log'!$E57:$V57)</f>
        <v>6</v>
      </c>
      <c r="E57" s="61">
        <v>1</v>
      </c>
      <c r="F57" s="60" t="s">
        <v>136</v>
      </c>
      <c r="G57" s="61"/>
      <c r="H57" s="61">
        <v>1</v>
      </c>
      <c r="I57" s="60" t="s">
        <v>136</v>
      </c>
      <c r="J57" s="61"/>
      <c r="K57" s="60" t="s">
        <v>135</v>
      </c>
      <c r="L57" s="61" t="s">
        <v>139</v>
      </c>
      <c r="M57" s="61" t="s">
        <v>139</v>
      </c>
      <c r="N57" s="60" t="s">
        <v>139</v>
      </c>
      <c r="O57" s="61"/>
      <c r="P57" s="61">
        <v>1</v>
      </c>
      <c r="Q57" s="61">
        <v>1</v>
      </c>
      <c r="R57" s="60" t="s">
        <v>139</v>
      </c>
      <c r="S57" s="61"/>
      <c r="T57" s="60">
        <v>1</v>
      </c>
      <c r="U57" s="61" t="s">
        <v>136</v>
      </c>
      <c r="V57" s="60">
        <v>1</v>
      </c>
      <c r="W57" s="67">
        <f>IFERROR(COUNTIF('Fairway Log'!$E57:$V57,1)/COUNTA('Fairway Log'!$E57:$V57),"")</f>
        <v>0.42857142857142855</v>
      </c>
    </row>
    <row r="58" spans="1:23" x14ac:dyDescent="0.25">
      <c r="A58" s="20" t="s">
        <v>130</v>
      </c>
      <c r="B58" s="27">
        <v>45844</v>
      </c>
      <c r="C58" s="20" t="s">
        <v>3</v>
      </c>
      <c r="D58" s="20">
        <f>SUM('Fairway Log'!$E58:$V58)</f>
        <v>6</v>
      </c>
      <c r="E58" s="61">
        <v>1</v>
      </c>
      <c r="F58" s="60" t="s">
        <v>139</v>
      </c>
      <c r="G58" s="61"/>
      <c r="H58" s="61" t="s">
        <v>139</v>
      </c>
      <c r="I58" s="60">
        <v>1</v>
      </c>
      <c r="J58" s="61"/>
      <c r="K58" s="60">
        <v>1</v>
      </c>
      <c r="L58" s="61">
        <v>1</v>
      </c>
      <c r="M58" s="61" t="s">
        <v>139</v>
      </c>
      <c r="N58" s="60" t="s">
        <v>135</v>
      </c>
      <c r="O58" s="61"/>
      <c r="P58" s="61">
        <v>1</v>
      </c>
      <c r="Q58" s="61" t="s">
        <v>139</v>
      </c>
      <c r="R58" s="60" t="s">
        <v>139</v>
      </c>
      <c r="S58" s="61"/>
      <c r="T58" s="60" t="s">
        <v>139</v>
      </c>
      <c r="U58" s="61" t="s">
        <v>135</v>
      </c>
      <c r="V58" s="60">
        <v>1</v>
      </c>
      <c r="W58" s="67">
        <f>IFERROR(COUNTIF('Fairway Log'!$E58:$V58,1)/COUNTA('Fairway Log'!$E58:$V58),"")</f>
        <v>0.42857142857142855</v>
      </c>
    </row>
    <row r="59" spans="1:23" x14ac:dyDescent="0.25">
      <c r="A59" s="20" t="s">
        <v>130</v>
      </c>
      <c r="B59" s="27">
        <v>45653</v>
      </c>
      <c r="C59" s="20" t="s">
        <v>2</v>
      </c>
      <c r="D59" s="20">
        <f>SUM('Fairway Log'!$E59:$V59)</f>
        <v>3</v>
      </c>
      <c r="E59" s="61" t="s">
        <v>139</v>
      </c>
      <c r="F59" s="60" t="s">
        <v>139</v>
      </c>
      <c r="G59" s="61"/>
      <c r="H59" s="61">
        <v>1</v>
      </c>
      <c r="I59" s="60" t="s">
        <v>139</v>
      </c>
      <c r="J59" s="61" t="s">
        <v>139</v>
      </c>
      <c r="K59" s="60" t="s">
        <v>136</v>
      </c>
      <c r="L59" s="61"/>
      <c r="M59" s="61">
        <v>1</v>
      </c>
      <c r="N59" s="60">
        <v>1</v>
      </c>
      <c r="O59" s="61"/>
      <c r="P59" s="61" t="s">
        <v>139</v>
      </c>
      <c r="Q59" s="61" t="s">
        <v>139</v>
      </c>
      <c r="R59" s="60" t="s">
        <v>139</v>
      </c>
      <c r="S59" s="61" t="s">
        <v>135</v>
      </c>
      <c r="T59" s="60"/>
      <c r="U59" s="61" t="s">
        <v>139</v>
      </c>
      <c r="V59" s="60" t="s">
        <v>135</v>
      </c>
      <c r="W59" s="67">
        <f>IFERROR(COUNTIF('Fairway Log'!$E59:$V59,1)/COUNTA('Fairway Log'!$E59:$V59),"")</f>
        <v>0.21428571428571427</v>
      </c>
    </row>
    <row r="60" spans="1:23" x14ac:dyDescent="0.25">
      <c r="A60" s="20" t="s">
        <v>130</v>
      </c>
      <c r="B60" s="27">
        <v>45655</v>
      </c>
      <c r="C60" s="20" t="s">
        <v>4</v>
      </c>
      <c r="D60" s="20">
        <f>SUM('Fairway Log'!$E60:$V60)</f>
        <v>3</v>
      </c>
      <c r="E60" s="61">
        <v>1</v>
      </c>
      <c r="F60" s="60" t="s">
        <v>139</v>
      </c>
      <c r="G60" s="61"/>
      <c r="H60" s="61" t="s">
        <v>139</v>
      </c>
      <c r="I60" s="60"/>
      <c r="J60" s="61" t="s">
        <v>135</v>
      </c>
      <c r="K60" s="60" t="s">
        <v>136</v>
      </c>
      <c r="L60" s="61"/>
      <c r="M60" s="61" t="s">
        <v>136</v>
      </c>
      <c r="N60" s="60">
        <v>1</v>
      </c>
      <c r="O60" s="61" t="s">
        <v>135</v>
      </c>
      <c r="P60" s="61" t="s">
        <v>139</v>
      </c>
      <c r="Q60" s="61"/>
      <c r="R60" s="60" t="s">
        <v>139</v>
      </c>
      <c r="S60" s="61">
        <v>1</v>
      </c>
      <c r="T60" s="60"/>
      <c r="U60" s="61" t="s">
        <v>139</v>
      </c>
      <c r="V60" s="60">
        <v>0</v>
      </c>
      <c r="W60" s="67">
        <f>IFERROR(COUNTIF('Fairway Log'!$E60:$V60,1)/COUNTA('Fairway Log'!$E60:$V60),"")</f>
        <v>0.23076923076923078</v>
      </c>
    </row>
    <row r="61" spans="1:23" x14ac:dyDescent="0.25">
      <c r="A61" s="20" t="s">
        <v>130</v>
      </c>
      <c r="B61" s="27">
        <v>45649</v>
      </c>
      <c r="C61" s="20" t="s">
        <v>14</v>
      </c>
      <c r="D61" s="20">
        <f>SUM('Fairway Log'!$E61:$V61)</f>
        <v>3</v>
      </c>
      <c r="E61" s="61" t="s">
        <v>138</v>
      </c>
      <c r="F61" s="60"/>
      <c r="G61" s="61">
        <v>1</v>
      </c>
      <c r="H61" s="61">
        <v>0</v>
      </c>
      <c r="I61" s="60">
        <v>0</v>
      </c>
      <c r="J61" s="61">
        <v>0</v>
      </c>
      <c r="K61" s="60" t="s">
        <v>139</v>
      </c>
      <c r="L61" s="61"/>
      <c r="M61" s="61" t="s">
        <v>139</v>
      </c>
      <c r="N61" s="60" t="s">
        <v>139</v>
      </c>
      <c r="O61" s="61" t="s">
        <v>139</v>
      </c>
      <c r="P61" s="61" t="s">
        <v>139</v>
      </c>
      <c r="Q61" s="61">
        <v>1</v>
      </c>
      <c r="R61" s="60">
        <v>1</v>
      </c>
      <c r="S61" s="61"/>
      <c r="T61" s="60" t="s">
        <v>135</v>
      </c>
      <c r="U61" s="61"/>
      <c r="V61" s="60" t="s">
        <v>139</v>
      </c>
      <c r="W61" s="67">
        <f>IFERROR(COUNTIF('Fairway Log'!$E61:$V61,1)/COUNTA('Fairway Log'!$E61:$V61),"")</f>
        <v>0.21428571428571427</v>
      </c>
    </row>
    <row r="62" spans="1:23" x14ac:dyDescent="0.25">
      <c r="A62" s="20" t="s">
        <v>130</v>
      </c>
      <c r="B62" s="27">
        <v>45570</v>
      </c>
      <c r="C62" s="20" t="s">
        <v>3</v>
      </c>
      <c r="D62" s="20">
        <f>SUM('Fairway Log'!$E62:$V62)</f>
        <v>2</v>
      </c>
      <c r="E62" s="61" t="s">
        <v>139</v>
      </c>
      <c r="F62" s="60">
        <v>1</v>
      </c>
      <c r="G62" s="61"/>
      <c r="H62" s="61">
        <v>1</v>
      </c>
      <c r="I62" s="60" t="s">
        <v>135</v>
      </c>
      <c r="J62" s="61"/>
      <c r="K62" s="60" t="s">
        <v>139</v>
      </c>
      <c r="L62" s="61" t="s">
        <v>136</v>
      </c>
      <c r="M62" s="61" t="s">
        <v>139</v>
      </c>
      <c r="N62" s="60" t="s">
        <v>139</v>
      </c>
      <c r="O62" s="61"/>
      <c r="P62" s="61" t="s">
        <v>138</v>
      </c>
      <c r="Q62" s="61" t="s">
        <v>139</v>
      </c>
      <c r="R62" s="60" t="s">
        <v>139</v>
      </c>
      <c r="S62" s="61"/>
      <c r="T62" s="60" t="s">
        <v>135</v>
      </c>
      <c r="U62" s="61" t="s">
        <v>139</v>
      </c>
      <c r="V62" s="60" t="s">
        <v>135</v>
      </c>
      <c r="W62" s="67">
        <f>IFERROR(COUNTIF('Fairway Log'!$E62:$V62,1)/COUNTA('Fairway Log'!$E62:$V62),"")</f>
        <v>0.14285714285714285</v>
      </c>
    </row>
    <row r="63" spans="1:23" x14ac:dyDescent="0.25">
      <c r="A63" s="20" t="s">
        <v>130</v>
      </c>
      <c r="B63" s="27">
        <v>45535</v>
      </c>
      <c r="C63" s="20" t="s">
        <v>9</v>
      </c>
      <c r="D63" s="20">
        <f>SUM('Fairway Log'!$E63:$V63)</f>
        <v>4</v>
      </c>
      <c r="E63" s="61" t="s">
        <v>139</v>
      </c>
      <c r="F63" s="60">
        <v>1</v>
      </c>
      <c r="G63" s="61" t="s">
        <v>135</v>
      </c>
      <c r="H63" s="61"/>
      <c r="I63" s="60">
        <v>1</v>
      </c>
      <c r="J63" s="61">
        <v>1</v>
      </c>
      <c r="K63" s="60"/>
      <c r="L63" s="61" t="s">
        <v>139</v>
      </c>
      <c r="M63" s="61" t="s">
        <v>139</v>
      </c>
      <c r="N63" s="60" t="s">
        <v>136</v>
      </c>
      <c r="O63" s="61"/>
      <c r="P63" s="61" t="s">
        <v>139</v>
      </c>
      <c r="Q63" s="61" t="s">
        <v>139</v>
      </c>
      <c r="R63" s="60"/>
      <c r="S63" s="61" t="s">
        <v>139</v>
      </c>
      <c r="T63" s="60" t="s">
        <v>139</v>
      </c>
      <c r="U63" s="61">
        <v>1</v>
      </c>
      <c r="V63" s="60" t="s">
        <v>139</v>
      </c>
      <c r="W63" s="67">
        <f>IFERROR(COUNTIF('Fairway Log'!$E63:$V63,1)/COUNTA('Fairway Log'!$E63:$V63),"")</f>
        <v>0.2857142857142857</v>
      </c>
    </row>
    <row r="64" spans="1:23" x14ac:dyDescent="0.25">
      <c r="A64" s="20" t="s">
        <v>130</v>
      </c>
      <c r="B64" s="27">
        <v>45487</v>
      </c>
      <c r="C64" s="20" t="s">
        <v>3</v>
      </c>
      <c r="D64" s="20">
        <f>SUM('Fairway Log'!$E64:$V64)</f>
        <v>2</v>
      </c>
      <c r="E64" s="61" t="s">
        <v>139</v>
      </c>
      <c r="F64" s="60" t="s">
        <v>136</v>
      </c>
      <c r="G64" s="61"/>
      <c r="H64" s="61" t="s">
        <v>139</v>
      </c>
      <c r="I64" s="60" t="s">
        <v>136</v>
      </c>
      <c r="J64" s="61"/>
      <c r="K64" s="60" t="s">
        <v>136</v>
      </c>
      <c r="L64" s="61" t="s">
        <v>139</v>
      </c>
      <c r="M64" s="61">
        <v>1</v>
      </c>
      <c r="N64" s="60" t="s">
        <v>136</v>
      </c>
      <c r="O64" s="61"/>
      <c r="P64" s="61" t="s">
        <v>138</v>
      </c>
      <c r="Q64" s="61" t="s">
        <v>139</v>
      </c>
      <c r="R64" s="60" t="s">
        <v>139</v>
      </c>
      <c r="S64" s="61"/>
      <c r="T64" s="60" t="s">
        <v>136</v>
      </c>
      <c r="U64" s="61">
        <v>1</v>
      </c>
      <c r="V64" s="60" t="s">
        <v>139</v>
      </c>
      <c r="W64" s="67">
        <f>IFERROR(COUNTIF('Fairway Log'!$E64:$V64,1)/COUNTA('Fairway Log'!$E64:$V64),"")</f>
        <v>0.14285714285714285</v>
      </c>
    </row>
    <row r="65" spans="1:23" x14ac:dyDescent="0.25">
      <c r="A65" s="20" t="s">
        <v>130</v>
      </c>
      <c r="B65" s="27">
        <v>45172</v>
      </c>
      <c r="C65" s="20" t="s">
        <v>3</v>
      </c>
      <c r="D65" s="20">
        <f>SUM('Fairway Log'!$E65:$V65)</f>
        <v>5</v>
      </c>
      <c r="E65" s="61" t="s">
        <v>135</v>
      </c>
      <c r="F65" s="60" t="s">
        <v>139</v>
      </c>
      <c r="G65" s="61"/>
      <c r="H65" s="61">
        <v>1</v>
      </c>
      <c r="I65" s="60" t="s">
        <v>136</v>
      </c>
      <c r="J65" s="61"/>
      <c r="K65" s="60">
        <v>1</v>
      </c>
      <c r="L65" s="61">
        <v>1</v>
      </c>
      <c r="M65" s="61">
        <v>1</v>
      </c>
      <c r="N65" s="60" t="s">
        <v>135</v>
      </c>
      <c r="O65" s="61"/>
      <c r="P65" s="61" t="s">
        <v>138</v>
      </c>
      <c r="Q65" s="61" t="s">
        <v>135</v>
      </c>
      <c r="R65" s="60" t="s">
        <v>135</v>
      </c>
      <c r="S65" s="61"/>
      <c r="T65" s="60">
        <v>1</v>
      </c>
      <c r="U65" s="61" t="s">
        <v>138</v>
      </c>
      <c r="V65" s="60" t="s">
        <v>135</v>
      </c>
      <c r="W65" s="67">
        <f>IFERROR(COUNTIF('Fairway Log'!$E65:$V65,1)/COUNTA('Fairway Log'!$E65:$V65),"")</f>
        <v>0.35714285714285715</v>
      </c>
    </row>
    <row r="66" spans="1:23" x14ac:dyDescent="0.25">
      <c r="A66" s="68" t="s">
        <v>126</v>
      </c>
      <c r="B66" s="69">
        <v>45941</v>
      </c>
      <c r="C66" s="68" t="s">
        <v>12</v>
      </c>
      <c r="D66" s="68">
        <f>SUM('Fairway Log'!$E66:$V66)</f>
        <v>3</v>
      </c>
      <c r="E66" s="60" t="s">
        <v>139</v>
      </c>
      <c r="F66" s="61">
        <v>1</v>
      </c>
      <c r="G66" s="61" t="s">
        <v>135</v>
      </c>
      <c r="H66" s="60" t="s">
        <v>139</v>
      </c>
      <c r="I66" s="61" t="s">
        <v>135</v>
      </c>
      <c r="J66" s="76"/>
      <c r="K66" s="61" t="s">
        <v>135</v>
      </c>
      <c r="L66" s="76"/>
      <c r="M66" s="61" t="s">
        <v>135</v>
      </c>
      <c r="N66" s="61" t="s">
        <v>135</v>
      </c>
      <c r="O66" s="61" t="s">
        <v>135</v>
      </c>
      <c r="P66" s="76"/>
      <c r="Q66" s="61">
        <v>1</v>
      </c>
      <c r="R66" s="76"/>
      <c r="S66" s="61" t="s">
        <v>135</v>
      </c>
      <c r="T66" s="61" t="s">
        <v>135</v>
      </c>
      <c r="U66" s="61" t="s">
        <v>135</v>
      </c>
      <c r="V66" s="61">
        <v>1</v>
      </c>
      <c r="W66" s="77">
        <f>IFERROR(COUNTIF('Fairway Log'!$E66:$V66,1)/COUNTA('Fairway Log'!$E66:$V66),"")</f>
        <v>0.21428571428571427</v>
      </c>
    </row>
    <row r="67" spans="1:23" x14ac:dyDescent="0.25">
      <c r="A67" s="68" t="s">
        <v>130</v>
      </c>
      <c r="B67" s="69">
        <v>45941</v>
      </c>
      <c r="C67" s="68" t="s">
        <v>12</v>
      </c>
      <c r="D67" s="68">
        <f>SUM('Fairway Log'!$E67:$V67)</f>
        <v>7</v>
      </c>
      <c r="E67" s="76">
        <v>1</v>
      </c>
      <c r="F67" s="76">
        <v>1</v>
      </c>
      <c r="G67" s="76">
        <v>1</v>
      </c>
      <c r="H67" s="76"/>
      <c r="I67" s="76">
        <v>1</v>
      </c>
      <c r="J67" s="76"/>
      <c r="K67" s="76"/>
      <c r="L67" s="76"/>
      <c r="M67" s="76">
        <v>1</v>
      </c>
      <c r="N67" s="76">
        <v>1</v>
      </c>
      <c r="O67" s="60" t="s">
        <v>139</v>
      </c>
      <c r="P67" s="76"/>
      <c r="Q67" s="60" t="s">
        <v>139</v>
      </c>
      <c r="R67" s="76"/>
      <c r="S67" s="60" t="s">
        <v>139</v>
      </c>
      <c r="T67" s="76">
        <v>1</v>
      </c>
      <c r="U67" s="60" t="s">
        <v>139</v>
      </c>
      <c r="V67" s="60" t="s">
        <v>139</v>
      </c>
      <c r="W67" s="77">
        <f>IFERROR(COUNTIF('Fairway Log'!$E67:$V67,1)/COUNTA('Fairway Log'!$E67:$V67),"")</f>
        <v>0.58333333333333337</v>
      </c>
    </row>
    <row r="68" spans="1:23" x14ac:dyDescent="0.25">
      <c r="A68" s="78" t="s">
        <v>130</v>
      </c>
      <c r="B68" s="79">
        <v>45143</v>
      </c>
      <c r="C68" s="78" t="s">
        <v>9</v>
      </c>
      <c r="D68" s="78">
        <f>SUM('Fairway Log'!$E68:$V68)</f>
        <v>4</v>
      </c>
      <c r="E68" s="61" t="s">
        <v>138</v>
      </c>
      <c r="F68" s="88" t="s">
        <v>136</v>
      </c>
      <c r="G68" s="126"/>
      <c r="H68" s="85"/>
      <c r="I68" s="87" t="s">
        <v>135</v>
      </c>
      <c r="J68" s="85">
        <v>1</v>
      </c>
      <c r="K68" s="85"/>
      <c r="L68" s="87" t="s">
        <v>135</v>
      </c>
      <c r="M68" s="85">
        <v>1</v>
      </c>
      <c r="N68" s="87" t="s">
        <v>139</v>
      </c>
      <c r="O68" s="85"/>
      <c r="P68" s="87" t="s">
        <v>135</v>
      </c>
      <c r="Q68" s="87" t="s">
        <v>139</v>
      </c>
      <c r="R68" s="85"/>
      <c r="S68" s="87" t="s">
        <v>135</v>
      </c>
      <c r="T68" s="85">
        <v>1</v>
      </c>
      <c r="U68" s="87" t="s">
        <v>135</v>
      </c>
      <c r="V68" s="85">
        <v>1</v>
      </c>
      <c r="W68" s="86">
        <f>IFERROR(COUNTIF('Fairway Log'!$E68:$V68,1)/COUNTA('Fairway Log'!$E68:$V68),"")</f>
        <v>0.30769230769230771</v>
      </c>
    </row>
    <row r="69" spans="1:23" x14ac:dyDescent="0.25">
      <c r="A69" s="78" t="s">
        <v>130</v>
      </c>
      <c r="B69" s="79">
        <v>45136</v>
      </c>
      <c r="C69" s="78" t="s">
        <v>5</v>
      </c>
      <c r="D69" s="78">
        <f>SUM('Fairway Log'!$E69:$V69)</f>
        <v>4</v>
      </c>
      <c r="E69" s="85">
        <v>1</v>
      </c>
      <c r="F69" s="85">
        <v>0</v>
      </c>
      <c r="G69" s="85"/>
      <c r="H69" s="85">
        <v>1</v>
      </c>
      <c r="I69" s="85">
        <v>1</v>
      </c>
      <c r="J69" s="87" t="s">
        <v>135</v>
      </c>
      <c r="K69" s="85"/>
      <c r="L69" s="87" t="s">
        <v>135</v>
      </c>
      <c r="M69" s="87" t="s">
        <v>135</v>
      </c>
      <c r="N69" s="87" t="s">
        <v>135</v>
      </c>
      <c r="O69" s="85"/>
      <c r="P69" s="87" t="s">
        <v>135</v>
      </c>
      <c r="Q69" s="87" t="s">
        <v>139</v>
      </c>
      <c r="R69" s="87" t="s">
        <v>139</v>
      </c>
      <c r="S69" s="87" t="s">
        <v>139</v>
      </c>
      <c r="T69" s="87" t="s">
        <v>139</v>
      </c>
      <c r="U69" s="85"/>
      <c r="V69" s="85">
        <v>1</v>
      </c>
      <c r="W69" s="86">
        <f>IFERROR(COUNTIF('Fairway Log'!$E69:$V69,1)/COUNTA('Fairway Log'!$E69:$V69),"")</f>
        <v>0.2857142857142857</v>
      </c>
    </row>
    <row r="70" spans="1:23" x14ac:dyDescent="0.25">
      <c r="A70" s="92" t="s">
        <v>126</v>
      </c>
      <c r="B70" s="93">
        <v>46160</v>
      </c>
      <c r="C70" s="92" t="s">
        <v>5</v>
      </c>
      <c r="D70" s="92">
        <f>SUM('Fairway Log'!$E70:$V70)</f>
        <v>5</v>
      </c>
      <c r="E70" s="103">
        <v>1</v>
      </c>
      <c r="F70" s="61" t="s">
        <v>135</v>
      </c>
      <c r="G70" s="103"/>
      <c r="H70" s="61" t="s">
        <v>135</v>
      </c>
      <c r="I70" s="103">
        <v>1</v>
      </c>
      <c r="J70" s="87" t="s">
        <v>135</v>
      </c>
      <c r="K70" s="103"/>
      <c r="L70" s="103">
        <v>1</v>
      </c>
      <c r="M70" s="87" t="s">
        <v>135</v>
      </c>
      <c r="N70" s="87" t="s">
        <v>135</v>
      </c>
      <c r="O70" s="103"/>
      <c r="P70" s="87" t="s">
        <v>135</v>
      </c>
      <c r="Q70" s="103">
        <v>1</v>
      </c>
      <c r="R70" s="103">
        <v>1</v>
      </c>
      <c r="S70" s="87" t="s">
        <v>135</v>
      </c>
      <c r="T70" s="87" t="s">
        <v>139</v>
      </c>
      <c r="U70" s="103"/>
      <c r="V70" s="87" t="s">
        <v>135</v>
      </c>
      <c r="W70" s="104">
        <f>IFERROR(COUNTIF('Fairway Log'!$E70:$V70,1)/COUNTA('Fairway Log'!$E70:$V70),"")</f>
        <v>0.35714285714285715</v>
      </c>
    </row>
    <row r="71" spans="1:23" x14ac:dyDescent="0.25">
      <c r="A71" s="107" t="s">
        <v>126</v>
      </c>
      <c r="B71" s="108">
        <v>46164</v>
      </c>
      <c r="C71" s="107" t="s">
        <v>6</v>
      </c>
      <c r="D71" s="107">
        <f>SUM('Fairway Log'!$E71:$V71)</f>
        <v>9</v>
      </c>
      <c r="E71" s="114">
        <v>1</v>
      </c>
      <c r="F71" s="114">
        <v>1</v>
      </c>
      <c r="G71" s="114"/>
      <c r="H71" s="114">
        <v>1</v>
      </c>
      <c r="I71" s="114"/>
      <c r="J71" s="87" t="s">
        <v>135</v>
      </c>
      <c r="K71" s="87" t="s">
        <v>135</v>
      </c>
      <c r="L71" s="87" t="s">
        <v>135</v>
      </c>
      <c r="M71" s="87" t="s">
        <v>135</v>
      </c>
      <c r="N71" s="114">
        <v>1</v>
      </c>
      <c r="O71" s="114">
        <v>1</v>
      </c>
      <c r="P71" s="114">
        <v>1</v>
      </c>
      <c r="Q71" s="114">
        <v>1</v>
      </c>
      <c r="R71" s="114"/>
      <c r="S71" s="87" t="s">
        <v>139</v>
      </c>
      <c r="T71" s="87" t="s">
        <v>135</v>
      </c>
      <c r="U71" s="114">
        <v>1</v>
      </c>
      <c r="V71" s="114">
        <v>1</v>
      </c>
      <c r="W71" s="115">
        <f>IFERROR(COUNTIF('Fairway Log'!$E71:$V71,1)/COUNTA('Fairway Log'!$E71:$V71),"")</f>
        <v>0.6</v>
      </c>
    </row>
    <row r="72" spans="1:23" x14ac:dyDescent="0.25">
      <c r="A72" s="118" t="s">
        <v>127</v>
      </c>
      <c r="B72" s="119">
        <v>46185</v>
      </c>
      <c r="C72" s="118" t="s">
        <v>145</v>
      </c>
      <c r="D72" s="118">
        <f>SUM('Fairway Log'!$F72:$V72)</f>
        <v>4</v>
      </c>
      <c r="E72" s="61" t="s">
        <v>135</v>
      </c>
      <c r="F72" s="87" t="s">
        <v>139</v>
      </c>
      <c r="G72" s="61" t="s">
        <v>135</v>
      </c>
      <c r="H72" s="126"/>
      <c r="I72" s="87" t="s">
        <v>139</v>
      </c>
      <c r="J72" s="60" t="s">
        <v>136</v>
      </c>
      <c r="K72" s="126"/>
      <c r="L72" s="126">
        <v>1</v>
      </c>
      <c r="M72" s="126">
        <v>1</v>
      </c>
      <c r="N72" s="87" t="s">
        <v>135</v>
      </c>
      <c r="O72" s="87" t="s">
        <v>139</v>
      </c>
      <c r="P72" s="126">
        <v>1</v>
      </c>
      <c r="Q72" s="87" t="s">
        <v>139</v>
      </c>
      <c r="R72" s="126"/>
      <c r="S72" s="126">
        <v>1</v>
      </c>
      <c r="T72" s="126"/>
      <c r="U72" s="87" t="s">
        <v>135</v>
      </c>
      <c r="V72" s="87" t="s">
        <v>135</v>
      </c>
      <c r="W72" s="127">
        <f>IFERROR(COUNTIF('Fairway Log'!$F72:$V72,1)/COUNTA('Fairway Log'!$F72:$V72),"")</f>
        <v>0.30769230769230771</v>
      </c>
    </row>
    <row r="73" spans="1:23" x14ac:dyDescent="0.25">
      <c r="A73" s="78"/>
      <c r="B73" s="79"/>
      <c r="C73" s="78"/>
      <c r="D73" s="78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6"/>
    </row>
    <row r="74" spans="1:23" x14ac:dyDescent="0.25">
      <c r="A74" s="35"/>
      <c r="B74" s="36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 spans="1:23" x14ac:dyDescent="0.25">
      <c r="A75" s="20" t="s">
        <v>125</v>
      </c>
      <c r="B75" s="26" t="s">
        <v>19</v>
      </c>
      <c r="C75" s="26" t="s">
        <v>24</v>
      </c>
      <c r="D75" s="26" t="s">
        <v>31</v>
      </c>
      <c r="E75" s="26" t="s">
        <v>47</v>
      </c>
      <c r="F75" s="26" t="s">
        <v>48</v>
      </c>
      <c r="G75" s="26" t="s">
        <v>49</v>
      </c>
      <c r="H75" s="26" t="s">
        <v>50</v>
      </c>
      <c r="I75" s="26" t="s">
        <v>51</v>
      </c>
      <c r="J75" s="26" t="s">
        <v>52</v>
      </c>
      <c r="K75" s="26" t="s">
        <v>53</v>
      </c>
      <c r="L75" s="26" t="s">
        <v>54</v>
      </c>
      <c r="M75" s="26" t="s">
        <v>55</v>
      </c>
      <c r="O75" s="87" t="s">
        <v>135</v>
      </c>
      <c r="P75" s="87" t="s">
        <v>139</v>
      </c>
      <c r="Q75" s="88" t="s">
        <v>136</v>
      </c>
      <c r="R75" s="87" t="s">
        <v>138</v>
      </c>
    </row>
    <row r="76" spans="1:23" x14ac:dyDescent="0.25">
      <c r="A76" s="20" t="s">
        <v>126</v>
      </c>
      <c r="B76" s="27">
        <v>45457</v>
      </c>
      <c r="C76" s="20" t="s">
        <v>38</v>
      </c>
      <c r="D76" s="20">
        <f>SUM('Fairway Log'!$E76:$M76)</f>
        <v>5</v>
      </c>
      <c r="E76" s="20">
        <v>1</v>
      </c>
      <c r="F76" s="20">
        <v>1</v>
      </c>
      <c r="G76" s="20"/>
      <c r="H76" s="20">
        <v>1</v>
      </c>
      <c r="I76" s="20">
        <v>1</v>
      </c>
      <c r="J76" s="20"/>
      <c r="K76" s="20">
        <v>1</v>
      </c>
      <c r="L76" s="20">
        <v>0</v>
      </c>
      <c r="M76" s="20">
        <v>0</v>
      </c>
    </row>
    <row r="77" spans="1:23" x14ac:dyDescent="0.25">
      <c r="A77" s="20" t="s">
        <v>126</v>
      </c>
      <c r="B77" s="27">
        <v>45454</v>
      </c>
      <c r="C77" s="20" t="s">
        <v>5</v>
      </c>
      <c r="D77" s="20">
        <f>SUM('Fairway Log'!$E77:$M77)</f>
        <v>1</v>
      </c>
      <c r="E77" s="20">
        <v>0</v>
      </c>
      <c r="F77" s="20">
        <v>0</v>
      </c>
      <c r="G77" s="20"/>
      <c r="H77" s="20">
        <v>0</v>
      </c>
      <c r="I77" s="20">
        <v>0</v>
      </c>
      <c r="J77" s="20">
        <v>0</v>
      </c>
      <c r="K77" s="20"/>
      <c r="L77" s="20">
        <v>0</v>
      </c>
      <c r="M77" s="20">
        <v>1</v>
      </c>
    </row>
  </sheetData>
  <phoneticPr fontId="23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5D1D-94B0-405B-80A6-CDD7B4BA9C48}">
  <dimension ref="A1:W77"/>
  <sheetViews>
    <sheetView topLeftCell="A52" workbookViewId="0">
      <selection activeCell="R76" sqref="R76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41" bestFit="1" customWidth="1"/>
    <col min="4" max="4" width="6.42578125" bestFit="1" customWidth="1"/>
    <col min="5" max="13" width="8.85546875" bestFit="1" customWidth="1"/>
    <col min="14" max="22" width="9.85546875" bestFit="1" customWidth="1"/>
    <col min="24" max="27" width="3" bestFit="1" customWidth="1"/>
  </cols>
  <sheetData>
    <row r="1" spans="1:23" x14ac:dyDescent="0.25">
      <c r="A1" s="20" t="s">
        <v>125</v>
      </c>
      <c r="B1" s="26" t="s">
        <v>19</v>
      </c>
      <c r="C1" s="26" t="s">
        <v>24</v>
      </c>
      <c r="D1" s="26" t="s">
        <v>1</v>
      </c>
      <c r="E1" s="26" t="s">
        <v>47</v>
      </c>
      <c r="F1" s="26" t="s">
        <v>48</v>
      </c>
      <c r="G1" s="26" t="s">
        <v>49</v>
      </c>
      <c r="H1" s="26" t="s">
        <v>50</v>
      </c>
      <c r="I1" s="26" t="s">
        <v>51</v>
      </c>
      <c r="J1" s="26" t="s">
        <v>52</v>
      </c>
      <c r="K1" s="26" t="s">
        <v>53</v>
      </c>
      <c r="L1" s="26" t="s">
        <v>54</v>
      </c>
      <c r="M1" s="26" t="s">
        <v>55</v>
      </c>
      <c r="N1" s="26" t="s">
        <v>56</v>
      </c>
      <c r="O1" s="26" t="s">
        <v>57</v>
      </c>
      <c r="P1" s="26" t="s">
        <v>58</v>
      </c>
      <c r="Q1" s="26" t="s">
        <v>59</v>
      </c>
      <c r="R1" s="26" t="s">
        <v>60</v>
      </c>
      <c r="S1" s="26" t="s">
        <v>61</v>
      </c>
      <c r="T1" s="26" t="s">
        <v>62</v>
      </c>
      <c r="U1" s="26" t="s">
        <v>63</v>
      </c>
      <c r="V1" s="26" t="s">
        <v>64</v>
      </c>
      <c r="W1" s="26" t="s">
        <v>141</v>
      </c>
    </row>
    <row r="2" spans="1:23" x14ac:dyDescent="0.25">
      <c r="A2" s="20" t="s">
        <v>126</v>
      </c>
      <c r="B2" s="27">
        <v>45735</v>
      </c>
      <c r="C2" s="20" t="s">
        <v>3</v>
      </c>
      <c r="D2" s="20">
        <f>SUM('GIR Log'!$E2:$V2)</f>
        <v>10</v>
      </c>
      <c r="E2" s="60" t="s">
        <v>139</v>
      </c>
      <c r="F2" s="60" t="s">
        <v>136</v>
      </c>
      <c r="G2" s="60" t="s">
        <v>139</v>
      </c>
      <c r="H2" s="61">
        <v>1</v>
      </c>
      <c r="I2" s="60" t="s">
        <v>139</v>
      </c>
      <c r="J2" s="61">
        <v>1</v>
      </c>
      <c r="K2" s="60" t="s">
        <v>136</v>
      </c>
      <c r="L2" s="61">
        <v>1</v>
      </c>
      <c r="M2" s="61">
        <v>1</v>
      </c>
      <c r="N2" s="61">
        <v>1</v>
      </c>
      <c r="O2" s="60" t="s">
        <v>135</v>
      </c>
      <c r="P2" s="61">
        <v>1</v>
      </c>
      <c r="Q2" s="61">
        <v>1</v>
      </c>
      <c r="R2" s="61">
        <v>1</v>
      </c>
      <c r="S2" s="60" t="s">
        <v>136</v>
      </c>
      <c r="T2" s="61">
        <v>1</v>
      </c>
      <c r="U2" s="61">
        <v>1</v>
      </c>
      <c r="V2" s="60" t="s">
        <v>136</v>
      </c>
      <c r="W2" s="67">
        <f>IFERROR('GIR Log'!$D2/COUNTA('GIR Log'!$E2:$V2),0)</f>
        <v>0.55555555555555558</v>
      </c>
    </row>
    <row r="3" spans="1:23" x14ac:dyDescent="0.25">
      <c r="A3" s="20" t="s">
        <v>126</v>
      </c>
      <c r="B3" s="27">
        <v>45655</v>
      </c>
      <c r="C3" s="20" t="s">
        <v>4</v>
      </c>
      <c r="D3" s="20">
        <f>SUM('GIR Log'!$E3:$V3)</f>
        <v>6</v>
      </c>
      <c r="E3" s="61">
        <v>1</v>
      </c>
      <c r="F3" s="60" t="s">
        <v>136</v>
      </c>
      <c r="G3" s="60" t="s">
        <v>135</v>
      </c>
      <c r="H3" s="61">
        <v>1</v>
      </c>
      <c r="I3" s="60" t="s">
        <v>136</v>
      </c>
      <c r="J3" s="60" t="s">
        <v>136</v>
      </c>
      <c r="K3" s="60" t="s">
        <v>136</v>
      </c>
      <c r="L3" s="60" t="s">
        <v>136</v>
      </c>
      <c r="M3" s="61">
        <v>1</v>
      </c>
      <c r="N3" s="61">
        <v>1</v>
      </c>
      <c r="O3" s="60" t="s">
        <v>135</v>
      </c>
      <c r="P3" s="60" t="s">
        <v>135</v>
      </c>
      <c r="Q3" s="60" t="s">
        <v>136</v>
      </c>
      <c r="R3" s="60" t="s">
        <v>136</v>
      </c>
      <c r="S3" s="60" t="s">
        <v>136</v>
      </c>
      <c r="T3" s="60" t="s">
        <v>136</v>
      </c>
      <c r="U3" s="61">
        <v>1</v>
      </c>
      <c r="V3" s="61">
        <v>1</v>
      </c>
      <c r="W3" s="67">
        <f>IFERROR('GIR Log'!$D3/COUNTA('GIR Log'!$E3:$V3),0)</f>
        <v>0.33333333333333331</v>
      </c>
    </row>
    <row r="4" spans="1:23" x14ac:dyDescent="0.25">
      <c r="A4" s="20" t="s">
        <v>126</v>
      </c>
      <c r="B4" s="27">
        <v>45653</v>
      </c>
      <c r="C4" s="20" t="s">
        <v>2</v>
      </c>
      <c r="D4" s="20">
        <f>SUM('GIR Log'!$E4:$V4)</f>
        <v>5</v>
      </c>
      <c r="E4" s="60" t="s">
        <v>136</v>
      </c>
      <c r="F4" s="61">
        <v>1</v>
      </c>
      <c r="G4" s="60" t="s">
        <v>138</v>
      </c>
      <c r="H4" s="61">
        <v>1</v>
      </c>
      <c r="I4" s="60" t="s">
        <v>136</v>
      </c>
      <c r="J4" s="61">
        <v>1</v>
      </c>
      <c r="K4" s="60" t="s">
        <v>135</v>
      </c>
      <c r="L4" s="61">
        <v>1</v>
      </c>
      <c r="M4" s="60" t="s">
        <v>136</v>
      </c>
      <c r="N4" s="60" t="s">
        <v>138</v>
      </c>
      <c r="O4" s="61">
        <v>1</v>
      </c>
      <c r="P4" s="60" t="s">
        <v>136</v>
      </c>
      <c r="Q4" s="60" t="s">
        <v>136</v>
      </c>
      <c r="R4" s="60" t="s">
        <v>136</v>
      </c>
      <c r="S4" s="60" t="s">
        <v>138</v>
      </c>
      <c r="T4" s="60" t="s">
        <v>138</v>
      </c>
      <c r="U4" s="60" t="s">
        <v>138</v>
      </c>
      <c r="V4" s="60" t="s">
        <v>135</v>
      </c>
      <c r="W4" s="67">
        <f>IFERROR('GIR Log'!$D4/COUNTA('GIR Log'!$E4:$V4),0)</f>
        <v>0.27777777777777779</v>
      </c>
    </row>
    <row r="5" spans="1:23" x14ac:dyDescent="0.25">
      <c r="A5" s="20" t="s">
        <v>126</v>
      </c>
      <c r="B5" s="27">
        <v>45649</v>
      </c>
      <c r="C5" s="20" t="s">
        <v>14</v>
      </c>
      <c r="D5" s="20">
        <f>SUM('GIR Log'!$E5:$V5)</f>
        <v>1</v>
      </c>
      <c r="E5" s="60" t="s">
        <v>139</v>
      </c>
      <c r="F5" s="60" t="s">
        <v>136</v>
      </c>
      <c r="G5" s="60" t="s">
        <v>135</v>
      </c>
      <c r="H5" s="60" t="s">
        <v>138</v>
      </c>
      <c r="I5" s="61">
        <v>0</v>
      </c>
      <c r="J5" s="61">
        <v>1</v>
      </c>
      <c r="K5" s="60" t="s">
        <v>136</v>
      </c>
      <c r="L5" s="60" t="s">
        <v>136</v>
      </c>
      <c r="M5" s="60" t="s">
        <v>136</v>
      </c>
      <c r="N5" s="60" t="s">
        <v>136</v>
      </c>
      <c r="O5" s="60" t="s">
        <v>136</v>
      </c>
      <c r="P5" s="60" t="s">
        <v>139</v>
      </c>
      <c r="Q5" s="60" t="s">
        <v>136</v>
      </c>
      <c r="R5" s="60" t="s">
        <v>139</v>
      </c>
      <c r="S5" s="60" t="s">
        <v>139</v>
      </c>
      <c r="T5" s="60" t="s">
        <v>138</v>
      </c>
      <c r="U5" s="60" t="s">
        <v>135</v>
      </c>
      <c r="V5" s="60" t="s">
        <v>136</v>
      </c>
      <c r="W5" s="67">
        <f>IFERROR('GIR Log'!$D5/COUNTA('GIR Log'!$E5:$V5),0)</f>
        <v>5.5555555555555552E-2</v>
      </c>
    </row>
    <row r="6" spans="1:23" x14ac:dyDescent="0.25">
      <c r="A6" s="20" t="s">
        <v>126</v>
      </c>
      <c r="B6" s="27">
        <v>45580</v>
      </c>
      <c r="C6" s="20" t="s">
        <v>7</v>
      </c>
      <c r="D6" s="20">
        <f>SUM('GIR Log'!$E6:$V6)</f>
        <v>5</v>
      </c>
      <c r="E6" s="60" t="s">
        <v>138</v>
      </c>
      <c r="F6" s="60" t="s">
        <v>136</v>
      </c>
      <c r="G6" s="61">
        <v>1</v>
      </c>
      <c r="H6" s="60" t="s">
        <v>135</v>
      </c>
      <c r="I6" s="61">
        <v>1</v>
      </c>
      <c r="J6" s="60" t="s">
        <v>135</v>
      </c>
      <c r="K6" s="61">
        <v>1</v>
      </c>
      <c r="L6" s="60" t="s">
        <v>138</v>
      </c>
      <c r="M6" s="61">
        <v>1</v>
      </c>
      <c r="N6" s="60" t="s">
        <v>136</v>
      </c>
      <c r="O6" s="60" t="s">
        <v>136</v>
      </c>
      <c r="P6" s="60" t="s">
        <v>139</v>
      </c>
      <c r="Q6" s="60" t="s">
        <v>139</v>
      </c>
      <c r="R6" s="60" t="s">
        <v>136</v>
      </c>
      <c r="S6" s="61">
        <v>1</v>
      </c>
      <c r="T6" s="61">
        <v>0</v>
      </c>
      <c r="U6" s="61">
        <v>0</v>
      </c>
      <c r="V6" s="60" t="s">
        <v>139</v>
      </c>
      <c r="W6" s="67">
        <f>IFERROR('GIR Log'!$D6/COUNTA('GIR Log'!$E6:$V6),0)</f>
        <v>0.27777777777777779</v>
      </c>
    </row>
    <row r="7" spans="1:23" x14ac:dyDescent="0.25">
      <c r="A7" s="20" t="s">
        <v>126</v>
      </c>
      <c r="B7" s="27">
        <v>45570</v>
      </c>
      <c r="C7" s="20" t="s">
        <v>3</v>
      </c>
      <c r="D7" s="20">
        <f>SUM('GIR Log'!$E7:$V7)</f>
        <v>4</v>
      </c>
      <c r="E7" s="61">
        <v>1</v>
      </c>
      <c r="F7" s="60" t="s">
        <v>139</v>
      </c>
      <c r="G7" s="60" t="s">
        <v>136</v>
      </c>
      <c r="H7" s="60" t="s">
        <v>136</v>
      </c>
      <c r="I7" s="60" t="s">
        <v>136</v>
      </c>
      <c r="J7" s="60" t="s">
        <v>135</v>
      </c>
      <c r="K7" s="60" t="s">
        <v>135</v>
      </c>
      <c r="L7" s="61">
        <v>1</v>
      </c>
      <c r="M7" s="61">
        <v>1</v>
      </c>
      <c r="N7" s="60" t="s">
        <v>138</v>
      </c>
      <c r="O7" s="61">
        <v>1</v>
      </c>
      <c r="P7" s="60" t="s">
        <v>136</v>
      </c>
      <c r="Q7" s="60" t="s">
        <v>136</v>
      </c>
      <c r="R7" s="60" t="s">
        <v>139</v>
      </c>
      <c r="S7" s="60" t="s">
        <v>139</v>
      </c>
      <c r="T7" s="60" t="s">
        <v>139</v>
      </c>
      <c r="U7" s="60" t="s">
        <v>135</v>
      </c>
      <c r="V7" s="60" t="s">
        <v>139</v>
      </c>
      <c r="W7" s="67">
        <f>IFERROR('GIR Log'!$D7/COUNTA('GIR Log'!$E7:$V7),0)</f>
        <v>0.22222222222222221</v>
      </c>
    </row>
    <row r="8" spans="1:23" x14ac:dyDescent="0.25">
      <c r="A8" s="20" t="s">
        <v>126</v>
      </c>
      <c r="B8" s="27">
        <v>45535</v>
      </c>
      <c r="C8" s="20" t="s">
        <v>9</v>
      </c>
      <c r="D8" s="20">
        <f>SUM('GIR Log'!$E8:$V8)</f>
        <v>3</v>
      </c>
      <c r="E8" s="62" t="s">
        <v>137</v>
      </c>
      <c r="F8" s="62" t="s">
        <v>137</v>
      </c>
      <c r="G8" s="62" t="s">
        <v>137</v>
      </c>
      <c r="H8" s="63" t="s">
        <v>135</v>
      </c>
      <c r="I8" s="62" t="s">
        <v>137</v>
      </c>
      <c r="J8" s="63" t="s">
        <v>135</v>
      </c>
      <c r="K8" s="63" t="s">
        <v>136</v>
      </c>
      <c r="L8" s="63" t="s">
        <v>138</v>
      </c>
      <c r="M8" s="62" t="s">
        <v>137</v>
      </c>
      <c r="N8" s="61">
        <v>1</v>
      </c>
      <c r="O8" s="63" t="s">
        <v>136</v>
      </c>
      <c r="P8" s="61">
        <v>1</v>
      </c>
      <c r="Q8" s="63" t="s">
        <v>139</v>
      </c>
      <c r="R8" s="63" t="s">
        <v>136</v>
      </c>
      <c r="S8" s="63" t="s">
        <v>135</v>
      </c>
      <c r="T8" s="63" t="s">
        <v>136</v>
      </c>
      <c r="U8" s="63" t="s">
        <v>139</v>
      </c>
      <c r="V8" s="61">
        <v>1</v>
      </c>
      <c r="W8" s="67">
        <f>IFERROR('GIR Log'!$D8/COUNTA('GIR Log'!$E8:$V8),0)</f>
        <v>0.16666666666666666</v>
      </c>
    </row>
    <row r="9" spans="1:23" x14ac:dyDescent="0.25">
      <c r="A9" s="20" t="s">
        <v>126</v>
      </c>
      <c r="B9" s="27">
        <v>45514</v>
      </c>
      <c r="C9" s="20" t="s">
        <v>6</v>
      </c>
      <c r="D9" s="20">
        <f>SUM('GIR Log'!$E9:$V9)</f>
        <v>4</v>
      </c>
      <c r="E9" s="64" t="s">
        <v>137</v>
      </c>
      <c r="F9" s="60" t="s">
        <v>136</v>
      </c>
      <c r="G9" s="60" t="s">
        <v>135</v>
      </c>
      <c r="H9" s="60" t="s">
        <v>139</v>
      </c>
      <c r="I9" s="60" t="s">
        <v>136</v>
      </c>
      <c r="J9" s="60" t="s">
        <v>136</v>
      </c>
      <c r="K9" s="60" t="s">
        <v>136</v>
      </c>
      <c r="L9" s="60" t="s">
        <v>138</v>
      </c>
      <c r="M9" s="61">
        <v>1</v>
      </c>
      <c r="N9" s="61">
        <v>1</v>
      </c>
      <c r="O9" s="61">
        <v>1</v>
      </c>
      <c r="P9" s="60" t="s">
        <v>139</v>
      </c>
      <c r="Q9" s="60" t="s">
        <v>139</v>
      </c>
      <c r="R9" s="60" t="s">
        <v>136</v>
      </c>
      <c r="S9" s="60" t="s">
        <v>136</v>
      </c>
      <c r="T9" s="61">
        <v>1</v>
      </c>
      <c r="U9" s="60" t="s">
        <v>135</v>
      </c>
      <c r="V9" s="60" t="s">
        <v>139</v>
      </c>
      <c r="W9" s="67">
        <f>IFERROR('GIR Log'!$D9/COUNTA('GIR Log'!$E9:$V9),0)</f>
        <v>0.22222222222222221</v>
      </c>
    </row>
    <row r="10" spans="1:23" x14ac:dyDescent="0.25">
      <c r="A10" s="20" t="s">
        <v>126</v>
      </c>
      <c r="B10" s="27">
        <v>45502</v>
      </c>
      <c r="C10" s="20" t="s">
        <v>3</v>
      </c>
      <c r="D10" s="20">
        <f>SUM('GIR Log'!$E10:$V10)</f>
        <v>4</v>
      </c>
      <c r="E10" s="61">
        <v>1</v>
      </c>
      <c r="F10" s="61">
        <v>1</v>
      </c>
      <c r="G10" s="60" t="s">
        <v>136</v>
      </c>
      <c r="H10" s="60" t="s">
        <v>135</v>
      </c>
      <c r="I10" s="60" t="s">
        <v>135</v>
      </c>
      <c r="J10" s="60" t="s">
        <v>135</v>
      </c>
      <c r="K10" s="60" t="s">
        <v>135</v>
      </c>
      <c r="L10" s="60" t="s">
        <v>135</v>
      </c>
      <c r="M10" s="61" t="s">
        <v>135</v>
      </c>
      <c r="N10" s="60" t="s">
        <v>135</v>
      </c>
      <c r="O10" s="61">
        <v>0</v>
      </c>
      <c r="P10" s="61">
        <v>1</v>
      </c>
      <c r="Q10" s="61">
        <v>0</v>
      </c>
      <c r="R10" s="61">
        <v>1</v>
      </c>
      <c r="S10" s="61">
        <v>0</v>
      </c>
      <c r="T10" s="61">
        <v>0</v>
      </c>
      <c r="U10" s="61">
        <v>0</v>
      </c>
      <c r="V10" s="61">
        <v>0</v>
      </c>
      <c r="W10" s="67">
        <f>IFERROR('GIR Log'!$D10/COUNTA('GIR Log'!$E10:$V10),0)</f>
        <v>0.22222222222222221</v>
      </c>
    </row>
    <row r="11" spans="1:23" x14ac:dyDescent="0.25">
      <c r="A11" s="20" t="s">
        <v>126</v>
      </c>
      <c r="B11" s="27">
        <v>45496</v>
      </c>
      <c r="C11" s="20" t="s">
        <v>6</v>
      </c>
      <c r="D11" s="20">
        <f>SUM('GIR Log'!$E11:$V11)</f>
        <v>3</v>
      </c>
      <c r="E11" s="61">
        <v>0</v>
      </c>
      <c r="F11" s="61">
        <v>0</v>
      </c>
      <c r="G11" s="61">
        <v>0</v>
      </c>
      <c r="H11" s="61">
        <v>1</v>
      </c>
      <c r="I11" s="61">
        <v>0</v>
      </c>
      <c r="J11" s="61">
        <v>0</v>
      </c>
      <c r="K11" s="61">
        <v>0</v>
      </c>
      <c r="L11" s="61">
        <v>0</v>
      </c>
      <c r="M11" s="61">
        <v>1</v>
      </c>
      <c r="N11" s="61">
        <v>0</v>
      </c>
      <c r="O11" s="61">
        <v>0</v>
      </c>
      <c r="P11" s="61">
        <v>0</v>
      </c>
      <c r="Q11" s="61">
        <v>1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7">
        <f>IFERROR('GIR Log'!$D11/COUNTA('GIR Log'!$E11:$V11),0)</f>
        <v>0.16666666666666666</v>
      </c>
    </row>
    <row r="12" spans="1:23" x14ac:dyDescent="0.25">
      <c r="A12" s="20" t="s">
        <v>126</v>
      </c>
      <c r="B12" s="27">
        <v>45492</v>
      </c>
      <c r="C12" s="20" t="s">
        <v>6</v>
      </c>
      <c r="D12" s="20">
        <f>SUM('GIR Log'!$E12:$V12)</f>
        <v>5</v>
      </c>
      <c r="E12" s="60" t="s">
        <v>136</v>
      </c>
      <c r="F12" s="61">
        <v>1</v>
      </c>
      <c r="G12" s="60" t="s">
        <v>135</v>
      </c>
      <c r="H12" s="61">
        <v>1</v>
      </c>
      <c r="I12" s="60" t="s">
        <v>135</v>
      </c>
      <c r="J12" s="60" t="s">
        <v>136</v>
      </c>
      <c r="K12" s="60" t="s">
        <v>136</v>
      </c>
      <c r="L12" s="60" t="s">
        <v>138</v>
      </c>
      <c r="M12" s="60" t="s">
        <v>139</v>
      </c>
      <c r="N12" s="61">
        <v>1</v>
      </c>
      <c r="O12" s="60" t="s">
        <v>136</v>
      </c>
      <c r="P12" s="60" t="s">
        <v>136</v>
      </c>
      <c r="Q12" s="61">
        <v>1</v>
      </c>
      <c r="R12" s="60" t="s">
        <v>135</v>
      </c>
      <c r="S12" s="60" t="s">
        <v>136</v>
      </c>
      <c r="T12" s="60" t="s">
        <v>138</v>
      </c>
      <c r="U12" s="61">
        <v>1</v>
      </c>
      <c r="V12" s="60" t="s">
        <v>136</v>
      </c>
      <c r="W12" s="67">
        <f>IFERROR('GIR Log'!$D12/COUNTA('GIR Log'!$E12:$V12),0)</f>
        <v>0.27777777777777779</v>
      </c>
    </row>
    <row r="13" spans="1:23" x14ac:dyDescent="0.25">
      <c r="A13" s="20" t="s">
        <v>126</v>
      </c>
      <c r="B13" s="27">
        <v>45487</v>
      </c>
      <c r="C13" s="20" t="s">
        <v>3</v>
      </c>
      <c r="D13" s="20">
        <f>SUM('GIR Log'!$E13:$V13)</f>
        <v>6</v>
      </c>
      <c r="E13" s="60" t="s">
        <v>136</v>
      </c>
      <c r="F13" s="60" t="s">
        <v>136</v>
      </c>
      <c r="G13" s="60" t="s">
        <v>136</v>
      </c>
      <c r="H13" s="61">
        <v>1</v>
      </c>
      <c r="I13" s="60" t="s">
        <v>139</v>
      </c>
      <c r="J13" s="60" t="s">
        <v>135</v>
      </c>
      <c r="K13" s="61">
        <v>1</v>
      </c>
      <c r="L13" s="60" t="s">
        <v>135</v>
      </c>
      <c r="M13" s="61">
        <v>1</v>
      </c>
      <c r="N13" s="64" t="s">
        <v>137</v>
      </c>
      <c r="O13" s="60" t="s">
        <v>136</v>
      </c>
      <c r="P13" s="60" t="s">
        <v>136</v>
      </c>
      <c r="Q13" s="61">
        <v>1</v>
      </c>
      <c r="R13" s="61">
        <v>1</v>
      </c>
      <c r="S13" s="60" t="s">
        <v>135</v>
      </c>
      <c r="T13" s="61">
        <v>1</v>
      </c>
      <c r="U13" s="60" t="s">
        <v>136</v>
      </c>
      <c r="V13" s="60" t="s">
        <v>136</v>
      </c>
      <c r="W13" s="67">
        <f>IFERROR('GIR Log'!$D13/COUNTA('GIR Log'!$E13:$V13),0)</f>
        <v>0.33333333333333331</v>
      </c>
    </row>
    <row r="14" spans="1:23" x14ac:dyDescent="0.25">
      <c r="A14" s="20" t="s">
        <v>126</v>
      </c>
      <c r="B14" s="27">
        <v>45480</v>
      </c>
      <c r="C14" s="20" t="s">
        <v>10</v>
      </c>
      <c r="D14" s="20">
        <f>SUM('GIR Log'!$E14:$V14)</f>
        <v>2</v>
      </c>
      <c r="E14" s="60" t="s">
        <v>135</v>
      </c>
      <c r="F14" s="60" t="s">
        <v>139</v>
      </c>
      <c r="G14" s="60" t="s">
        <v>136</v>
      </c>
      <c r="H14" s="60" t="s">
        <v>139</v>
      </c>
      <c r="I14" s="61">
        <v>1</v>
      </c>
      <c r="J14" s="60" t="s">
        <v>138</v>
      </c>
      <c r="K14" s="60" t="s">
        <v>136</v>
      </c>
      <c r="L14" s="60" t="s">
        <v>139</v>
      </c>
      <c r="M14" s="60" t="s">
        <v>136</v>
      </c>
      <c r="N14" s="60" t="s">
        <v>136</v>
      </c>
      <c r="O14" s="60" t="s">
        <v>136</v>
      </c>
      <c r="P14" s="60" t="s">
        <v>135</v>
      </c>
      <c r="Q14" s="60" t="s">
        <v>139</v>
      </c>
      <c r="R14" s="60" t="s">
        <v>136</v>
      </c>
      <c r="S14" s="60" t="s">
        <v>136</v>
      </c>
      <c r="T14" s="61">
        <v>1</v>
      </c>
      <c r="U14" s="60" t="s">
        <v>135</v>
      </c>
      <c r="V14" s="60" t="s">
        <v>136</v>
      </c>
      <c r="W14" s="67">
        <f>IFERROR('GIR Log'!$D14/COUNTA('GIR Log'!$E14:$V14),0)</f>
        <v>0.1111111111111111</v>
      </c>
    </row>
    <row r="15" spans="1:23" x14ac:dyDescent="0.25">
      <c r="A15" s="20" t="s">
        <v>126</v>
      </c>
      <c r="B15" s="27">
        <v>45475</v>
      </c>
      <c r="C15" s="20" t="s">
        <v>5</v>
      </c>
      <c r="D15" s="20">
        <f>SUM('GIR Log'!$E15:$V15)</f>
        <v>8</v>
      </c>
      <c r="E15" s="64" t="s">
        <v>137</v>
      </c>
      <c r="F15" s="64" t="s">
        <v>137</v>
      </c>
      <c r="G15" s="61">
        <v>1</v>
      </c>
      <c r="H15" s="61">
        <v>1</v>
      </c>
      <c r="I15" s="61">
        <v>1</v>
      </c>
      <c r="J15" s="64" t="s">
        <v>137</v>
      </c>
      <c r="K15" s="60" t="s">
        <v>135</v>
      </c>
      <c r="L15" s="61">
        <v>1</v>
      </c>
      <c r="M15" s="61">
        <v>1</v>
      </c>
      <c r="N15" s="61">
        <v>1</v>
      </c>
      <c r="O15" s="60" t="s">
        <v>135</v>
      </c>
      <c r="P15" s="60" t="s">
        <v>135</v>
      </c>
      <c r="Q15" s="61">
        <v>1</v>
      </c>
      <c r="R15" s="60" t="s">
        <v>136</v>
      </c>
      <c r="S15" s="60" t="s">
        <v>138</v>
      </c>
      <c r="T15" s="61">
        <v>1</v>
      </c>
      <c r="U15" s="60" t="s">
        <v>135</v>
      </c>
      <c r="V15" s="60" t="s">
        <v>138</v>
      </c>
      <c r="W15" s="67">
        <f>IFERROR('GIR Log'!$D15/COUNTA('GIR Log'!$E15:$V15),0)</f>
        <v>0.44444444444444442</v>
      </c>
    </row>
    <row r="16" spans="1:23" x14ac:dyDescent="0.25">
      <c r="A16" s="20" t="s">
        <v>126</v>
      </c>
      <c r="B16" s="27">
        <v>45467</v>
      </c>
      <c r="C16" s="20" t="s">
        <v>5</v>
      </c>
      <c r="D16" s="20">
        <f>SUM('GIR Log'!$E16:$V16)</f>
        <v>9</v>
      </c>
      <c r="E16" s="64" t="s">
        <v>137</v>
      </c>
      <c r="F16" s="64" t="s">
        <v>137</v>
      </c>
      <c r="G16" s="60" t="s">
        <v>136</v>
      </c>
      <c r="H16" s="61">
        <v>1</v>
      </c>
      <c r="I16" s="61">
        <v>1</v>
      </c>
      <c r="J16" s="64" t="s">
        <v>137</v>
      </c>
      <c r="K16" s="60" t="s">
        <v>136</v>
      </c>
      <c r="L16" s="60" t="s">
        <v>136</v>
      </c>
      <c r="M16" s="60" t="s">
        <v>136</v>
      </c>
      <c r="N16" s="60" t="s">
        <v>137</v>
      </c>
      <c r="O16" s="64" t="s">
        <v>137</v>
      </c>
      <c r="P16" s="61">
        <v>1</v>
      </c>
      <c r="Q16" s="61">
        <v>1</v>
      </c>
      <c r="R16" s="61">
        <v>1</v>
      </c>
      <c r="S16" s="61">
        <v>1</v>
      </c>
      <c r="T16" s="61">
        <v>1</v>
      </c>
      <c r="U16" s="61">
        <v>1</v>
      </c>
      <c r="V16" s="61">
        <v>1</v>
      </c>
      <c r="W16" s="67">
        <f>IFERROR('GIR Log'!$D16/COUNTA('GIR Log'!$E16:$V16),0)</f>
        <v>0.5</v>
      </c>
    </row>
    <row r="17" spans="1:23" x14ac:dyDescent="0.25">
      <c r="A17" s="20" t="s">
        <v>126</v>
      </c>
      <c r="B17" s="27">
        <v>45466</v>
      </c>
      <c r="C17" s="20" t="s">
        <v>10</v>
      </c>
      <c r="D17" s="20">
        <f>SUM('GIR Log'!$E17:$V17)</f>
        <v>4</v>
      </c>
      <c r="E17" s="60" t="s">
        <v>136</v>
      </c>
      <c r="F17" s="60" t="s">
        <v>136</v>
      </c>
      <c r="G17" s="61">
        <v>1</v>
      </c>
      <c r="H17" s="60" t="s">
        <v>139</v>
      </c>
      <c r="I17" s="60" t="s">
        <v>138</v>
      </c>
      <c r="J17" s="60" t="s">
        <v>136</v>
      </c>
      <c r="K17" s="60" t="s">
        <v>139</v>
      </c>
      <c r="L17" s="60" t="s">
        <v>138</v>
      </c>
      <c r="M17" s="60" t="s">
        <v>136</v>
      </c>
      <c r="N17" s="60" t="s">
        <v>136</v>
      </c>
      <c r="O17" s="61">
        <v>1</v>
      </c>
      <c r="P17" s="61">
        <v>1</v>
      </c>
      <c r="Q17" s="60" t="s">
        <v>139</v>
      </c>
      <c r="R17" s="60" t="s">
        <v>136</v>
      </c>
      <c r="S17" s="60" t="s">
        <v>136</v>
      </c>
      <c r="T17" s="60" t="s">
        <v>136</v>
      </c>
      <c r="U17" s="61">
        <v>1</v>
      </c>
      <c r="V17" s="60" t="s">
        <v>136</v>
      </c>
      <c r="W17" s="67">
        <f>IFERROR('GIR Log'!$D17/COUNTA('GIR Log'!$E17:$V17),0)</f>
        <v>0.22222222222222221</v>
      </c>
    </row>
    <row r="18" spans="1:23" x14ac:dyDescent="0.25">
      <c r="A18" s="20" t="s">
        <v>126</v>
      </c>
      <c r="B18" s="27">
        <v>45465</v>
      </c>
      <c r="C18" s="20" t="s">
        <v>12</v>
      </c>
      <c r="D18" s="20">
        <f>SUM('GIR Log'!$E18:$V18)</f>
        <v>2</v>
      </c>
      <c r="E18" s="60" t="s">
        <v>136</v>
      </c>
      <c r="F18" s="60" t="s">
        <v>136</v>
      </c>
      <c r="G18" s="60" t="s">
        <v>138</v>
      </c>
      <c r="H18" s="60" t="s">
        <v>136</v>
      </c>
      <c r="I18" s="61">
        <v>1</v>
      </c>
      <c r="J18" s="60" t="s">
        <v>136</v>
      </c>
      <c r="K18" s="60" t="s">
        <v>138</v>
      </c>
      <c r="L18" s="61">
        <v>1</v>
      </c>
      <c r="M18" s="60" t="s">
        <v>138</v>
      </c>
      <c r="N18" s="60" t="s">
        <v>136</v>
      </c>
      <c r="O18" s="60" t="s">
        <v>136</v>
      </c>
      <c r="P18" s="60" t="s">
        <v>138</v>
      </c>
      <c r="Q18" s="60" t="s">
        <v>135</v>
      </c>
      <c r="R18" s="60" t="s">
        <v>138</v>
      </c>
      <c r="S18" s="60" t="s">
        <v>136</v>
      </c>
      <c r="T18" s="60" t="s">
        <v>136</v>
      </c>
      <c r="U18" s="60" t="s">
        <v>136</v>
      </c>
      <c r="V18" s="60" t="s">
        <v>136</v>
      </c>
      <c r="W18" s="67">
        <f>IFERROR('GIR Log'!$D18/COUNTA('GIR Log'!$E18:$V18),0)</f>
        <v>0.1111111111111111</v>
      </c>
    </row>
    <row r="19" spans="1:23" x14ac:dyDescent="0.25">
      <c r="A19" s="20" t="s">
        <v>126</v>
      </c>
      <c r="B19" s="27">
        <v>45453</v>
      </c>
      <c r="C19" s="20" t="s">
        <v>11</v>
      </c>
      <c r="D19" s="20">
        <f>SUM('GIR Log'!$E19:$V19)</f>
        <v>3</v>
      </c>
      <c r="E19" s="60" t="s">
        <v>136</v>
      </c>
      <c r="F19" s="61">
        <v>1</v>
      </c>
      <c r="G19" s="60" t="s">
        <v>138</v>
      </c>
      <c r="H19" s="60" t="s">
        <v>139</v>
      </c>
      <c r="I19" s="60" t="s">
        <v>136</v>
      </c>
      <c r="J19" s="60" t="s">
        <v>136</v>
      </c>
      <c r="K19" s="61">
        <v>0</v>
      </c>
      <c r="L19" s="60" t="s">
        <v>138</v>
      </c>
      <c r="M19" s="60" t="s">
        <v>139</v>
      </c>
      <c r="N19" s="60" t="s">
        <v>138</v>
      </c>
      <c r="O19" s="60" t="s">
        <v>136</v>
      </c>
      <c r="P19" s="61">
        <v>1</v>
      </c>
      <c r="Q19" s="61">
        <v>1</v>
      </c>
      <c r="R19" s="60" t="s">
        <v>136</v>
      </c>
      <c r="S19" s="60" t="s">
        <v>136</v>
      </c>
      <c r="T19" s="60" t="s">
        <v>138</v>
      </c>
      <c r="U19" s="60" t="s">
        <v>138</v>
      </c>
      <c r="V19" s="60" t="s">
        <v>136</v>
      </c>
      <c r="W19" s="67">
        <f>IFERROR('GIR Log'!$D19/COUNTA('GIR Log'!$E19:$V19),0)</f>
        <v>0.16666666666666666</v>
      </c>
    </row>
    <row r="20" spans="1:23" x14ac:dyDescent="0.25">
      <c r="A20" s="20" t="s">
        <v>126</v>
      </c>
      <c r="B20" s="27">
        <v>45443</v>
      </c>
      <c r="C20" s="20" t="s">
        <v>3</v>
      </c>
      <c r="D20" s="20">
        <f>SUM('GIR Log'!$E20:$V20)</f>
        <v>6</v>
      </c>
      <c r="E20" s="63" t="s">
        <v>136</v>
      </c>
      <c r="F20" s="63" t="s">
        <v>138</v>
      </c>
      <c r="G20" s="63" t="s">
        <v>135</v>
      </c>
      <c r="H20" s="61">
        <v>1</v>
      </c>
      <c r="I20" s="63" t="s">
        <v>136</v>
      </c>
      <c r="J20" s="63" t="s">
        <v>136</v>
      </c>
      <c r="K20" s="61">
        <v>1</v>
      </c>
      <c r="L20" s="63" t="s">
        <v>136</v>
      </c>
      <c r="M20" s="63" t="s">
        <v>136</v>
      </c>
      <c r="N20" s="63" t="s">
        <v>136</v>
      </c>
      <c r="O20" s="63" t="s">
        <v>136</v>
      </c>
      <c r="P20" s="61">
        <v>1</v>
      </c>
      <c r="Q20" s="64" t="s">
        <v>137</v>
      </c>
      <c r="R20" s="63" t="s">
        <v>135</v>
      </c>
      <c r="S20" s="61">
        <v>1</v>
      </c>
      <c r="T20" s="61">
        <v>1</v>
      </c>
      <c r="U20" s="64" t="s">
        <v>137</v>
      </c>
      <c r="V20" s="61">
        <v>1</v>
      </c>
      <c r="W20" s="67">
        <f>IFERROR('GIR Log'!$D20/COUNTA('GIR Log'!$E20:$V20),0)</f>
        <v>0.33333333333333331</v>
      </c>
    </row>
    <row r="21" spans="1:23" x14ac:dyDescent="0.25">
      <c r="A21" s="20" t="s">
        <v>126</v>
      </c>
      <c r="B21" s="27">
        <v>45440</v>
      </c>
      <c r="C21" s="20" t="s">
        <v>9</v>
      </c>
      <c r="D21" s="20">
        <f>SUM('GIR Log'!$E21:$V21)</f>
        <v>2</v>
      </c>
      <c r="E21" s="61">
        <v>0</v>
      </c>
      <c r="F21" s="61">
        <v>0</v>
      </c>
      <c r="G21" s="61">
        <v>0</v>
      </c>
      <c r="H21" s="61">
        <v>0</v>
      </c>
      <c r="I21" s="61">
        <v>0</v>
      </c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1">
        <v>1</v>
      </c>
      <c r="V21" s="61">
        <v>1</v>
      </c>
      <c r="W21" s="67">
        <f>IFERROR('GIR Log'!$D21/COUNTA('GIR Log'!$E21:$V21),0)</f>
        <v>0.1111111111111111</v>
      </c>
    </row>
    <row r="22" spans="1:23" x14ac:dyDescent="0.25">
      <c r="A22" s="20" t="s">
        <v>126</v>
      </c>
      <c r="B22" s="27">
        <v>45434</v>
      </c>
      <c r="C22" s="20" t="s">
        <v>9</v>
      </c>
      <c r="D22" s="20">
        <f>SUM('GIR Log'!$E22:$V22)</f>
        <v>6</v>
      </c>
      <c r="E22" s="61">
        <v>0</v>
      </c>
      <c r="F22" s="61">
        <v>0</v>
      </c>
      <c r="G22" s="61">
        <v>0</v>
      </c>
      <c r="H22" s="61">
        <v>1</v>
      </c>
      <c r="I22" s="61">
        <v>0</v>
      </c>
      <c r="J22" s="61">
        <v>0</v>
      </c>
      <c r="K22" s="61">
        <v>0</v>
      </c>
      <c r="L22" s="61">
        <v>1</v>
      </c>
      <c r="M22" s="61">
        <v>0</v>
      </c>
      <c r="N22" s="61">
        <v>0</v>
      </c>
      <c r="O22" s="61">
        <v>1</v>
      </c>
      <c r="P22" s="61">
        <v>1</v>
      </c>
      <c r="Q22" s="61">
        <v>0</v>
      </c>
      <c r="R22" s="61">
        <v>1</v>
      </c>
      <c r="S22" s="61">
        <v>1</v>
      </c>
      <c r="T22" s="61">
        <v>0</v>
      </c>
      <c r="U22" s="61">
        <v>0</v>
      </c>
      <c r="V22" s="61">
        <v>0</v>
      </c>
      <c r="W22" s="67">
        <f>IFERROR('GIR Log'!$D22/COUNTA('GIR Log'!$E22:$V22),0)</f>
        <v>0.33333333333333331</v>
      </c>
    </row>
    <row r="23" spans="1:23" x14ac:dyDescent="0.25">
      <c r="A23" s="20" t="s">
        <v>126</v>
      </c>
      <c r="B23" s="27">
        <v>45172</v>
      </c>
      <c r="C23" s="20" t="s">
        <v>3</v>
      </c>
      <c r="D23" s="20">
        <f>SUM('GIR Log'!$E23:$V23)</f>
        <v>6</v>
      </c>
      <c r="E23" s="61">
        <v>0</v>
      </c>
      <c r="F23" s="61">
        <v>0</v>
      </c>
      <c r="G23" s="61">
        <v>0</v>
      </c>
      <c r="H23" s="61">
        <v>0</v>
      </c>
      <c r="I23" s="61">
        <v>0</v>
      </c>
      <c r="J23" s="61">
        <v>0</v>
      </c>
      <c r="K23" s="61">
        <v>1</v>
      </c>
      <c r="L23" s="61">
        <v>0</v>
      </c>
      <c r="M23" s="61">
        <v>0</v>
      </c>
      <c r="N23" s="61">
        <v>1</v>
      </c>
      <c r="O23" s="61">
        <v>1</v>
      </c>
      <c r="P23" s="61">
        <v>1</v>
      </c>
      <c r="Q23" s="61">
        <v>1</v>
      </c>
      <c r="R23" s="61">
        <v>1</v>
      </c>
      <c r="S23" s="61">
        <v>0</v>
      </c>
      <c r="T23" s="61">
        <v>0</v>
      </c>
      <c r="U23" s="61">
        <v>0</v>
      </c>
      <c r="V23" s="61">
        <v>0</v>
      </c>
      <c r="W23" s="67">
        <f>IFERROR('GIR Log'!$D23/COUNTA('GIR Log'!$E23:$V23),0)</f>
        <v>0.33333333333333331</v>
      </c>
    </row>
    <row r="24" spans="1:23" x14ac:dyDescent="0.25">
      <c r="A24" s="20" t="s">
        <v>126</v>
      </c>
      <c r="B24" s="27">
        <v>45156</v>
      </c>
      <c r="C24" s="20" t="s">
        <v>46</v>
      </c>
      <c r="D24" s="20">
        <f>SUM('GIR Log'!$E24:$V24)</f>
        <v>4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1</v>
      </c>
      <c r="L24" s="61">
        <v>1</v>
      </c>
      <c r="M24" s="61">
        <v>0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1</v>
      </c>
      <c r="U24" s="61">
        <v>0</v>
      </c>
      <c r="V24" s="61">
        <v>1</v>
      </c>
      <c r="W24" s="67">
        <f>IFERROR('GIR Log'!$D24/COUNTA('GIR Log'!$E24:$V24),0)</f>
        <v>0.22222222222222221</v>
      </c>
    </row>
    <row r="25" spans="1:23" x14ac:dyDescent="0.25">
      <c r="A25" s="20" t="s">
        <v>126</v>
      </c>
      <c r="B25" s="27">
        <v>45144</v>
      </c>
      <c r="C25" s="20" t="s">
        <v>16</v>
      </c>
      <c r="D25" s="20">
        <f>SUM('GIR Log'!$E25:$V25)</f>
        <v>1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1</v>
      </c>
      <c r="V25" s="61">
        <v>0</v>
      </c>
      <c r="W25" s="67">
        <f>IFERROR('GIR Log'!$D25/COUNTA('GIR Log'!$E25:$V25),0)</f>
        <v>5.5555555555555552E-2</v>
      </c>
    </row>
    <row r="26" spans="1:23" x14ac:dyDescent="0.25">
      <c r="A26" s="20" t="s">
        <v>126</v>
      </c>
      <c r="B26" s="27">
        <v>45143</v>
      </c>
      <c r="C26" s="20" t="s">
        <v>9</v>
      </c>
      <c r="D26" s="20">
        <f>SUM('GIR Log'!$E26:$V26)</f>
        <v>5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1</v>
      </c>
      <c r="K26" s="61">
        <v>1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>
        <v>1</v>
      </c>
      <c r="S26" s="61">
        <v>0</v>
      </c>
      <c r="T26" s="61">
        <v>1</v>
      </c>
      <c r="U26" s="61">
        <v>0</v>
      </c>
      <c r="V26" s="61">
        <v>1</v>
      </c>
      <c r="W26" s="67">
        <f>IFERROR('GIR Log'!$D26/COUNTA('GIR Log'!$E26:$V26),0)</f>
        <v>0.27777777777777779</v>
      </c>
    </row>
    <row r="27" spans="1:23" x14ac:dyDescent="0.25">
      <c r="A27" s="20" t="s">
        <v>126</v>
      </c>
      <c r="B27" s="27">
        <v>45137</v>
      </c>
      <c r="C27" s="20" t="s">
        <v>9</v>
      </c>
      <c r="D27" s="20">
        <f>SUM('GIR Log'!$E27:$V27)</f>
        <v>4</v>
      </c>
      <c r="E27" s="61">
        <v>0</v>
      </c>
      <c r="F27" s="61">
        <v>0</v>
      </c>
      <c r="G27" s="61">
        <v>0</v>
      </c>
      <c r="H27" s="61">
        <v>1</v>
      </c>
      <c r="I27" s="61">
        <v>0</v>
      </c>
      <c r="J27" s="61">
        <v>1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1</v>
      </c>
      <c r="U27" s="61">
        <v>1</v>
      </c>
      <c r="V27" s="61">
        <v>0</v>
      </c>
      <c r="W27" s="67">
        <f>IFERROR('GIR Log'!$D27/COUNTA('GIR Log'!$E27:$V27),0)</f>
        <v>0.22222222222222221</v>
      </c>
    </row>
    <row r="28" spans="1:23" x14ac:dyDescent="0.25">
      <c r="A28" s="20" t="s">
        <v>126</v>
      </c>
      <c r="B28" s="27">
        <v>45136</v>
      </c>
      <c r="C28" s="20" t="s">
        <v>5</v>
      </c>
      <c r="D28" s="20">
        <f>SUM('GIR Log'!$E28:$V28)</f>
        <v>3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1</v>
      </c>
      <c r="N28" s="61">
        <v>0</v>
      </c>
      <c r="O28" s="61">
        <v>0</v>
      </c>
      <c r="P28" s="61">
        <v>1</v>
      </c>
      <c r="Q28" s="61">
        <v>0</v>
      </c>
      <c r="R28" s="61">
        <v>0</v>
      </c>
      <c r="S28" s="61">
        <v>0</v>
      </c>
      <c r="T28" s="61">
        <v>1</v>
      </c>
      <c r="U28" s="61">
        <v>0</v>
      </c>
      <c r="V28" s="61">
        <v>0</v>
      </c>
      <c r="W28" s="67">
        <f>IFERROR('GIR Log'!$D28/COUNTA('GIR Log'!$E28:$V28),0)</f>
        <v>0.16666666666666666</v>
      </c>
    </row>
    <row r="29" spans="1:23" x14ac:dyDescent="0.25">
      <c r="A29" s="20" t="s">
        <v>126</v>
      </c>
      <c r="B29" s="27">
        <v>45114</v>
      </c>
      <c r="C29" s="20" t="s">
        <v>5</v>
      </c>
      <c r="D29" s="20">
        <f>SUM('GIR Log'!$E29:$V29)</f>
        <v>5</v>
      </c>
      <c r="E29" s="61">
        <v>0</v>
      </c>
      <c r="F29" s="61">
        <v>0</v>
      </c>
      <c r="G29" s="61">
        <v>1</v>
      </c>
      <c r="H29" s="61">
        <v>1</v>
      </c>
      <c r="I29" s="61">
        <v>1</v>
      </c>
      <c r="J29" s="61">
        <v>0</v>
      </c>
      <c r="K29" s="61">
        <v>0</v>
      </c>
      <c r="L29" s="61">
        <v>1</v>
      </c>
      <c r="M29" s="61">
        <v>0</v>
      </c>
      <c r="N29" s="61">
        <v>0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61">
        <v>1</v>
      </c>
      <c r="V29" s="61">
        <v>0</v>
      </c>
      <c r="W29" s="67">
        <f>IFERROR('GIR Log'!$D29/COUNTA('GIR Log'!$E29:$V29),0)</f>
        <v>0.27777777777777779</v>
      </c>
    </row>
    <row r="30" spans="1:23" x14ac:dyDescent="0.25">
      <c r="A30" s="20" t="s">
        <v>126</v>
      </c>
      <c r="B30" s="27">
        <v>45084</v>
      </c>
      <c r="C30" s="20" t="s">
        <v>5</v>
      </c>
      <c r="D30" s="20">
        <f>SUM('GIR Log'!$E30:$V30)</f>
        <v>2</v>
      </c>
      <c r="E30" s="61">
        <v>0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61">
        <v>1</v>
      </c>
      <c r="O30" s="61">
        <v>0</v>
      </c>
      <c r="P30" s="61">
        <v>0</v>
      </c>
      <c r="Q30" s="61">
        <v>0</v>
      </c>
      <c r="R30" s="61">
        <v>0</v>
      </c>
      <c r="S30" s="61">
        <v>0</v>
      </c>
      <c r="T30" s="61">
        <v>1</v>
      </c>
      <c r="U30" s="61">
        <v>0</v>
      </c>
      <c r="V30" s="61">
        <v>0</v>
      </c>
      <c r="W30" s="67">
        <f>IFERROR('GIR Log'!$D30/COUNTA('GIR Log'!$E30:$V30),0)</f>
        <v>0.1111111111111111</v>
      </c>
    </row>
    <row r="31" spans="1:23" x14ac:dyDescent="0.25">
      <c r="A31" s="20" t="s">
        <v>126</v>
      </c>
      <c r="B31" s="27">
        <v>45053</v>
      </c>
      <c r="C31" s="20" t="s">
        <v>3</v>
      </c>
      <c r="D31" s="20">
        <f>SUM('GIR Log'!$E31:$V31)</f>
        <v>4</v>
      </c>
      <c r="E31" s="61">
        <v>1</v>
      </c>
      <c r="F31" s="61">
        <v>0</v>
      </c>
      <c r="G31" s="61">
        <v>1</v>
      </c>
      <c r="H31" s="61">
        <v>1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61">
        <v>0</v>
      </c>
      <c r="O31" s="61">
        <v>0</v>
      </c>
      <c r="P31" s="61">
        <v>0</v>
      </c>
      <c r="Q31" s="61">
        <v>0</v>
      </c>
      <c r="R31" s="61">
        <v>1</v>
      </c>
      <c r="S31" s="61">
        <v>0</v>
      </c>
      <c r="T31" s="61">
        <v>0</v>
      </c>
      <c r="U31" s="61">
        <v>0</v>
      </c>
      <c r="V31" s="61">
        <v>0</v>
      </c>
      <c r="W31" s="67">
        <f>IFERROR('GIR Log'!$D31/COUNTA('GIR Log'!$E31:$V31),0)</f>
        <v>0.22222222222222221</v>
      </c>
    </row>
    <row r="32" spans="1:23" x14ac:dyDescent="0.25">
      <c r="A32" s="20" t="s">
        <v>126</v>
      </c>
      <c r="B32" s="27">
        <v>45053</v>
      </c>
      <c r="C32" s="20" t="s">
        <v>9</v>
      </c>
      <c r="D32" s="20">
        <f>SUM('GIR Log'!$E32:$V32)</f>
        <v>2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1</v>
      </c>
      <c r="K32" s="61">
        <v>1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0</v>
      </c>
      <c r="U32" s="61">
        <v>0</v>
      </c>
      <c r="V32" s="61">
        <v>0</v>
      </c>
      <c r="W32" s="67">
        <f>IFERROR('GIR Log'!$D32/COUNTA('GIR Log'!$E32:$V32),0)</f>
        <v>0.1111111111111111</v>
      </c>
    </row>
    <row r="33" spans="1:23" x14ac:dyDescent="0.25">
      <c r="A33" s="20" t="s">
        <v>126</v>
      </c>
      <c r="B33" s="27">
        <v>45050</v>
      </c>
      <c r="C33" s="20" t="s">
        <v>3</v>
      </c>
      <c r="D33" s="20">
        <f>SUM('GIR Log'!$E33:$V33)</f>
        <v>4</v>
      </c>
      <c r="E33" s="61">
        <v>0</v>
      </c>
      <c r="F33" s="61">
        <v>0</v>
      </c>
      <c r="G33" s="61">
        <v>1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61">
        <v>1</v>
      </c>
      <c r="O33" s="61">
        <v>1</v>
      </c>
      <c r="P33" s="61">
        <v>1</v>
      </c>
      <c r="Q33" s="61">
        <v>0</v>
      </c>
      <c r="R33" s="61">
        <v>0</v>
      </c>
      <c r="S33" s="61">
        <v>0</v>
      </c>
      <c r="T33" s="61">
        <v>0</v>
      </c>
      <c r="U33" s="61">
        <v>0</v>
      </c>
      <c r="V33" s="61">
        <v>0</v>
      </c>
      <c r="W33" s="67">
        <f>IFERROR('GIR Log'!$D33/COUNTA('GIR Log'!$E33:$V33),0)</f>
        <v>0.22222222222222221</v>
      </c>
    </row>
    <row r="34" spans="1:23" x14ac:dyDescent="0.25">
      <c r="A34" s="20" t="s">
        <v>126</v>
      </c>
      <c r="B34" s="27">
        <v>45048</v>
      </c>
      <c r="C34" s="20" t="s">
        <v>5</v>
      </c>
      <c r="D34" s="20">
        <f>SUM('GIR Log'!$E34:$V34)</f>
        <v>3</v>
      </c>
      <c r="E34" s="61">
        <v>0</v>
      </c>
      <c r="F34" s="61">
        <v>0</v>
      </c>
      <c r="G34" s="61">
        <v>1</v>
      </c>
      <c r="H34" s="61">
        <v>1</v>
      </c>
      <c r="I34" s="61">
        <v>0</v>
      </c>
      <c r="J34" s="61">
        <v>0</v>
      </c>
      <c r="K34" s="61">
        <v>0</v>
      </c>
      <c r="L34" s="61">
        <v>0</v>
      </c>
      <c r="M34" s="61">
        <v>1</v>
      </c>
      <c r="N34" s="61">
        <v>0</v>
      </c>
      <c r="O34" s="61">
        <v>0</v>
      </c>
      <c r="P34" s="61">
        <v>0</v>
      </c>
      <c r="Q34" s="61">
        <v>0</v>
      </c>
      <c r="R34" s="61">
        <v>0</v>
      </c>
      <c r="S34" s="61">
        <v>0</v>
      </c>
      <c r="T34" s="61">
        <v>0</v>
      </c>
      <c r="U34" s="61">
        <v>0</v>
      </c>
      <c r="V34" s="61">
        <v>0</v>
      </c>
      <c r="W34" s="67">
        <f>IFERROR('GIR Log'!$D34/COUNTA('GIR Log'!$E34:$V34),0)</f>
        <v>0.16666666666666666</v>
      </c>
    </row>
    <row r="35" spans="1:23" x14ac:dyDescent="0.25">
      <c r="A35" s="20" t="s">
        <v>126</v>
      </c>
      <c r="B35" s="27">
        <v>45829</v>
      </c>
      <c r="C35" s="20" t="s">
        <v>6</v>
      </c>
      <c r="D35" s="20">
        <f>SUM('GIR Log'!$E35:$V35)</f>
        <v>7</v>
      </c>
      <c r="E35" s="60" t="s">
        <v>136</v>
      </c>
      <c r="F35" s="61">
        <v>1</v>
      </c>
      <c r="G35" s="60" t="s">
        <v>136</v>
      </c>
      <c r="H35" s="60" t="s">
        <v>136</v>
      </c>
      <c r="I35" s="60" t="s">
        <v>139</v>
      </c>
      <c r="J35" s="60" t="s">
        <v>136</v>
      </c>
      <c r="K35" s="61">
        <v>1</v>
      </c>
      <c r="L35" s="60" t="s">
        <v>136</v>
      </c>
      <c r="M35" s="61">
        <v>1</v>
      </c>
      <c r="N35" s="61">
        <v>1</v>
      </c>
      <c r="O35" s="61">
        <v>1</v>
      </c>
      <c r="P35" s="60" t="s">
        <v>135</v>
      </c>
      <c r="Q35" s="60" t="s">
        <v>136</v>
      </c>
      <c r="R35" s="60" t="s">
        <v>136</v>
      </c>
      <c r="S35" s="60" t="s">
        <v>139</v>
      </c>
      <c r="T35" s="61">
        <v>1</v>
      </c>
      <c r="U35" s="61">
        <v>1</v>
      </c>
      <c r="V35" s="60" t="s">
        <v>135</v>
      </c>
      <c r="W35" s="67">
        <f>IFERROR('GIR Log'!$D35/COUNTA('GIR Log'!$E35:$V35),0)</f>
        <v>0.3888888888888889</v>
      </c>
    </row>
    <row r="36" spans="1:23" x14ac:dyDescent="0.25">
      <c r="A36" s="20" t="s">
        <v>126</v>
      </c>
      <c r="B36" s="27">
        <v>45831</v>
      </c>
      <c r="C36" s="20" t="s">
        <v>5</v>
      </c>
      <c r="D36" s="20">
        <f>SUM('GIR Log'!$E36:$V36)</f>
        <v>9</v>
      </c>
      <c r="E36" s="60" t="s">
        <v>136</v>
      </c>
      <c r="F36" s="60" t="s">
        <v>135</v>
      </c>
      <c r="G36" s="60" t="s">
        <v>136</v>
      </c>
      <c r="H36" s="61">
        <v>1</v>
      </c>
      <c r="I36" s="60" t="s">
        <v>136</v>
      </c>
      <c r="J36" s="61">
        <v>1</v>
      </c>
      <c r="K36" s="60" t="s">
        <v>135</v>
      </c>
      <c r="L36" s="61">
        <v>1</v>
      </c>
      <c r="M36" s="61">
        <v>1</v>
      </c>
      <c r="N36" s="60" t="s">
        <v>136</v>
      </c>
      <c r="O36" s="60" t="s">
        <v>135</v>
      </c>
      <c r="P36" s="61">
        <v>1</v>
      </c>
      <c r="Q36" s="61">
        <v>1</v>
      </c>
      <c r="R36" s="61">
        <v>1</v>
      </c>
      <c r="S36" s="60" t="s">
        <v>136</v>
      </c>
      <c r="T36" s="60" t="s">
        <v>136</v>
      </c>
      <c r="U36" s="61">
        <v>1</v>
      </c>
      <c r="V36" s="61">
        <v>1</v>
      </c>
      <c r="W36" s="67">
        <f>IFERROR('GIR Log'!$D36/COUNTA('GIR Log'!$E36:$V36),0)</f>
        <v>0.5</v>
      </c>
    </row>
    <row r="37" spans="1:23" x14ac:dyDescent="0.25">
      <c r="A37" s="20" t="s">
        <v>126</v>
      </c>
      <c r="B37" s="27">
        <v>45844</v>
      </c>
      <c r="C37" s="20" t="s">
        <v>3</v>
      </c>
      <c r="D37" s="20">
        <f>SUM('GIR Log'!$E37:$V37)</f>
        <v>8</v>
      </c>
      <c r="E37" s="61">
        <v>1</v>
      </c>
      <c r="F37" s="60" t="s">
        <v>136</v>
      </c>
      <c r="G37" s="61">
        <v>1</v>
      </c>
      <c r="H37" s="60" t="s">
        <v>136</v>
      </c>
      <c r="I37" s="60" t="s">
        <v>138</v>
      </c>
      <c r="J37" s="61">
        <v>1</v>
      </c>
      <c r="K37" s="61">
        <v>1</v>
      </c>
      <c r="L37" s="61">
        <v>1</v>
      </c>
      <c r="M37" s="60" t="s">
        <v>136</v>
      </c>
      <c r="N37" s="60" t="s">
        <v>136</v>
      </c>
      <c r="O37" s="60" t="s">
        <v>135</v>
      </c>
      <c r="P37" s="61">
        <v>1</v>
      </c>
      <c r="Q37" s="60" t="s">
        <v>136</v>
      </c>
      <c r="R37" s="60" t="s">
        <v>138</v>
      </c>
      <c r="S37" s="60" t="s">
        <v>139</v>
      </c>
      <c r="T37" s="60" t="s">
        <v>136</v>
      </c>
      <c r="U37" s="61">
        <v>1</v>
      </c>
      <c r="V37" s="61">
        <v>1</v>
      </c>
      <c r="W37" s="67">
        <f>IFERROR('GIR Log'!$D37/COUNTA('GIR Log'!$E37:$V37),0)</f>
        <v>0.44444444444444442</v>
      </c>
    </row>
    <row r="38" spans="1:23" x14ac:dyDescent="0.25">
      <c r="A38" s="20" t="s">
        <v>126</v>
      </c>
      <c r="B38" s="27">
        <v>45857</v>
      </c>
      <c r="C38" s="20" t="s">
        <v>3</v>
      </c>
      <c r="D38" s="20">
        <f>SUM('GIR Log'!$E38:$V38)</f>
        <v>11</v>
      </c>
      <c r="E38" s="61">
        <v>1</v>
      </c>
      <c r="F38" s="61">
        <v>1</v>
      </c>
      <c r="G38" s="60" t="s">
        <v>138</v>
      </c>
      <c r="H38" s="61">
        <v>1</v>
      </c>
      <c r="I38" s="60" t="s">
        <v>136</v>
      </c>
      <c r="J38" s="61">
        <v>1</v>
      </c>
      <c r="K38" s="61">
        <v>1</v>
      </c>
      <c r="L38" s="61">
        <v>1</v>
      </c>
      <c r="M38" s="61">
        <v>1</v>
      </c>
      <c r="N38" s="61">
        <v>1</v>
      </c>
      <c r="O38" s="61">
        <v>1</v>
      </c>
      <c r="P38" s="61">
        <v>1</v>
      </c>
      <c r="Q38" s="60" t="s">
        <v>136</v>
      </c>
      <c r="R38" s="60" t="s">
        <v>136</v>
      </c>
      <c r="S38" s="60" t="s">
        <v>135</v>
      </c>
      <c r="T38" s="60" t="s">
        <v>135</v>
      </c>
      <c r="U38" s="60" t="s">
        <v>135</v>
      </c>
      <c r="V38" s="60">
        <v>1</v>
      </c>
      <c r="W38" s="67">
        <f>IFERROR('GIR Log'!$D38/COUNTA('GIR Log'!$E38:$V38),0)</f>
        <v>0.61111111111111116</v>
      </c>
    </row>
    <row r="39" spans="1:23" x14ac:dyDescent="0.25">
      <c r="A39" s="20" t="s">
        <v>126</v>
      </c>
      <c r="B39" s="27">
        <v>45868</v>
      </c>
      <c r="C39" s="20" t="s">
        <v>10</v>
      </c>
      <c r="D39" s="20">
        <f>SUM('GIR Log'!$E39:$V39)</f>
        <v>4</v>
      </c>
      <c r="E39" s="61">
        <v>1</v>
      </c>
      <c r="F39" s="60" t="s">
        <v>136</v>
      </c>
      <c r="G39" s="60" t="s">
        <v>136</v>
      </c>
      <c r="H39" s="60" t="s">
        <v>135</v>
      </c>
      <c r="I39" s="61">
        <v>1</v>
      </c>
      <c r="J39" s="60" t="s">
        <v>135</v>
      </c>
      <c r="K39" s="60" t="s">
        <v>135</v>
      </c>
      <c r="L39" s="60" t="s">
        <v>135</v>
      </c>
      <c r="M39" s="60" t="s">
        <v>136</v>
      </c>
      <c r="N39" s="60" t="s">
        <v>136</v>
      </c>
      <c r="O39" s="60" t="s">
        <v>138</v>
      </c>
      <c r="P39" s="60" t="s">
        <v>136</v>
      </c>
      <c r="Q39" s="60" t="s">
        <v>136</v>
      </c>
      <c r="R39" s="60" t="s">
        <v>136</v>
      </c>
      <c r="S39" s="60" t="s">
        <v>136</v>
      </c>
      <c r="T39" s="61">
        <v>1</v>
      </c>
      <c r="U39" s="61">
        <v>1</v>
      </c>
      <c r="V39" s="60" t="s">
        <v>136</v>
      </c>
      <c r="W39" s="67">
        <f>IFERROR('GIR Log'!$D39/COUNTA('GIR Log'!$E39:$V39),0)</f>
        <v>0.22222222222222221</v>
      </c>
    </row>
    <row r="40" spans="1:23" x14ac:dyDescent="0.25">
      <c r="A40" s="20" t="s">
        <v>126</v>
      </c>
      <c r="B40" s="27">
        <v>45886</v>
      </c>
      <c r="C40" s="20" t="s">
        <v>41</v>
      </c>
      <c r="D40" s="20">
        <f>SUM('GIR Log'!$E40:$V40)</f>
        <v>4</v>
      </c>
      <c r="E40" s="60" t="s">
        <v>135</v>
      </c>
      <c r="F40" s="60" t="s">
        <v>138</v>
      </c>
      <c r="G40" s="61">
        <v>1</v>
      </c>
      <c r="H40" s="60" t="s">
        <v>135</v>
      </c>
      <c r="I40" s="60" t="s">
        <v>138</v>
      </c>
      <c r="J40" s="61">
        <v>1</v>
      </c>
      <c r="K40" s="60" t="s">
        <v>138</v>
      </c>
      <c r="L40" s="60" t="s">
        <v>136</v>
      </c>
      <c r="M40" s="61">
        <v>1</v>
      </c>
      <c r="N40" s="61">
        <v>1</v>
      </c>
      <c r="O40" s="60" t="s">
        <v>139</v>
      </c>
      <c r="P40" s="60" t="s">
        <v>138</v>
      </c>
      <c r="Q40" s="60" t="s">
        <v>138</v>
      </c>
      <c r="R40" s="60" t="s">
        <v>138</v>
      </c>
      <c r="S40" s="60" t="s">
        <v>136</v>
      </c>
      <c r="T40" s="60" t="s">
        <v>136</v>
      </c>
      <c r="U40" s="60" t="s">
        <v>136</v>
      </c>
      <c r="V40" s="60" t="s">
        <v>138</v>
      </c>
      <c r="W40" s="67">
        <f>IFERROR('GIR Log'!$D40/COUNTA('GIR Log'!$E40:$V40),0)</f>
        <v>0.22222222222222221</v>
      </c>
    </row>
    <row r="41" spans="1:23" x14ac:dyDescent="0.25">
      <c r="A41" s="20" t="s">
        <v>126</v>
      </c>
      <c r="B41" s="18">
        <v>45892</v>
      </c>
      <c r="C41" s="20" t="s">
        <v>41</v>
      </c>
      <c r="D41" s="20">
        <f>SUM('GIR Log'!$E41:$V41)</f>
        <v>5</v>
      </c>
      <c r="E41" s="61">
        <v>0</v>
      </c>
      <c r="F41" s="61">
        <v>0</v>
      </c>
      <c r="G41" s="61">
        <v>0</v>
      </c>
      <c r="H41" s="61">
        <v>0</v>
      </c>
      <c r="I41" s="61">
        <v>0</v>
      </c>
      <c r="J41" s="61">
        <v>0</v>
      </c>
      <c r="K41" s="61">
        <v>0</v>
      </c>
      <c r="L41" s="61">
        <v>0</v>
      </c>
      <c r="M41" s="61">
        <v>0</v>
      </c>
      <c r="N41" s="61">
        <v>1</v>
      </c>
      <c r="O41" s="61">
        <v>1</v>
      </c>
      <c r="P41" s="61">
        <v>0</v>
      </c>
      <c r="Q41" s="61">
        <v>1</v>
      </c>
      <c r="R41" s="61">
        <v>0</v>
      </c>
      <c r="S41" s="61">
        <v>1</v>
      </c>
      <c r="T41" s="61">
        <v>0</v>
      </c>
      <c r="U41" s="61">
        <v>0</v>
      </c>
      <c r="V41" s="61">
        <v>1</v>
      </c>
      <c r="W41" s="67">
        <f>IFERROR('GIR Log'!$D41/COUNTA('GIR Log'!$E41:$V41),0)</f>
        <v>0.27777777777777779</v>
      </c>
    </row>
    <row r="42" spans="1:23" x14ac:dyDescent="0.25">
      <c r="A42" s="20" t="s">
        <v>126</v>
      </c>
      <c r="B42" s="18">
        <v>45894</v>
      </c>
      <c r="C42" s="20" t="s">
        <v>11</v>
      </c>
      <c r="D42" s="20">
        <f>SUM('GIR Log'!$E42:$V42)</f>
        <v>1</v>
      </c>
      <c r="E42" s="60" t="s">
        <v>139</v>
      </c>
      <c r="F42" s="60" t="s">
        <v>139</v>
      </c>
      <c r="G42" s="60" t="s">
        <v>136</v>
      </c>
      <c r="H42" s="60" t="s">
        <v>136</v>
      </c>
      <c r="I42" s="60" t="s">
        <v>136</v>
      </c>
      <c r="J42" s="60" t="s">
        <v>136</v>
      </c>
      <c r="K42" s="61">
        <v>1</v>
      </c>
      <c r="L42" s="60" t="s">
        <v>136</v>
      </c>
      <c r="M42" s="60" t="s">
        <v>136</v>
      </c>
      <c r="N42" s="60" t="s">
        <v>136</v>
      </c>
      <c r="O42" s="60" t="s">
        <v>136</v>
      </c>
      <c r="P42" s="60" t="s">
        <v>136</v>
      </c>
      <c r="Q42" s="60" t="s">
        <v>136</v>
      </c>
      <c r="R42" s="60" t="s">
        <v>136</v>
      </c>
      <c r="S42" s="60" t="s">
        <v>136</v>
      </c>
      <c r="T42" s="60" t="s">
        <v>138</v>
      </c>
      <c r="U42" s="60" t="s">
        <v>136</v>
      </c>
      <c r="V42" s="60" t="s">
        <v>136</v>
      </c>
      <c r="W42" s="67">
        <f>IFERROR('GIR Log'!$D42/COUNTA('GIR Log'!$E42:$V42),0)</f>
        <v>5.5555555555555552E-2</v>
      </c>
    </row>
    <row r="43" spans="1:23" x14ac:dyDescent="0.25">
      <c r="A43" s="20" t="s">
        <v>126</v>
      </c>
      <c r="B43" s="18">
        <v>45897</v>
      </c>
      <c r="C43" s="20" t="s">
        <v>41</v>
      </c>
      <c r="D43" s="20">
        <f>SUM('GIR Log'!$E43:$V43)</f>
        <v>4</v>
      </c>
      <c r="E43" s="64" t="s">
        <v>137</v>
      </c>
      <c r="F43" s="64" t="s">
        <v>137</v>
      </c>
      <c r="G43" s="60" t="s">
        <v>135</v>
      </c>
      <c r="H43" s="60" t="s">
        <v>136</v>
      </c>
      <c r="I43" s="64" t="s">
        <v>137</v>
      </c>
      <c r="J43" s="64"/>
      <c r="K43" s="61">
        <v>1</v>
      </c>
      <c r="L43" s="64" t="s">
        <v>137</v>
      </c>
      <c r="M43" s="61">
        <v>1</v>
      </c>
      <c r="N43" s="60" t="s">
        <v>136</v>
      </c>
      <c r="O43" s="64" t="s">
        <v>137</v>
      </c>
      <c r="P43" s="64" t="s">
        <v>137</v>
      </c>
      <c r="Q43" s="60" t="s">
        <v>136</v>
      </c>
      <c r="R43" s="64" t="s">
        <v>137</v>
      </c>
      <c r="S43" s="61">
        <v>1</v>
      </c>
      <c r="T43" s="60" t="s">
        <v>136</v>
      </c>
      <c r="U43" s="64" t="s">
        <v>137</v>
      </c>
      <c r="V43" s="61">
        <v>1</v>
      </c>
      <c r="W43" s="67">
        <f>IFERROR('GIR Log'!$D43/COUNTA('GIR Log'!$E43:$V43),0)</f>
        <v>0.23529411764705882</v>
      </c>
    </row>
    <row r="44" spans="1:23" x14ac:dyDescent="0.25">
      <c r="A44" s="20" t="s">
        <v>127</v>
      </c>
      <c r="B44" s="18">
        <v>45894</v>
      </c>
      <c r="C44" s="20" t="s">
        <v>11</v>
      </c>
      <c r="D44" s="20">
        <f>SUM('GIR Log'!$E44:$V44)</f>
        <v>3</v>
      </c>
      <c r="E44" s="60" t="s">
        <v>136</v>
      </c>
      <c r="F44" s="60" t="s">
        <v>139</v>
      </c>
      <c r="G44" s="60" t="s">
        <v>136</v>
      </c>
      <c r="H44" s="60" t="s">
        <v>136</v>
      </c>
      <c r="I44" s="61">
        <v>1</v>
      </c>
      <c r="J44" s="60" t="s">
        <v>136</v>
      </c>
      <c r="K44" s="60" t="s">
        <v>136</v>
      </c>
      <c r="L44" s="60" t="s">
        <v>136</v>
      </c>
      <c r="M44" s="60" t="s">
        <v>136</v>
      </c>
      <c r="N44" s="60" t="s">
        <v>136</v>
      </c>
      <c r="O44" s="60" t="s">
        <v>136</v>
      </c>
      <c r="P44" s="60" t="s">
        <v>136</v>
      </c>
      <c r="Q44" s="60" t="s">
        <v>136</v>
      </c>
      <c r="R44" s="61">
        <v>1</v>
      </c>
      <c r="S44" s="60" t="s">
        <v>136</v>
      </c>
      <c r="T44" s="60" t="s">
        <v>136</v>
      </c>
      <c r="U44" s="61">
        <v>1</v>
      </c>
      <c r="V44" s="60" t="s">
        <v>136</v>
      </c>
      <c r="W44" s="67">
        <f>IFERROR('GIR Log'!$D44/COUNTA('GIR Log'!$E44:$V44),0)</f>
        <v>0.16666666666666666</v>
      </c>
    </row>
    <row r="45" spans="1:23" x14ac:dyDescent="0.25">
      <c r="A45" s="35" t="s">
        <v>127</v>
      </c>
      <c r="B45" s="36">
        <v>45853</v>
      </c>
      <c r="C45" s="35" t="s">
        <v>128</v>
      </c>
      <c r="D45" s="35">
        <f>SUM('GIR Log'!$E45:$V45)</f>
        <v>2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1</v>
      </c>
      <c r="P45" s="65">
        <v>0</v>
      </c>
      <c r="Q45" s="65">
        <v>0</v>
      </c>
      <c r="R45" s="65">
        <v>1</v>
      </c>
      <c r="S45" s="65">
        <v>0</v>
      </c>
      <c r="T45" s="65">
        <v>0</v>
      </c>
      <c r="U45" s="65">
        <v>0</v>
      </c>
      <c r="V45" s="65">
        <v>0</v>
      </c>
      <c r="W45" s="67">
        <f>IFERROR('GIR Log'!$D45/COUNTA('GIR Log'!$E45:$V45),0)</f>
        <v>0.1111111111111111</v>
      </c>
    </row>
    <row r="46" spans="1:23" x14ac:dyDescent="0.25">
      <c r="A46" s="35" t="s">
        <v>127</v>
      </c>
      <c r="B46" s="36">
        <v>45765</v>
      </c>
      <c r="C46" s="35" t="s">
        <v>129</v>
      </c>
      <c r="D46" s="35">
        <f>SUM('GIR Log'!$E46:$V46)</f>
        <v>2</v>
      </c>
      <c r="E46" s="60" t="s">
        <v>136</v>
      </c>
      <c r="F46" s="64"/>
      <c r="G46" s="60" t="s">
        <v>136</v>
      </c>
      <c r="H46" s="60" t="s">
        <v>136</v>
      </c>
      <c r="I46" s="64" t="s">
        <v>137</v>
      </c>
      <c r="J46" s="60" t="s">
        <v>136</v>
      </c>
      <c r="K46" s="60" t="s">
        <v>139</v>
      </c>
      <c r="L46" s="60" t="s">
        <v>139</v>
      </c>
      <c r="M46" s="65">
        <v>1</v>
      </c>
      <c r="N46" s="60" t="s">
        <v>139</v>
      </c>
      <c r="O46" s="60" t="s">
        <v>139</v>
      </c>
      <c r="P46" s="60" t="s">
        <v>139</v>
      </c>
      <c r="Q46" s="60" t="s">
        <v>135</v>
      </c>
      <c r="R46" s="64" t="s">
        <v>137</v>
      </c>
      <c r="S46" s="60" t="s">
        <v>139</v>
      </c>
      <c r="T46" s="65">
        <v>1</v>
      </c>
      <c r="U46" s="60" t="s">
        <v>135</v>
      </c>
      <c r="V46" s="60" t="s">
        <v>135</v>
      </c>
      <c r="W46" s="67">
        <f>IFERROR('GIR Log'!$D46/COUNTA('GIR Log'!$E46:$V46),0)</f>
        <v>0.11764705882352941</v>
      </c>
    </row>
    <row r="47" spans="1:23" x14ac:dyDescent="0.25">
      <c r="A47" s="43" t="s">
        <v>127</v>
      </c>
      <c r="B47" s="44">
        <v>45520</v>
      </c>
      <c r="C47" s="43" t="s">
        <v>46</v>
      </c>
      <c r="D47" s="43">
        <f>SUM('GIR Log'!$E47:$V47)</f>
        <v>4</v>
      </c>
      <c r="E47" s="60" t="s">
        <v>136</v>
      </c>
      <c r="F47" s="60" t="s">
        <v>136</v>
      </c>
      <c r="G47" s="66">
        <v>1</v>
      </c>
      <c r="H47" s="60" t="s">
        <v>136</v>
      </c>
      <c r="I47" s="60" t="s">
        <v>138</v>
      </c>
      <c r="J47" s="60" t="s">
        <v>139</v>
      </c>
      <c r="K47" s="66">
        <v>1</v>
      </c>
      <c r="L47" s="60" t="s">
        <v>135</v>
      </c>
      <c r="M47" s="60" t="s">
        <v>136</v>
      </c>
      <c r="N47" s="60" t="s">
        <v>136</v>
      </c>
      <c r="O47" s="66">
        <v>1</v>
      </c>
      <c r="P47" s="60" t="s">
        <v>136</v>
      </c>
      <c r="Q47" s="66">
        <v>1</v>
      </c>
      <c r="R47" s="60" t="s">
        <v>136</v>
      </c>
      <c r="S47" s="60" t="s">
        <v>136</v>
      </c>
      <c r="T47" s="60" t="s">
        <v>136</v>
      </c>
      <c r="U47" s="60" t="s">
        <v>136</v>
      </c>
      <c r="V47" s="60" t="s">
        <v>136</v>
      </c>
      <c r="W47" s="67">
        <f>IFERROR('GIR Log'!$D47/COUNTA('GIR Log'!$E47:$V47),0)</f>
        <v>0.22222222222222221</v>
      </c>
    </row>
    <row r="48" spans="1:23" x14ac:dyDescent="0.25">
      <c r="A48" s="43" t="s">
        <v>127</v>
      </c>
      <c r="B48" s="44">
        <v>45492</v>
      </c>
      <c r="C48" s="43" t="s">
        <v>6</v>
      </c>
      <c r="D48" s="43">
        <f>SUM('GIR Log'!$E48:$V48)</f>
        <v>1</v>
      </c>
      <c r="E48" s="60" t="s">
        <v>138</v>
      </c>
      <c r="F48" s="60" t="s">
        <v>135</v>
      </c>
      <c r="G48" s="60" t="s">
        <v>135</v>
      </c>
      <c r="H48" s="60" t="s">
        <v>136</v>
      </c>
      <c r="I48" s="60" t="s">
        <v>135</v>
      </c>
      <c r="J48" s="60" t="s">
        <v>136</v>
      </c>
      <c r="K48" s="60" t="s">
        <v>136</v>
      </c>
      <c r="L48" s="60" t="s">
        <v>136</v>
      </c>
      <c r="M48" s="60" t="s">
        <v>136</v>
      </c>
      <c r="N48" s="60" t="s">
        <v>136</v>
      </c>
      <c r="O48" s="60" t="s">
        <v>136</v>
      </c>
      <c r="P48" s="60" t="s">
        <v>136</v>
      </c>
      <c r="Q48" s="60" t="s">
        <v>136</v>
      </c>
      <c r="R48" s="60" t="s">
        <v>136</v>
      </c>
      <c r="S48" s="60" t="s">
        <v>139</v>
      </c>
      <c r="T48" s="66">
        <v>1</v>
      </c>
      <c r="U48" s="60" t="s">
        <v>139</v>
      </c>
      <c r="V48" s="60" t="s">
        <v>139</v>
      </c>
      <c r="W48" s="67">
        <f>IFERROR('GIR Log'!$D48/COUNTA('GIR Log'!$E48:$V48),0)</f>
        <v>5.5555555555555552E-2</v>
      </c>
    </row>
    <row r="49" spans="1:23" x14ac:dyDescent="0.25">
      <c r="A49" s="43" t="s">
        <v>127</v>
      </c>
      <c r="B49" s="44">
        <v>45453</v>
      </c>
      <c r="C49" s="43" t="s">
        <v>11</v>
      </c>
      <c r="D49" s="43">
        <f>SUM('GIR Log'!$E49:$V49)</f>
        <v>1</v>
      </c>
      <c r="E49" s="66">
        <v>0</v>
      </c>
      <c r="F49" s="66">
        <v>0</v>
      </c>
      <c r="G49" s="66">
        <v>0</v>
      </c>
      <c r="H49" s="66">
        <v>0</v>
      </c>
      <c r="I49" s="66">
        <v>0</v>
      </c>
      <c r="J49" s="66">
        <v>0</v>
      </c>
      <c r="K49" s="66">
        <v>0</v>
      </c>
      <c r="L49" s="66">
        <v>0</v>
      </c>
      <c r="M49" s="66">
        <v>0</v>
      </c>
      <c r="N49" s="66">
        <v>0</v>
      </c>
      <c r="O49" s="66">
        <v>0</v>
      </c>
      <c r="P49" s="66">
        <v>0</v>
      </c>
      <c r="Q49" s="66">
        <v>1</v>
      </c>
      <c r="R49" s="66">
        <v>0</v>
      </c>
      <c r="S49" s="66">
        <v>0</v>
      </c>
      <c r="T49" s="66">
        <v>0</v>
      </c>
      <c r="U49" s="66">
        <v>0</v>
      </c>
      <c r="V49" s="66">
        <v>0</v>
      </c>
      <c r="W49" s="67">
        <f>IFERROR('GIR Log'!$D49/COUNTA('GIR Log'!$E49:$V49),0)</f>
        <v>5.5555555555555552E-2</v>
      </c>
    </row>
    <row r="50" spans="1:23" x14ac:dyDescent="0.25">
      <c r="A50" s="51" t="s">
        <v>130</v>
      </c>
      <c r="B50" s="52">
        <v>45156</v>
      </c>
      <c r="C50" s="51" t="s">
        <v>46</v>
      </c>
      <c r="D50" s="51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7">
        <f>IFERROR('GIR Log'!$D50/COUNTA('GIR Log'!$E50:$V50),0)</f>
        <v>0</v>
      </c>
    </row>
    <row r="51" spans="1:23" x14ac:dyDescent="0.25">
      <c r="A51" s="51" t="s">
        <v>130</v>
      </c>
      <c r="B51" s="52">
        <v>45465</v>
      </c>
      <c r="C51" s="51" t="s">
        <v>12</v>
      </c>
      <c r="D51" s="51">
        <f>SUM('GIR Log'!$E51:$V51)</f>
        <v>1</v>
      </c>
      <c r="E51" s="60" t="s">
        <v>136</v>
      </c>
      <c r="F51" s="60" t="s">
        <v>136</v>
      </c>
      <c r="G51" s="60" t="s">
        <v>138</v>
      </c>
      <c r="H51" s="60" t="s">
        <v>136</v>
      </c>
      <c r="I51" s="60" t="s">
        <v>135</v>
      </c>
      <c r="J51" s="60" t="s">
        <v>136</v>
      </c>
      <c r="K51" s="60" t="s">
        <v>136</v>
      </c>
      <c r="L51" s="60" t="s">
        <v>139</v>
      </c>
      <c r="M51" s="60" t="s">
        <v>136</v>
      </c>
      <c r="N51" s="60" t="s">
        <v>136</v>
      </c>
      <c r="O51" s="60" t="s">
        <v>136</v>
      </c>
      <c r="P51" s="60" t="s">
        <v>136</v>
      </c>
      <c r="Q51" s="60" t="s">
        <v>136</v>
      </c>
      <c r="R51" s="60" t="s">
        <v>136</v>
      </c>
      <c r="S51" s="60" t="s">
        <v>136</v>
      </c>
      <c r="T51" s="62">
        <v>1</v>
      </c>
      <c r="U51" s="60" t="s">
        <v>136</v>
      </c>
      <c r="V51" s="60" t="s">
        <v>136</v>
      </c>
      <c r="W51" s="67">
        <f>IFERROR('GIR Log'!$D51/COUNTA('GIR Log'!$E51:$V51),0)</f>
        <v>5.5555555555555552E-2</v>
      </c>
    </row>
    <row r="52" spans="1:23" x14ac:dyDescent="0.25">
      <c r="A52" s="51" t="s">
        <v>130</v>
      </c>
      <c r="B52" s="52">
        <v>45514</v>
      </c>
      <c r="C52" s="51" t="s">
        <v>6</v>
      </c>
      <c r="D52" s="51">
        <f>SUM('GIR Log'!$E52:$V52)</f>
        <v>1</v>
      </c>
      <c r="E52" s="64" t="s">
        <v>137</v>
      </c>
      <c r="F52" s="60" t="s">
        <v>136</v>
      </c>
      <c r="G52" s="60" t="s">
        <v>139</v>
      </c>
      <c r="H52" s="60" t="s">
        <v>136</v>
      </c>
      <c r="I52" s="60" t="s">
        <v>135</v>
      </c>
      <c r="J52" s="60" t="s">
        <v>138</v>
      </c>
      <c r="K52" s="62">
        <v>1</v>
      </c>
      <c r="L52" s="60" t="s">
        <v>138</v>
      </c>
      <c r="M52" s="60" t="s">
        <v>136</v>
      </c>
      <c r="N52" s="60" t="s">
        <v>136</v>
      </c>
      <c r="O52" s="60" t="s">
        <v>135</v>
      </c>
      <c r="P52" s="60" t="s">
        <v>135</v>
      </c>
      <c r="Q52" s="60" t="s">
        <v>139</v>
      </c>
      <c r="R52" s="60" t="s">
        <v>136</v>
      </c>
      <c r="S52" s="60" t="s">
        <v>136</v>
      </c>
      <c r="T52" s="60" t="s">
        <v>136</v>
      </c>
      <c r="U52" s="60" t="s">
        <v>138</v>
      </c>
      <c r="V52" s="60" t="s">
        <v>135</v>
      </c>
      <c r="W52" s="67">
        <f>IFERROR('GIR Log'!$D52/COUNTA('GIR Log'!$E52:$V52),0)</f>
        <v>5.5555555555555552E-2</v>
      </c>
    </row>
    <row r="53" spans="1:23" x14ac:dyDescent="0.25">
      <c r="A53" s="51" t="s">
        <v>130</v>
      </c>
      <c r="B53" s="52">
        <v>45892</v>
      </c>
      <c r="C53" s="51" t="s">
        <v>41</v>
      </c>
      <c r="D53" s="51">
        <f>SUM('GIR Log'!$E53:$V53)</f>
        <v>6</v>
      </c>
      <c r="E53" s="62">
        <v>0</v>
      </c>
      <c r="F53" s="62">
        <v>1</v>
      </c>
      <c r="G53" s="62">
        <v>0</v>
      </c>
      <c r="H53" s="62">
        <v>0</v>
      </c>
      <c r="I53" s="62">
        <v>0</v>
      </c>
      <c r="J53" s="62">
        <v>1</v>
      </c>
      <c r="K53" s="62">
        <v>0</v>
      </c>
      <c r="L53" s="62">
        <v>1</v>
      </c>
      <c r="M53" s="62">
        <v>1</v>
      </c>
      <c r="N53" s="62">
        <v>0</v>
      </c>
      <c r="O53" s="62">
        <v>0</v>
      </c>
      <c r="P53" s="62">
        <v>0</v>
      </c>
      <c r="Q53" s="62">
        <v>1</v>
      </c>
      <c r="R53" s="62">
        <v>0</v>
      </c>
      <c r="S53" s="62">
        <v>0</v>
      </c>
      <c r="T53" s="62">
        <v>0</v>
      </c>
      <c r="U53" s="62">
        <v>1</v>
      </c>
      <c r="V53" s="62">
        <v>0</v>
      </c>
      <c r="W53" s="67">
        <f>IFERROR('GIR Log'!$D53/COUNTA('GIR Log'!$E53:$V53),0)</f>
        <v>0.33333333333333331</v>
      </c>
    </row>
    <row r="54" spans="1:23" x14ac:dyDescent="0.25">
      <c r="A54" s="51" t="s">
        <v>130</v>
      </c>
      <c r="B54" s="52">
        <v>45886</v>
      </c>
      <c r="C54" s="51" t="s">
        <v>41</v>
      </c>
      <c r="D54" s="51">
        <f>SUM('GIR Log'!$E54:$V54)</f>
        <v>8</v>
      </c>
      <c r="E54" s="60" t="s">
        <v>136</v>
      </c>
      <c r="F54" s="60" t="s">
        <v>136</v>
      </c>
      <c r="G54" s="60" t="s">
        <v>135</v>
      </c>
      <c r="H54" s="62">
        <v>1</v>
      </c>
      <c r="I54" s="60" t="s">
        <v>136</v>
      </c>
      <c r="J54" s="62">
        <v>1</v>
      </c>
      <c r="K54" s="62">
        <v>1</v>
      </c>
      <c r="L54" s="62">
        <v>1</v>
      </c>
      <c r="M54" s="60" t="s">
        <v>136</v>
      </c>
      <c r="N54" s="62">
        <v>1</v>
      </c>
      <c r="O54" s="62">
        <v>1</v>
      </c>
      <c r="P54" s="60" t="s">
        <v>138</v>
      </c>
      <c r="Q54" s="60" t="s">
        <v>136</v>
      </c>
      <c r="R54" s="62">
        <v>1</v>
      </c>
      <c r="S54" s="60" t="s">
        <v>136</v>
      </c>
      <c r="T54" s="62">
        <v>1</v>
      </c>
      <c r="U54" s="60" t="s">
        <v>136</v>
      </c>
      <c r="V54" s="60" t="s">
        <v>136</v>
      </c>
      <c r="W54" s="67">
        <f>IFERROR('GIR Log'!$D54/COUNTA('GIR Log'!$E54:$V54),0)</f>
        <v>0.44444444444444442</v>
      </c>
    </row>
    <row r="55" spans="1:23" x14ac:dyDescent="0.25">
      <c r="A55" s="51" t="s">
        <v>130</v>
      </c>
      <c r="B55" s="52">
        <v>45897</v>
      </c>
      <c r="C55" s="51" t="s">
        <v>41</v>
      </c>
      <c r="D55" s="51">
        <f>SUM('GIR Log'!$E55:$V55)</f>
        <v>0</v>
      </c>
      <c r="E55" s="60" t="s">
        <v>139</v>
      </c>
      <c r="F55" s="60" t="s">
        <v>136</v>
      </c>
      <c r="G55" s="60" t="s">
        <v>139</v>
      </c>
      <c r="H55" s="60" t="s">
        <v>136</v>
      </c>
      <c r="I55" s="60" t="s">
        <v>139</v>
      </c>
      <c r="J55" s="60" t="s">
        <v>139</v>
      </c>
      <c r="K55" s="60" t="s">
        <v>138</v>
      </c>
      <c r="L55" s="60" t="s">
        <v>135</v>
      </c>
      <c r="M55" s="60" t="s">
        <v>136</v>
      </c>
      <c r="N55" s="60" t="s">
        <v>136</v>
      </c>
      <c r="O55" s="60" t="s">
        <v>136</v>
      </c>
      <c r="P55" s="60" t="s">
        <v>136</v>
      </c>
      <c r="Q55" s="60" t="s">
        <v>135</v>
      </c>
      <c r="R55" s="60" t="s">
        <v>136</v>
      </c>
      <c r="S55" s="60" t="s">
        <v>136</v>
      </c>
      <c r="T55" s="60" t="s">
        <v>139</v>
      </c>
      <c r="U55" s="60" t="s">
        <v>139</v>
      </c>
      <c r="V55" s="60" t="s">
        <v>136</v>
      </c>
      <c r="W55" s="67">
        <f>IFERROR('GIR Log'!$D55/COUNTA('GIR Log'!$E55:$V55),0)</f>
        <v>0</v>
      </c>
    </row>
    <row r="56" spans="1:23" x14ac:dyDescent="0.25">
      <c r="A56" s="51" t="s">
        <v>130</v>
      </c>
      <c r="B56" s="52">
        <v>45829</v>
      </c>
      <c r="C56" s="51" t="s">
        <v>6</v>
      </c>
      <c r="D56" s="51">
        <f>SUM('GIR Log'!$E56:$V56)</f>
        <v>6</v>
      </c>
      <c r="E56" s="60" t="s">
        <v>139</v>
      </c>
      <c r="F56" s="60" t="s">
        <v>136</v>
      </c>
      <c r="G56" s="60" t="s">
        <v>139</v>
      </c>
      <c r="H56" s="60" t="s">
        <v>136</v>
      </c>
      <c r="I56" s="60" t="s">
        <v>139</v>
      </c>
      <c r="J56" s="60" t="s">
        <v>136</v>
      </c>
      <c r="K56" s="60" t="s">
        <v>136</v>
      </c>
      <c r="L56" s="60" t="s">
        <v>139</v>
      </c>
      <c r="M56" s="62">
        <v>1</v>
      </c>
      <c r="N56" s="60" t="s">
        <v>136</v>
      </c>
      <c r="O56" s="60" t="s">
        <v>138</v>
      </c>
      <c r="P56" s="62">
        <v>1</v>
      </c>
      <c r="Q56" s="62">
        <v>1</v>
      </c>
      <c r="R56" s="60" t="s">
        <v>139</v>
      </c>
      <c r="S56" s="62">
        <v>1</v>
      </c>
      <c r="T56" s="62">
        <v>1</v>
      </c>
      <c r="U56" s="62">
        <v>1</v>
      </c>
      <c r="V56" s="60" t="s">
        <v>136</v>
      </c>
      <c r="W56" s="67">
        <f>IFERROR('GIR Log'!$D56/COUNTA('GIR Log'!$E56:$V56),0)</f>
        <v>0.33333333333333331</v>
      </c>
    </row>
    <row r="57" spans="1:23" x14ac:dyDescent="0.25">
      <c r="A57" s="51" t="s">
        <v>130</v>
      </c>
      <c r="B57" s="52">
        <v>45857</v>
      </c>
      <c r="C57" s="51" t="s">
        <v>3</v>
      </c>
      <c r="D57" s="51">
        <f>SUM('GIR Log'!$E57:$V57)</f>
        <v>8</v>
      </c>
      <c r="E57" s="62">
        <v>1</v>
      </c>
      <c r="F57" s="60" t="s">
        <v>136</v>
      </c>
      <c r="G57" s="60" t="s">
        <v>138</v>
      </c>
      <c r="H57" s="60" t="s">
        <v>138</v>
      </c>
      <c r="I57" s="60" t="s">
        <v>136</v>
      </c>
      <c r="J57" s="60" t="s">
        <v>139</v>
      </c>
      <c r="K57" s="62">
        <v>1</v>
      </c>
      <c r="L57" s="62">
        <v>1</v>
      </c>
      <c r="M57" s="60" t="s">
        <v>136</v>
      </c>
      <c r="N57" s="60" t="s">
        <v>136</v>
      </c>
      <c r="O57" s="62">
        <v>1</v>
      </c>
      <c r="P57" s="62">
        <v>1</v>
      </c>
      <c r="Q57" s="62">
        <v>1</v>
      </c>
      <c r="R57" s="62">
        <v>1</v>
      </c>
      <c r="S57" s="60" t="s">
        <v>139</v>
      </c>
      <c r="T57" s="60" t="s">
        <v>136</v>
      </c>
      <c r="U57" s="60" t="s">
        <v>136</v>
      </c>
      <c r="V57" s="62">
        <v>1</v>
      </c>
      <c r="W57" s="67">
        <f>IFERROR('GIR Log'!$D57/COUNTA('GIR Log'!$E57:$V57),0)</f>
        <v>0.44444444444444442</v>
      </c>
    </row>
    <row r="58" spans="1:23" x14ac:dyDescent="0.25">
      <c r="A58" s="51" t="s">
        <v>130</v>
      </c>
      <c r="B58" s="52">
        <v>45844</v>
      </c>
      <c r="C58" s="51" t="s">
        <v>3</v>
      </c>
      <c r="D58" s="51">
        <f>SUM('GIR Log'!$E58:$V58)</f>
        <v>3</v>
      </c>
      <c r="E58" s="62">
        <v>1</v>
      </c>
      <c r="F58" s="60" t="s">
        <v>139</v>
      </c>
      <c r="G58" s="60" t="s">
        <v>135</v>
      </c>
      <c r="H58" s="60" t="s">
        <v>136</v>
      </c>
      <c r="I58" s="62">
        <v>1</v>
      </c>
      <c r="J58" s="60" t="s">
        <v>135</v>
      </c>
      <c r="K58" s="60" t="s">
        <v>136</v>
      </c>
      <c r="L58" s="60" t="s">
        <v>138</v>
      </c>
      <c r="M58" s="60" t="s">
        <v>136</v>
      </c>
      <c r="N58" s="60" t="s">
        <v>136</v>
      </c>
      <c r="O58" s="60" t="s">
        <v>139</v>
      </c>
      <c r="P58" s="60" t="s">
        <v>136</v>
      </c>
      <c r="Q58" s="60" t="s">
        <v>136</v>
      </c>
      <c r="R58" s="60" t="s">
        <v>136</v>
      </c>
      <c r="S58" s="60" t="s">
        <v>136</v>
      </c>
      <c r="T58" s="60" t="s">
        <v>136</v>
      </c>
      <c r="U58" s="60" t="s">
        <v>136</v>
      </c>
      <c r="V58" s="62">
        <v>1</v>
      </c>
      <c r="W58" s="67">
        <f>IFERROR('GIR Log'!$D58/COUNTA('GIR Log'!$E58:$V58),0)</f>
        <v>0.16666666666666666</v>
      </c>
    </row>
    <row r="59" spans="1:23" x14ac:dyDescent="0.25">
      <c r="A59" s="51" t="s">
        <v>130</v>
      </c>
      <c r="B59" s="52">
        <v>45653</v>
      </c>
      <c r="C59" s="51" t="s">
        <v>2</v>
      </c>
      <c r="D59" s="51">
        <f>SUM('GIR Log'!$E59:$V59)</f>
        <v>2</v>
      </c>
      <c r="E59" s="60" t="s">
        <v>138</v>
      </c>
      <c r="F59" s="60" t="s">
        <v>138</v>
      </c>
      <c r="G59" s="60" t="s">
        <v>139</v>
      </c>
      <c r="H59" s="60" t="s">
        <v>136</v>
      </c>
      <c r="I59" s="60" t="s">
        <v>136</v>
      </c>
      <c r="J59" s="62">
        <v>1</v>
      </c>
      <c r="K59" s="60" t="s">
        <v>136</v>
      </c>
      <c r="L59" s="60" t="s">
        <v>139</v>
      </c>
      <c r="M59" s="60" t="s">
        <v>138</v>
      </c>
      <c r="N59" s="60" t="s">
        <v>136</v>
      </c>
      <c r="O59" s="60" t="s">
        <v>138</v>
      </c>
      <c r="P59" s="62">
        <v>1</v>
      </c>
      <c r="Q59" s="60" t="s">
        <v>136</v>
      </c>
      <c r="R59" s="60" t="s">
        <v>136</v>
      </c>
      <c r="S59" s="60" t="s">
        <v>136</v>
      </c>
      <c r="T59" s="60" t="s">
        <v>139</v>
      </c>
      <c r="U59" s="60" t="s">
        <v>136</v>
      </c>
      <c r="V59" s="60" t="s">
        <v>136</v>
      </c>
      <c r="W59" s="67">
        <f>IFERROR('GIR Log'!$D59/COUNTA('GIR Log'!$E59:$V59),0)</f>
        <v>0.1111111111111111</v>
      </c>
    </row>
    <row r="60" spans="1:23" x14ac:dyDescent="0.25">
      <c r="A60" s="51" t="s">
        <v>130</v>
      </c>
      <c r="B60" s="52">
        <v>45655</v>
      </c>
      <c r="C60" s="51" t="s">
        <v>4</v>
      </c>
      <c r="D60" s="51">
        <f>SUM('GIR Log'!$E60:$V60)</f>
        <v>4</v>
      </c>
      <c r="E60" s="62">
        <v>1</v>
      </c>
      <c r="F60" s="62">
        <v>1</v>
      </c>
      <c r="G60" s="60" t="s">
        <v>139</v>
      </c>
      <c r="H60" s="62">
        <v>1</v>
      </c>
      <c r="I60" s="60" t="s">
        <v>136</v>
      </c>
      <c r="J60" s="62">
        <v>1</v>
      </c>
      <c r="K60" s="60" t="s">
        <v>136</v>
      </c>
      <c r="L60" s="60" t="s">
        <v>138</v>
      </c>
      <c r="M60" s="60" t="s">
        <v>136</v>
      </c>
      <c r="N60" s="60" t="s">
        <v>136</v>
      </c>
      <c r="O60" s="60" t="s">
        <v>136</v>
      </c>
      <c r="P60" s="60" t="s">
        <v>139</v>
      </c>
      <c r="Q60" s="60" t="s">
        <v>138</v>
      </c>
      <c r="R60" s="60" t="s">
        <v>136</v>
      </c>
      <c r="S60" s="60" t="s">
        <v>136</v>
      </c>
      <c r="T60" s="60" t="s">
        <v>138</v>
      </c>
      <c r="U60" s="60" t="s">
        <v>136</v>
      </c>
      <c r="V60" s="62">
        <v>0</v>
      </c>
      <c r="W60" s="67">
        <f>IFERROR('GIR Log'!$D60/COUNTA('GIR Log'!$E60:$V60),0)</f>
        <v>0.22222222222222221</v>
      </c>
    </row>
    <row r="61" spans="1:23" x14ac:dyDescent="0.25">
      <c r="A61" s="51" t="s">
        <v>130</v>
      </c>
      <c r="B61" s="52">
        <v>45649</v>
      </c>
      <c r="C61" s="51" t="s">
        <v>14</v>
      </c>
      <c r="D61" s="51">
        <f>SUM('GIR Log'!$E61:$V61)</f>
        <v>3</v>
      </c>
      <c r="E61" s="62">
        <v>0</v>
      </c>
      <c r="F61" s="60" t="s">
        <v>136</v>
      </c>
      <c r="G61" s="60" t="s">
        <v>139</v>
      </c>
      <c r="H61" s="62">
        <v>0</v>
      </c>
      <c r="I61" s="62">
        <v>0</v>
      </c>
      <c r="J61" s="62">
        <v>0</v>
      </c>
      <c r="K61" s="60" t="s">
        <v>136</v>
      </c>
      <c r="L61" s="60" t="s">
        <v>136</v>
      </c>
      <c r="M61" s="60" t="s">
        <v>136</v>
      </c>
      <c r="N61" s="60" t="s">
        <v>136</v>
      </c>
      <c r="O61" s="62">
        <v>1</v>
      </c>
      <c r="P61" s="60" t="s">
        <v>139</v>
      </c>
      <c r="Q61" s="62">
        <v>1</v>
      </c>
      <c r="R61" s="60" t="s">
        <v>139</v>
      </c>
      <c r="S61" s="60" t="s">
        <v>139</v>
      </c>
      <c r="T61" s="60" t="s">
        <v>136</v>
      </c>
      <c r="U61" s="62">
        <v>1</v>
      </c>
      <c r="V61" s="60" t="s">
        <v>136</v>
      </c>
      <c r="W61" s="67">
        <f>IFERROR('GIR Log'!$D61/COUNTA('GIR Log'!$E61:$V61),0)</f>
        <v>0.16666666666666666</v>
      </c>
    </row>
    <row r="62" spans="1:23" x14ac:dyDescent="0.25">
      <c r="A62" s="51" t="s">
        <v>130</v>
      </c>
      <c r="B62" s="52">
        <v>45570</v>
      </c>
      <c r="C62" s="51" t="s">
        <v>3</v>
      </c>
      <c r="D62" s="51">
        <f>SUM('GIR Log'!$E62:$V62)</f>
        <v>6</v>
      </c>
      <c r="E62" s="60" t="s">
        <v>135</v>
      </c>
      <c r="F62" s="62">
        <v>1</v>
      </c>
      <c r="G62" s="62">
        <v>1</v>
      </c>
      <c r="H62" s="62">
        <v>1</v>
      </c>
      <c r="I62" s="60" t="s">
        <v>139</v>
      </c>
      <c r="J62" s="60" t="s">
        <v>135</v>
      </c>
      <c r="K62" s="60" t="s">
        <v>136</v>
      </c>
      <c r="L62" s="60" t="s">
        <v>138</v>
      </c>
      <c r="M62" s="60" t="s">
        <v>136</v>
      </c>
      <c r="N62" s="60" t="s">
        <v>136</v>
      </c>
      <c r="O62" s="60" t="s">
        <v>136</v>
      </c>
      <c r="P62" s="62">
        <v>1</v>
      </c>
      <c r="Q62" s="60" t="s">
        <v>136</v>
      </c>
      <c r="R62" s="60" t="s">
        <v>135</v>
      </c>
      <c r="S62" s="62">
        <v>1</v>
      </c>
      <c r="T62" s="62">
        <v>1</v>
      </c>
      <c r="U62" s="60" t="s">
        <v>136</v>
      </c>
      <c r="V62" s="60" t="s">
        <v>136</v>
      </c>
      <c r="W62" s="67">
        <f>IFERROR('GIR Log'!$D62/COUNTA('GIR Log'!$E62:$V62),0)</f>
        <v>0.33333333333333331</v>
      </c>
    </row>
    <row r="63" spans="1:23" x14ac:dyDescent="0.25">
      <c r="A63" s="51" t="s">
        <v>130</v>
      </c>
      <c r="B63" s="52">
        <v>45535</v>
      </c>
      <c r="C63" s="51" t="s">
        <v>9</v>
      </c>
      <c r="D63" s="51">
        <f>SUM('GIR Log'!$E63:$V63)</f>
        <v>3</v>
      </c>
      <c r="E63" s="64" t="s">
        <v>137</v>
      </c>
      <c r="F63" s="64" t="s">
        <v>137</v>
      </c>
      <c r="G63" s="64" t="s">
        <v>137</v>
      </c>
      <c r="H63" s="63" t="s">
        <v>136</v>
      </c>
      <c r="I63" s="62">
        <v>0</v>
      </c>
      <c r="J63" s="62">
        <v>1</v>
      </c>
      <c r="K63" s="63" t="s">
        <v>136</v>
      </c>
      <c r="L63" s="63" t="s">
        <v>136</v>
      </c>
      <c r="M63" s="63" t="s">
        <v>138</v>
      </c>
      <c r="N63" s="63" t="s">
        <v>138</v>
      </c>
      <c r="O63" s="62">
        <v>1</v>
      </c>
      <c r="P63" s="63" t="s">
        <v>138</v>
      </c>
      <c r="Q63" s="60" t="s">
        <v>135</v>
      </c>
      <c r="R63" s="60" t="s">
        <v>139</v>
      </c>
      <c r="S63" s="63" t="s">
        <v>136</v>
      </c>
      <c r="T63" s="63" t="s">
        <v>139</v>
      </c>
      <c r="U63" s="62">
        <v>1</v>
      </c>
      <c r="V63" s="63" t="s">
        <v>139</v>
      </c>
      <c r="W63" s="67">
        <f>IFERROR('GIR Log'!$D63/COUNTA('GIR Log'!$E63:$V63),0)</f>
        <v>0.16666666666666666</v>
      </c>
    </row>
    <row r="64" spans="1:23" x14ac:dyDescent="0.25">
      <c r="A64" s="51" t="s">
        <v>130</v>
      </c>
      <c r="B64" s="52">
        <v>45487</v>
      </c>
      <c r="C64" s="51" t="s">
        <v>3</v>
      </c>
      <c r="D64" s="51">
        <f>SUM('GIR Log'!$E64:$V64)</f>
        <v>2</v>
      </c>
      <c r="E64" s="64" t="s">
        <v>137</v>
      </c>
      <c r="F64" s="64" t="s">
        <v>137</v>
      </c>
      <c r="G64" s="62">
        <v>1</v>
      </c>
      <c r="H64" s="60" t="s">
        <v>136</v>
      </c>
      <c r="I64" s="64" t="s">
        <v>137</v>
      </c>
      <c r="J64" s="60" t="s">
        <v>139</v>
      </c>
      <c r="K64" s="60" t="s">
        <v>136</v>
      </c>
      <c r="L64" s="62">
        <v>1</v>
      </c>
      <c r="M64" s="60" t="s">
        <v>135</v>
      </c>
      <c r="N64" s="64" t="s">
        <v>137</v>
      </c>
      <c r="O64" s="60" t="s">
        <v>138</v>
      </c>
      <c r="P64" s="60" t="s">
        <v>138</v>
      </c>
      <c r="Q64" s="60" t="s">
        <v>138</v>
      </c>
      <c r="R64" s="60" t="s">
        <v>138</v>
      </c>
      <c r="S64" s="60" t="s">
        <v>139</v>
      </c>
      <c r="T64" s="60" t="s">
        <v>136</v>
      </c>
      <c r="U64" s="60" t="s">
        <v>135</v>
      </c>
      <c r="V64" s="60" t="s">
        <v>138</v>
      </c>
      <c r="W64" s="67">
        <f>IFERROR('GIR Log'!$D64/COUNTA('GIR Log'!$E64:$V64),0)</f>
        <v>0.1111111111111111</v>
      </c>
    </row>
    <row r="65" spans="1:23" x14ac:dyDescent="0.25">
      <c r="A65" s="51" t="s">
        <v>130</v>
      </c>
      <c r="B65" s="52">
        <v>45172</v>
      </c>
      <c r="C65" s="51" t="s">
        <v>3</v>
      </c>
      <c r="D65" s="51">
        <f>SUM('GIR Log'!$E65:$V65)</f>
        <v>5</v>
      </c>
      <c r="E65" s="62">
        <v>1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1</v>
      </c>
      <c r="L65" s="62">
        <v>1</v>
      </c>
      <c r="M65" s="62">
        <v>0</v>
      </c>
      <c r="N65" s="62">
        <v>1</v>
      </c>
      <c r="O65" s="62">
        <v>0</v>
      </c>
      <c r="P65" s="62">
        <v>1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7">
        <f>IFERROR('GIR Log'!$D65/COUNTA('GIR Log'!$E65:$V65),0)</f>
        <v>0.27777777777777779</v>
      </c>
    </row>
    <row r="66" spans="1:23" x14ac:dyDescent="0.25">
      <c r="A66" s="68" t="s">
        <v>126</v>
      </c>
      <c r="B66" s="69">
        <v>45941</v>
      </c>
      <c r="C66" s="68" t="s">
        <v>12</v>
      </c>
      <c r="D66" s="68">
        <f>SUM('GIR Log'!$E66:$V66)</f>
        <v>1</v>
      </c>
      <c r="E66" s="60" t="s">
        <v>136</v>
      </c>
      <c r="F66" s="60" t="s">
        <v>138</v>
      </c>
      <c r="G66" s="60" t="s">
        <v>136</v>
      </c>
      <c r="H66" s="60" t="s">
        <v>136</v>
      </c>
      <c r="I66" s="60" t="s">
        <v>136</v>
      </c>
      <c r="J66" s="60" t="s">
        <v>136</v>
      </c>
      <c r="K66" s="60" t="s">
        <v>136</v>
      </c>
      <c r="L66" s="60" t="s">
        <v>139</v>
      </c>
      <c r="M66" s="60" t="s">
        <v>136</v>
      </c>
      <c r="N66" s="60" t="s">
        <v>138</v>
      </c>
      <c r="O66" s="60" t="s">
        <v>136</v>
      </c>
      <c r="P66" s="60" t="s">
        <v>136</v>
      </c>
      <c r="Q66" s="60">
        <v>1</v>
      </c>
      <c r="R66" s="60" t="s">
        <v>135</v>
      </c>
      <c r="S66" s="60" t="s">
        <v>136</v>
      </c>
      <c r="T66" s="60" t="s">
        <v>136</v>
      </c>
      <c r="U66" s="60" t="s">
        <v>136</v>
      </c>
      <c r="V66" s="60" t="s">
        <v>136</v>
      </c>
      <c r="W66" s="77">
        <f>IFERROR('GIR Log'!$D66/COUNTA('GIR Log'!$E66:$V66),0)</f>
        <v>5.5555555555555552E-2</v>
      </c>
    </row>
    <row r="67" spans="1:23" x14ac:dyDescent="0.25">
      <c r="A67" s="68" t="s">
        <v>130</v>
      </c>
      <c r="B67" s="69">
        <v>45941</v>
      </c>
      <c r="C67" s="68" t="s">
        <v>12</v>
      </c>
      <c r="D67" s="68">
        <f>SUM('GIR Log'!$E67:$V67)</f>
        <v>1</v>
      </c>
      <c r="E67" s="60" t="s">
        <v>139</v>
      </c>
      <c r="F67" s="60" t="s">
        <v>138</v>
      </c>
      <c r="G67" s="60" t="s">
        <v>138</v>
      </c>
      <c r="H67" s="60" t="s">
        <v>136</v>
      </c>
      <c r="I67" s="76">
        <v>1</v>
      </c>
      <c r="J67" s="60" t="s">
        <v>136</v>
      </c>
      <c r="K67" s="60" t="s">
        <v>136</v>
      </c>
      <c r="L67" s="60" t="s">
        <v>136</v>
      </c>
      <c r="M67" s="60" t="s">
        <v>136</v>
      </c>
      <c r="N67" s="60" t="s">
        <v>138</v>
      </c>
      <c r="O67" s="60" t="s">
        <v>138</v>
      </c>
      <c r="P67" s="60" t="s">
        <v>138</v>
      </c>
      <c r="Q67" s="60" t="s">
        <v>135</v>
      </c>
      <c r="R67" s="60" t="s">
        <v>139</v>
      </c>
      <c r="S67" s="60" t="s">
        <v>136</v>
      </c>
      <c r="T67" s="60" t="s">
        <v>136</v>
      </c>
      <c r="U67" s="60" t="s">
        <v>136</v>
      </c>
      <c r="V67" s="60" t="s">
        <v>136</v>
      </c>
      <c r="W67" s="77">
        <f>IFERROR('GIR Log'!$D67/COUNTA('GIR Log'!$E67:$V67),0)</f>
        <v>5.5555555555555552E-2</v>
      </c>
    </row>
    <row r="68" spans="1:23" x14ac:dyDescent="0.25">
      <c r="A68" s="78" t="s">
        <v>130</v>
      </c>
      <c r="B68" s="79">
        <v>45143</v>
      </c>
      <c r="C68" s="78" t="s">
        <v>9</v>
      </c>
      <c r="D68" s="78">
        <f>SUM('GIR Log'!$E68:$V68)</f>
        <v>8</v>
      </c>
      <c r="E68" s="85">
        <v>1</v>
      </c>
      <c r="F68" s="85">
        <v>0</v>
      </c>
      <c r="G68" s="85">
        <v>1</v>
      </c>
      <c r="H68" s="85">
        <v>0</v>
      </c>
      <c r="I68" s="85">
        <v>1</v>
      </c>
      <c r="J68" s="85">
        <v>1</v>
      </c>
      <c r="K68" s="85">
        <v>1</v>
      </c>
      <c r="L68" s="85">
        <v>1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1</v>
      </c>
      <c r="T68" s="85">
        <v>1</v>
      </c>
      <c r="U68" s="85">
        <v>0</v>
      </c>
      <c r="V68" s="85">
        <v>0</v>
      </c>
      <c r="W68" s="86">
        <f>IFERROR('GIR Log'!$D68/COUNTA('GIR Log'!$E68:$V68),0)</f>
        <v>0.44444444444444442</v>
      </c>
    </row>
    <row r="69" spans="1:23" x14ac:dyDescent="0.25">
      <c r="A69" s="78" t="s">
        <v>130</v>
      </c>
      <c r="B69" s="79">
        <v>45136</v>
      </c>
      <c r="C69" s="78" t="s">
        <v>5</v>
      </c>
      <c r="D69" s="78">
        <f>SUM('GIR Log'!$E69:$V69)</f>
        <v>6</v>
      </c>
      <c r="E69" s="85">
        <v>1</v>
      </c>
      <c r="F69" s="85">
        <v>1</v>
      </c>
      <c r="G69" s="85">
        <v>0</v>
      </c>
      <c r="H69" s="85">
        <v>1</v>
      </c>
      <c r="I69" s="85">
        <v>1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1</v>
      </c>
      <c r="R69" s="85">
        <v>0</v>
      </c>
      <c r="S69" s="85">
        <v>0</v>
      </c>
      <c r="T69" s="85">
        <v>0</v>
      </c>
      <c r="U69" s="85">
        <v>0</v>
      </c>
      <c r="V69" s="85">
        <v>1</v>
      </c>
      <c r="W69" s="86">
        <f>IFERROR('GIR Log'!$D69/COUNTA('GIR Log'!$E69:$V69),0)</f>
        <v>0.33333333333333331</v>
      </c>
    </row>
    <row r="70" spans="1:23" x14ac:dyDescent="0.25">
      <c r="A70" s="92" t="s">
        <v>126</v>
      </c>
      <c r="B70" s="93">
        <v>46160</v>
      </c>
      <c r="C70" s="92" t="s">
        <v>5</v>
      </c>
      <c r="D70" s="92">
        <f>SUM('GIR Log'!$E70:$V70)</f>
        <v>8</v>
      </c>
      <c r="E70" s="60" t="s">
        <v>139</v>
      </c>
      <c r="F70" s="103">
        <v>1</v>
      </c>
      <c r="G70" s="103" t="s">
        <v>144</v>
      </c>
      <c r="H70" s="103">
        <v>1</v>
      </c>
      <c r="I70" s="103">
        <v>1</v>
      </c>
      <c r="J70" s="103" t="s">
        <v>137</v>
      </c>
      <c r="K70" s="103">
        <v>1</v>
      </c>
      <c r="L70" s="103">
        <v>1</v>
      </c>
      <c r="M70" s="60" t="s">
        <v>138</v>
      </c>
      <c r="N70" s="103">
        <v>1</v>
      </c>
      <c r="O70" s="103">
        <v>1</v>
      </c>
      <c r="P70" s="60" t="s">
        <v>139</v>
      </c>
      <c r="Q70" s="103">
        <v>1</v>
      </c>
      <c r="R70" s="60" t="s">
        <v>136</v>
      </c>
      <c r="S70" s="60" t="s">
        <v>136</v>
      </c>
      <c r="T70" s="60" t="s">
        <v>136</v>
      </c>
      <c r="U70" s="60" t="s">
        <v>136</v>
      </c>
      <c r="V70" s="60" t="s">
        <v>136</v>
      </c>
      <c r="W70" s="104">
        <f>IFERROR('GIR Log'!$D70/COUNTA('GIR Log'!$E70:$V70),0)</f>
        <v>0.44444444444444442</v>
      </c>
    </row>
    <row r="71" spans="1:23" x14ac:dyDescent="0.25">
      <c r="A71" s="107" t="s">
        <v>126</v>
      </c>
      <c r="B71" s="108">
        <v>46164</v>
      </c>
      <c r="C71" s="107" t="s">
        <v>6</v>
      </c>
      <c r="D71" s="107">
        <f>SUM('GIR Log'!$E71:$V71)</f>
        <v>2</v>
      </c>
      <c r="E71" s="114">
        <v>1</v>
      </c>
      <c r="F71" s="60" t="s">
        <v>136</v>
      </c>
      <c r="G71" s="60" t="s">
        <v>138</v>
      </c>
      <c r="H71" s="60" t="s">
        <v>136</v>
      </c>
      <c r="I71" s="60" t="s">
        <v>138</v>
      </c>
      <c r="J71" s="114">
        <v>1</v>
      </c>
      <c r="K71" s="60" t="s">
        <v>136</v>
      </c>
      <c r="L71" s="60" t="s">
        <v>138</v>
      </c>
      <c r="M71" s="60" t="s">
        <v>136</v>
      </c>
      <c r="N71" s="60" t="s">
        <v>136</v>
      </c>
      <c r="O71" s="60" t="s">
        <v>136</v>
      </c>
      <c r="P71" s="60" t="s">
        <v>135</v>
      </c>
      <c r="Q71" s="60" t="s">
        <v>138</v>
      </c>
      <c r="R71" s="60" t="s">
        <v>135</v>
      </c>
      <c r="S71" s="60" t="s">
        <v>136</v>
      </c>
      <c r="T71" s="60" t="s">
        <v>135</v>
      </c>
      <c r="U71" s="60" t="s">
        <v>136</v>
      </c>
      <c r="V71" s="63" t="s">
        <v>139</v>
      </c>
      <c r="W71" s="115">
        <f>IFERROR('GIR Log'!$D71/COUNTA('GIR Log'!$E71:$V71),0)</f>
        <v>0.1111111111111111</v>
      </c>
    </row>
    <row r="72" spans="1:23" x14ac:dyDescent="0.25">
      <c r="A72" s="118" t="s">
        <v>127</v>
      </c>
      <c r="B72" s="119">
        <v>46185</v>
      </c>
      <c r="C72" s="118" t="s">
        <v>145</v>
      </c>
      <c r="D72" s="118">
        <f>SUM('GIR Log'!$E72:$V72)</f>
        <v>4</v>
      </c>
      <c r="E72" s="126" t="s">
        <v>137</v>
      </c>
      <c r="F72" s="60" t="s">
        <v>136</v>
      </c>
      <c r="G72" s="60" t="s">
        <v>136</v>
      </c>
      <c r="H72" s="60" t="s">
        <v>135</v>
      </c>
      <c r="I72" s="60" t="s">
        <v>135</v>
      </c>
      <c r="J72" s="60" t="s">
        <v>135</v>
      </c>
      <c r="K72" s="126">
        <v>1</v>
      </c>
      <c r="L72" s="126">
        <v>1</v>
      </c>
      <c r="M72" s="60" t="s">
        <v>136</v>
      </c>
      <c r="N72" s="60" t="s">
        <v>136</v>
      </c>
      <c r="O72" s="60" t="s">
        <v>136</v>
      </c>
      <c r="P72" s="126">
        <v>1</v>
      </c>
      <c r="Q72" s="126" t="s">
        <v>137</v>
      </c>
      <c r="R72" s="60" t="s">
        <v>135</v>
      </c>
      <c r="S72" s="60" t="s">
        <v>136</v>
      </c>
      <c r="T72" s="126">
        <v>1</v>
      </c>
      <c r="U72" s="60" t="s">
        <v>136</v>
      </c>
      <c r="V72" s="60" t="s">
        <v>136</v>
      </c>
      <c r="W72" s="127">
        <f>IFERROR('GIR Log'!$D72/COUNTA('GIR Log'!$E72:$V72),0)</f>
        <v>0.22222222222222221</v>
      </c>
    </row>
    <row r="73" spans="1:23" x14ac:dyDescent="0.25">
      <c r="A73" s="78"/>
      <c r="B73" s="79"/>
      <c r="C73" s="78"/>
      <c r="D73" s="78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6"/>
    </row>
    <row r="74" spans="1:23" x14ac:dyDescent="0.25">
      <c r="A74" s="51"/>
      <c r="B74" s="52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spans="1:23" x14ac:dyDescent="0.25">
      <c r="A75" s="20" t="s">
        <v>125</v>
      </c>
      <c r="B75" s="26" t="s">
        <v>19</v>
      </c>
      <c r="C75" s="26" t="s">
        <v>24</v>
      </c>
      <c r="D75" s="26" t="s">
        <v>1</v>
      </c>
      <c r="E75" s="26" t="s">
        <v>47</v>
      </c>
      <c r="F75" s="26" t="s">
        <v>48</v>
      </c>
      <c r="G75" s="26" t="s">
        <v>49</v>
      </c>
      <c r="H75" s="26" t="s">
        <v>50</v>
      </c>
      <c r="I75" s="26" t="s">
        <v>51</v>
      </c>
      <c r="J75" s="26" t="s">
        <v>52</v>
      </c>
      <c r="K75" s="26" t="s">
        <v>53</v>
      </c>
      <c r="L75" s="26" t="s">
        <v>54</v>
      </c>
      <c r="M75" s="26" t="s">
        <v>55</v>
      </c>
    </row>
    <row r="76" spans="1:23" x14ac:dyDescent="0.25">
      <c r="A76" s="20" t="s">
        <v>126</v>
      </c>
      <c r="B76" s="27">
        <v>45457</v>
      </c>
      <c r="C76" s="20" t="s">
        <v>38</v>
      </c>
      <c r="D76" s="20">
        <f>SUM('GIR Log'!$E76:$M76)</f>
        <v>1</v>
      </c>
      <c r="E76" s="20">
        <v>1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</row>
    <row r="77" spans="1:23" x14ac:dyDescent="0.25">
      <c r="A77" s="20" t="s">
        <v>126</v>
      </c>
      <c r="B77" s="27">
        <v>45454</v>
      </c>
      <c r="C77" s="20" t="s">
        <v>5</v>
      </c>
      <c r="D77" s="20">
        <f>SUM('GIR Log'!$E77:$M77)</f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A5C6-D31A-43F1-983F-C786E8090A4B}">
  <dimension ref="A1:Y25"/>
  <sheetViews>
    <sheetView workbookViewId="0">
      <selection activeCell="W29" sqref="W29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3" width="9.85546875" bestFit="1" customWidth="1"/>
    <col min="4" max="4" width="8.42578125" bestFit="1" customWidth="1"/>
    <col min="5" max="5" width="7.5703125" bestFit="1" customWidth="1"/>
    <col min="6" max="6" width="5.85546875" bestFit="1" customWidth="1"/>
    <col min="7" max="15" width="8.42578125" bestFit="1" customWidth="1"/>
    <col min="16" max="24" width="9.42578125" bestFit="1" customWidth="1"/>
  </cols>
  <sheetData>
    <row r="1" spans="1:25" x14ac:dyDescent="0.25">
      <c r="A1" s="12" t="s">
        <v>24</v>
      </c>
      <c r="B1" s="12" t="s">
        <v>25</v>
      </c>
      <c r="C1" s="12" t="s">
        <v>26</v>
      </c>
      <c r="D1" s="12" t="s">
        <v>42</v>
      </c>
      <c r="E1" s="12" t="s">
        <v>43</v>
      </c>
      <c r="F1" s="12" t="s">
        <v>23</v>
      </c>
      <c r="G1" s="12" t="s">
        <v>47</v>
      </c>
      <c r="H1" s="12" t="s">
        <v>48</v>
      </c>
      <c r="I1" s="12" t="s">
        <v>49</v>
      </c>
      <c r="J1" s="12" t="s">
        <v>50</v>
      </c>
      <c r="K1" s="12" t="s">
        <v>51</v>
      </c>
      <c r="L1" s="12" t="s">
        <v>52</v>
      </c>
      <c r="M1" s="12" t="s">
        <v>53</v>
      </c>
      <c r="N1" s="12" t="s">
        <v>54</v>
      </c>
      <c r="O1" s="12" t="s">
        <v>55</v>
      </c>
      <c r="P1" s="12" t="s">
        <v>56</v>
      </c>
      <c r="Q1" s="12" t="s">
        <v>57</v>
      </c>
      <c r="R1" s="12" t="s">
        <v>58</v>
      </c>
      <c r="S1" s="12" t="s">
        <v>59</v>
      </c>
      <c r="T1" s="12" t="s">
        <v>60</v>
      </c>
      <c r="U1" s="12" t="s">
        <v>61</v>
      </c>
      <c r="V1" s="12" t="s">
        <v>62</v>
      </c>
      <c r="W1" s="12" t="s">
        <v>63</v>
      </c>
      <c r="X1" s="12" t="s">
        <v>64</v>
      </c>
      <c r="Y1" s="12"/>
    </row>
    <row r="2" spans="1:25" x14ac:dyDescent="0.25">
      <c r="A2" s="12" t="s">
        <v>3</v>
      </c>
      <c r="B2" s="12" t="s">
        <v>34</v>
      </c>
      <c r="C2" s="3">
        <v>6378</v>
      </c>
      <c r="D2">
        <v>70.2</v>
      </c>
      <c r="E2">
        <v>129</v>
      </c>
      <c r="F2">
        <f>SUM(CourseRatings[[#This Row],[Hole 1]:[Hole 18]])</f>
        <v>71</v>
      </c>
      <c r="G2">
        <v>4</v>
      </c>
      <c r="H2">
        <v>4</v>
      </c>
      <c r="I2">
        <v>3</v>
      </c>
      <c r="J2">
        <v>4</v>
      </c>
      <c r="K2">
        <v>4</v>
      </c>
      <c r="L2">
        <v>3</v>
      </c>
      <c r="M2">
        <v>5</v>
      </c>
      <c r="N2">
        <v>4</v>
      </c>
      <c r="O2">
        <v>5</v>
      </c>
      <c r="P2">
        <v>4</v>
      </c>
      <c r="Q2">
        <v>3</v>
      </c>
      <c r="R2">
        <v>4</v>
      </c>
      <c r="S2">
        <v>5</v>
      </c>
      <c r="T2">
        <v>4</v>
      </c>
      <c r="U2">
        <v>3</v>
      </c>
      <c r="V2">
        <v>4</v>
      </c>
      <c r="W2">
        <v>4</v>
      </c>
      <c r="X2">
        <v>4</v>
      </c>
    </row>
    <row r="3" spans="1:25" x14ac:dyDescent="0.25">
      <c r="A3" s="12" t="s">
        <v>3</v>
      </c>
      <c r="B3" s="12" t="s">
        <v>36</v>
      </c>
      <c r="C3" s="3">
        <v>6124</v>
      </c>
      <c r="D3">
        <v>69.400000000000006</v>
      </c>
      <c r="E3">
        <v>125</v>
      </c>
      <c r="F3">
        <f>SUM(CourseRatings[[#This Row],[Hole 1]:[Hole 18]])</f>
        <v>71</v>
      </c>
      <c r="G3">
        <v>4</v>
      </c>
      <c r="H3">
        <v>4</v>
      </c>
      <c r="I3">
        <v>3</v>
      </c>
      <c r="J3">
        <v>4</v>
      </c>
      <c r="K3">
        <v>4</v>
      </c>
      <c r="L3">
        <v>3</v>
      </c>
      <c r="M3">
        <v>5</v>
      </c>
      <c r="N3">
        <v>4</v>
      </c>
      <c r="O3">
        <v>5</v>
      </c>
      <c r="P3">
        <v>4</v>
      </c>
      <c r="Q3">
        <v>3</v>
      </c>
      <c r="R3">
        <v>4</v>
      </c>
      <c r="S3">
        <v>5</v>
      </c>
      <c r="T3">
        <v>4</v>
      </c>
      <c r="U3">
        <v>3</v>
      </c>
      <c r="V3">
        <v>4</v>
      </c>
      <c r="W3">
        <v>4</v>
      </c>
      <c r="X3">
        <v>4</v>
      </c>
    </row>
    <row r="4" spans="1:25" x14ac:dyDescent="0.25">
      <c r="A4" s="12" t="s">
        <v>9</v>
      </c>
      <c r="B4" s="12" t="s">
        <v>34</v>
      </c>
      <c r="C4" s="3">
        <v>6288</v>
      </c>
      <c r="D4">
        <v>69.599999999999994</v>
      </c>
      <c r="E4">
        <v>120</v>
      </c>
      <c r="F4">
        <f>SUM(CourseRatings[[#This Row],[Hole 1]:[Hole 18]])</f>
        <v>71</v>
      </c>
      <c r="G4">
        <v>4</v>
      </c>
      <c r="H4">
        <v>4</v>
      </c>
      <c r="I4">
        <v>4</v>
      </c>
      <c r="J4">
        <v>3</v>
      </c>
      <c r="K4">
        <v>4</v>
      </c>
      <c r="L4">
        <v>5</v>
      </c>
      <c r="M4">
        <v>3</v>
      </c>
      <c r="N4">
        <v>4</v>
      </c>
      <c r="O4">
        <v>4</v>
      </c>
      <c r="P4">
        <v>5</v>
      </c>
      <c r="Q4">
        <v>3</v>
      </c>
      <c r="R4">
        <v>4</v>
      </c>
      <c r="S4">
        <v>4</v>
      </c>
      <c r="T4">
        <v>3</v>
      </c>
      <c r="U4">
        <v>4</v>
      </c>
      <c r="V4">
        <v>4</v>
      </c>
      <c r="W4">
        <v>5</v>
      </c>
      <c r="X4">
        <v>4</v>
      </c>
    </row>
    <row r="5" spans="1:25" x14ac:dyDescent="0.25">
      <c r="A5" s="12" t="s">
        <v>9</v>
      </c>
      <c r="B5" s="12" t="s">
        <v>36</v>
      </c>
      <c r="C5" s="3">
        <v>6055</v>
      </c>
      <c r="D5">
        <v>68.599999999999994</v>
      </c>
      <c r="E5">
        <v>118</v>
      </c>
      <c r="F5">
        <f>SUM(CourseRatings[[#This Row],[Hole 1]:[Hole 18]])</f>
        <v>71</v>
      </c>
      <c r="G5">
        <v>4</v>
      </c>
      <c r="H5">
        <v>4</v>
      </c>
      <c r="I5">
        <v>4</v>
      </c>
      <c r="J5">
        <v>3</v>
      </c>
      <c r="K5">
        <v>4</v>
      </c>
      <c r="L5">
        <v>5</v>
      </c>
      <c r="M5">
        <v>3</v>
      </c>
      <c r="N5">
        <v>4</v>
      </c>
      <c r="O5">
        <v>4</v>
      </c>
      <c r="P5">
        <v>5</v>
      </c>
      <c r="Q5">
        <v>3</v>
      </c>
      <c r="R5">
        <v>4</v>
      </c>
      <c r="S5">
        <v>4</v>
      </c>
      <c r="T5">
        <v>3</v>
      </c>
      <c r="U5">
        <v>4</v>
      </c>
      <c r="V5">
        <v>4</v>
      </c>
      <c r="W5">
        <v>5</v>
      </c>
      <c r="X5">
        <v>4</v>
      </c>
    </row>
    <row r="6" spans="1:25" x14ac:dyDescent="0.25">
      <c r="A6" s="12" t="s">
        <v>10</v>
      </c>
      <c r="B6" s="12" t="s">
        <v>36</v>
      </c>
      <c r="C6" s="3">
        <v>6555</v>
      </c>
      <c r="D6">
        <v>71.900000000000006</v>
      </c>
      <c r="E6">
        <v>127</v>
      </c>
      <c r="F6">
        <f>SUM(CourseRatings[[#This Row],[Hole 1]:[Hole 18]])</f>
        <v>70</v>
      </c>
      <c r="G6">
        <v>4</v>
      </c>
      <c r="H6">
        <v>4</v>
      </c>
      <c r="I6">
        <v>4</v>
      </c>
      <c r="J6">
        <v>3</v>
      </c>
      <c r="K6">
        <v>5</v>
      </c>
      <c r="L6">
        <v>4</v>
      </c>
      <c r="M6">
        <v>3</v>
      </c>
      <c r="N6">
        <v>4</v>
      </c>
      <c r="O6">
        <v>4</v>
      </c>
      <c r="P6">
        <v>4</v>
      </c>
      <c r="Q6">
        <v>4</v>
      </c>
      <c r="R6">
        <v>3</v>
      </c>
      <c r="S6">
        <v>4</v>
      </c>
      <c r="T6">
        <v>4</v>
      </c>
      <c r="U6">
        <v>4</v>
      </c>
      <c r="V6">
        <v>5</v>
      </c>
      <c r="W6">
        <v>3</v>
      </c>
      <c r="X6">
        <v>4</v>
      </c>
    </row>
    <row r="7" spans="1:25" x14ac:dyDescent="0.25">
      <c r="A7" s="12" t="s">
        <v>10</v>
      </c>
      <c r="B7" s="12" t="s">
        <v>34</v>
      </c>
      <c r="C7" s="3">
        <v>7092</v>
      </c>
      <c r="D7">
        <v>74.400000000000006</v>
      </c>
      <c r="E7">
        <v>133</v>
      </c>
      <c r="F7">
        <f>SUM(CourseRatings[[#This Row],[Hole 1]:[Hole 18]])</f>
        <v>70</v>
      </c>
      <c r="G7">
        <v>4</v>
      </c>
      <c r="H7">
        <v>4</v>
      </c>
      <c r="I7">
        <v>4</v>
      </c>
      <c r="J7">
        <v>3</v>
      </c>
      <c r="K7">
        <v>5</v>
      </c>
      <c r="L7">
        <v>4</v>
      </c>
      <c r="M7">
        <v>3</v>
      </c>
      <c r="N7">
        <v>4</v>
      </c>
      <c r="O7">
        <v>4</v>
      </c>
      <c r="P7">
        <v>4</v>
      </c>
      <c r="Q7">
        <v>4</v>
      </c>
      <c r="R7">
        <v>3</v>
      </c>
      <c r="S7">
        <v>4</v>
      </c>
      <c r="T7">
        <v>4</v>
      </c>
      <c r="U7">
        <v>4</v>
      </c>
      <c r="V7">
        <v>5</v>
      </c>
      <c r="W7">
        <v>3</v>
      </c>
      <c r="X7">
        <v>4</v>
      </c>
    </row>
    <row r="8" spans="1:25" x14ac:dyDescent="0.25">
      <c r="A8" s="12" t="s">
        <v>5</v>
      </c>
      <c r="B8" s="12" t="s">
        <v>36</v>
      </c>
      <c r="C8" s="3">
        <v>6405</v>
      </c>
      <c r="D8">
        <v>71.3</v>
      </c>
      <c r="E8">
        <v>127</v>
      </c>
      <c r="F8">
        <f>SUM(CourseRatings[[#This Row],[Hole 1]:[Hole 18]])</f>
        <v>72</v>
      </c>
      <c r="G8">
        <v>4</v>
      </c>
      <c r="H8">
        <v>4</v>
      </c>
      <c r="I8">
        <v>3</v>
      </c>
      <c r="J8">
        <v>5</v>
      </c>
      <c r="K8">
        <v>4</v>
      </c>
      <c r="L8">
        <v>4</v>
      </c>
      <c r="M8">
        <v>3</v>
      </c>
      <c r="N8">
        <v>5</v>
      </c>
      <c r="O8">
        <v>4</v>
      </c>
      <c r="P8">
        <v>4</v>
      </c>
      <c r="Q8">
        <v>3</v>
      </c>
      <c r="R8">
        <v>5</v>
      </c>
      <c r="S8">
        <v>4</v>
      </c>
      <c r="T8">
        <v>4</v>
      </c>
      <c r="U8">
        <v>4</v>
      </c>
      <c r="V8">
        <v>5</v>
      </c>
      <c r="W8">
        <v>3</v>
      </c>
      <c r="X8">
        <v>4</v>
      </c>
    </row>
    <row r="9" spans="1:25" x14ac:dyDescent="0.25">
      <c r="A9" s="12" t="s">
        <v>5</v>
      </c>
      <c r="B9" s="12" t="s">
        <v>34</v>
      </c>
      <c r="C9" s="3">
        <v>6638</v>
      </c>
      <c r="D9">
        <v>72.3</v>
      </c>
      <c r="E9">
        <v>130</v>
      </c>
      <c r="F9">
        <f>SUM(CourseRatings[[#This Row],[Hole 1]:[Hole 18]])</f>
        <v>72</v>
      </c>
      <c r="G9">
        <v>4</v>
      </c>
      <c r="H9">
        <v>4</v>
      </c>
      <c r="I9">
        <v>3</v>
      </c>
      <c r="J9">
        <v>5</v>
      </c>
      <c r="K9">
        <v>4</v>
      </c>
      <c r="L9">
        <v>4</v>
      </c>
      <c r="M9">
        <v>3</v>
      </c>
      <c r="N9">
        <v>5</v>
      </c>
      <c r="O9">
        <v>4</v>
      </c>
      <c r="P9">
        <v>4</v>
      </c>
      <c r="Q9">
        <v>3</v>
      </c>
      <c r="R9">
        <v>5</v>
      </c>
      <c r="S9">
        <v>4</v>
      </c>
      <c r="T9">
        <v>4</v>
      </c>
      <c r="U9">
        <v>4</v>
      </c>
      <c r="V9">
        <v>5</v>
      </c>
      <c r="W9">
        <v>3</v>
      </c>
      <c r="X9">
        <v>4</v>
      </c>
    </row>
    <row r="10" spans="1:25" x14ac:dyDescent="0.25">
      <c r="A10" s="12" t="s">
        <v>6</v>
      </c>
      <c r="B10" s="12" t="s">
        <v>34</v>
      </c>
      <c r="C10" s="3">
        <v>6173</v>
      </c>
      <c r="D10">
        <v>69.599999999999994</v>
      </c>
      <c r="E10">
        <v>125</v>
      </c>
      <c r="F10">
        <f>SUM(CourseRatings[[#This Row],[Hole 1]:[Hole 18]])</f>
        <v>72</v>
      </c>
      <c r="G10">
        <v>5</v>
      </c>
      <c r="H10">
        <v>4</v>
      </c>
      <c r="I10">
        <v>3</v>
      </c>
      <c r="J10">
        <v>5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3</v>
      </c>
      <c r="U10">
        <v>4</v>
      </c>
      <c r="V10">
        <v>4</v>
      </c>
      <c r="W10">
        <v>5</v>
      </c>
      <c r="X10">
        <v>4</v>
      </c>
    </row>
    <row r="11" spans="1:25" x14ac:dyDescent="0.25">
      <c r="A11" s="12" t="s">
        <v>12</v>
      </c>
      <c r="B11" s="12" t="s">
        <v>34</v>
      </c>
      <c r="C11" s="3">
        <v>6686</v>
      </c>
      <c r="D11">
        <v>71.3</v>
      </c>
      <c r="E11">
        <v>136</v>
      </c>
      <c r="F11">
        <f>SUM(CourseRatings[[#This Row],[Hole 1]:[Hole 18]])</f>
        <v>72</v>
      </c>
      <c r="G11">
        <v>4</v>
      </c>
      <c r="H11">
        <v>5</v>
      </c>
      <c r="I11">
        <v>4</v>
      </c>
      <c r="J11">
        <v>4</v>
      </c>
      <c r="K11">
        <v>5</v>
      </c>
      <c r="L11">
        <v>3</v>
      </c>
      <c r="M11">
        <v>4</v>
      </c>
      <c r="N11">
        <v>3</v>
      </c>
      <c r="O11">
        <v>4</v>
      </c>
      <c r="P11">
        <v>5</v>
      </c>
      <c r="Q11">
        <v>4</v>
      </c>
      <c r="R11">
        <v>3</v>
      </c>
      <c r="S11">
        <v>4</v>
      </c>
      <c r="T11">
        <v>3</v>
      </c>
      <c r="U11">
        <v>5</v>
      </c>
      <c r="V11">
        <v>4</v>
      </c>
      <c r="W11">
        <v>4</v>
      </c>
      <c r="X11">
        <v>4</v>
      </c>
    </row>
    <row r="12" spans="1:25" x14ac:dyDescent="0.25">
      <c r="A12" s="12" t="s">
        <v>38</v>
      </c>
      <c r="B12" s="12" t="s">
        <v>34</v>
      </c>
      <c r="C12" s="3">
        <v>2896</v>
      </c>
      <c r="D12">
        <v>33.9</v>
      </c>
      <c r="E12">
        <v>122</v>
      </c>
      <c r="F12">
        <f>SUM(CourseRatings[[#This Row],[Hole 1]:[Hole 18]])</f>
        <v>36</v>
      </c>
      <c r="G12">
        <v>5</v>
      </c>
      <c r="H12">
        <v>4</v>
      </c>
      <c r="I12">
        <v>3</v>
      </c>
      <c r="J12">
        <v>4</v>
      </c>
      <c r="K12">
        <v>4</v>
      </c>
      <c r="L12">
        <v>3</v>
      </c>
      <c r="M12">
        <v>4</v>
      </c>
      <c r="N12">
        <v>4</v>
      </c>
      <c r="O12">
        <v>5</v>
      </c>
    </row>
    <row r="13" spans="1:25" x14ac:dyDescent="0.25">
      <c r="A13" s="12" t="s">
        <v>11</v>
      </c>
      <c r="B13" s="12" t="s">
        <v>34</v>
      </c>
      <c r="C13" s="3">
        <v>6311</v>
      </c>
      <c r="D13">
        <v>69.5</v>
      </c>
      <c r="E13">
        <v>131</v>
      </c>
      <c r="F13">
        <f>SUM(CourseRatings[[#This Row],[Hole 1]:[Hole 18]])</f>
        <v>71</v>
      </c>
      <c r="G13">
        <v>4</v>
      </c>
      <c r="H13">
        <v>3</v>
      </c>
      <c r="I13">
        <v>4</v>
      </c>
      <c r="J13">
        <v>3</v>
      </c>
      <c r="K13">
        <v>5</v>
      </c>
      <c r="L13">
        <v>4</v>
      </c>
      <c r="M13">
        <v>4</v>
      </c>
      <c r="N13">
        <v>4</v>
      </c>
      <c r="O13">
        <v>5</v>
      </c>
      <c r="P13">
        <v>4</v>
      </c>
      <c r="Q13">
        <v>3</v>
      </c>
      <c r="R13">
        <v>4</v>
      </c>
      <c r="S13">
        <v>5</v>
      </c>
      <c r="T13">
        <v>3</v>
      </c>
      <c r="U13">
        <v>5</v>
      </c>
      <c r="V13">
        <v>3</v>
      </c>
      <c r="W13">
        <v>4</v>
      </c>
      <c r="X13">
        <v>4</v>
      </c>
    </row>
    <row r="14" spans="1:25" x14ac:dyDescent="0.25">
      <c r="A14" s="12" t="s">
        <v>46</v>
      </c>
      <c r="B14" s="12" t="s">
        <v>36</v>
      </c>
      <c r="C14" s="3">
        <v>6549</v>
      </c>
      <c r="D14">
        <v>71.3</v>
      </c>
      <c r="E14">
        <v>124</v>
      </c>
      <c r="F14">
        <f>SUM(CourseRatings[[#This Row],[Hole 1]:[Hole 18]])</f>
        <v>71</v>
      </c>
      <c r="G14">
        <v>5</v>
      </c>
      <c r="H14">
        <v>4</v>
      </c>
      <c r="I14">
        <v>4</v>
      </c>
      <c r="J14">
        <v>3</v>
      </c>
      <c r="K14">
        <v>4</v>
      </c>
      <c r="L14">
        <v>4</v>
      </c>
      <c r="M14">
        <v>4</v>
      </c>
      <c r="N14">
        <v>3</v>
      </c>
      <c r="O14">
        <v>5</v>
      </c>
      <c r="P14">
        <v>4</v>
      </c>
      <c r="Q14">
        <v>4</v>
      </c>
      <c r="R14">
        <v>5</v>
      </c>
      <c r="S14">
        <v>3</v>
      </c>
      <c r="T14">
        <v>4</v>
      </c>
      <c r="U14">
        <v>4</v>
      </c>
      <c r="V14">
        <v>4</v>
      </c>
      <c r="W14">
        <v>3</v>
      </c>
      <c r="X14">
        <v>4</v>
      </c>
    </row>
    <row r="15" spans="1:25" x14ac:dyDescent="0.25">
      <c r="A15" s="12" t="s">
        <v>16</v>
      </c>
      <c r="B15" s="12" t="s">
        <v>36</v>
      </c>
      <c r="C15" s="3">
        <v>6707</v>
      </c>
      <c r="D15">
        <v>74.599999999999994</v>
      </c>
      <c r="E15">
        <v>149</v>
      </c>
      <c r="F15">
        <f>SUM(CourseRatings[[#This Row],[Hole 1]:[Hole 18]])</f>
        <v>71</v>
      </c>
      <c r="G15">
        <v>4</v>
      </c>
      <c r="H15">
        <v>4</v>
      </c>
      <c r="I15">
        <v>3</v>
      </c>
      <c r="J15">
        <v>5</v>
      </c>
      <c r="K15">
        <v>4</v>
      </c>
      <c r="L15">
        <v>4</v>
      </c>
      <c r="M15">
        <v>5</v>
      </c>
      <c r="N15">
        <v>3</v>
      </c>
      <c r="O15">
        <v>4</v>
      </c>
      <c r="P15">
        <v>4</v>
      </c>
      <c r="Q15">
        <v>4</v>
      </c>
      <c r="R15">
        <v>4</v>
      </c>
      <c r="S15">
        <v>5</v>
      </c>
      <c r="T15">
        <v>3</v>
      </c>
      <c r="U15">
        <v>4</v>
      </c>
      <c r="V15">
        <v>4</v>
      </c>
      <c r="W15">
        <v>3</v>
      </c>
      <c r="X15">
        <v>4</v>
      </c>
    </row>
    <row r="16" spans="1:25" x14ac:dyDescent="0.25">
      <c r="A16" s="12" t="s">
        <v>4</v>
      </c>
      <c r="B16" s="12" t="s">
        <v>34</v>
      </c>
      <c r="C16" s="3">
        <v>6407</v>
      </c>
      <c r="D16">
        <v>71.3</v>
      </c>
      <c r="E16">
        <v>127</v>
      </c>
      <c r="F16">
        <f>SUM(CourseRatings[[#This Row],[Hole 1]:[Hole 18]])</f>
        <v>72</v>
      </c>
      <c r="G16">
        <v>4</v>
      </c>
      <c r="H16">
        <v>5</v>
      </c>
      <c r="I16">
        <v>3</v>
      </c>
      <c r="J16">
        <v>4</v>
      </c>
      <c r="K16">
        <v>4</v>
      </c>
      <c r="L16">
        <v>4</v>
      </c>
      <c r="M16">
        <v>4</v>
      </c>
      <c r="N16">
        <v>3</v>
      </c>
      <c r="O16">
        <v>5</v>
      </c>
      <c r="P16">
        <v>4</v>
      </c>
      <c r="Q16">
        <v>5</v>
      </c>
      <c r="R16">
        <v>4</v>
      </c>
      <c r="S16">
        <v>3</v>
      </c>
      <c r="T16">
        <v>4</v>
      </c>
      <c r="U16">
        <v>4</v>
      </c>
      <c r="V16">
        <v>3</v>
      </c>
      <c r="W16">
        <v>4</v>
      </c>
      <c r="X16">
        <v>5</v>
      </c>
    </row>
    <row r="17" spans="1:24" x14ac:dyDescent="0.25">
      <c r="A17" s="12" t="s">
        <v>2</v>
      </c>
      <c r="B17" s="12" t="s">
        <v>34</v>
      </c>
      <c r="C17" s="3">
        <v>6653</v>
      </c>
      <c r="D17">
        <v>72.400000000000006</v>
      </c>
      <c r="E17">
        <v>97.2</v>
      </c>
      <c r="F17">
        <f>SUM(CourseRatings[[#This Row],[Hole 1]:[Hole 18]])</f>
        <v>72</v>
      </c>
      <c r="G17">
        <v>4</v>
      </c>
      <c r="H17">
        <v>5</v>
      </c>
      <c r="I17">
        <v>3</v>
      </c>
      <c r="J17">
        <v>4</v>
      </c>
      <c r="K17">
        <v>4</v>
      </c>
      <c r="L17">
        <v>4</v>
      </c>
      <c r="M17">
        <v>5</v>
      </c>
      <c r="N17">
        <v>3</v>
      </c>
      <c r="O17">
        <v>4</v>
      </c>
      <c r="P17">
        <v>4</v>
      </c>
      <c r="Q17">
        <v>3</v>
      </c>
      <c r="R17">
        <v>4</v>
      </c>
      <c r="S17">
        <v>5</v>
      </c>
      <c r="T17">
        <v>4</v>
      </c>
      <c r="U17">
        <v>5</v>
      </c>
      <c r="V17">
        <v>3</v>
      </c>
      <c r="W17">
        <v>4</v>
      </c>
      <c r="X17">
        <v>4</v>
      </c>
    </row>
    <row r="18" spans="1:24" x14ac:dyDescent="0.25">
      <c r="A18" s="12" t="s">
        <v>14</v>
      </c>
      <c r="B18" s="12" t="s">
        <v>40</v>
      </c>
      <c r="C18" s="3">
        <v>5839</v>
      </c>
      <c r="D18">
        <v>69.8</v>
      </c>
      <c r="E18">
        <v>122</v>
      </c>
      <c r="F18">
        <f>SUM(CourseRatings[[#This Row],[Hole 1]:[Hole 18]])</f>
        <v>71</v>
      </c>
      <c r="G18">
        <v>5</v>
      </c>
      <c r="H18">
        <v>3</v>
      </c>
      <c r="I18">
        <v>4</v>
      </c>
      <c r="J18">
        <v>4</v>
      </c>
      <c r="K18">
        <v>4</v>
      </c>
      <c r="L18">
        <v>5</v>
      </c>
      <c r="M18">
        <v>4</v>
      </c>
      <c r="N18">
        <v>3</v>
      </c>
      <c r="O18">
        <v>5</v>
      </c>
      <c r="P18">
        <v>4</v>
      </c>
      <c r="Q18">
        <v>4</v>
      </c>
      <c r="R18">
        <v>4</v>
      </c>
      <c r="S18">
        <v>4</v>
      </c>
      <c r="T18">
        <v>4</v>
      </c>
      <c r="U18">
        <v>3</v>
      </c>
      <c r="V18">
        <v>4</v>
      </c>
      <c r="W18">
        <v>3</v>
      </c>
      <c r="X18">
        <v>4</v>
      </c>
    </row>
    <row r="19" spans="1:24" x14ac:dyDescent="0.25">
      <c r="A19" s="12" t="s">
        <v>7</v>
      </c>
      <c r="B19" s="12" t="s">
        <v>36</v>
      </c>
      <c r="C19" s="3">
        <v>6409</v>
      </c>
      <c r="D19">
        <v>72.5</v>
      </c>
      <c r="E19">
        <v>137</v>
      </c>
      <c r="F19">
        <f>SUM(CourseRatings[[#This Row],[Hole 1]:[Hole 18]])</f>
        <v>72</v>
      </c>
      <c r="G19">
        <v>4</v>
      </c>
      <c r="H19">
        <v>4</v>
      </c>
      <c r="I19">
        <v>4</v>
      </c>
      <c r="J19">
        <v>3</v>
      </c>
      <c r="K19">
        <v>4</v>
      </c>
      <c r="L19">
        <v>4</v>
      </c>
      <c r="M19">
        <v>4</v>
      </c>
      <c r="N19">
        <v>3</v>
      </c>
      <c r="O19">
        <v>5</v>
      </c>
      <c r="P19">
        <v>4</v>
      </c>
      <c r="Q19">
        <v>4</v>
      </c>
      <c r="R19">
        <v>3</v>
      </c>
      <c r="S19">
        <v>5</v>
      </c>
      <c r="T19">
        <v>4</v>
      </c>
      <c r="U19">
        <v>5</v>
      </c>
      <c r="V19">
        <v>4</v>
      </c>
      <c r="W19">
        <v>3</v>
      </c>
      <c r="X19">
        <v>5</v>
      </c>
    </row>
    <row r="20" spans="1:24" x14ac:dyDescent="0.25">
      <c r="A20" s="12" t="s">
        <v>6</v>
      </c>
      <c r="B20" s="12" t="s">
        <v>36</v>
      </c>
      <c r="C20" s="3">
        <v>5835</v>
      </c>
      <c r="D20">
        <v>67.5</v>
      </c>
      <c r="E20">
        <v>121</v>
      </c>
      <c r="F20">
        <f>SUM(CourseRatings[[#This Row],[Hole 1]:[Hole 18]])</f>
        <v>72</v>
      </c>
      <c r="G20">
        <v>5</v>
      </c>
      <c r="H20">
        <v>4</v>
      </c>
      <c r="I20">
        <v>3</v>
      </c>
      <c r="J20">
        <v>5</v>
      </c>
      <c r="K20">
        <v>3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3</v>
      </c>
      <c r="U20">
        <v>4</v>
      </c>
      <c r="V20">
        <v>4</v>
      </c>
      <c r="W20">
        <v>5</v>
      </c>
      <c r="X20">
        <v>4</v>
      </c>
    </row>
    <row r="21" spans="1:24" x14ac:dyDescent="0.25">
      <c r="A21" s="12" t="s">
        <v>41</v>
      </c>
      <c r="B21" s="12" t="s">
        <v>34</v>
      </c>
      <c r="C21" s="3">
        <v>6504</v>
      </c>
      <c r="D21">
        <v>70.5</v>
      </c>
      <c r="E21">
        <v>125</v>
      </c>
      <c r="F21">
        <f>SUM(CourseRatings[[#This Row],[Hole 1]:[Hole 18]])</f>
        <v>72</v>
      </c>
      <c r="G21">
        <v>4</v>
      </c>
      <c r="H21">
        <v>4</v>
      </c>
      <c r="I21">
        <v>3</v>
      </c>
      <c r="J21">
        <v>5</v>
      </c>
      <c r="K21">
        <v>4</v>
      </c>
      <c r="L21">
        <v>3</v>
      </c>
      <c r="M21">
        <v>4</v>
      </c>
      <c r="N21">
        <v>4</v>
      </c>
      <c r="O21">
        <v>5</v>
      </c>
      <c r="P21">
        <v>4</v>
      </c>
      <c r="Q21">
        <v>5</v>
      </c>
      <c r="R21">
        <v>4</v>
      </c>
      <c r="S21">
        <v>3</v>
      </c>
      <c r="T21">
        <v>4</v>
      </c>
      <c r="U21">
        <v>4</v>
      </c>
      <c r="V21">
        <v>3</v>
      </c>
      <c r="W21">
        <v>4</v>
      </c>
      <c r="X21">
        <v>5</v>
      </c>
    </row>
    <row r="22" spans="1:24" x14ac:dyDescent="0.25">
      <c r="A22" s="12" t="s">
        <v>128</v>
      </c>
      <c r="B22" s="12" t="s">
        <v>36</v>
      </c>
      <c r="C22" s="3">
        <v>6328</v>
      </c>
      <c r="D22">
        <v>70.400000000000006</v>
      </c>
      <c r="E22">
        <v>130</v>
      </c>
      <c r="F22">
        <f>SUM(CourseRatings[[#This Row],[Hole 1]:[Hole 18]])</f>
        <v>71</v>
      </c>
      <c r="G22">
        <v>5</v>
      </c>
      <c r="H22">
        <v>3</v>
      </c>
      <c r="I22">
        <v>4</v>
      </c>
      <c r="J22">
        <v>5</v>
      </c>
      <c r="K22">
        <v>4</v>
      </c>
      <c r="L22">
        <v>4</v>
      </c>
      <c r="M22">
        <v>4</v>
      </c>
      <c r="N22">
        <v>3</v>
      </c>
      <c r="O22">
        <v>4</v>
      </c>
      <c r="P22">
        <v>4</v>
      </c>
      <c r="Q22">
        <v>3</v>
      </c>
      <c r="R22">
        <v>4</v>
      </c>
      <c r="S22">
        <v>5</v>
      </c>
      <c r="T22">
        <v>3</v>
      </c>
      <c r="U22">
        <v>4</v>
      </c>
      <c r="V22">
        <v>4</v>
      </c>
      <c r="W22">
        <v>4</v>
      </c>
      <c r="X22">
        <v>4</v>
      </c>
    </row>
    <row r="23" spans="1:24" x14ac:dyDescent="0.25">
      <c r="A23" s="12" t="s">
        <v>129</v>
      </c>
      <c r="B23" s="12" t="s">
        <v>36</v>
      </c>
      <c r="C23" s="3">
        <v>6229</v>
      </c>
      <c r="D23">
        <v>70.5</v>
      </c>
      <c r="E23">
        <v>132</v>
      </c>
      <c r="F23">
        <f>SUM(CourseRatings[[#This Row],[Hole 1]:[Hole 18]])</f>
        <v>71</v>
      </c>
      <c r="G23">
        <v>4</v>
      </c>
      <c r="H23">
        <v>3</v>
      </c>
      <c r="I23">
        <v>5</v>
      </c>
      <c r="J23">
        <v>4</v>
      </c>
      <c r="K23">
        <v>4</v>
      </c>
      <c r="L23">
        <v>3</v>
      </c>
      <c r="M23">
        <v>4</v>
      </c>
      <c r="N23">
        <v>3</v>
      </c>
      <c r="O23">
        <v>5</v>
      </c>
      <c r="P23">
        <v>4</v>
      </c>
      <c r="Q23">
        <v>4</v>
      </c>
      <c r="R23">
        <v>4</v>
      </c>
      <c r="S23">
        <v>3</v>
      </c>
      <c r="T23">
        <v>4</v>
      </c>
      <c r="U23">
        <v>5</v>
      </c>
      <c r="V23">
        <v>4</v>
      </c>
      <c r="W23">
        <v>3</v>
      </c>
      <c r="X23">
        <v>5</v>
      </c>
    </row>
    <row r="24" spans="1:24" x14ac:dyDescent="0.25">
      <c r="A24" s="12" t="s">
        <v>12</v>
      </c>
      <c r="B24" s="12" t="s">
        <v>36</v>
      </c>
      <c r="C24" s="3">
        <v>6030</v>
      </c>
      <c r="D24">
        <v>69.2</v>
      </c>
      <c r="E24">
        <v>127</v>
      </c>
      <c r="F24">
        <f>SUM(CourseRatings[[#This Row],[Hole 1]:[Hole 18]])</f>
        <v>72</v>
      </c>
      <c r="G24">
        <v>4</v>
      </c>
      <c r="H24">
        <v>5</v>
      </c>
      <c r="I24">
        <v>4</v>
      </c>
      <c r="J24">
        <v>4</v>
      </c>
      <c r="K24">
        <v>5</v>
      </c>
      <c r="L24">
        <v>3</v>
      </c>
      <c r="M24">
        <v>4</v>
      </c>
      <c r="N24">
        <v>3</v>
      </c>
      <c r="O24">
        <v>4</v>
      </c>
      <c r="P24">
        <v>5</v>
      </c>
      <c r="Q24">
        <v>4</v>
      </c>
      <c r="R24">
        <v>3</v>
      </c>
      <c r="S24">
        <v>4</v>
      </c>
      <c r="T24">
        <v>3</v>
      </c>
      <c r="U24">
        <v>5</v>
      </c>
      <c r="V24">
        <v>4</v>
      </c>
      <c r="W24">
        <v>4</v>
      </c>
      <c r="X24">
        <v>4</v>
      </c>
    </row>
    <row r="25" spans="1:24" x14ac:dyDescent="0.25">
      <c r="A25" s="12" t="s">
        <v>145</v>
      </c>
      <c r="B25" s="12" t="s">
        <v>36</v>
      </c>
      <c r="C25" s="3">
        <v>6372</v>
      </c>
      <c r="D25">
        <v>70.7</v>
      </c>
      <c r="E25">
        <v>122</v>
      </c>
      <c r="F25">
        <f>SUM(CourseRatings[[#This Row],[Hole 1]:[Hole 18]])</f>
        <v>72</v>
      </c>
      <c r="G25">
        <v>4</v>
      </c>
      <c r="H25">
        <v>5</v>
      </c>
      <c r="I25">
        <v>4</v>
      </c>
      <c r="J25">
        <v>3</v>
      </c>
      <c r="K25">
        <v>4</v>
      </c>
      <c r="L25">
        <v>5</v>
      </c>
      <c r="M25">
        <v>3</v>
      </c>
      <c r="N25">
        <v>4</v>
      </c>
      <c r="O25">
        <v>4</v>
      </c>
      <c r="P25">
        <v>4</v>
      </c>
      <c r="Q25">
        <v>4</v>
      </c>
      <c r="R25">
        <v>5</v>
      </c>
      <c r="S25">
        <v>4</v>
      </c>
      <c r="T25">
        <v>3</v>
      </c>
      <c r="U25">
        <v>5</v>
      </c>
      <c r="V25">
        <v>3</v>
      </c>
      <c r="W25">
        <v>4</v>
      </c>
      <c r="X25">
        <v>4</v>
      </c>
    </row>
  </sheetData>
  <phoneticPr fontId="2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F05C-A9B8-4DCA-9DE4-EBDAAB2BA401}">
  <dimension ref="A1:T25"/>
  <sheetViews>
    <sheetView workbookViewId="0">
      <selection activeCell="A25" sqref="A25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11" width="8.42578125" bestFit="1" customWidth="1"/>
    <col min="12" max="20" width="9.42578125" bestFit="1" customWidth="1"/>
  </cols>
  <sheetData>
    <row r="1" spans="1:20" x14ac:dyDescent="0.25">
      <c r="A1" s="12" t="s">
        <v>24</v>
      </c>
      <c r="B1" s="12" t="s">
        <v>25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2" t="s">
        <v>56</v>
      </c>
      <c r="M1" s="12" t="s">
        <v>57</v>
      </c>
      <c r="N1" s="12" t="s">
        <v>58</v>
      </c>
      <c r="O1" s="12" t="s">
        <v>59</v>
      </c>
      <c r="P1" s="12" t="s">
        <v>60</v>
      </c>
      <c r="Q1" s="12" t="s">
        <v>61</v>
      </c>
      <c r="R1" s="12" t="s">
        <v>62</v>
      </c>
      <c r="S1" s="12" t="s">
        <v>63</v>
      </c>
      <c r="T1" s="12" t="s">
        <v>64</v>
      </c>
    </row>
    <row r="2" spans="1:20" x14ac:dyDescent="0.25">
      <c r="A2" s="12" t="s">
        <v>3</v>
      </c>
      <c r="B2" s="12" t="s">
        <v>34</v>
      </c>
      <c r="C2">
        <v>354</v>
      </c>
      <c r="D2">
        <v>380</v>
      </c>
      <c r="E2">
        <v>153</v>
      </c>
      <c r="F2">
        <v>363</v>
      </c>
      <c r="G2">
        <v>400</v>
      </c>
      <c r="H2">
        <v>190</v>
      </c>
      <c r="I2">
        <v>507</v>
      </c>
      <c r="J2">
        <v>347</v>
      </c>
      <c r="K2">
        <v>560</v>
      </c>
      <c r="L2">
        <v>343</v>
      </c>
      <c r="M2">
        <v>171</v>
      </c>
      <c r="N2">
        <v>291</v>
      </c>
      <c r="O2">
        <v>572</v>
      </c>
      <c r="P2">
        <v>366</v>
      </c>
      <c r="Q2">
        <v>207</v>
      </c>
      <c r="R2">
        <v>358</v>
      </c>
      <c r="S2">
        <v>418</v>
      </c>
      <c r="T2">
        <v>398</v>
      </c>
    </row>
    <row r="3" spans="1:20" x14ac:dyDescent="0.25">
      <c r="A3" s="12" t="s">
        <v>3</v>
      </c>
      <c r="B3" s="12" t="s">
        <v>36</v>
      </c>
      <c r="C3">
        <v>345</v>
      </c>
      <c r="D3">
        <v>367</v>
      </c>
      <c r="E3">
        <v>133</v>
      </c>
      <c r="F3">
        <v>344</v>
      </c>
      <c r="G3">
        <v>387</v>
      </c>
      <c r="H3">
        <v>178</v>
      </c>
      <c r="I3">
        <v>500</v>
      </c>
      <c r="J3">
        <v>337</v>
      </c>
      <c r="K3">
        <v>532</v>
      </c>
      <c r="L3">
        <v>328</v>
      </c>
      <c r="M3">
        <v>159</v>
      </c>
      <c r="N3">
        <v>279</v>
      </c>
      <c r="O3">
        <v>553</v>
      </c>
      <c r="P3">
        <v>352</v>
      </c>
      <c r="Q3">
        <v>165</v>
      </c>
      <c r="R3">
        <v>343</v>
      </c>
      <c r="S3">
        <v>408</v>
      </c>
      <c r="T3">
        <v>386</v>
      </c>
    </row>
    <row r="4" spans="1:20" x14ac:dyDescent="0.25">
      <c r="A4" s="12" t="s">
        <v>9</v>
      </c>
      <c r="B4" s="12" t="s">
        <v>34</v>
      </c>
      <c r="C4">
        <v>393</v>
      </c>
      <c r="D4">
        <v>398</v>
      </c>
      <c r="E4">
        <v>390</v>
      </c>
      <c r="F4">
        <v>166</v>
      </c>
      <c r="G4">
        <v>347</v>
      </c>
      <c r="H4">
        <v>487</v>
      </c>
      <c r="I4">
        <v>174</v>
      </c>
      <c r="J4">
        <v>360</v>
      </c>
      <c r="K4">
        <v>386</v>
      </c>
      <c r="L4">
        <v>524</v>
      </c>
      <c r="M4">
        <v>188</v>
      </c>
      <c r="N4">
        <v>313</v>
      </c>
      <c r="O4">
        <v>429</v>
      </c>
      <c r="P4">
        <v>188</v>
      </c>
      <c r="Q4">
        <v>363</v>
      </c>
      <c r="R4">
        <v>353</v>
      </c>
      <c r="S4">
        <v>485</v>
      </c>
      <c r="T4">
        <v>366</v>
      </c>
    </row>
    <row r="5" spans="1:20" x14ac:dyDescent="0.25">
      <c r="A5" s="12" t="s">
        <v>9</v>
      </c>
      <c r="B5" s="12" t="s">
        <v>36</v>
      </c>
      <c r="C5">
        <v>381</v>
      </c>
      <c r="D5">
        <v>389</v>
      </c>
      <c r="E5">
        <v>366</v>
      </c>
      <c r="F5">
        <v>151</v>
      </c>
      <c r="G5">
        <v>336</v>
      </c>
      <c r="H5">
        <v>474</v>
      </c>
      <c r="I5">
        <v>164</v>
      </c>
      <c r="J5">
        <v>338</v>
      </c>
      <c r="K5">
        <v>375</v>
      </c>
      <c r="L5">
        <v>510</v>
      </c>
      <c r="M5">
        <v>173</v>
      </c>
      <c r="N5">
        <v>300</v>
      </c>
      <c r="O5">
        <v>410</v>
      </c>
      <c r="P5">
        <v>178</v>
      </c>
      <c r="Q5">
        <v>355</v>
      </c>
      <c r="R5">
        <v>300</v>
      </c>
      <c r="S5">
        <v>475</v>
      </c>
      <c r="T5">
        <v>347</v>
      </c>
    </row>
    <row r="6" spans="1:20" x14ac:dyDescent="0.25">
      <c r="A6" s="12" t="s">
        <v>10</v>
      </c>
      <c r="B6" s="12" t="s">
        <v>36</v>
      </c>
      <c r="C6">
        <v>459</v>
      </c>
      <c r="D6">
        <v>387</v>
      </c>
      <c r="E6">
        <v>368</v>
      </c>
      <c r="F6">
        <v>158</v>
      </c>
      <c r="G6">
        <v>510</v>
      </c>
      <c r="H6">
        <v>337</v>
      </c>
      <c r="I6">
        <v>154</v>
      </c>
      <c r="J6">
        <v>378</v>
      </c>
      <c r="K6">
        <v>449</v>
      </c>
      <c r="L6">
        <v>416</v>
      </c>
      <c r="M6">
        <v>432</v>
      </c>
      <c r="N6">
        <v>189</v>
      </c>
      <c r="O6">
        <v>385</v>
      </c>
      <c r="P6">
        <v>421</v>
      </c>
      <c r="Q6">
        <v>438</v>
      </c>
      <c r="R6">
        <v>535</v>
      </c>
      <c r="S6">
        <v>153</v>
      </c>
      <c r="T6">
        <v>401</v>
      </c>
    </row>
    <row r="7" spans="1:20" x14ac:dyDescent="0.25">
      <c r="A7" s="12" t="s">
        <v>10</v>
      </c>
      <c r="B7" s="12" t="s">
        <v>34</v>
      </c>
      <c r="C7">
        <v>471</v>
      </c>
      <c r="D7">
        <v>401</v>
      </c>
      <c r="E7">
        <v>382</v>
      </c>
      <c r="F7">
        <v>181</v>
      </c>
      <c r="G7">
        <v>528</v>
      </c>
      <c r="H7">
        <v>350</v>
      </c>
      <c r="I7">
        <v>184</v>
      </c>
      <c r="J7">
        <v>403</v>
      </c>
      <c r="K7">
        <v>466</v>
      </c>
      <c r="L7">
        <v>451</v>
      </c>
      <c r="M7">
        <v>462</v>
      </c>
      <c r="N7">
        <v>208</v>
      </c>
      <c r="O7">
        <v>400</v>
      </c>
      <c r="P7">
        <v>435</v>
      </c>
      <c r="Q7">
        <v>450</v>
      </c>
      <c r="R7">
        <v>565</v>
      </c>
      <c r="S7">
        <v>165</v>
      </c>
      <c r="T7">
        <v>419</v>
      </c>
    </row>
    <row r="8" spans="1:20" x14ac:dyDescent="0.25">
      <c r="A8" s="12" t="s">
        <v>5</v>
      </c>
      <c r="B8" s="12" t="s">
        <v>36</v>
      </c>
      <c r="C8">
        <v>397</v>
      </c>
      <c r="D8">
        <v>441</v>
      </c>
      <c r="E8">
        <v>180</v>
      </c>
      <c r="F8">
        <v>479</v>
      </c>
      <c r="G8">
        <v>298</v>
      </c>
      <c r="H8">
        <v>446</v>
      </c>
      <c r="I8">
        <v>175</v>
      </c>
      <c r="J8">
        <v>545</v>
      </c>
      <c r="K8">
        <v>348</v>
      </c>
      <c r="L8">
        <v>362</v>
      </c>
      <c r="M8">
        <v>187</v>
      </c>
      <c r="N8">
        <v>463</v>
      </c>
      <c r="O8">
        <v>347</v>
      </c>
      <c r="P8">
        <v>362</v>
      </c>
      <c r="Q8">
        <v>371</v>
      </c>
      <c r="R8">
        <v>490</v>
      </c>
      <c r="S8">
        <v>163</v>
      </c>
      <c r="T8">
        <v>351</v>
      </c>
    </row>
    <row r="9" spans="1:20" x14ac:dyDescent="0.25">
      <c r="A9" s="12" t="s">
        <v>5</v>
      </c>
      <c r="B9" s="12" t="s">
        <v>34</v>
      </c>
      <c r="C9">
        <v>432</v>
      </c>
      <c r="D9">
        <v>451</v>
      </c>
      <c r="E9">
        <v>195</v>
      </c>
      <c r="F9">
        <v>493</v>
      </c>
      <c r="G9">
        <v>306</v>
      </c>
      <c r="H9">
        <v>462</v>
      </c>
      <c r="I9">
        <v>186</v>
      </c>
      <c r="J9">
        <v>565</v>
      </c>
      <c r="K9">
        <v>360</v>
      </c>
      <c r="L9">
        <v>381</v>
      </c>
      <c r="M9">
        <v>200</v>
      </c>
      <c r="N9">
        <v>473</v>
      </c>
      <c r="O9">
        <v>362</v>
      </c>
      <c r="P9">
        <v>383</v>
      </c>
      <c r="Q9">
        <v>387</v>
      </c>
      <c r="R9">
        <v>501</v>
      </c>
      <c r="S9">
        <v>175</v>
      </c>
      <c r="T9">
        <v>364</v>
      </c>
    </row>
    <row r="10" spans="1:20" x14ac:dyDescent="0.25">
      <c r="A10" s="12" t="s">
        <v>6</v>
      </c>
      <c r="B10" s="12" t="s">
        <v>34</v>
      </c>
      <c r="C10">
        <v>489</v>
      </c>
      <c r="D10">
        <v>372</v>
      </c>
      <c r="E10">
        <v>180</v>
      </c>
      <c r="F10">
        <v>497</v>
      </c>
      <c r="G10">
        <v>149</v>
      </c>
      <c r="H10">
        <v>386</v>
      </c>
      <c r="I10">
        <v>369</v>
      </c>
      <c r="J10">
        <v>304</v>
      </c>
      <c r="K10">
        <v>338</v>
      </c>
      <c r="L10">
        <v>357</v>
      </c>
      <c r="M10">
        <v>310</v>
      </c>
      <c r="N10">
        <v>386</v>
      </c>
      <c r="O10">
        <v>326</v>
      </c>
      <c r="P10">
        <v>170</v>
      </c>
      <c r="Q10">
        <v>417</v>
      </c>
      <c r="R10">
        <v>277</v>
      </c>
      <c r="S10">
        <v>479</v>
      </c>
      <c r="T10">
        <v>367</v>
      </c>
    </row>
    <row r="11" spans="1:20" x14ac:dyDescent="0.25">
      <c r="A11" s="12" t="s">
        <v>12</v>
      </c>
      <c r="B11" s="12" t="s">
        <v>34</v>
      </c>
      <c r="C11">
        <v>360</v>
      </c>
      <c r="D11">
        <v>480</v>
      </c>
      <c r="E11">
        <v>315</v>
      </c>
      <c r="F11">
        <v>375</v>
      </c>
      <c r="G11">
        <v>478</v>
      </c>
      <c r="H11">
        <v>177</v>
      </c>
      <c r="I11">
        <v>413</v>
      </c>
      <c r="J11">
        <v>169</v>
      </c>
      <c r="K11">
        <v>390</v>
      </c>
      <c r="L11">
        <v>470</v>
      </c>
      <c r="M11">
        <v>306</v>
      </c>
      <c r="N11">
        <v>148</v>
      </c>
      <c r="O11">
        <v>377</v>
      </c>
      <c r="P11">
        <v>218</v>
      </c>
      <c r="Q11">
        <v>543</v>
      </c>
      <c r="R11">
        <v>316</v>
      </c>
      <c r="S11">
        <v>419</v>
      </c>
      <c r="T11">
        <v>324</v>
      </c>
    </row>
    <row r="12" spans="1:20" x14ac:dyDescent="0.25">
      <c r="A12" s="12" t="s">
        <v>38</v>
      </c>
      <c r="B12" s="12" t="s">
        <v>34</v>
      </c>
      <c r="C12">
        <v>389</v>
      </c>
      <c r="D12">
        <v>321</v>
      </c>
      <c r="E12">
        <v>155</v>
      </c>
      <c r="F12">
        <v>356</v>
      </c>
      <c r="G12">
        <v>277</v>
      </c>
      <c r="H12">
        <v>93</v>
      </c>
      <c r="I12">
        <v>289</v>
      </c>
      <c r="J12">
        <v>253</v>
      </c>
      <c r="K12">
        <v>469</v>
      </c>
    </row>
    <row r="13" spans="1:20" x14ac:dyDescent="0.25">
      <c r="A13" s="12" t="s">
        <v>11</v>
      </c>
      <c r="B13" s="12" t="s">
        <v>34</v>
      </c>
      <c r="C13">
        <v>298</v>
      </c>
      <c r="D13">
        <v>130</v>
      </c>
      <c r="E13">
        <v>327</v>
      </c>
      <c r="F13">
        <v>176</v>
      </c>
      <c r="G13">
        <v>457</v>
      </c>
      <c r="H13">
        <v>389</v>
      </c>
      <c r="I13">
        <v>301</v>
      </c>
      <c r="J13">
        <v>356</v>
      </c>
      <c r="K13">
        <v>534</v>
      </c>
      <c r="L13">
        <v>339</v>
      </c>
      <c r="M13">
        <v>157</v>
      </c>
      <c r="N13">
        <v>363</v>
      </c>
      <c r="O13">
        <v>555</v>
      </c>
      <c r="P13">
        <v>172</v>
      </c>
      <c r="Q13">
        <v>527</v>
      </c>
      <c r="R13">
        <v>137</v>
      </c>
      <c r="S13">
        <v>394</v>
      </c>
      <c r="T13">
        <v>385</v>
      </c>
    </row>
    <row r="14" spans="1:20" x14ac:dyDescent="0.25">
      <c r="A14" s="12" t="s">
        <v>46</v>
      </c>
      <c r="B14" s="12" t="s">
        <v>36</v>
      </c>
      <c r="C14">
        <v>487</v>
      </c>
      <c r="D14">
        <v>470</v>
      </c>
      <c r="E14">
        <v>366</v>
      </c>
      <c r="F14">
        <v>198</v>
      </c>
      <c r="G14">
        <v>361</v>
      </c>
      <c r="H14">
        <v>382</v>
      </c>
      <c r="I14">
        <v>300</v>
      </c>
      <c r="J14">
        <v>207</v>
      </c>
      <c r="K14">
        <v>537</v>
      </c>
      <c r="L14">
        <v>449</v>
      </c>
      <c r="M14">
        <v>345</v>
      </c>
      <c r="N14">
        <v>529</v>
      </c>
      <c r="O14">
        <v>189</v>
      </c>
      <c r="P14">
        <v>389</v>
      </c>
      <c r="Q14">
        <v>390</v>
      </c>
      <c r="R14">
        <v>405</v>
      </c>
      <c r="S14">
        <v>140</v>
      </c>
      <c r="T14">
        <v>405</v>
      </c>
    </row>
    <row r="15" spans="1:20" x14ac:dyDescent="0.25">
      <c r="A15" s="12" t="s">
        <v>16</v>
      </c>
      <c r="B15" s="12" t="s">
        <v>36</v>
      </c>
      <c r="C15">
        <v>429</v>
      </c>
      <c r="D15">
        <v>354</v>
      </c>
      <c r="E15">
        <v>158</v>
      </c>
      <c r="F15">
        <v>461</v>
      </c>
      <c r="G15">
        <v>423</v>
      </c>
      <c r="H15">
        <v>386</v>
      </c>
      <c r="I15">
        <v>525</v>
      </c>
      <c r="J15">
        <v>191</v>
      </c>
      <c r="K15">
        <v>385</v>
      </c>
      <c r="L15">
        <v>434</v>
      </c>
      <c r="M15">
        <v>421</v>
      </c>
      <c r="N15">
        <v>432</v>
      </c>
      <c r="O15">
        <v>559</v>
      </c>
      <c r="P15">
        <v>149</v>
      </c>
      <c r="Q15">
        <v>430</v>
      </c>
      <c r="R15">
        <v>457</v>
      </c>
      <c r="S15">
        <v>195</v>
      </c>
      <c r="T15">
        <v>368</v>
      </c>
    </row>
    <row r="16" spans="1:20" x14ac:dyDescent="0.25">
      <c r="A16" s="12" t="s">
        <v>4</v>
      </c>
      <c r="B16" s="12" t="s">
        <v>34</v>
      </c>
      <c r="C16">
        <v>354</v>
      </c>
      <c r="D16">
        <v>484</v>
      </c>
      <c r="E16">
        <v>174</v>
      </c>
      <c r="F16">
        <v>344</v>
      </c>
      <c r="G16">
        <v>352</v>
      </c>
      <c r="H16">
        <v>438</v>
      </c>
      <c r="I16">
        <v>378</v>
      </c>
      <c r="J16">
        <v>135</v>
      </c>
      <c r="K16">
        <v>496</v>
      </c>
      <c r="L16">
        <v>369</v>
      </c>
      <c r="M16">
        <v>571</v>
      </c>
      <c r="N16">
        <v>367</v>
      </c>
      <c r="O16">
        <v>139</v>
      </c>
      <c r="P16">
        <v>368</v>
      </c>
      <c r="Q16">
        <v>395</v>
      </c>
      <c r="R16">
        <v>150</v>
      </c>
      <c r="S16">
        <v>300</v>
      </c>
      <c r="T16">
        <v>531</v>
      </c>
    </row>
    <row r="17" spans="1:20" x14ac:dyDescent="0.25">
      <c r="A17" s="12" t="s">
        <v>2</v>
      </c>
      <c r="B17" s="12" t="s">
        <v>34</v>
      </c>
      <c r="C17">
        <v>400</v>
      </c>
      <c r="D17">
        <v>500</v>
      </c>
      <c r="E17">
        <v>176</v>
      </c>
      <c r="F17">
        <v>393</v>
      </c>
      <c r="G17">
        <v>428</v>
      </c>
      <c r="H17">
        <v>264</v>
      </c>
      <c r="I17">
        <v>567</v>
      </c>
      <c r="J17">
        <v>188</v>
      </c>
      <c r="K17">
        <v>333</v>
      </c>
      <c r="L17">
        <v>397</v>
      </c>
      <c r="M17">
        <v>159</v>
      </c>
      <c r="N17">
        <v>470</v>
      </c>
      <c r="O17">
        <v>514</v>
      </c>
      <c r="P17">
        <v>420</v>
      </c>
      <c r="Q17">
        <v>507</v>
      </c>
      <c r="R17">
        <v>180</v>
      </c>
      <c r="S17">
        <v>348</v>
      </c>
      <c r="T17">
        <v>409</v>
      </c>
    </row>
    <row r="18" spans="1:20" x14ac:dyDescent="0.25">
      <c r="A18" s="12" t="s">
        <v>14</v>
      </c>
      <c r="B18" s="12" t="s">
        <v>40</v>
      </c>
      <c r="C18">
        <v>502</v>
      </c>
      <c r="D18">
        <v>175</v>
      </c>
      <c r="E18">
        <v>353</v>
      </c>
      <c r="F18">
        <v>359</v>
      </c>
      <c r="G18">
        <v>440</v>
      </c>
      <c r="H18">
        <v>440</v>
      </c>
      <c r="I18">
        <v>306</v>
      </c>
      <c r="J18">
        <v>167</v>
      </c>
      <c r="K18">
        <v>467</v>
      </c>
      <c r="L18">
        <v>433</v>
      </c>
      <c r="M18">
        <v>399</v>
      </c>
      <c r="N18">
        <v>335</v>
      </c>
      <c r="O18">
        <v>362</v>
      </c>
      <c r="P18">
        <v>380</v>
      </c>
      <c r="Q18">
        <v>171</v>
      </c>
      <c r="R18">
        <v>412</v>
      </c>
      <c r="S18">
        <v>140</v>
      </c>
      <c r="T18">
        <v>426</v>
      </c>
    </row>
    <row r="19" spans="1:20" x14ac:dyDescent="0.25">
      <c r="A19" s="12" t="s">
        <v>7</v>
      </c>
      <c r="B19" s="12" t="s">
        <v>36</v>
      </c>
      <c r="C19">
        <v>316</v>
      </c>
      <c r="D19">
        <v>391</v>
      </c>
      <c r="E19">
        <v>384</v>
      </c>
      <c r="F19">
        <v>188</v>
      </c>
      <c r="G19">
        <v>320</v>
      </c>
      <c r="H19">
        <v>361</v>
      </c>
      <c r="I19">
        <v>412</v>
      </c>
      <c r="J19">
        <v>150</v>
      </c>
      <c r="K19">
        <v>490</v>
      </c>
      <c r="L19">
        <v>320</v>
      </c>
      <c r="M19">
        <v>412</v>
      </c>
      <c r="N19">
        <v>135</v>
      </c>
      <c r="O19">
        <v>495</v>
      </c>
      <c r="P19">
        <v>405</v>
      </c>
      <c r="Q19">
        <v>542</v>
      </c>
      <c r="R19">
        <v>390</v>
      </c>
      <c r="S19">
        <v>130</v>
      </c>
      <c r="T19">
        <v>501</v>
      </c>
    </row>
    <row r="20" spans="1:20" x14ac:dyDescent="0.25">
      <c r="A20" s="12" t="s">
        <v>6</v>
      </c>
      <c r="B20" s="12" t="s">
        <v>36</v>
      </c>
      <c r="C20">
        <v>435</v>
      </c>
      <c r="D20">
        <v>302</v>
      </c>
      <c r="E20">
        <v>169</v>
      </c>
      <c r="F20">
        <v>483</v>
      </c>
      <c r="G20">
        <v>133</v>
      </c>
      <c r="H20">
        <v>375</v>
      </c>
      <c r="I20">
        <v>350</v>
      </c>
      <c r="J20">
        <v>285</v>
      </c>
      <c r="K20">
        <v>303</v>
      </c>
      <c r="L20">
        <v>308</v>
      </c>
      <c r="M20">
        <v>284</v>
      </c>
      <c r="N20">
        <v>370</v>
      </c>
      <c r="O20">
        <v>297</v>
      </c>
      <c r="P20">
        <v>158</v>
      </c>
      <c r="Q20">
        <v>404</v>
      </c>
      <c r="R20">
        <v>262</v>
      </c>
      <c r="S20">
        <v>467</v>
      </c>
      <c r="T20">
        <v>355</v>
      </c>
    </row>
    <row r="21" spans="1:20" x14ac:dyDescent="0.25">
      <c r="A21" s="12" t="s">
        <v>41</v>
      </c>
      <c r="B21" s="12" t="s">
        <v>34</v>
      </c>
      <c r="C21">
        <v>423</v>
      </c>
      <c r="D21">
        <v>338</v>
      </c>
      <c r="E21">
        <v>187</v>
      </c>
      <c r="F21">
        <v>520</v>
      </c>
      <c r="G21">
        <v>349</v>
      </c>
      <c r="H21">
        <v>153</v>
      </c>
      <c r="I21">
        <v>394</v>
      </c>
      <c r="J21">
        <v>399</v>
      </c>
      <c r="K21">
        <v>512</v>
      </c>
      <c r="L21">
        <v>326</v>
      </c>
      <c r="M21">
        <v>497</v>
      </c>
      <c r="N21">
        <v>343</v>
      </c>
      <c r="O21">
        <v>180</v>
      </c>
      <c r="P21">
        <v>411</v>
      </c>
      <c r="Q21">
        <v>344</v>
      </c>
      <c r="R21">
        <v>158</v>
      </c>
      <c r="S21">
        <v>421</v>
      </c>
      <c r="T21">
        <v>549</v>
      </c>
    </row>
    <row r="22" spans="1:20" x14ac:dyDescent="0.25">
      <c r="A22" s="35" t="s">
        <v>128</v>
      </c>
      <c r="B22" s="35" t="s">
        <v>36</v>
      </c>
      <c r="C22">
        <v>513</v>
      </c>
      <c r="D22">
        <v>171</v>
      </c>
      <c r="E22">
        <v>375</v>
      </c>
      <c r="F22">
        <v>526</v>
      </c>
      <c r="G22">
        <v>550</v>
      </c>
      <c r="H22">
        <v>370</v>
      </c>
      <c r="I22">
        <v>328</v>
      </c>
      <c r="J22">
        <v>196</v>
      </c>
      <c r="K22">
        <v>352</v>
      </c>
      <c r="L22">
        <v>367</v>
      </c>
      <c r="M22">
        <v>151</v>
      </c>
      <c r="N22">
        <v>370</v>
      </c>
      <c r="O22">
        <v>551</v>
      </c>
      <c r="P22">
        <v>130</v>
      </c>
      <c r="Q22">
        <v>360</v>
      </c>
      <c r="R22">
        <v>338</v>
      </c>
      <c r="S22">
        <v>360</v>
      </c>
      <c r="T22">
        <v>430</v>
      </c>
    </row>
    <row r="23" spans="1:20" x14ac:dyDescent="0.25">
      <c r="A23" s="35" t="s">
        <v>129</v>
      </c>
      <c r="B23" s="35" t="s">
        <v>36</v>
      </c>
      <c r="C23">
        <v>354</v>
      </c>
      <c r="D23">
        <v>178</v>
      </c>
      <c r="E23">
        <v>535</v>
      </c>
      <c r="F23">
        <v>345</v>
      </c>
      <c r="G23">
        <v>350</v>
      </c>
      <c r="H23">
        <v>158</v>
      </c>
      <c r="I23">
        <v>406</v>
      </c>
      <c r="J23">
        <v>150</v>
      </c>
      <c r="K23">
        <v>518</v>
      </c>
      <c r="L23">
        <v>314</v>
      </c>
      <c r="M23">
        <v>308</v>
      </c>
      <c r="N23">
        <v>443</v>
      </c>
      <c r="O23">
        <v>189</v>
      </c>
      <c r="P23">
        <v>425</v>
      </c>
      <c r="Q23">
        <v>561</v>
      </c>
      <c r="R23">
        <v>296</v>
      </c>
      <c r="S23">
        <v>174</v>
      </c>
      <c r="T23">
        <v>525</v>
      </c>
    </row>
    <row r="24" spans="1:20" x14ac:dyDescent="0.25">
      <c r="A24" s="68" t="s">
        <v>12</v>
      </c>
      <c r="B24" s="68" t="s">
        <v>36</v>
      </c>
      <c r="C24">
        <v>359</v>
      </c>
      <c r="D24">
        <v>440</v>
      </c>
      <c r="E24">
        <v>325</v>
      </c>
      <c r="F24">
        <v>353</v>
      </c>
      <c r="G24">
        <v>457</v>
      </c>
      <c r="H24">
        <v>155</v>
      </c>
      <c r="I24">
        <v>408</v>
      </c>
      <c r="J24">
        <v>154</v>
      </c>
      <c r="K24">
        <v>372</v>
      </c>
      <c r="L24">
        <v>468</v>
      </c>
      <c r="M24">
        <v>282</v>
      </c>
      <c r="N24">
        <v>123</v>
      </c>
      <c r="O24">
        <v>359</v>
      </c>
      <c r="P24">
        <v>194</v>
      </c>
      <c r="Q24">
        <v>545</v>
      </c>
      <c r="R24">
        <v>306</v>
      </c>
      <c r="S24">
        <v>405</v>
      </c>
      <c r="T24">
        <v>325</v>
      </c>
    </row>
    <row r="25" spans="1:20" x14ac:dyDescent="0.25">
      <c r="A25" s="117" t="s">
        <v>145</v>
      </c>
      <c r="B25" s="117" t="s">
        <v>36</v>
      </c>
      <c r="C25">
        <v>338</v>
      </c>
      <c r="D25">
        <v>542</v>
      </c>
      <c r="E25">
        <v>419</v>
      </c>
      <c r="F25">
        <v>181</v>
      </c>
      <c r="G25">
        <v>356</v>
      </c>
      <c r="H25">
        <v>505</v>
      </c>
      <c r="I25">
        <v>128</v>
      </c>
      <c r="J25">
        <v>391</v>
      </c>
      <c r="K25">
        <v>384</v>
      </c>
      <c r="L25">
        <v>360</v>
      </c>
      <c r="M25">
        <v>366</v>
      </c>
      <c r="N25">
        <v>475</v>
      </c>
      <c r="O25">
        <v>305</v>
      </c>
      <c r="P25">
        <v>198</v>
      </c>
      <c r="Q25">
        <v>460</v>
      </c>
      <c r="R25">
        <v>157</v>
      </c>
      <c r="S25">
        <v>356</v>
      </c>
      <c r="T25">
        <v>354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987A-F626-4F4E-B977-6E2E8A55A111}">
  <dimension ref="A1:T25"/>
  <sheetViews>
    <sheetView topLeftCell="A2" workbookViewId="0">
      <selection activeCell="D25" sqref="D25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11" width="8.42578125" bestFit="1" customWidth="1"/>
    <col min="12" max="20" width="9.42578125" bestFit="1" customWidth="1"/>
  </cols>
  <sheetData>
    <row r="1" spans="1:20" x14ac:dyDescent="0.25">
      <c r="A1" s="12" t="s">
        <v>24</v>
      </c>
      <c r="B1" s="12" t="s">
        <v>25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2" t="s">
        <v>56</v>
      </c>
      <c r="M1" s="12" t="s">
        <v>57</v>
      </c>
      <c r="N1" s="12" t="s">
        <v>58</v>
      </c>
      <c r="O1" s="12" t="s">
        <v>59</v>
      </c>
      <c r="P1" s="12" t="s">
        <v>60</v>
      </c>
      <c r="Q1" s="12" t="s">
        <v>61</v>
      </c>
      <c r="R1" s="12" t="s">
        <v>62</v>
      </c>
      <c r="S1" s="12" t="s">
        <v>63</v>
      </c>
      <c r="T1" s="12" t="s">
        <v>64</v>
      </c>
    </row>
    <row r="2" spans="1:20" x14ac:dyDescent="0.25">
      <c r="A2" s="12" t="s">
        <v>3</v>
      </c>
      <c r="B2" s="12" t="s">
        <v>34</v>
      </c>
      <c r="C2">
        <v>15</v>
      </c>
      <c r="D2">
        <v>3</v>
      </c>
      <c r="E2">
        <v>17</v>
      </c>
      <c r="F2">
        <v>11</v>
      </c>
      <c r="G2">
        <v>7</v>
      </c>
      <c r="H2">
        <v>5</v>
      </c>
      <c r="I2">
        <v>9</v>
      </c>
      <c r="J2">
        <v>13</v>
      </c>
      <c r="K2">
        <v>1</v>
      </c>
      <c r="L2">
        <v>12</v>
      </c>
      <c r="M2">
        <v>16</v>
      </c>
      <c r="N2">
        <v>18</v>
      </c>
      <c r="O2">
        <v>2</v>
      </c>
      <c r="P2">
        <v>14</v>
      </c>
      <c r="Q2">
        <v>8</v>
      </c>
      <c r="R2">
        <v>10</v>
      </c>
      <c r="S2">
        <v>4</v>
      </c>
      <c r="T2">
        <v>6</v>
      </c>
    </row>
    <row r="3" spans="1:20" x14ac:dyDescent="0.25">
      <c r="A3" s="12" t="s">
        <v>3</v>
      </c>
      <c r="B3" s="12" t="s">
        <v>36</v>
      </c>
      <c r="C3">
        <v>15</v>
      </c>
      <c r="D3">
        <v>3</v>
      </c>
      <c r="E3">
        <v>17</v>
      </c>
      <c r="F3">
        <v>11</v>
      </c>
      <c r="G3">
        <v>7</v>
      </c>
      <c r="H3">
        <v>5</v>
      </c>
      <c r="I3">
        <v>9</v>
      </c>
      <c r="J3">
        <v>13</v>
      </c>
      <c r="K3">
        <v>1</v>
      </c>
      <c r="L3">
        <v>12</v>
      </c>
      <c r="M3">
        <v>16</v>
      </c>
      <c r="N3">
        <v>18</v>
      </c>
      <c r="O3">
        <v>2</v>
      </c>
      <c r="P3">
        <v>14</v>
      </c>
      <c r="Q3">
        <v>8</v>
      </c>
      <c r="R3">
        <v>10</v>
      </c>
      <c r="S3">
        <v>4</v>
      </c>
      <c r="T3">
        <v>6</v>
      </c>
    </row>
    <row r="4" spans="1:20" x14ac:dyDescent="0.25">
      <c r="A4" s="12" t="s">
        <v>9</v>
      </c>
      <c r="B4" s="12" t="s">
        <v>34</v>
      </c>
      <c r="C4">
        <v>2</v>
      </c>
      <c r="D4">
        <v>4</v>
      </c>
      <c r="E4">
        <v>6</v>
      </c>
      <c r="F4">
        <v>14</v>
      </c>
      <c r="G4">
        <v>10</v>
      </c>
      <c r="H4">
        <v>8</v>
      </c>
      <c r="I4">
        <v>16</v>
      </c>
      <c r="J4">
        <v>12</v>
      </c>
      <c r="K4">
        <v>18</v>
      </c>
      <c r="L4">
        <v>3</v>
      </c>
      <c r="M4">
        <v>11</v>
      </c>
      <c r="N4">
        <v>17</v>
      </c>
      <c r="O4">
        <v>1</v>
      </c>
      <c r="P4">
        <v>9</v>
      </c>
      <c r="Q4">
        <v>7</v>
      </c>
      <c r="R4">
        <v>13</v>
      </c>
      <c r="S4">
        <v>5</v>
      </c>
      <c r="T4">
        <v>15</v>
      </c>
    </row>
    <row r="5" spans="1:20" x14ac:dyDescent="0.25">
      <c r="A5" s="12" t="s">
        <v>9</v>
      </c>
      <c r="B5" s="12" t="s">
        <v>36</v>
      </c>
      <c r="C5">
        <v>2</v>
      </c>
      <c r="D5">
        <v>4</v>
      </c>
      <c r="E5">
        <v>6</v>
      </c>
      <c r="F5">
        <v>14</v>
      </c>
      <c r="G5">
        <v>10</v>
      </c>
      <c r="H5">
        <v>8</v>
      </c>
      <c r="I5">
        <v>16</v>
      </c>
      <c r="J5">
        <v>12</v>
      </c>
      <c r="K5">
        <v>18</v>
      </c>
      <c r="L5">
        <v>3</v>
      </c>
      <c r="M5">
        <v>11</v>
      </c>
      <c r="N5">
        <v>17</v>
      </c>
      <c r="O5">
        <v>1</v>
      </c>
      <c r="P5">
        <v>9</v>
      </c>
      <c r="Q5">
        <v>7</v>
      </c>
      <c r="R5">
        <v>13</v>
      </c>
      <c r="S5">
        <v>5</v>
      </c>
      <c r="T5">
        <v>15</v>
      </c>
    </row>
    <row r="6" spans="1:20" x14ac:dyDescent="0.25">
      <c r="A6" s="12" t="s">
        <v>10</v>
      </c>
      <c r="B6" s="12" t="s">
        <v>36</v>
      </c>
      <c r="C6">
        <v>3</v>
      </c>
      <c r="D6">
        <v>7</v>
      </c>
      <c r="E6">
        <v>11</v>
      </c>
      <c r="F6">
        <v>15</v>
      </c>
      <c r="G6">
        <v>5</v>
      </c>
      <c r="H6">
        <v>9</v>
      </c>
      <c r="I6">
        <v>17</v>
      </c>
      <c r="J6">
        <v>13</v>
      </c>
      <c r="K6">
        <v>1</v>
      </c>
      <c r="L6">
        <v>14</v>
      </c>
      <c r="M6">
        <v>12</v>
      </c>
      <c r="N6">
        <v>16</v>
      </c>
      <c r="O6">
        <v>6</v>
      </c>
      <c r="P6">
        <v>4</v>
      </c>
      <c r="Q6">
        <v>2</v>
      </c>
      <c r="R6">
        <v>8</v>
      </c>
      <c r="S6">
        <v>18</v>
      </c>
      <c r="T6">
        <v>10</v>
      </c>
    </row>
    <row r="7" spans="1:20" x14ac:dyDescent="0.25">
      <c r="A7" s="12" t="s">
        <v>10</v>
      </c>
      <c r="B7" s="12" t="s">
        <v>34</v>
      </c>
      <c r="C7">
        <v>3</v>
      </c>
      <c r="D7">
        <v>7</v>
      </c>
      <c r="E7">
        <v>11</v>
      </c>
      <c r="F7">
        <v>15</v>
      </c>
      <c r="G7">
        <v>5</v>
      </c>
      <c r="H7">
        <v>9</v>
      </c>
      <c r="I7">
        <v>17</v>
      </c>
      <c r="J7">
        <v>13</v>
      </c>
      <c r="K7">
        <v>1</v>
      </c>
      <c r="L7">
        <v>14</v>
      </c>
      <c r="M7">
        <v>12</v>
      </c>
      <c r="N7">
        <v>16</v>
      </c>
      <c r="O7">
        <v>6</v>
      </c>
      <c r="P7">
        <v>4</v>
      </c>
      <c r="Q7">
        <v>2</v>
      </c>
      <c r="R7">
        <v>8</v>
      </c>
      <c r="S7">
        <v>18</v>
      </c>
      <c r="T7">
        <v>10</v>
      </c>
    </row>
    <row r="8" spans="1:20" x14ac:dyDescent="0.25">
      <c r="A8" s="12" t="s">
        <v>5</v>
      </c>
      <c r="B8" s="12" t="s">
        <v>36</v>
      </c>
      <c r="C8">
        <v>7</v>
      </c>
      <c r="D8">
        <v>3</v>
      </c>
      <c r="E8">
        <v>13</v>
      </c>
      <c r="F8">
        <v>15</v>
      </c>
      <c r="G8">
        <v>17</v>
      </c>
      <c r="H8">
        <v>1</v>
      </c>
      <c r="I8">
        <v>11</v>
      </c>
      <c r="J8">
        <v>5</v>
      </c>
      <c r="K8">
        <v>9</v>
      </c>
      <c r="L8">
        <v>12</v>
      </c>
      <c r="M8">
        <v>16</v>
      </c>
      <c r="N8">
        <v>10</v>
      </c>
      <c r="O8">
        <v>18</v>
      </c>
      <c r="P8">
        <v>8</v>
      </c>
      <c r="Q8">
        <v>2</v>
      </c>
      <c r="R8">
        <v>4</v>
      </c>
      <c r="S8">
        <v>14</v>
      </c>
      <c r="T8">
        <v>6</v>
      </c>
    </row>
    <row r="9" spans="1:20" x14ac:dyDescent="0.25">
      <c r="A9" s="12" t="s">
        <v>5</v>
      </c>
      <c r="B9" s="12" t="s">
        <v>34</v>
      </c>
      <c r="C9">
        <v>7</v>
      </c>
      <c r="D9">
        <v>3</v>
      </c>
      <c r="E9">
        <v>13</v>
      </c>
      <c r="F9">
        <v>15</v>
      </c>
      <c r="G9">
        <v>17</v>
      </c>
      <c r="H9">
        <v>1</v>
      </c>
      <c r="I9">
        <v>11</v>
      </c>
      <c r="J9">
        <v>5</v>
      </c>
      <c r="K9">
        <v>9</v>
      </c>
      <c r="L9">
        <v>12</v>
      </c>
      <c r="M9">
        <v>16</v>
      </c>
      <c r="N9">
        <v>10</v>
      </c>
      <c r="O9">
        <v>18</v>
      </c>
      <c r="P9">
        <v>8</v>
      </c>
      <c r="Q9">
        <v>2</v>
      </c>
      <c r="R9">
        <v>4</v>
      </c>
      <c r="S9">
        <v>14</v>
      </c>
      <c r="T9">
        <v>6</v>
      </c>
    </row>
    <row r="10" spans="1:20" x14ac:dyDescent="0.25">
      <c r="A10" s="12" t="s">
        <v>6</v>
      </c>
      <c r="B10" s="12" t="s">
        <v>34</v>
      </c>
      <c r="C10">
        <v>6</v>
      </c>
      <c r="D10">
        <v>2</v>
      </c>
      <c r="E10">
        <v>14</v>
      </c>
      <c r="F10">
        <v>8</v>
      </c>
      <c r="G10">
        <v>16</v>
      </c>
      <c r="H10">
        <v>4</v>
      </c>
      <c r="I10">
        <v>10</v>
      </c>
      <c r="J10">
        <v>18</v>
      </c>
      <c r="K10">
        <v>12</v>
      </c>
      <c r="L10">
        <v>13</v>
      </c>
      <c r="M10">
        <v>11</v>
      </c>
      <c r="N10">
        <v>5</v>
      </c>
      <c r="O10">
        <v>9</v>
      </c>
      <c r="P10">
        <v>15</v>
      </c>
      <c r="Q10">
        <v>1</v>
      </c>
      <c r="R10">
        <v>17</v>
      </c>
      <c r="S10">
        <v>3</v>
      </c>
      <c r="T10">
        <v>7</v>
      </c>
    </row>
    <row r="11" spans="1:20" x14ac:dyDescent="0.25">
      <c r="A11" s="12" t="s">
        <v>12</v>
      </c>
      <c r="B11" s="12" t="s">
        <v>34</v>
      </c>
      <c r="C11">
        <v>9</v>
      </c>
      <c r="D11">
        <v>5</v>
      </c>
      <c r="E11">
        <v>13</v>
      </c>
      <c r="F11">
        <v>11</v>
      </c>
      <c r="G11">
        <v>7</v>
      </c>
      <c r="H11">
        <v>17</v>
      </c>
      <c r="I11">
        <v>1</v>
      </c>
      <c r="J11">
        <v>15</v>
      </c>
      <c r="K11">
        <v>3</v>
      </c>
      <c r="L11">
        <v>4</v>
      </c>
      <c r="M11">
        <v>16</v>
      </c>
      <c r="N11">
        <v>18</v>
      </c>
      <c r="O11">
        <v>14</v>
      </c>
      <c r="P11">
        <v>12</v>
      </c>
      <c r="Q11">
        <v>2</v>
      </c>
      <c r="R11">
        <v>10</v>
      </c>
      <c r="S11">
        <v>6</v>
      </c>
      <c r="T11">
        <v>8</v>
      </c>
    </row>
    <row r="12" spans="1:20" x14ac:dyDescent="0.25">
      <c r="A12" s="12" t="s">
        <v>38</v>
      </c>
      <c r="B12" s="12" t="s">
        <v>34</v>
      </c>
      <c r="C12">
        <v>15</v>
      </c>
      <c r="D12">
        <v>3</v>
      </c>
      <c r="E12">
        <v>11</v>
      </c>
      <c r="F12">
        <v>1</v>
      </c>
      <c r="G12">
        <v>7</v>
      </c>
      <c r="H12">
        <v>17</v>
      </c>
      <c r="I12">
        <v>9</v>
      </c>
      <c r="J12">
        <v>13</v>
      </c>
      <c r="K12">
        <v>5</v>
      </c>
    </row>
    <row r="13" spans="1:20" x14ac:dyDescent="0.25">
      <c r="A13" s="12" t="s">
        <v>11</v>
      </c>
      <c r="B13" s="12" t="s">
        <v>34</v>
      </c>
      <c r="C13">
        <v>15</v>
      </c>
      <c r="D13">
        <v>17</v>
      </c>
      <c r="E13">
        <v>9</v>
      </c>
      <c r="F13">
        <v>13</v>
      </c>
      <c r="G13">
        <v>7</v>
      </c>
      <c r="H13">
        <v>3</v>
      </c>
      <c r="I13">
        <v>11</v>
      </c>
      <c r="J13">
        <v>5</v>
      </c>
      <c r="K13">
        <v>1</v>
      </c>
      <c r="L13">
        <v>12</v>
      </c>
      <c r="M13">
        <v>18</v>
      </c>
      <c r="N13">
        <v>6</v>
      </c>
      <c r="O13">
        <v>4</v>
      </c>
      <c r="P13">
        <v>14</v>
      </c>
      <c r="Q13">
        <v>2</v>
      </c>
      <c r="R13">
        <v>16</v>
      </c>
      <c r="S13">
        <v>8</v>
      </c>
      <c r="T13">
        <v>10</v>
      </c>
    </row>
    <row r="14" spans="1:20" x14ac:dyDescent="0.25">
      <c r="A14" s="12" t="s">
        <v>46</v>
      </c>
      <c r="B14" s="12" t="s">
        <v>36</v>
      </c>
      <c r="C14">
        <v>3</v>
      </c>
      <c r="D14">
        <v>2</v>
      </c>
      <c r="E14">
        <v>6</v>
      </c>
      <c r="F14">
        <v>8</v>
      </c>
      <c r="G14">
        <v>7</v>
      </c>
      <c r="H14">
        <v>5</v>
      </c>
      <c r="I14">
        <v>9</v>
      </c>
      <c r="J14">
        <v>4</v>
      </c>
      <c r="K14">
        <v>1</v>
      </c>
      <c r="L14">
        <v>3</v>
      </c>
      <c r="M14">
        <v>7</v>
      </c>
      <c r="N14">
        <v>1</v>
      </c>
      <c r="O14">
        <v>8</v>
      </c>
      <c r="P14">
        <v>4</v>
      </c>
      <c r="Q14">
        <v>2</v>
      </c>
      <c r="R14">
        <v>5</v>
      </c>
      <c r="S14">
        <v>9</v>
      </c>
      <c r="T14">
        <v>6</v>
      </c>
    </row>
    <row r="15" spans="1:20" x14ac:dyDescent="0.25">
      <c r="A15" s="12" t="s">
        <v>16</v>
      </c>
      <c r="B15" s="12" t="s">
        <v>36</v>
      </c>
      <c r="C15">
        <v>8</v>
      </c>
      <c r="D15">
        <v>16</v>
      </c>
      <c r="E15">
        <v>18</v>
      </c>
      <c r="F15">
        <v>2</v>
      </c>
      <c r="G15">
        <v>4</v>
      </c>
      <c r="H15">
        <v>10</v>
      </c>
      <c r="I15">
        <v>6</v>
      </c>
      <c r="J15">
        <v>14</v>
      </c>
      <c r="K15">
        <v>12</v>
      </c>
      <c r="L15">
        <v>9</v>
      </c>
      <c r="M15">
        <v>11</v>
      </c>
      <c r="N15">
        <v>7</v>
      </c>
      <c r="O15">
        <v>3</v>
      </c>
      <c r="P15">
        <v>17</v>
      </c>
      <c r="Q15">
        <v>1</v>
      </c>
      <c r="R15">
        <v>5</v>
      </c>
      <c r="S15">
        <v>13</v>
      </c>
      <c r="T15">
        <v>15</v>
      </c>
    </row>
    <row r="16" spans="1:20" x14ac:dyDescent="0.25">
      <c r="A16" s="12" t="s">
        <v>4</v>
      </c>
      <c r="B16" s="12" t="s">
        <v>34</v>
      </c>
      <c r="C16">
        <v>17</v>
      </c>
      <c r="D16">
        <v>5</v>
      </c>
      <c r="E16">
        <v>9</v>
      </c>
      <c r="F16">
        <v>13</v>
      </c>
      <c r="G16">
        <v>1</v>
      </c>
      <c r="H16">
        <v>3</v>
      </c>
      <c r="I16">
        <v>7</v>
      </c>
      <c r="J16">
        <v>15</v>
      </c>
      <c r="K16">
        <v>11</v>
      </c>
      <c r="L16">
        <v>2</v>
      </c>
      <c r="M16">
        <v>8</v>
      </c>
      <c r="N16">
        <v>6</v>
      </c>
      <c r="O16">
        <v>18</v>
      </c>
      <c r="P16">
        <v>10</v>
      </c>
      <c r="Q16">
        <v>4</v>
      </c>
      <c r="R16">
        <v>14</v>
      </c>
      <c r="S16">
        <v>16</v>
      </c>
      <c r="T16">
        <v>12</v>
      </c>
    </row>
    <row r="17" spans="1:20" x14ac:dyDescent="0.25">
      <c r="A17" s="12" t="s">
        <v>2</v>
      </c>
      <c r="B17" s="12" t="s">
        <v>34</v>
      </c>
      <c r="C17">
        <v>11</v>
      </c>
      <c r="D17">
        <v>9</v>
      </c>
      <c r="E17">
        <v>15</v>
      </c>
      <c r="F17">
        <v>5</v>
      </c>
      <c r="G17">
        <v>3</v>
      </c>
      <c r="H17">
        <v>17</v>
      </c>
      <c r="I17">
        <v>1</v>
      </c>
      <c r="J17">
        <v>13</v>
      </c>
      <c r="K17">
        <v>7</v>
      </c>
      <c r="L17">
        <v>12</v>
      </c>
      <c r="M17">
        <v>16</v>
      </c>
      <c r="N17">
        <v>2</v>
      </c>
      <c r="O17">
        <v>8</v>
      </c>
      <c r="P17">
        <v>4</v>
      </c>
      <c r="Q17">
        <v>14</v>
      </c>
      <c r="R17">
        <v>18</v>
      </c>
      <c r="S17">
        <v>6</v>
      </c>
      <c r="T17">
        <v>10</v>
      </c>
    </row>
    <row r="18" spans="1:20" x14ac:dyDescent="0.25">
      <c r="A18" s="12" t="s">
        <v>14</v>
      </c>
      <c r="B18" s="12" t="s">
        <v>40</v>
      </c>
      <c r="C18">
        <v>5</v>
      </c>
      <c r="D18">
        <v>15</v>
      </c>
      <c r="E18">
        <v>3</v>
      </c>
      <c r="F18">
        <v>11</v>
      </c>
      <c r="G18">
        <v>1</v>
      </c>
      <c r="H18">
        <v>9</v>
      </c>
      <c r="I18">
        <v>13</v>
      </c>
      <c r="J18">
        <v>17</v>
      </c>
      <c r="K18">
        <v>7</v>
      </c>
      <c r="L18">
        <v>6</v>
      </c>
      <c r="M18">
        <v>8</v>
      </c>
      <c r="N18">
        <v>14</v>
      </c>
      <c r="O18">
        <v>4</v>
      </c>
      <c r="P18">
        <v>12</v>
      </c>
      <c r="Q18">
        <v>16</v>
      </c>
      <c r="R18">
        <v>10</v>
      </c>
      <c r="S18">
        <v>18</v>
      </c>
      <c r="T18">
        <v>2</v>
      </c>
    </row>
    <row r="19" spans="1:20" x14ac:dyDescent="0.25">
      <c r="A19" s="12" t="s">
        <v>7</v>
      </c>
      <c r="B19" s="12" t="s">
        <v>36</v>
      </c>
      <c r="C19">
        <v>15</v>
      </c>
      <c r="D19">
        <v>1</v>
      </c>
      <c r="E19">
        <v>5</v>
      </c>
      <c r="F19">
        <v>13</v>
      </c>
      <c r="G19">
        <v>17</v>
      </c>
      <c r="H19">
        <v>7</v>
      </c>
      <c r="I19">
        <v>3</v>
      </c>
      <c r="J19">
        <v>11</v>
      </c>
      <c r="K19">
        <v>9</v>
      </c>
      <c r="L19">
        <v>14</v>
      </c>
      <c r="M19">
        <v>2</v>
      </c>
      <c r="N19">
        <v>18</v>
      </c>
      <c r="O19">
        <v>6</v>
      </c>
      <c r="P19">
        <v>10</v>
      </c>
      <c r="Q19">
        <v>8</v>
      </c>
      <c r="R19">
        <v>4</v>
      </c>
      <c r="S19">
        <v>16</v>
      </c>
      <c r="T19">
        <v>12</v>
      </c>
    </row>
    <row r="20" spans="1:20" x14ac:dyDescent="0.25">
      <c r="A20" s="12" t="s">
        <v>6</v>
      </c>
      <c r="B20" s="12" t="s">
        <v>36</v>
      </c>
      <c r="C20">
        <v>6</v>
      </c>
      <c r="D20">
        <v>2</v>
      </c>
      <c r="E20">
        <v>14</v>
      </c>
      <c r="F20">
        <v>8</v>
      </c>
      <c r="G20">
        <v>16</v>
      </c>
      <c r="H20">
        <v>4</v>
      </c>
      <c r="I20">
        <v>10</v>
      </c>
      <c r="J20">
        <v>18</v>
      </c>
      <c r="K20">
        <v>12</v>
      </c>
      <c r="L20">
        <v>13</v>
      </c>
      <c r="M20">
        <v>11</v>
      </c>
      <c r="N20">
        <v>5</v>
      </c>
      <c r="O20">
        <v>9</v>
      </c>
      <c r="P20">
        <v>15</v>
      </c>
      <c r="Q20">
        <v>1</v>
      </c>
      <c r="R20">
        <v>17</v>
      </c>
      <c r="S20">
        <v>3</v>
      </c>
      <c r="T20">
        <v>7</v>
      </c>
    </row>
    <row r="21" spans="1:20" x14ac:dyDescent="0.25">
      <c r="A21" s="12" t="s">
        <v>41</v>
      </c>
      <c r="B21" s="12" t="s">
        <v>34</v>
      </c>
      <c r="C21">
        <v>1</v>
      </c>
      <c r="D21">
        <v>13</v>
      </c>
      <c r="E21">
        <v>15</v>
      </c>
      <c r="F21">
        <v>7</v>
      </c>
      <c r="G21">
        <v>11</v>
      </c>
      <c r="H21">
        <v>17</v>
      </c>
      <c r="I21">
        <v>9</v>
      </c>
      <c r="J21">
        <v>3</v>
      </c>
      <c r="K21">
        <v>5</v>
      </c>
      <c r="L21">
        <v>12</v>
      </c>
      <c r="M21">
        <v>6</v>
      </c>
      <c r="N21">
        <v>14</v>
      </c>
      <c r="O21">
        <v>16</v>
      </c>
      <c r="P21">
        <v>4</v>
      </c>
      <c r="Q21">
        <v>8</v>
      </c>
      <c r="R21">
        <v>18</v>
      </c>
      <c r="S21">
        <v>2</v>
      </c>
      <c r="T21">
        <v>10</v>
      </c>
    </row>
    <row r="22" spans="1:20" x14ac:dyDescent="0.25">
      <c r="A22" s="35" t="s">
        <v>128</v>
      </c>
      <c r="B22" s="35" t="s">
        <v>36</v>
      </c>
      <c r="C22">
        <v>3</v>
      </c>
      <c r="D22">
        <v>17</v>
      </c>
      <c r="E22">
        <v>7</v>
      </c>
      <c r="F22">
        <v>5</v>
      </c>
      <c r="G22">
        <v>1</v>
      </c>
      <c r="H22">
        <v>9</v>
      </c>
      <c r="I22">
        <v>11</v>
      </c>
      <c r="J22">
        <v>15</v>
      </c>
      <c r="K22">
        <v>13</v>
      </c>
      <c r="L22">
        <v>14</v>
      </c>
      <c r="M22">
        <v>16</v>
      </c>
      <c r="N22">
        <v>12</v>
      </c>
      <c r="O22">
        <v>2</v>
      </c>
      <c r="P22">
        <v>18</v>
      </c>
      <c r="Q22">
        <v>8</v>
      </c>
      <c r="R22">
        <v>10</v>
      </c>
      <c r="S22">
        <v>6</v>
      </c>
      <c r="T22">
        <v>4</v>
      </c>
    </row>
    <row r="23" spans="1:20" x14ac:dyDescent="0.25">
      <c r="A23" s="35" t="s">
        <v>129</v>
      </c>
      <c r="B23" s="35" t="s">
        <v>36</v>
      </c>
      <c r="C23">
        <v>9</v>
      </c>
      <c r="D23">
        <v>13</v>
      </c>
      <c r="E23">
        <v>1</v>
      </c>
      <c r="F23">
        <v>7</v>
      </c>
      <c r="G23">
        <v>11</v>
      </c>
      <c r="H23">
        <v>17</v>
      </c>
      <c r="I23">
        <v>3</v>
      </c>
      <c r="J23">
        <v>15</v>
      </c>
      <c r="K23">
        <v>5</v>
      </c>
      <c r="L23">
        <v>16</v>
      </c>
      <c r="M23">
        <v>14</v>
      </c>
      <c r="N23">
        <v>2</v>
      </c>
      <c r="O23">
        <v>12</v>
      </c>
      <c r="P23">
        <v>4</v>
      </c>
      <c r="Q23">
        <v>8</v>
      </c>
      <c r="R23">
        <v>18</v>
      </c>
      <c r="S23">
        <v>10</v>
      </c>
      <c r="T23">
        <v>6</v>
      </c>
    </row>
    <row r="24" spans="1:20" x14ac:dyDescent="0.25">
      <c r="A24" s="68" t="s">
        <v>12</v>
      </c>
      <c r="B24" s="68" t="s">
        <v>36</v>
      </c>
      <c r="C24">
        <v>9</v>
      </c>
      <c r="D24">
        <v>5</v>
      </c>
      <c r="E24">
        <v>13</v>
      </c>
      <c r="F24">
        <v>11</v>
      </c>
      <c r="G24">
        <v>7</v>
      </c>
      <c r="H24">
        <v>17</v>
      </c>
      <c r="I24">
        <v>1</v>
      </c>
      <c r="J24">
        <v>15</v>
      </c>
      <c r="K24">
        <v>3</v>
      </c>
      <c r="L24">
        <v>4</v>
      </c>
      <c r="M24">
        <v>16</v>
      </c>
      <c r="N24">
        <v>18</v>
      </c>
      <c r="O24">
        <v>14</v>
      </c>
      <c r="P24">
        <v>12</v>
      </c>
      <c r="Q24">
        <v>2</v>
      </c>
      <c r="R24">
        <v>10</v>
      </c>
      <c r="S24">
        <v>6</v>
      </c>
      <c r="T24">
        <v>8</v>
      </c>
    </row>
    <row r="25" spans="1:20" x14ac:dyDescent="0.25">
      <c r="A25" s="117" t="s">
        <v>145</v>
      </c>
      <c r="B25" s="117" t="s">
        <v>36</v>
      </c>
      <c r="C25">
        <v>5</v>
      </c>
      <c r="D25">
        <v>3</v>
      </c>
      <c r="E25">
        <v>1</v>
      </c>
      <c r="F25">
        <v>15</v>
      </c>
      <c r="G25">
        <v>13</v>
      </c>
      <c r="H25">
        <v>7</v>
      </c>
      <c r="I25">
        <v>17</v>
      </c>
      <c r="J25">
        <v>11</v>
      </c>
      <c r="K25">
        <v>9</v>
      </c>
      <c r="L25">
        <v>4</v>
      </c>
      <c r="M25">
        <v>8</v>
      </c>
      <c r="N25">
        <v>10</v>
      </c>
      <c r="O25">
        <v>18</v>
      </c>
      <c r="P25">
        <v>12</v>
      </c>
      <c r="Q25">
        <v>14</v>
      </c>
      <c r="R25">
        <v>16</v>
      </c>
      <c r="S25">
        <v>6</v>
      </c>
      <c r="T25">
        <v>2</v>
      </c>
    </row>
  </sheetData>
  <phoneticPr fontId="2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B566-5C75-4CFA-A1AB-1F0A1367C9B6}">
  <dimension ref="A1:T1327"/>
  <sheetViews>
    <sheetView topLeftCell="A1312" zoomScale="90" zoomScaleNormal="90" workbookViewId="0">
      <selection activeCell="D1297" sqref="D1297"/>
    </sheetView>
  </sheetViews>
  <sheetFormatPr defaultColWidth="8.7109375" defaultRowHeight="15" x14ac:dyDescent="0.25"/>
  <cols>
    <col min="1" max="1" width="6.5703125" style="6" bestFit="1" customWidth="1"/>
    <col min="2" max="2" width="10.42578125" style="6" bestFit="1" customWidth="1"/>
    <col min="3" max="3" width="9.7109375" style="6" bestFit="1" customWidth="1"/>
    <col min="4" max="4" width="11.5703125" style="6" bestFit="1" customWidth="1"/>
    <col min="5" max="5" width="16.7109375" style="6" bestFit="1" customWidth="1"/>
    <col min="6" max="6" width="14" style="6" bestFit="1" customWidth="1"/>
    <col min="7" max="7" width="13.5703125" style="6" bestFit="1" customWidth="1"/>
    <col min="8" max="8" width="10.28515625" style="6" bestFit="1" customWidth="1"/>
    <col min="9" max="9" width="12.7109375" style="6" bestFit="1" customWidth="1"/>
    <col min="10" max="10" width="16" style="6" bestFit="1" customWidth="1"/>
    <col min="11" max="11" width="6.7109375" style="6" bestFit="1" customWidth="1"/>
    <col min="12" max="12" width="10" style="6" bestFit="1" customWidth="1"/>
    <col min="13" max="13" width="11" style="6" bestFit="1" customWidth="1"/>
    <col min="14" max="14" width="12.85546875" style="6" bestFit="1" customWidth="1"/>
    <col min="15" max="15" width="13.85546875" style="6" bestFit="1" customWidth="1"/>
    <col min="16" max="16" width="12.140625" style="6" bestFit="1" customWidth="1"/>
    <col min="17" max="17" width="9.5703125" style="6" bestFit="1" customWidth="1"/>
    <col min="18" max="18" width="17.42578125" style="6" bestFit="1" customWidth="1"/>
    <col min="19" max="19" width="9.28515625" style="6" bestFit="1" customWidth="1"/>
    <col min="20" max="20" width="9" style="6" bestFit="1" customWidth="1"/>
    <col min="21" max="16384" width="8.7109375" style="6"/>
  </cols>
  <sheetData>
    <row r="1" spans="1:20" x14ac:dyDescent="0.25">
      <c r="A1" s="34" t="s">
        <v>125</v>
      </c>
      <c r="B1" s="11" t="s">
        <v>19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  <c r="M1" s="6" t="s">
        <v>94</v>
      </c>
      <c r="N1" s="6" t="s">
        <v>95</v>
      </c>
      <c r="O1" s="6" t="s">
        <v>96</v>
      </c>
      <c r="P1" t="s">
        <v>122</v>
      </c>
      <c r="Q1" t="s">
        <v>123</v>
      </c>
      <c r="R1" t="s">
        <v>124</v>
      </c>
      <c r="S1" t="s">
        <v>142</v>
      </c>
      <c r="T1" t="s">
        <v>143</v>
      </c>
    </row>
    <row r="2" spans="1:20" x14ac:dyDescent="0.25">
      <c r="A2" s="34" t="s">
        <v>126</v>
      </c>
      <c r="B2" s="14">
        <v>45745</v>
      </c>
      <c r="C2" s="6" t="s">
        <v>97</v>
      </c>
      <c r="D2" s="6" t="s">
        <v>98</v>
      </c>
      <c r="E2" s="6" t="s">
        <v>99</v>
      </c>
      <c r="F2" s="6">
        <v>59.1</v>
      </c>
      <c r="G2" s="6">
        <v>63.5</v>
      </c>
      <c r="H2" s="6">
        <v>61.3</v>
      </c>
      <c r="I2" s="6">
        <v>50.2</v>
      </c>
      <c r="J2" s="6">
        <v>4.0999999999999996</v>
      </c>
      <c r="K2" s="6">
        <v>72.8</v>
      </c>
      <c r="L2" s="6">
        <v>6.7</v>
      </c>
      <c r="M2" s="6">
        <v>76.8</v>
      </c>
      <c r="N2" s="6">
        <v>0.8</v>
      </c>
      <c r="O2" s="6">
        <v>61.1</v>
      </c>
    </row>
    <row r="3" spans="1:20" x14ac:dyDescent="0.25">
      <c r="A3" s="34" t="s">
        <v>126</v>
      </c>
      <c r="B3" s="14">
        <v>45745</v>
      </c>
      <c r="C3" s="6" t="s">
        <v>97</v>
      </c>
      <c r="D3" s="6" t="s">
        <v>98</v>
      </c>
      <c r="E3" s="6" t="s">
        <v>99</v>
      </c>
      <c r="F3" s="6">
        <v>62.4</v>
      </c>
      <c r="G3" s="6">
        <v>64.5</v>
      </c>
      <c r="H3" s="6">
        <v>58.8</v>
      </c>
      <c r="I3" s="6">
        <v>43.5</v>
      </c>
      <c r="J3" s="6">
        <v>-3.4</v>
      </c>
      <c r="K3" s="6">
        <v>56.9</v>
      </c>
      <c r="L3" s="6">
        <v>-5.5</v>
      </c>
      <c r="M3" s="6">
        <v>73.5</v>
      </c>
      <c r="N3" s="6">
        <v>0.8</v>
      </c>
      <c r="O3" s="6">
        <v>53.3</v>
      </c>
    </row>
    <row r="4" spans="1:20" x14ac:dyDescent="0.25">
      <c r="A4" s="34" t="s">
        <v>126</v>
      </c>
      <c r="B4" s="14">
        <v>45745</v>
      </c>
      <c r="C4" s="6" t="s">
        <v>97</v>
      </c>
      <c r="D4" s="6" t="s">
        <v>98</v>
      </c>
      <c r="E4" s="6" t="s">
        <v>99</v>
      </c>
      <c r="F4" s="6">
        <v>68.900000000000006</v>
      </c>
      <c r="G4" s="6">
        <v>72.2</v>
      </c>
      <c r="H4" s="6">
        <v>64.8</v>
      </c>
      <c r="I4" s="6">
        <v>47</v>
      </c>
      <c r="J4" s="6">
        <v>-2.1</v>
      </c>
      <c r="K4" s="6">
        <v>75.2</v>
      </c>
      <c r="L4" s="6">
        <v>-3.2</v>
      </c>
      <c r="M4" s="6">
        <v>76.2</v>
      </c>
      <c r="N4" s="6">
        <v>0.85</v>
      </c>
      <c r="O4" s="6">
        <v>58.9</v>
      </c>
    </row>
    <row r="5" spans="1:20" x14ac:dyDescent="0.25">
      <c r="A5" s="34" t="s">
        <v>126</v>
      </c>
      <c r="B5" s="14">
        <v>45745</v>
      </c>
      <c r="C5" s="6" t="s">
        <v>97</v>
      </c>
      <c r="D5" s="6" t="s">
        <v>98</v>
      </c>
      <c r="E5" s="6" t="s">
        <v>99</v>
      </c>
      <c r="F5" s="6">
        <v>85.3</v>
      </c>
      <c r="G5" s="6">
        <v>87.5</v>
      </c>
      <c r="H5" s="6">
        <v>74.7</v>
      </c>
      <c r="I5" s="6">
        <v>44.4</v>
      </c>
      <c r="J5" s="6">
        <v>-4.7</v>
      </c>
      <c r="K5" s="6">
        <v>93.3</v>
      </c>
      <c r="L5" s="6">
        <v>-19.7</v>
      </c>
      <c r="M5" s="6">
        <v>77.900000000000006</v>
      </c>
      <c r="N5" s="6">
        <v>0.96</v>
      </c>
      <c r="O5" s="6">
        <v>59.7</v>
      </c>
    </row>
    <row r="6" spans="1:20" x14ac:dyDescent="0.25">
      <c r="A6" s="34" t="s">
        <v>126</v>
      </c>
      <c r="B6" s="14">
        <v>45745</v>
      </c>
      <c r="C6" s="6" t="s">
        <v>97</v>
      </c>
      <c r="D6" s="6" t="s">
        <v>98</v>
      </c>
      <c r="E6" s="6" t="s">
        <v>99</v>
      </c>
      <c r="F6" s="6">
        <v>63.5</v>
      </c>
      <c r="G6" s="6">
        <v>67.8</v>
      </c>
      <c r="H6" s="6">
        <v>64.599999999999994</v>
      </c>
      <c r="I6" s="6">
        <v>50.8</v>
      </c>
      <c r="J6" s="6">
        <v>1.8</v>
      </c>
      <c r="K6" s="6">
        <v>81.7</v>
      </c>
      <c r="L6" s="6">
        <v>2.2000000000000002</v>
      </c>
      <c r="M6" s="6">
        <v>81.8</v>
      </c>
      <c r="N6" s="6">
        <v>0.79</v>
      </c>
      <c r="O6" s="6">
        <v>62.8</v>
      </c>
    </row>
    <row r="7" spans="1:20" x14ac:dyDescent="0.25">
      <c r="A7" s="34" t="s">
        <v>126</v>
      </c>
      <c r="B7" s="14">
        <v>45745</v>
      </c>
      <c r="C7" s="6" t="s">
        <v>100</v>
      </c>
      <c r="D7" s="6" t="s">
        <v>98</v>
      </c>
      <c r="E7" s="6" t="s">
        <v>99</v>
      </c>
      <c r="F7" s="6">
        <v>72.2</v>
      </c>
      <c r="G7" s="6">
        <v>76.599999999999994</v>
      </c>
      <c r="H7" s="6">
        <v>66.400000000000006</v>
      </c>
      <c r="I7" s="6">
        <v>43.1</v>
      </c>
      <c r="J7" s="6">
        <v>-2.8</v>
      </c>
      <c r="K7" s="6">
        <v>71.8</v>
      </c>
      <c r="L7" s="6">
        <v>-7.9</v>
      </c>
      <c r="M7" s="6">
        <v>77.599999999999994</v>
      </c>
      <c r="N7" s="6">
        <v>0.86</v>
      </c>
      <c r="O7" s="6">
        <v>55.5</v>
      </c>
    </row>
    <row r="8" spans="1:20" x14ac:dyDescent="0.25">
      <c r="A8" s="34" t="s">
        <v>126</v>
      </c>
      <c r="B8" s="14">
        <v>45745</v>
      </c>
      <c r="C8" s="6" t="s">
        <v>100</v>
      </c>
      <c r="D8" s="6" t="s">
        <v>98</v>
      </c>
      <c r="E8" s="6" t="s">
        <v>99</v>
      </c>
      <c r="F8" s="6">
        <v>120.3</v>
      </c>
      <c r="G8" s="6">
        <v>126.9</v>
      </c>
      <c r="H8" s="6">
        <v>92.2</v>
      </c>
      <c r="I8" s="6">
        <v>21.1</v>
      </c>
      <c r="J8" s="6">
        <v>0.3</v>
      </c>
      <c r="K8" s="6">
        <v>61.7</v>
      </c>
      <c r="L8" s="6">
        <v>10.7</v>
      </c>
      <c r="M8" s="6">
        <v>80.7</v>
      </c>
      <c r="N8" s="6">
        <v>1.1399999999999999</v>
      </c>
      <c r="O8" s="6">
        <v>41.9</v>
      </c>
    </row>
    <row r="9" spans="1:20" x14ac:dyDescent="0.25">
      <c r="A9" s="34" t="s">
        <v>126</v>
      </c>
      <c r="B9" s="14">
        <v>45745</v>
      </c>
      <c r="C9" s="6" t="s">
        <v>100</v>
      </c>
      <c r="D9" s="6" t="s">
        <v>98</v>
      </c>
      <c r="E9" s="6" t="s">
        <v>99</v>
      </c>
      <c r="F9" s="6">
        <v>85.3</v>
      </c>
      <c r="G9" s="6">
        <v>87.5</v>
      </c>
      <c r="H9" s="6">
        <v>74.599999999999994</v>
      </c>
      <c r="I9" s="6">
        <v>44</v>
      </c>
      <c r="J9" s="6">
        <v>-2</v>
      </c>
      <c r="K9" s="6">
        <v>92.2</v>
      </c>
      <c r="L9" s="6">
        <v>-3.7</v>
      </c>
      <c r="M9" s="6">
        <v>82.9</v>
      </c>
      <c r="N9" s="6">
        <v>0.9</v>
      </c>
      <c r="O9" s="6">
        <v>59.2</v>
      </c>
    </row>
    <row r="10" spans="1:20" x14ac:dyDescent="0.25">
      <c r="A10" s="34" t="s">
        <v>126</v>
      </c>
      <c r="B10" s="14">
        <v>45745</v>
      </c>
      <c r="C10" s="6" t="s">
        <v>100</v>
      </c>
      <c r="D10" s="6" t="s">
        <v>98</v>
      </c>
      <c r="E10" s="6" t="s">
        <v>99</v>
      </c>
      <c r="F10" s="6">
        <v>90.8</v>
      </c>
      <c r="G10" s="6">
        <v>94.1</v>
      </c>
      <c r="H10" s="6">
        <v>80.3</v>
      </c>
      <c r="I10" s="6">
        <v>45.3</v>
      </c>
      <c r="J10" s="6">
        <v>-5.6</v>
      </c>
      <c r="K10" s="6">
        <v>109.7</v>
      </c>
      <c r="L10" s="6">
        <v>-12.6</v>
      </c>
      <c r="M10" s="6">
        <v>81.8</v>
      </c>
      <c r="N10" s="6">
        <v>0.98</v>
      </c>
      <c r="O10" s="6">
        <v>62.8</v>
      </c>
    </row>
    <row r="11" spans="1:20" x14ac:dyDescent="0.25">
      <c r="A11" s="34" t="s">
        <v>126</v>
      </c>
      <c r="B11" s="14">
        <v>45745</v>
      </c>
      <c r="C11" s="6" t="s">
        <v>100</v>
      </c>
      <c r="D11" s="6" t="s">
        <v>98</v>
      </c>
      <c r="E11" s="6" t="s">
        <v>99</v>
      </c>
      <c r="F11" s="6">
        <v>81</v>
      </c>
      <c r="G11" s="6">
        <v>85.3</v>
      </c>
      <c r="H11" s="6">
        <v>71.8</v>
      </c>
      <c r="I11" s="6">
        <v>42.7</v>
      </c>
      <c r="J11" s="6">
        <v>-2.5</v>
      </c>
      <c r="K11" s="6">
        <v>82.7</v>
      </c>
      <c r="L11" s="6">
        <v>-4</v>
      </c>
      <c r="M11" s="6">
        <v>83.5</v>
      </c>
      <c r="N11" s="6">
        <v>0.86</v>
      </c>
      <c r="O11" s="6">
        <v>57</v>
      </c>
    </row>
    <row r="12" spans="1:20" x14ac:dyDescent="0.25">
      <c r="A12" s="34" t="s">
        <v>126</v>
      </c>
      <c r="B12" s="14">
        <v>45745</v>
      </c>
      <c r="C12" s="6" t="s">
        <v>100</v>
      </c>
      <c r="D12" s="6" t="s">
        <v>98</v>
      </c>
      <c r="E12" s="6" t="s">
        <v>99</v>
      </c>
      <c r="F12" s="6">
        <v>75.5</v>
      </c>
      <c r="G12" s="6">
        <v>78.8</v>
      </c>
      <c r="H12" s="6">
        <v>72.599999999999994</v>
      </c>
      <c r="I12" s="6">
        <v>50</v>
      </c>
      <c r="J12" s="6">
        <v>1</v>
      </c>
      <c r="K12" s="6">
        <v>99.9</v>
      </c>
      <c r="L12" s="6">
        <v>4.3</v>
      </c>
      <c r="M12" s="6">
        <v>83.5</v>
      </c>
      <c r="N12" s="6">
        <v>0.87</v>
      </c>
      <c r="O12" s="6">
        <v>65</v>
      </c>
    </row>
    <row r="13" spans="1:20" x14ac:dyDescent="0.25">
      <c r="A13" s="34" t="s">
        <v>126</v>
      </c>
      <c r="B13" s="14">
        <v>45745</v>
      </c>
      <c r="C13" s="6" t="s">
        <v>100</v>
      </c>
      <c r="D13" s="6" t="s">
        <v>98</v>
      </c>
      <c r="E13" s="6" t="s">
        <v>99</v>
      </c>
      <c r="F13" s="6">
        <v>83.1</v>
      </c>
      <c r="G13" s="6">
        <v>86.4</v>
      </c>
      <c r="H13" s="6">
        <v>73</v>
      </c>
      <c r="I13" s="6">
        <v>43.9</v>
      </c>
      <c r="J13" s="6">
        <v>0.3</v>
      </c>
      <c r="K13" s="6">
        <v>88.3</v>
      </c>
      <c r="L13" s="6">
        <v>1.7</v>
      </c>
      <c r="M13" s="6">
        <v>82.9</v>
      </c>
      <c r="N13" s="6">
        <v>0.88</v>
      </c>
      <c r="O13" s="6">
        <v>58.5</v>
      </c>
    </row>
    <row r="14" spans="1:20" x14ac:dyDescent="0.25">
      <c r="A14" s="34" t="s">
        <v>126</v>
      </c>
      <c r="B14" s="14">
        <v>45745</v>
      </c>
      <c r="C14" s="6" t="s">
        <v>101</v>
      </c>
      <c r="D14" s="6" t="s">
        <v>102</v>
      </c>
      <c r="E14" s="6" t="s">
        <v>103</v>
      </c>
      <c r="F14" s="6">
        <v>138.9</v>
      </c>
      <c r="G14" s="6">
        <v>148.80000000000001</v>
      </c>
      <c r="H14" s="6">
        <v>103.4</v>
      </c>
      <c r="I14" s="6">
        <v>18.2</v>
      </c>
      <c r="J14" s="6">
        <v>-6.3</v>
      </c>
      <c r="K14" s="6">
        <v>69.400000000000006</v>
      </c>
      <c r="L14" s="6">
        <v>-18.600000000000001</v>
      </c>
      <c r="M14" s="6">
        <v>84.6</v>
      </c>
      <c r="N14" s="6">
        <v>1.22</v>
      </c>
      <c r="O14" s="6">
        <v>42.1</v>
      </c>
    </row>
    <row r="15" spans="1:20" x14ac:dyDescent="0.25">
      <c r="A15" s="34" t="s">
        <v>126</v>
      </c>
      <c r="B15" s="14">
        <v>45745</v>
      </c>
      <c r="C15" s="6" t="s">
        <v>101</v>
      </c>
      <c r="D15" s="6" t="s">
        <v>102</v>
      </c>
      <c r="E15" s="6" t="s">
        <v>103</v>
      </c>
      <c r="F15" s="6">
        <v>117.1</v>
      </c>
      <c r="G15" s="6">
        <v>121.4</v>
      </c>
      <c r="H15" s="6">
        <v>90.2</v>
      </c>
      <c r="I15" s="6">
        <v>30.6</v>
      </c>
      <c r="J15" s="6">
        <v>-4.4000000000000004</v>
      </c>
      <c r="K15" s="6">
        <v>90.7</v>
      </c>
      <c r="L15" s="6">
        <v>-16.7</v>
      </c>
      <c r="M15" s="6">
        <v>79.599999999999994</v>
      </c>
      <c r="N15" s="6">
        <v>1.1299999999999999</v>
      </c>
      <c r="O15" s="6">
        <v>51.7</v>
      </c>
    </row>
    <row r="16" spans="1:20" x14ac:dyDescent="0.25">
      <c r="A16" s="34" t="s">
        <v>126</v>
      </c>
      <c r="B16" s="14">
        <v>45745</v>
      </c>
      <c r="C16" s="6" t="s">
        <v>101</v>
      </c>
      <c r="D16" s="6" t="s">
        <v>102</v>
      </c>
      <c r="E16" s="6" t="s">
        <v>103</v>
      </c>
      <c r="F16" s="6">
        <v>111.6</v>
      </c>
      <c r="G16" s="6">
        <v>114.9</v>
      </c>
      <c r="H16" s="6">
        <v>88.9</v>
      </c>
      <c r="I16" s="6">
        <v>38.6</v>
      </c>
      <c r="J16" s="6">
        <v>-5.0999999999999996</v>
      </c>
      <c r="K16" s="6">
        <v>113</v>
      </c>
      <c r="L16" s="6">
        <v>-16.2</v>
      </c>
      <c r="M16" s="6">
        <v>79.5</v>
      </c>
      <c r="N16" s="6">
        <v>1.1200000000000001</v>
      </c>
      <c r="O16" s="6">
        <v>58.6</v>
      </c>
    </row>
    <row r="17" spans="1:15" x14ac:dyDescent="0.25">
      <c r="A17" s="34" t="s">
        <v>126</v>
      </c>
      <c r="B17" s="14">
        <v>45745</v>
      </c>
      <c r="C17" s="6" t="s">
        <v>101</v>
      </c>
      <c r="D17" s="6" t="s">
        <v>102</v>
      </c>
      <c r="E17" s="6" t="s">
        <v>103</v>
      </c>
      <c r="F17" s="6">
        <v>152.1</v>
      </c>
      <c r="G17" s="6">
        <v>163</v>
      </c>
      <c r="H17" s="6">
        <v>110</v>
      </c>
      <c r="I17" s="6">
        <v>14.1</v>
      </c>
      <c r="J17" s="6">
        <v>-1.9</v>
      </c>
      <c r="K17" s="6">
        <v>60.8</v>
      </c>
      <c r="L17" s="6">
        <v>-12.4</v>
      </c>
      <c r="M17" s="6">
        <v>84.6</v>
      </c>
      <c r="N17" s="6">
        <v>1.3</v>
      </c>
      <c r="O17" s="6">
        <v>37.6</v>
      </c>
    </row>
    <row r="18" spans="1:15" x14ac:dyDescent="0.25">
      <c r="A18" s="34" t="s">
        <v>126</v>
      </c>
      <c r="B18" s="14">
        <v>45745</v>
      </c>
      <c r="C18" s="6" t="s">
        <v>101</v>
      </c>
      <c r="D18" s="6" t="s">
        <v>102</v>
      </c>
      <c r="E18" s="6" t="s">
        <v>103</v>
      </c>
      <c r="F18" s="6">
        <v>105</v>
      </c>
      <c r="G18" s="6">
        <v>108.3</v>
      </c>
      <c r="H18" s="6">
        <v>85.5</v>
      </c>
      <c r="I18" s="6">
        <v>39.299999999999997</v>
      </c>
      <c r="J18" s="6">
        <v>-0.7</v>
      </c>
      <c r="K18" s="6">
        <v>106.9</v>
      </c>
      <c r="L18" s="6">
        <v>-5.8</v>
      </c>
      <c r="M18" s="6">
        <v>81.8</v>
      </c>
      <c r="N18" s="6">
        <v>1.05</v>
      </c>
      <c r="O18" s="6">
        <v>58.1</v>
      </c>
    </row>
    <row r="19" spans="1:15" x14ac:dyDescent="0.25">
      <c r="A19" s="34" t="s">
        <v>126</v>
      </c>
      <c r="B19" s="14">
        <v>45745</v>
      </c>
      <c r="C19" s="6" t="s">
        <v>101</v>
      </c>
      <c r="D19" s="6" t="s">
        <v>102</v>
      </c>
      <c r="E19" s="6" t="s">
        <v>103</v>
      </c>
      <c r="F19" s="6">
        <v>140</v>
      </c>
      <c r="G19" s="6">
        <v>147.69999999999999</v>
      </c>
      <c r="H19" s="6">
        <v>102.8</v>
      </c>
      <c r="I19" s="6">
        <v>19.3</v>
      </c>
      <c r="J19" s="6">
        <v>-5.3</v>
      </c>
      <c r="K19" s="6">
        <v>72.900000000000006</v>
      </c>
      <c r="L19" s="6">
        <v>-14.8</v>
      </c>
      <c r="M19" s="6">
        <v>82.9</v>
      </c>
      <c r="N19" s="6">
        <v>1.24</v>
      </c>
      <c r="O19" s="6">
        <v>43.4</v>
      </c>
    </row>
    <row r="20" spans="1:15" x14ac:dyDescent="0.25">
      <c r="A20" s="34" t="s">
        <v>126</v>
      </c>
      <c r="B20" s="14">
        <v>45745</v>
      </c>
      <c r="C20" s="6" t="s">
        <v>104</v>
      </c>
      <c r="D20" s="6" t="s">
        <v>102</v>
      </c>
      <c r="E20" s="6" t="s">
        <v>103</v>
      </c>
      <c r="F20" s="6">
        <v>146.6</v>
      </c>
      <c r="G20" s="6">
        <v>158.6</v>
      </c>
      <c r="H20" s="6">
        <v>109.5</v>
      </c>
      <c r="I20" s="6">
        <v>11.3</v>
      </c>
      <c r="J20" s="6">
        <v>-0.3</v>
      </c>
      <c r="K20" s="6">
        <v>46.5</v>
      </c>
      <c r="L20" s="6">
        <v>-5</v>
      </c>
      <c r="M20" s="6">
        <v>83.5</v>
      </c>
      <c r="N20" s="6">
        <v>1.31</v>
      </c>
      <c r="O20" s="6">
        <v>32</v>
      </c>
    </row>
    <row r="21" spans="1:15" x14ac:dyDescent="0.25">
      <c r="A21" s="34" t="s">
        <v>126</v>
      </c>
      <c r="B21" s="14">
        <v>45745</v>
      </c>
      <c r="C21" s="6" t="s">
        <v>104</v>
      </c>
      <c r="D21" s="6" t="s">
        <v>102</v>
      </c>
      <c r="E21" s="6" t="s">
        <v>103</v>
      </c>
      <c r="F21" s="6">
        <v>133.5</v>
      </c>
      <c r="G21" s="6">
        <v>137.80000000000001</v>
      </c>
      <c r="H21" s="6">
        <v>99.9</v>
      </c>
      <c r="I21" s="6">
        <v>24.5</v>
      </c>
      <c r="J21" s="6">
        <v>0.9</v>
      </c>
      <c r="K21" s="6">
        <v>88.5</v>
      </c>
      <c r="L21" s="6">
        <v>9.1999999999999993</v>
      </c>
      <c r="M21" s="6">
        <v>87.4</v>
      </c>
      <c r="N21" s="6">
        <v>1.1399999999999999</v>
      </c>
      <c r="O21" s="6">
        <v>49</v>
      </c>
    </row>
    <row r="22" spans="1:15" x14ac:dyDescent="0.25">
      <c r="A22" s="34" t="s">
        <v>126</v>
      </c>
      <c r="B22" s="14">
        <v>45745</v>
      </c>
      <c r="C22" s="6" t="s">
        <v>104</v>
      </c>
      <c r="D22" s="6" t="s">
        <v>102</v>
      </c>
      <c r="E22" s="6" t="s">
        <v>103</v>
      </c>
      <c r="F22" s="6">
        <v>125.8</v>
      </c>
      <c r="G22" s="6">
        <v>130.19999999999999</v>
      </c>
      <c r="H22" s="6">
        <v>94.9</v>
      </c>
      <c r="I22" s="6">
        <v>25.5</v>
      </c>
      <c r="J22" s="6">
        <v>-0.6</v>
      </c>
      <c r="K22" s="6">
        <v>82.6</v>
      </c>
      <c r="L22" s="6">
        <v>-1</v>
      </c>
      <c r="M22" s="6">
        <v>84</v>
      </c>
      <c r="N22" s="6">
        <v>1.1299999999999999</v>
      </c>
      <c r="O22" s="6">
        <v>48.3</v>
      </c>
    </row>
    <row r="23" spans="1:15" x14ac:dyDescent="0.25">
      <c r="A23" s="34" t="s">
        <v>126</v>
      </c>
      <c r="B23" s="14">
        <v>45745</v>
      </c>
      <c r="C23" s="6" t="s">
        <v>104</v>
      </c>
      <c r="D23" s="6" t="s">
        <v>102</v>
      </c>
      <c r="E23" s="6" t="s">
        <v>103</v>
      </c>
      <c r="F23" s="6">
        <v>134.6</v>
      </c>
      <c r="G23" s="6">
        <v>138.9</v>
      </c>
      <c r="H23" s="6">
        <v>98.8</v>
      </c>
      <c r="I23" s="6">
        <v>26</v>
      </c>
      <c r="J23" s="6">
        <v>-6.3</v>
      </c>
      <c r="K23" s="6">
        <v>92.3</v>
      </c>
      <c r="L23" s="6">
        <v>-27.3</v>
      </c>
      <c r="M23" s="6">
        <v>82.4</v>
      </c>
      <c r="N23" s="6">
        <v>1.2</v>
      </c>
      <c r="O23" s="6">
        <v>49.8</v>
      </c>
    </row>
    <row r="24" spans="1:15" x14ac:dyDescent="0.25">
      <c r="A24" s="34" t="s">
        <v>126</v>
      </c>
      <c r="B24" s="14">
        <v>45745</v>
      </c>
      <c r="C24" s="6" t="s">
        <v>104</v>
      </c>
      <c r="D24" s="6" t="s">
        <v>102</v>
      </c>
      <c r="E24" s="6" t="s">
        <v>103</v>
      </c>
      <c r="F24" s="6">
        <v>110.5</v>
      </c>
      <c r="G24" s="6">
        <v>113.8</v>
      </c>
      <c r="H24" s="6">
        <v>87.5</v>
      </c>
      <c r="I24" s="6">
        <v>38.6</v>
      </c>
      <c r="J24" s="6">
        <v>1.9</v>
      </c>
      <c r="K24" s="6">
        <v>109.7</v>
      </c>
      <c r="L24" s="6">
        <v>6.3</v>
      </c>
      <c r="M24" s="6">
        <v>79.400000000000006</v>
      </c>
      <c r="N24" s="6">
        <v>1.1000000000000001</v>
      </c>
      <c r="O24" s="6">
        <v>57.9</v>
      </c>
    </row>
    <row r="25" spans="1:15" x14ac:dyDescent="0.25">
      <c r="A25" s="34" t="s">
        <v>126</v>
      </c>
      <c r="B25" s="14">
        <v>45745</v>
      </c>
      <c r="C25" s="6" t="s">
        <v>104</v>
      </c>
      <c r="D25" s="6" t="s">
        <v>102</v>
      </c>
      <c r="E25" s="6" t="s">
        <v>103</v>
      </c>
      <c r="F25" s="6">
        <v>141.1</v>
      </c>
      <c r="G25" s="6">
        <v>149.9</v>
      </c>
      <c r="H25" s="6">
        <v>104.2</v>
      </c>
      <c r="I25" s="6">
        <v>18.5</v>
      </c>
      <c r="J25" s="6">
        <v>4.5</v>
      </c>
      <c r="K25" s="6">
        <v>71.900000000000006</v>
      </c>
      <c r="L25" s="6">
        <v>26.5</v>
      </c>
      <c r="M25" s="6">
        <v>81.900000000000006</v>
      </c>
      <c r="N25" s="6">
        <v>1.27</v>
      </c>
      <c r="O25" s="6">
        <v>43</v>
      </c>
    </row>
    <row r="26" spans="1:15" x14ac:dyDescent="0.25">
      <c r="A26" s="34" t="s">
        <v>126</v>
      </c>
      <c r="B26" s="14">
        <v>45745</v>
      </c>
      <c r="C26" s="6" t="s">
        <v>104</v>
      </c>
      <c r="D26" s="6" t="s">
        <v>102</v>
      </c>
      <c r="E26" s="6" t="s">
        <v>103</v>
      </c>
      <c r="F26" s="6">
        <v>123.6</v>
      </c>
      <c r="G26" s="6">
        <v>128</v>
      </c>
      <c r="H26" s="6">
        <v>93.4</v>
      </c>
      <c r="I26" s="6">
        <v>28.4</v>
      </c>
      <c r="J26" s="6">
        <v>-4.5999999999999996</v>
      </c>
      <c r="K26" s="6">
        <v>90.1</v>
      </c>
      <c r="L26" s="6">
        <v>-10.199999999999999</v>
      </c>
      <c r="M26" s="6">
        <v>84.6</v>
      </c>
      <c r="N26" s="6">
        <v>1.1000000000000001</v>
      </c>
      <c r="O26" s="6">
        <v>50.5</v>
      </c>
    </row>
    <row r="27" spans="1:15" x14ac:dyDescent="0.25">
      <c r="A27" s="34" t="s">
        <v>126</v>
      </c>
      <c r="B27" s="14">
        <v>45745</v>
      </c>
      <c r="C27" s="6" t="s">
        <v>104</v>
      </c>
      <c r="D27" s="6" t="s">
        <v>102</v>
      </c>
      <c r="E27" s="6" t="s">
        <v>103</v>
      </c>
      <c r="F27" s="6">
        <v>133.5</v>
      </c>
      <c r="G27" s="6">
        <v>137.80000000000001</v>
      </c>
      <c r="H27" s="6">
        <v>99.6</v>
      </c>
      <c r="I27" s="6">
        <v>24</v>
      </c>
      <c r="J27" s="6">
        <v>-4</v>
      </c>
      <c r="K27" s="6">
        <v>85.8</v>
      </c>
      <c r="L27" s="6">
        <v>-21.4</v>
      </c>
      <c r="M27" s="6">
        <v>84</v>
      </c>
      <c r="N27" s="6">
        <v>1.18</v>
      </c>
      <c r="O27" s="6">
        <v>48.2</v>
      </c>
    </row>
    <row r="28" spans="1:15" x14ac:dyDescent="0.25">
      <c r="A28" s="34" t="s">
        <v>126</v>
      </c>
      <c r="B28" s="14">
        <v>45745</v>
      </c>
      <c r="C28" s="6" t="s">
        <v>105</v>
      </c>
      <c r="D28" s="6" t="s">
        <v>102</v>
      </c>
      <c r="E28" s="6" t="s">
        <v>106</v>
      </c>
      <c r="F28" s="6">
        <v>147.69999999999999</v>
      </c>
      <c r="G28" s="6">
        <v>153.19999999999999</v>
      </c>
      <c r="H28" s="6">
        <v>107.9</v>
      </c>
      <c r="I28" s="6">
        <v>22</v>
      </c>
      <c r="J28" s="6">
        <v>1.5</v>
      </c>
      <c r="K28" s="6">
        <v>94.3</v>
      </c>
      <c r="L28" s="6">
        <v>20.7</v>
      </c>
      <c r="M28" s="6">
        <v>89</v>
      </c>
      <c r="N28" s="6">
        <v>1.21</v>
      </c>
      <c r="O28" s="6">
        <v>48.9</v>
      </c>
    </row>
    <row r="29" spans="1:15" x14ac:dyDescent="0.25">
      <c r="A29" s="34" t="s">
        <v>126</v>
      </c>
      <c r="B29" s="14">
        <v>45745</v>
      </c>
      <c r="C29" s="6" t="s">
        <v>105</v>
      </c>
      <c r="D29" s="6" t="s">
        <v>102</v>
      </c>
      <c r="E29" s="6" t="s">
        <v>106</v>
      </c>
      <c r="F29" s="6">
        <v>114.9</v>
      </c>
      <c r="G29" s="6">
        <v>120.3</v>
      </c>
      <c r="H29" s="6">
        <v>88.3</v>
      </c>
      <c r="I29" s="6">
        <v>29.2</v>
      </c>
      <c r="J29" s="6">
        <v>5.6</v>
      </c>
      <c r="K29" s="6">
        <v>82.3</v>
      </c>
      <c r="L29" s="6">
        <v>19.3</v>
      </c>
      <c r="M29" s="6">
        <v>79</v>
      </c>
      <c r="N29" s="6">
        <v>1.1200000000000001</v>
      </c>
      <c r="O29" s="6">
        <v>49.6</v>
      </c>
    </row>
    <row r="30" spans="1:15" x14ac:dyDescent="0.25">
      <c r="A30" s="34" t="s">
        <v>126</v>
      </c>
      <c r="B30" s="14">
        <v>45745</v>
      </c>
      <c r="C30" s="6" t="s">
        <v>105</v>
      </c>
      <c r="D30" s="6" t="s">
        <v>102</v>
      </c>
      <c r="E30" s="6" t="s">
        <v>106</v>
      </c>
      <c r="F30" s="6">
        <v>148.80000000000001</v>
      </c>
      <c r="G30" s="6">
        <v>153.19999999999999</v>
      </c>
      <c r="H30" s="6">
        <v>107.7</v>
      </c>
      <c r="I30" s="6">
        <v>24.9</v>
      </c>
      <c r="J30" s="6">
        <v>-2.2999999999999998</v>
      </c>
      <c r="K30" s="6">
        <v>106.4</v>
      </c>
      <c r="L30" s="6">
        <v>-11.1</v>
      </c>
      <c r="M30" s="6">
        <v>86.2</v>
      </c>
      <c r="N30" s="6">
        <v>1.25</v>
      </c>
      <c r="O30" s="6">
        <v>51.4</v>
      </c>
    </row>
    <row r="31" spans="1:15" x14ac:dyDescent="0.25">
      <c r="A31" s="34" t="s">
        <v>126</v>
      </c>
      <c r="B31" s="14">
        <v>45745</v>
      </c>
      <c r="C31" s="6" t="s">
        <v>105</v>
      </c>
      <c r="D31" s="6" t="s">
        <v>102</v>
      </c>
      <c r="E31" s="6" t="s">
        <v>106</v>
      </c>
      <c r="F31" s="6">
        <v>131.30000000000001</v>
      </c>
      <c r="G31" s="6">
        <v>136.80000000000001</v>
      </c>
      <c r="H31" s="6">
        <v>97</v>
      </c>
      <c r="I31" s="6">
        <v>26.3</v>
      </c>
      <c r="J31" s="6">
        <v>-3.5</v>
      </c>
      <c r="K31" s="6">
        <v>89.8</v>
      </c>
      <c r="L31" s="6">
        <v>-16.100000000000001</v>
      </c>
      <c r="M31" s="6">
        <v>79.099999999999994</v>
      </c>
      <c r="N31" s="6">
        <v>1.23</v>
      </c>
      <c r="O31" s="6">
        <v>49.3</v>
      </c>
    </row>
    <row r="32" spans="1:15" x14ac:dyDescent="0.25">
      <c r="A32" s="34" t="s">
        <v>126</v>
      </c>
      <c r="B32" s="14">
        <v>45745</v>
      </c>
      <c r="C32" s="6" t="s">
        <v>105</v>
      </c>
      <c r="D32" s="6" t="s">
        <v>102</v>
      </c>
      <c r="E32" s="6" t="s">
        <v>106</v>
      </c>
      <c r="F32" s="6">
        <v>145.5</v>
      </c>
      <c r="G32" s="6">
        <v>151</v>
      </c>
      <c r="H32" s="6">
        <v>106</v>
      </c>
      <c r="I32" s="6">
        <v>25.2</v>
      </c>
      <c r="J32" s="6">
        <v>-2.2000000000000002</v>
      </c>
      <c r="K32" s="6">
        <v>104.3</v>
      </c>
      <c r="L32" s="6">
        <v>-6</v>
      </c>
      <c r="M32" s="6">
        <v>84.6</v>
      </c>
      <c r="N32" s="6">
        <v>1.25</v>
      </c>
      <c r="O32" s="6">
        <v>51.2</v>
      </c>
    </row>
    <row r="33" spans="1:15" x14ac:dyDescent="0.25">
      <c r="A33" s="34" t="s">
        <v>126</v>
      </c>
      <c r="B33" s="14">
        <v>45745</v>
      </c>
      <c r="C33" s="6" t="s">
        <v>107</v>
      </c>
      <c r="D33" s="6" t="s">
        <v>102</v>
      </c>
      <c r="E33" s="6" t="s">
        <v>106</v>
      </c>
      <c r="F33" s="6">
        <v>155.30000000000001</v>
      </c>
      <c r="G33" s="6">
        <v>160.80000000000001</v>
      </c>
      <c r="H33" s="6">
        <v>111.5</v>
      </c>
      <c r="I33" s="6">
        <v>18.3</v>
      </c>
      <c r="J33" s="6">
        <v>0.2</v>
      </c>
      <c r="K33" s="6">
        <v>84</v>
      </c>
      <c r="L33" s="6">
        <v>14.8</v>
      </c>
      <c r="M33" s="6">
        <v>87.9</v>
      </c>
      <c r="N33" s="6">
        <v>1.27</v>
      </c>
      <c r="O33" s="6">
        <v>45.5</v>
      </c>
    </row>
    <row r="34" spans="1:15" x14ac:dyDescent="0.25">
      <c r="A34" s="34" t="s">
        <v>126</v>
      </c>
      <c r="B34" s="14">
        <v>45745</v>
      </c>
      <c r="C34" s="6" t="s">
        <v>107</v>
      </c>
      <c r="D34" s="6" t="s">
        <v>102</v>
      </c>
      <c r="E34" s="6" t="s">
        <v>106</v>
      </c>
      <c r="F34" s="6">
        <v>154.30000000000001</v>
      </c>
      <c r="G34" s="6">
        <v>159.69999999999999</v>
      </c>
      <c r="H34" s="6">
        <v>110.4</v>
      </c>
      <c r="I34" s="6">
        <v>20.9</v>
      </c>
      <c r="J34" s="6">
        <v>-1.3</v>
      </c>
      <c r="K34" s="6">
        <v>94.3</v>
      </c>
      <c r="L34" s="6">
        <v>3.4</v>
      </c>
      <c r="M34" s="6">
        <v>86.8</v>
      </c>
      <c r="N34" s="6">
        <v>1.27</v>
      </c>
      <c r="O34" s="6">
        <v>48.1</v>
      </c>
    </row>
    <row r="35" spans="1:15" x14ac:dyDescent="0.25">
      <c r="A35" s="34" t="s">
        <v>126</v>
      </c>
      <c r="B35" s="14">
        <v>45745</v>
      </c>
      <c r="C35" s="6" t="s">
        <v>107</v>
      </c>
      <c r="D35" s="6" t="s">
        <v>102</v>
      </c>
      <c r="E35" s="6" t="s">
        <v>106</v>
      </c>
      <c r="F35" s="6">
        <v>151</v>
      </c>
      <c r="G35" s="6">
        <v>156.4</v>
      </c>
      <c r="H35" s="6">
        <v>108.6</v>
      </c>
      <c r="I35" s="6">
        <v>20.7</v>
      </c>
      <c r="J35" s="6">
        <v>-5.5</v>
      </c>
      <c r="K35" s="6">
        <v>89.6</v>
      </c>
      <c r="L35" s="6">
        <v>-38.9</v>
      </c>
      <c r="M35" s="6">
        <v>89.6</v>
      </c>
      <c r="N35" s="6">
        <v>1.21</v>
      </c>
      <c r="O35" s="6">
        <v>47.3</v>
      </c>
    </row>
    <row r="36" spans="1:15" x14ac:dyDescent="0.25">
      <c r="A36" s="34" t="s">
        <v>126</v>
      </c>
      <c r="B36" s="14">
        <v>45745</v>
      </c>
      <c r="C36" s="6" t="s">
        <v>107</v>
      </c>
      <c r="D36" s="6" t="s">
        <v>102</v>
      </c>
      <c r="E36" s="6" t="s">
        <v>106</v>
      </c>
      <c r="F36" s="6">
        <v>159.69999999999999</v>
      </c>
      <c r="G36" s="6">
        <v>165.2</v>
      </c>
      <c r="H36" s="6">
        <v>114.1</v>
      </c>
      <c r="I36" s="6">
        <v>19</v>
      </c>
      <c r="J36" s="6">
        <v>-2.9</v>
      </c>
      <c r="K36" s="6">
        <v>92.2</v>
      </c>
      <c r="L36" s="6">
        <v>-2.2999999999999998</v>
      </c>
      <c r="M36" s="6">
        <v>90.1</v>
      </c>
      <c r="N36" s="6">
        <v>1.27</v>
      </c>
      <c r="O36" s="6">
        <v>47.2</v>
      </c>
    </row>
    <row r="37" spans="1:15" x14ac:dyDescent="0.25">
      <c r="A37" s="34" t="s">
        <v>126</v>
      </c>
      <c r="B37" s="14">
        <v>45745</v>
      </c>
      <c r="C37" s="6" t="s">
        <v>107</v>
      </c>
      <c r="D37" s="6" t="s">
        <v>102</v>
      </c>
      <c r="E37" s="6" t="s">
        <v>106</v>
      </c>
      <c r="F37" s="6">
        <v>142.19999999999999</v>
      </c>
      <c r="G37" s="6">
        <v>146.6</v>
      </c>
      <c r="H37" s="6">
        <v>103.6</v>
      </c>
      <c r="I37" s="6">
        <v>26.3</v>
      </c>
      <c r="J37" s="6">
        <v>1.5</v>
      </c>
      <c r="K37" s="6">
        <v>103.7</v>
      </c>
      <c r="L37" s="6">
        <v>7.7</v>
      </c>
      <c r="M37" s="6">
        <v>89</v>
      </c>
      <c r="N37" s="6">
        <v>1.1599999999999999</v>
      </c>
      <c r="O37" s="6">
        <v>51.3</v>
      </c>
    </row>
    <row r="38" spans="1:15" x14ac:dyDescent="0.25">
      <c r="A38" s="34" t="s">
        <v>126</v>
      </c>
      <c r="B38" s="14">
        <v>45745</v>
      </c>
      <c r="C38" s="6" t="s">
        <v>107</v>
      </c>
      <c r="D38" s="6" t="s">
        <v>102</v>
      </c>
      <c r="E38" s="6" t="s">
        <v>106</v>
      </c>
      <c r="F38" s="6">
        <v>159.69999999999999</v>
      </c>
      <c r="G38" s="6">
        <v>166.3</v>
      </c>
      <c r="H38" s="6">
        <v>115.8</v>
      </c>
      <c r="I38" s="6">
        <v>24.5</v>
      </c>
      <c r="J38" s="6">
        <v>1.3</v>
      </c>
      <c r="K38" s="6">
        <v>122.8</v>
      </c>
      <c r="L38" s="6">
        <v>10.9</v>
      </c>
      <c r="M38" s="6">
        <v>92.4</v>
      </c>
      <c r="N38" s="6">
        <v>1.25</v>
      </c>
      <c r="O38" s="6">
        <v>53.3</v>
      </c>
    </row>
    <row r="39" spans="1:15" x14ac:dyDescent="0.25">
      <c r="A39" s="34" t="s">
        <v>126</v>
      </c>
      <c r="B39" s="14">
        <v>45745</v>
      </c>
      <c r="C39" s="6" t="s">
        <v>107</v>
      </c>
      <c r="D39" s="6" t="s">
        <v>102</v>
      </c>
      <c r="E39" s="6" t="s">
        <v>106</v>
      </c>
      <c r="F39" s="6">
        <v>153.19999999999999</v>
      </c>
      <c r="G39" s="6">
        <v>160.80000000000001</v>
      </c>
      <c r="H39" s="6">
        <v>111</v>
      </c>
      <c r="I39" s="6">
        <v>14.7</v>
      </c>
      <c r="J39" s="6">
        <v>-2.5</v>
      </c>
      <c r="K39" s="6">
        <v>66.2</v>
      </c>
      <c r="L39" s="6">
        <v>-5.8</v>
      </c>
      <c r="M39" s="6">
        <v>87.9</v>
      </c>
      <c r="N39" s="6">
        <v>1.26</v>
      </c>
      <c r="O39" s="6">
        <v>40.1</v>
      </c>
    </row>
    <row r="40" spans="1:15" x14ac:dyDescent="0.25">
      <c r="A40" s="34" t="s">
        <v>126</v>
      </c>
      <c r="B40" s="14">
        <v>45745</v>
      </c>
      <c r="C40" s="6" t="s">
        <v>107</v>
      </c>
      <c r="D40" s="6" t="s">
        <v>102</v>
      </c>
      <c r="E40" s="6" t="s">
        <v>106</v>
      </c>
      <c r="F40" s="6">
        <v>158.6</v>
      </c>
      <c r="G40" s="6">
        <v>161.9</v>
      </c>
      <c r="H40" s="6">
        <v>112.3</v>
      </c>
      <c r="I40" s="6">
        <v>23.4</v>
      </c>
      <c r="J40" s="6">
        <v>1</v>
      </c>
      <c r="K40" s="6">
        <v>109.6</v>
      </c>
      <c r="L40" s="6">
        <v>11.1</v>
      </c>
      <c r="M40" s="6">
        <v>87.9</v>
      </c>
      <c r="N40" s="6">
        <v>1.28</v>
      </c>
      <c r="O40" s="6">
        <v>51.1</v>
      </c>
    </row>
    <row r="41" spans="1:15" x14ac:dyDescent="0.25">
      <c r="A41" s="34" t="s">
        <v>126</v>
      </c>
      <c r="B41" s="14">
        <v>45745</v>
      </c>
      <c r="C41" s="6" t="s">
        <v>107</v>
      </c>
      <c r="D41" s="6" t="s">
        <v>102</v>
      </c>
      <c r="E41" s="6" t="s">
        <v>106</v>
      </c>
      <c r="F41" s="6">
        <v>176.1</v>
      </c>
      <c r="G41" s="6">
        <v>181.6</v>
      </c>
      <c r="H41" s="6">
        <v>119.6</v>
      </c>
      <c r="I41" s="6">
        <v>21.8</v>
      </c>
      <c r="J41" s="6">
        <v>-7.1</v>
      </c>
      <c r="K41" s="6">
        <v>116.3</v>
      </c>
      <c r="L41" s="6">
        <v>-36.6</v>
      </c>
      <c r="M41" s="6">
        <v>87.9</v>
      </c>
      <c r="N41" s="6">
        <v>1.36</v>
      </c>
      <c r="O41" s="6">
        <v>50.3</v>
      </c>
    </row>
    <row r="42" spans="1:15" x14ac:dyDescent="0.25">
      <c r="A42" s="34" t="s">
        <v>126</v>
      </c>
      <c r="B42" s="14">
        <v>45745</v>
      </c>
      <c r="C42" s="6" t="s">
        <v>108</v>
      </c>
      <c r="D42" s="6" t="s">
        <v>102</v>
      </c>
      <c r="E42" s="6" t="s">
        <v>106</v>
      </c>
      <c r="F42" s="6">
        <v>163</v>
      </c>
      <c r="G42" s="6">
        <v>175</v>
      </c>
      <c r="H42" s="6">
        <v>119.3</v>
      </c>
      <c r="I42" s="6">
        <v>9.4</v>
      </c>
      <c r="J42" s="6">
        <v>-1.1000000000000001</v>
      </c>
      <c r="K42" s="6">
        <v>51</v>
      </c>
      <c r="L42" s="6">
        <v>9.8000000000000007</v>
      </c>
      <c r="M42" s="6">
        <v>90.7</v>
      </c>
      <c r="N42" s="6">
        <v>1.32</v>
      </c>
      <c r="O42" s="6">
        <v>33.1</v>
      </c>
    </row>
    <row r="43" spans="1:15" x14ac:dyDescent="0.25">
      <c r="A43" s="34" t="s">
        <v>126</v>
      </c>
      <c r="B43" s="14">
        <v>45745</v>
      </c>
      <c r="C43" s="6" t="s">
        <v>108</v>
      </c>
      <c r="D43" s="6" t="s">
        <v>102</v>
      </c>
      <c r="E43" s="6" t="s">
        <v>106</v>
      </c>
      <c r="F43" s="6">
        <v>172.9</v>
      </c>
      <c r="G43" s="6">
        <v>177.2</v>
      </c>
      <c r="H43" s="6">
        <v>120</v>
      </c>
      <c r="I43" s="6">
        <v>19.8</v>
      </c>
      <c r="J43" s="6">
        <v>-3</v>
      </c>
      <c r="K43" s="6">
        <v>108.2</v>
      </c>
      <c r="L43" s="6">
        <v>-12.8</v>
      </c>
      <c r="M43" s="6">
        <v>90.1</v>
      </c>
      <c r="N43" s="6">
        <v>1.33</v>
      </c>
      <c r="O43" s="6">
        <v>49.5</v>
      </c>
    </row>
    <row r="44" spans="1:15" x14ac:dyDescent="0.25">
      <c r="A44" s="34" t="s">
        <v>126</v>
      </c>
      <c r="B44" s="14">
        <v>45745</v>
      </c>
      <c r="C44" s="6" t="s">
        <v>108</v>
      </c>
      <c r="D44" s="6" t="s">
        <v>102</v>
      </c>
      <c r="E44" s="6" t="s">
        <v>106</v>
      </c>
      <c r="F44" s="6">
        <v>159.69999999999999</v>
      </c>
      <c r="G44" s="6">
        <v>166.3</v>
      </c>
      <c r="H44" s="6">
        <v>113.2</v>
      </c>
      <c r="I44" s="6">
        <v>18.2</v>
      </c>
      <c r="J44" s="6">
        <v>-1.6</v>
      </c>
      <c r="K44" s="6">
        <v>86.9</v>
      </c>
      <c r="L44" s="6">
        <v>-0.1</v>
      </c>
      <c r="M44" s="6">
        <v>89</v>
      </c>
      <c r="N44" s="6">
        <v>1.27</v>
      </c>
      <c r="O44" s="6">
        <v>45.7</v>
      </c>
    </row>
    <row r="45" spans="1:15" x14ac:dyDescent="0.25">
      <c r="A45" s="34" t="s">
        <v>126</v>
      </c>
      <c r="B45" s="14">
        <v>45745</v>
      </c>
      <c r="C45" s="6" t="s">
        <v>108</v>
      </c>
      <c r="D45" s="6" t="s">
        <v>102</v>
      </c>
      <c r="E45" s="6" t="s">
        <v>106</v>
      </c>
      <c r="F45" s="6">
        <v>158.6</v>
      </c>
      <c r="G45" s="6">
        <v>163</v>
      </c>
      <c r="H45" s="6">
        <v>112.5</v>
      </c>
      <c r="I45" s="6">
        <v>24.6</v>
      </c>
      <c r="J45" s="6">
        <v>2.1</v>
      </c>
      <c r="K45" s="6">
        <v>115.8</v>
      </c>
      <c r="L45" s="6">
        <v>22.5</v>
      </c>
      <c r="M45" s="6">
        <v>90.1</v>
      </c>
      <c r="N45" s="6">
        <v>1.25</v>
      </c>
      <c r="O45" s="6">
        <v>52.3</v>
      </c>
    </row>
    <row r="46" spans="1:15" x14ac:dyDescent="0.25">
      <c r="A46" s="34" t="s">
        <v>126</v>
      </c>
      <c r="B46" s="14">
        <v>45745</v>
      </c>
      <c r="C46" s="6" t="s">
        <v>108</v>
      </c>
      <c r="D46" s="6" t="s">
        <v>102</v>
      </c>
      <c r="E46" s="6" t="s">
        <v>106</v>
      </c>
      <c r="F46" s="6">
        <v>154.30000000000001</v>
      </c>
      <c r="G46" s="6">
        <v>160.80000000000001</v>
      </c>
      <c r="H46" s="6">
        <v>110.6</v>
      </c>
      <c r="I46" s="6">
        <v>16.399999999999999</v>
      </c>
      <c r="J46" s="6">
        <v>-9.8000000000000007</v>
      </c>
      <c r="K46" s="6">
        <v>73.5</v>
      </c>
      <c r="L46" s="6">
        <v>-53.7</v>
      </c>
      <c r="M46" s="6">
        <v>89</v>
      </c>
      <c r="N46" s="6">
        <v>1.24</v>
      </c>
      <c r="O46" s="6">
        <v>42.1</v>
      </c>
    </row>
    <row r="47" spans="1:15" x14ac:dyDescent="0.25">
      <c r="A47" s="34" t="s">
        <v>126</v>
      </c>
      <c r="B47" s="14">
        <v>45745</v>
      </c>
      <c r="C47" s="6" t="s">
        <v>108</v>
      </c>
      <c r="D47" s="6" t="s">
        <v>102</v>
      </c>
      <c r="E47" s="6" t="s">
        <v>106</v>
      </c>
      <c r="F47" s="6">
        <v>142.19999999999999</v>
      </c>
      <c r="G47" s="6">
        <v>148.80000000000001</v>
      </c>
      <c r="H47" s="6">
        <v>103.3</v>
      </c>
      <c r="I47" s="6">
        <v>21.9</v>
      </c>
      <c r="J47" s="6">
        <v>-0.3</v>
      </c>
      <c r="K47" s="6">
        <v>84.5</v>
      </c>
      <c r="L47" s="6">
        <v>-0.3</v>
      </c>
      <c r="M47" s="6">
        <v>85.7</v>
      </c>
      <c r="N47" s="6">
        <v>1.21</v>
      </c>
      <c r="O47" s="6">
        <v>46.6</v>
      </c>
    </row>
    <row r="48" spans="1:15" x14ac:dyDescent="0.25">
      <c r="A48" s="34" t="s">
        <v>126</v>
      </c>
      <c r="B48" s="14">
        <v>45745</v>
      </c>
      <c r="C48" s="6" t="s">
        <v>108</v>
      </c>
      <c r="D48" s="6" t="s">
        <v>102</v>
      </c>
      <c r="E48" s="6" t="s">
        <v>106</v>
      </c>
      <c r="F48" s="6">
        <v>141.1</v>
      </c>
      <c r="G48" s="6">
        <v>156.4</v>
      </c>
      <c r="H48" s="6">
        <v>110.1</v>
      </c>
      <c r="I48" s="6">
        <v>9.3000000000000007</v>
      </c>
      <c r="J48" s="6">
        <v>-1.7</v>
      </c>
      <c r="K48" s="6">
        <v>38.299999999999997</v>
      </c>
      <c r="L48" s="6">
        <v>15.1</v>
      </c>
      <c r="M48" s="6">
        <v>92.4</v>
      </c>
      <c r="N48" s="6">
        <v>1.19</v>
      </c>
      <c r="O48" s="6">
        <v>28.4</v>
      </c>
    </row>
    <row r="49" spans="1:15" x14ac:dyDescent="0.25">
      <c r="A49" s="34" t="s">
        <v>126</v>
      </c>
      <c r="B49" s="14">
        <v>45745</v>
      </c>
      <c r="C49" s="6" t="s">
        <v>109</v>
      </c>
      <c r="D49" s="6" t="s">
        <v>102</v>
      </c>
      <c r="E49" s="6" t="s">
        <v>106</v>
      </c>
      <c r="F49" s="6">
        <v>151</v>
      </c>
      <c r="G49" s="6">
        <v>168.5</v>
      </c>
      <c r="H49" s="6">
        <v>122</v>
      </c>
      <c r="I49" s="6">
        <v>4</v>
      </c>
      <c r="J49" s="6">
        <v>2.6</v>
      </c>
      <c r="K49" s="6">
        <v>25.7</v>
      </c>
      <c r="L49" s="6">
        <v>11.7</v>
      </c>
      <c r="M49" s="6">
        <v>89.6</v>
      </c>
      <c r="N49" s="6">
        <v>1.36</v>
      </c>
      <c r="O49" s="6">
        <v>21.2</v>
      </c>
    </row>
    <row r="50" spans="1:15" x14ac:dyDescent="0.25">
      <c r="A50" s="34" t="s">
        <v>126</v>
      </c>
      <c r="B50" s="14">
        <v>45745</v>
      </c>
      <c r="C50" s="6" t="s">
        <v>109</v>
      </c>
      <c r="D50" s="6" t="s">
        <v>102</v>
      </c>
      <c r="E50" s="6" t="s">
        <v>106</v>
      </c>
      <c r="F50" s="6">
        <v>180.5</v>
      </c>
      <c r="G50" s="6">
        <v>190.4</v>
      </c>
      <c r="H50" s="6">
        <v>124.8</v>
      </c>
      <c r="I50" s="6">
        <v>17.7</v>
      </c>
      <c r="J50" s="6">
        <v>-3.4</v>
      </c>
      <c r="K50" s="6">
        <v>106.1</v>
      </c>
      <c r="L50" s="6">
        <v>-15.1</v>
      </c>
      <c r="M50" s="6">
        <v>90.1</v>
      </c>
      <c r="N50" s="6">
        <v>1.38</v>
      </c>
      <c r="O50" s="6">
        <v>48.2</v>
      </c>
    </row>
    <row r="51" spans="1:15" x14ac:dyDescent="0.25">
      <c r="A51" s="34" t="s">
        <v>126</v>
      </c>
      <c r="B51" s="14">
        <v>45745</v>
      </c>
      <c r="C51" s="6" t="s">
        <v>109</v>
      </c>
      <c r="D51" s="6" t="s">
        <v>102</v>
      </c>
      <c r="E51" s="6" t="s">
        <v>106</v>
      </c>
      <c r="F51" s="6">
        <v>170.7</v>
      </c>
      <c r="G51" s="6">
        <v>176.1</v>
      </c>
      <c r="H51" s="6">
        <v>118.3</v>
      </c>
      <c r="I51" s="6">
        <v>19.7</v>
      </c>
      <c r="J51" s="6">
        <v>0.4</v>
      </c>
      <c r="K51" s="6">
        <v>103.8</v>
      </c>
      <c r="L51" s="6">
        <v>21.9</v>
      </c>
      <c r="M51" s="6">
        <v>90.7</v>
      </c>
      <c r="N51" s="6">
        <v>1.3</v>
      </c>
      <c r="O51" s="6">
        <v>48.6</v>
      </c>
    </row>
    <row r="52" spans="1:15" x14ac:dyDescent="0.25">
      <c r="A52" s="34" t="s">
        <v>126</v>
      </c>
      <c r="B52" s="14">
        <v>45745</v>
      </c>
      <c r="C52" s="6" t="s">
        <v>109</v>
      </c>
      <c r="D52" s="6" t="s">
        <v>102</v>
      </c>
      <c r="E52" s="6" t="s">
        <v>106</v>
      </c>
      <c r="F52" s="6">
        <v>173.9</v>
      </c>
      <c r="G52" s="6">
        <v>180.5</v>
      </c>
      <c r="H52" s="6">
        <v>120.2</v>
      </c>
      <c r="I52" s="6">
        <v>15.8</v>
      </c>
      <c r="J52" s="6">
        <v>-1.7</v>
      </c>
      <c r="K52" s="6">
        <v>86.4</v>
      </c>
      <c r="L52" s="6">
        <v>3.8</v>
      </c>
      <c r="M52" s="6">
        <v>90.1</v>
      </c>
      <c r="N52" s="6">
        <v>1.33</v>
      </c>
      <c r="O52" s="6">
        <v>44.1</v>
      </c>
    </row>
    <row r="53" spans="1:15" x14ac:dyDescent="0.25">
      <c r="A53" s="34" t="s">
        <v>126</v>
      </c>
      <c r="B53" s="14">
        <v>45745</v>
      </c>
      <c r="C53" s="6" t="s">
        <v>109</v>
      </c>
      <c r="D53" s="6" t="s">
        <v>102</v>
      </c>
      <c r="E53" s="6" t="s">
        <v>106</v>
      </c>
      <c r="F53" s="6">
        <v>167.4</v>
      </c>
      <c r="G53" s="6">
        <v>175</v>
      </c>
      <c r="H53" s="6">
        <v>116.6</v>
      </c>
      <c r="I53" s="6">
        <v>17.2</v>
      </c>
      <c r="J53" s="6">
        <v>-5.0999999999999996</v>
      </c>
      <c r="K53" s="6">
        <v>87.7</v>
      </c>
      <c r="L53" s="6">
        <v>-38.200000000000003</v>
      </c>
      <c r="M53" s="6">
        <v>89.6</v>
      </c>
      <c r="N53" s="6">
        <v>1.3</v>
      </c>
      <c r="O53" s="6">
        <v>44.8</v>
      </c>
    </row>
    <row r="54" spans="1:15" x14ac:dyDescent="0.25">
      <c r="A54" s="34" t="s">
        <v>126</v>
      </c>
      <c r="B54" s="14">
        <v>45745</v>
      </c>
      <c r="C54" s="6" t="s">
        <v>109</v>
      </c>
      <c r="D54" s="6" t="s">
        <v>102</v>
      </c>
      <c r="E54" s="6" t="s">
        <v>106</v>
      </c>
      <c r="F54" s="6">
        <v>183.8</v>
      </c>
      <c r="G54" s="6">
        <v>188.2</v>
      </c>
      <c r="H54" s="6">
        <v>125.6</v>
      </c>
      <c r="I54" s="6">
        <v>18.3</v>
      </c>
      <c r="J54" s="6">
        <v>-2.2999999999999998</v>
      </c>
      <c r="K54" s="6">
        <v>110.7</v>
      </c>
      <c r="L54" s="6">
        <v>-7.2</v>
      </c>
      <c r="M54" s="6">
        <v>89.6</v>
      </c>
      <c r="N54" s="6">
        <v>1.4</v>
      </c>
      <c r="O54" s="6">
        <v>49.1</v>
      </c>
    </row>
    <row r="55" spans="1:15" x14ac:dyDescent="0.25">
      <c r="A55" s="34" t="s">
        <v>126</v>
      </c>
      <c r="B55" s="14">
        <v>45745</v>
      </c>
      <c r="C55" s="6" t="s">
        <v>109</v>
      </c>
      <c r="D55" s="6" t="s">
        <v>102</v>
      </c>
      <c r="E55" s="6" t="s">
        <v>106</v>
      </c>
      <c r="F55" s="6">
        <v>171.8</v>
      </c>
      <c r="G55" s="6">
        <v>177.2</v>
      </c>
      <c r="H55" s="6">
        <v>119</v>
      </c>
      <c r="I55" s="6">
        <v>18.8</v>
      </c>
      <c r="J55" s="6">
        <v>-0.5</v>
      </c>
      <c r="K55" s="6">
        <v>100.3</v>
      </c>
      <c r="L55" s="6">
        <v>15</v>
      </c>
      <c r="M55" s="6">
        <v>89.6</v>
      </c>
      <c r="N55" s="6">
        <v>1.33</v>
      </c>
      <c r="O55" s="6">
        <v>47.7</v>
      </c>
    </row>
    <row r="56" spans="1:15" x14ac:dyDescent="0.25">
      <c r="A56" s="34" t="s">
        <v>126</v>
      </c>
      <c r="B56" s="14">
        <v>45745</v>
      </c>
      <c r="C56" s="6" t="s">
        <v>109</v>
      </c>
      <c r="D56" s="6" t="s">
        <v>102</v>
      </c>
      <c r="E56" s="6" t="s">
        <v>106</v>
      </c>
      <c r="F56" s="6">
        <v>176.1</v>
      </c>
      <c r="G56" s="6">
        <v>181.6</v>
      </c>
      <c r="H56" s="6">
        <v>120.8</v>
      </c>
      <c r="I56" s="6">
        <v>18.8</v>
      </c>
      <c r="J56" s="6">
        <v>-2</v>
      </c>
      <c r="K56" s="6">
        <v>103.6</v>
      </c>
      <c r="L56" s="6">
        <v>-4.9000000000000004</v>
      </c>
      <c r="M56" s="6">
        <v>86.8</v>
      </c>
      <c r="N56" s="6">
        <v>1.39</v>
      </c>
      <c r="O56" s="6">
        <v>48.1</v>
      </c>
    </row>
    <row r="57" spans="1:15" x14ac:dyDescent="0.25">
      <c r="A57" s="34" t="s">
        <v>126</v>
      </c>
      <c r="B57" s="14">
        <v>45745</v>
      </c>
      <c r="C57" s="6" t="s">
        <v>109</v>
      </c>
      <c r="D57" s="6" t="s">
        <v>102</v>
      </c>
      <c r="E57" s="6" t="s">
        <v>106</v>
      </c>
      <c r="F57" s="6">
        <v>180.5</v>
      </c>
      <c r="G57" s="6">
        <v>186</v>
      </c>
      <c r="H57" s="6">
        <v>124.4</v>
      </c>
      <c r="I57" s="6">
        <v>19.399999999999999</v>
      </c>
      <c r="J57" s="6">
        <v>0.4</v>
      </c>
      <c r="K57" s="6">
        <v>114.8</v>
      </c>
      <c r="L57" s="6">
        <v>7.9</v>
      </c>
      <c r="M57" s="6">
        <v>90.7</v>
      </c>
      <c r="N57" s="6">
        <v>1.37</v>
      </c>
      <c r="O57" s="6">
        <v>50.1</v>
      </c>
    </row>
    <row r="58" spans="1:15" x14ac:dyDescent="0.25">
      <c r="A58" s="34" t="s">
        <v>126</v>
      </c>
      <c r="B58" s="14">
        <v>45745</v>
      </c>
      <c r="C58" s="6" t="s">
        <v>110</v>
      </c>
      <c r="D58" s="6" t="s">
        <v>102</v>
      </c>
      <c r="E58" s="6" t="s">
        <v>106</v>
      </c>
      <c r="F58" s="6">
        <v>167.4</v>
      </c>
      <c r="G58" s="6">
        <v>176.1</v>
      </c>
      <c r="H58" s="6">
        <v>117.3</v>
      </c>
      <c r="I58" s="6">
        <v>14.7</v>
      </c>
      <c r="J58" s="6">
        <v>2</v>
      </c>
      <c r="K58" s="6">
        <v>75.599999999999994</v>
      </c>
      <c r="L58" s="6">
        <v>12.2</v>
      </c>
      <c r="M58" s="6">
        <v>91.2</v>
      </c>
      <c r="N58" s="6">
        <v>1.29</v>
      </c>
      <c r="O58" s="6">
        <v>41.4</v>
      </c>
    </row>
    <row r="59" spans="1:15" x14ac:dyDescent="0.25">
      <c r="A59" s="34" t="s">
        <v>126</v>
      </c>
      <c r="B59" s="14">
        <v>45745</v>
      </c>
      <c r="C59" s="6" t="s">
        <v>110</v>
      </c>
      <c r="D59" s="6" t="s">
        <v>102</v>
      </c>
      <c r="E59" s="6" t="s">
        <v>106</v>
      </c>
      <c r="F59" s="6">
        <v>163</v>
      </c>
      <c r="G59" s="6">
        <v>175</v>
      </c>
      <c r="H59" s="6">
        <v>115.6</v>
      </c>
      <c r="I59" s="6">
        <v>15.8</v>
      </c>
      <c r="J59" s="6">
        <v>2.7</v>
      </c>
      <c r="K59" s="6">
        <v>78.3</v>
      </c>
      <c r="L59" s="6">
        <v>36.4</v>
      </c>
      <c r="M59" s="6">
        <v>91.8</v>
      </c>
      <c r="N59" s="6">
        <v>1.26</v>
      </c>
      <c r="O59" s="6">
        <v>42.4</v>
      </c>
    </row>
    <row r="60" spans="1:15" x14ac:dyDescent="0.25">
      <c r="A60" s="34" t="s">
        <v>126</v>
      </c>
      <c r="B60" s="14">
        <v>45745</v>
      </c>
      <c r="C60" s="6" t="s">
        <v>110</v>
      </c>
      <c r="D60" s="6" t="s">
        <v>102</v>
      </c>
      <c r="E60" s="6" t="s">
        <v>106</v>
      </c>
      <c r="F60" s="6">
        <v>189.3</v>
      </c>
      <c r="G60" s="6">
        <v>194.7</v>
      </c>
      <c r="H60" s="6">
        <v>128.30000000000001</v>
      </c>
      <c r="I60" s="6">
        <v>17.899999999999999</v>
      </c>
      <c r="J60" s="6">
        <v>-0.5</v>
      </c>
      <c r="K60" s="6">
        <v>113.9</v>
      </c>
      <c r="L60" s="6">
        <v>2.7</v>
      </c>
      <c r="M60" s="6">
        <v>91.8</v>
      </c>
      <c r="N60" s="6">
        <v>1.4</v>
      </c>
      <c r="O60" s="6">
        <v>49.2</v>
      </c>
    </row>
    <row r="61" spans="1:15" x14ac:dyDescent="0.25">
      <c r="A61" s="34" t="s">
        <v>126</v>
      </c>
      <c r="B61" s="14">
        <v>45745</v>
      </c>
      <c r="C61" s="6" t="s">
        <v>110</v>
      </c>
      <c r="D61" s="6" t="s">
        <v>102</v>
      </c>
      <c r="E61" s="6" t="s">
        <v>106</v>
      </c>
      <c r="F61" s="6">
        <v>170.7</v>
      </c>
      <c r="G61" s="6">
        <v>179.4</v>
      </c>
      <c r="H61" s="6">
        <v>119.5</v>
      </c>
      <c r="I61" s="6">
        <v>12.3</v>
      </c>
      <c r="J61" s="6">
        <v>-1.4</v>
      </c>
      <c r="K61" s="6">
        <v>66.400000000000006</v>
      </c>
      <c r="L61" s="6">
        <v>11.3</v>
      </c>
      <c r="M61" s="6">
        <v>92.4</v>
      </c>
      <c r="N61" s="6">
        <v>1.29</v>
      </c>
      <c r="O61" s="6">
        <v>38.299999999999997</v>
      </c>
    </row>
    <row r="62" spans="1:15" x14ac:dyDescent="0.25">
      <c r="A62" s="34" t="s">
        <v>126</v>
      </c>
      <c r="B62" s="14">
        <v>45745</v>
      </c>
      <c r="C62" s="6" t="s">
        <v>110</v>
      </c>
      <c r="D62" s="6" t="s">
        <v>102</v>
      </c>
      <c r="E62" s="6" t="s">
        <v>106</v>
      </c>
      <c r="F62" s="6">
        <v>176.1</v>
      </c>
      <c r="G62" s="6">
        <v>181.6</v>
      </c>
      <c r="H62" s="6">
        <v>121.3</v>
      </c>
      <c r="I62" s="6">
        <v>18.8</v>
      </c>
      <c r="J62" s="6">
        <v>4.7</v>
      </c>
      <c r="K62" s="6">
        <v>105.3</v>
      </c>
      <c r="L62" s="6">
        <v>34.9</v>
      </c>
      <c r="M62" s="6">
        <v>92.4</v>
      </c>
      <c r="N62" s="6">
        <v>1.31</v>
      </c>
      <c r="O62" s="6">
        <v>48.4</v>
      </c>
    </row>
    <row r="63" spans="1:15" x14ac:dyDescent="0.25">
      <c r="A63" s="34" t="s">
        <v>126</v>
      </c>
      <c r="B63" s="14">
        <v>45745</v>
      </c>
      <c r="C63" s="6" t="s">
        <v>110</v>
      </c>
      <c r="D63" s="6" t="s">
        <v>102</v>
      </c>
      <c r="E63" s="6" t="s">
        <v>106</v>
      </c>
      <c r="F63" s="6">
        <v>169.6</v>
      </c>
      <c r="G63" s="6">
        <v>178.3</v>
      </c>
      <c r="H63" s="6">
        <v>117.7</v>
      </c>
      <c r="I63" s="6">
        <v>16</v>
      </c>
      <c r="J63" s="6">
        <v>1.1000000000000001</v>
      </c>
      <c r="K63" s="6">
        <v>83</v>
      </c>
      <c r="L63" s="6">
        <v>13</v>
      </c>
      <c r="M63" s="6">
        <v>89</v>
      </c>
      <c r="N63" s="6">
        <v>1.32</v>
      </c>
      <c r="O63" s="6">
        <v>43.3</v>
      </c>
    </row>
    <row r="64" spans="1:15" x14ac:dyDescent="0.25">
      <c r="A64" s="34" t="s">
        <v>126</v>
      </c>
      <c r="B64" s="14">
        <v>45745</v>
      </c>
      <c r="C64" s="6" t="s">
        <v>110</v>
      </c>
      <c r="D64" s="6" t="s">
        <v>102</v>
      </c>
      <c r="E64" s="6" t="s">
        <v>106</v>
      </c>
      <c r="F64" s="6">
        <v>186</v>
      </c>
      <c r="G64" s="6">
        <v>191.5</v>
      </c>
      <c r="H64" s="6">
        <v>126.7</v>
      </c>
      <c r="I64" s="6">
        <v>19.399999999999999</v>
      </c>
      <c r="J64" s="6">
        <v>-0.1</v>
      </c>
      <c r="K64" s="6">
        <v>119.4</v>
      </c>
      <c r="L64" s="6">
        <v>0.2</v>
      </c>
      <c r="M64" s="6">
        <v>92.4</v>
      </c>
      <c r="N64" s="6">
        <v>1.37</v>
      </c>
      <c r="O64" s="6">
        <v>50.5</v>
      </c>
    </row>
    <row r="65" spans="1:15" x14ac:dyDescent="0.25">
      <c r="A65" s="34" t="s">
        <v>126</v>
      </c>
      <c r="B65" s="14">
        <v>45745</v>
      </c>
      <c r="C65" s="6" t="s">
        <v>111</v>
      </c>
      <c r="D65" s="6" t="s">
        <v>102</v>
      </c>
      <c r="E65" s="6" t="s">
        <v>106</v>
      </c>
      <c r="F65" s="6">
        <v>168.5</v>
      </c>
      <c r="G65" s="6">
        <v>178.3</v>
      </c>
      <c r="H65" s="6">
        <v>117.1</v>
      </c>
      <c r="I65" s="6">
        <v>12.8</v>
      </c>
      <c r="J65" s="6">
        <v>3.5</v>
      </c>
      <c r="K65" s="6">
        <v>63.7</v>
      </c>
      <c r="L65" s="6">
        <v>40.700000000000003</v>
      </c>
      <c r="M65" s="6">
        <v>89</v>
      </c>
      <c r="N65" s="6">
        <v>1.32</v>
      </c>
      <c r="O65" s="6">
        <v>37.1</v>
      </c>
    </row>
    <row r="66" spans="1:15" x14ac:dyDescent="0.25">
      <c r="A66" s="34" t="s">
        <v>126</v>
      </c>
      <c r="B66" s="14">
        <v>45745</v>
      </c>
      <c r="C66" s="6" t="s">
        <v>111</v>
      </c>
      <c r="D66" s="6" t="s">
        <v>102</v>
      </c>
      <c r="E66" s="6" t="s">
        <v>106</v>
      </c>
      <c r="F66" s="6">
        <v>210</v>
      </c>
      <c r="G66" s="6">
        <v>217.7</v>
      </c>
      <c r="H66" s="6">
        <v>131.4</v>
      </c>
      <c r="I66" s="6">
        <v>17</v>
      </c>
      <c r="J66" s="6">
        <v>-0.3</v>
      </c>
      <c r="K66" s="6">
        <v>105.6</v>
      </c>
      <c r="L66" s="6">
        <v>4.9000000000000004</v>
      </c>
      <c r="M66" s="6">
        <v>93.5</v>
      </c>
      <c r="N66" s="6">
        <v>1.41</v>
      </c>
      <c r="O66" s="6">
        <v>44.4</v>
      </c>
    </row>
    <row r="67" spans="1:15" x14ac:dyDescent="0.25">
      <c r="A67" s="34" t="s">
        <v>126</v>
      </c>
      <c r="B67" s="14">
        <v>45745</v>
      </c>
      <c r="C67" s="6" t="s">
        <v>112</v>
      </c>
      <c r="D67" s="6" t="s">
        <v>102</v>
      </c>
      <c r="E67" s="6" t="s">
        <v>113</v>
      </c>
      <c r="F67" s="6">
        <v>194.7</v>
      </c>
      <c r="G67" s="6">
        <v>200.2</v>
      </c>
      <c r="H67" s="6">
        <v>128.80000000000001</v>
      </c>
      <c r="I67" s="6">
        <v>19.600000000000001</v>
      </c>
      <c r="J67" s="6">
        <v>2</v>
      </c>
      <c r="K67" s="6">
        <v>123</v>
      </c>
      <c r="L67" s="6">
        <v>37.6</v>
      </c>
      <c r="M67" s="6">
        <v>98.5</v>
      </c>
      <c r="N67" s="6">
        <v>1.31</v>
      </c>
      <c r="O67" s="6">
        <v>50</v>
      </c>
    </row>
    <row r="68" spans="1:15" x14ac:dyDescent="0.25">
      <c r="A68" s="34" t="s">
        <v>126</v>
      </c>
      <c r="B68" s="14">
        <v>45745</v>
      </c>
      <c r="C68" s="6" t="s">
        <v>112</v>
      </c>
      <c r="D68" s="6" t="s">
        <v>102</v>
      </c>
      <c r="E68" s="6" t="s">
        <v>113</v>
      </c>
      <c r="F68" s="6">
        <v>209</v>
      </c>
      <c r="G68" s="6">
        <v>214.4</v>
      </c>
      <c r="H68" s="6">
        <v>134.9</v>
      </c>
      <c r="I68" s="6">
        <v>16.3</v>
      </c>
      <c r="J68" s="6">
        <v>-6.8</v>
      </c>
      <c r="K68" s="6">
        <v>113.1</v>
      </c>
      <c r="L68" s="6">
        <v>-1.6</v>
      </c>
      <c r="M68" s="6">
        <v>94.6</v>
      </c>
      <c r="N68" s="6">
        <v>1.43</v>
      </c>
      <c r="O68" s="6">
        <v>46.8</v>
      </c>
    </row>
    <row r="69" spans="1:15" x14ac:dyDescent="0.25">
      <c r="A69" s="34" t="s">
        <v>126</v>
      </c>
      <c r="B69" s="14">
        <v>45745</v>
      </c>
      <c r="C69" s="6" t="s">
        <v>112</v>
      </c>
      <c r="D69" s="6" t="s">
        <v>102</v>
      </c>
      <c r="E69" s="6" t="s">
        <v>113</v>
      </c>
      <c r="F69" s="6">
        <v>209</v>
      </c>
      <c r="G69" s="6">
        <v>215.5</v>
      </c>
      <c r="H69" s="6">
        <v>136</v>
      </c>
      <c r="I69" s="6">
        <v>19</v>
      </c>
      <c r="J69" s="6">
        <v>-2.2999999999999998</v>
      </c>
      <c r="K69" s="6">
        <v>133.80000000000001</v>
      </c>
      <c r="L69" s="6">
        <v>23</v>
      </c>
      <c r="M69" s="6">
        <v>97.4</v>
      </c>
      <c r="N69" s="6">
        <v>1.4</v>
      </c>
      <c r="O69" s="6">
        <v>50.6</v>
      </c>
    </row>
    <row r="70" spans="1:15" x14ac:dyDescent="0.25">
      <c r="A70" s="34" t="s">
        <v>126</v>
      </c>
      <c r="B70" s="14">
        <v>45745</v>
      </c>
      <c r="C70" s="6" t="s">
        <v>112</v>
      </c>
      <c r="D70" s="6" t="s">
        <v>102</v>
      </c>
      <c r="E70" s="6" t="s">
        <v>113</v>
      </c>
      <c r="F70" s="6">
        <v>189.3</v>
      </c>
      <c r="G70" s="6">
        <v>201.3</v>
      </c>
      <c r="H70" s="6">
        <v>129.6</v>
      </c>
      <c r="I70" s="6">
        <v>10.4</v>
      </c>
      <c r="J70" s="6">
        <v>-7.8</v>
      </c>
      <c r="K70" s="6">
        <v>67.599999999999994</v>
      </c>
      <c r="L70" s="6">
        <v>0.1</v>
      </c>
      <c r="M70" s="6">
        <v>96.2</v>
      </c>
      <c r="N70" s="6">
        <v>1.35</v>
      </c>
      <c r="O70" s="6">
        <v>36.799999999999997</v>
      </c>
    </row>
    <row r="71" spans="1:15" x14ac:dyDescent="0.25">
      <c r="A71" s="34" t="s">
        <v>126</v>
      </c>
      <c r="B71" s="14">
        <v>45745</v>
      </c>
      <c r="C71" s="6" t="s">
        <v>112</v>
      </c>
      <c r="D71" s="6" t="s">
        <v>102</v>
      </c>
      <c r="E71" s="6" t="s">
        <v>113</v>
      </c>
      <c r="F71" s="6">
        <v>179.4</v>
      </c>
      <c r="G71" s="6">
        <v>200.2</v>
      </c>
      <c r="H71" s="6">
        <v>132.5</v>
      </c>
      <c r="I71" s="6">
        <v>5.5</v>
      </c>
      <c r="J71" s="6">
        <v>-6.4</v>
      </c>
      <c r="K71" s="6">
        <v>40.200000000000003</v>
      </c>
      <c r="L71" s="6">
        <v>0.4</v>
      </c>
      <c r="M71" s="6">
        <v>94.6</v>
      </c>
      <c r="N71" s="6">
        <v>1.4</v>
      </c>
      <c r="O71" s="6">
        <v>26.5</v>
      </c>
    </row>
    <row r="72" spans="1:15" x14ac:dyDescent="0.25">
      <c r="A72" s="34" t="s">
        <v>126</v>
      </c>
      <c r="B72" s="14">
        <v>45745</v>
      </c>
      <c r="C72" s="6" t="s">
        <v>114</v>
      </c>
      <c r="D72" s="6" t="s">
        <v>102</v>
      </c>
      <c r="E72" s="6" t="s">
        <v>115</v>
      </c>
      <c r="F72" s="6">
        <v>221</v>
      </c>
      <c r="G72" s="6">
        <v>227.6</v>
      </c>
      <c r="H72" s="6">
        <v>138.69999999999999</v>
      </c>
      <c r="I72" s="6">
        <v>17.2</v>
      </c>
      <c r="J72" s="6">
        <v>-2.2000000000000002</v>
      </c>
      <c r="K72" s="6">
        <v>122.8</v>
      </c>
      <c r="L72" s="6">
        <v>39.200000000000003</v>
      </c>
      <c r="M72" s="6">
        <v>96.8</v>
      </c>
      <c r="N72" s="6">
        <v>1.43</v>
      </c>
      <c r="O72" s="6">
        <v>47.5</v>
      </c>
    </row>
    <row r="73" spans="1:15" x14ac:dyDescent="0.25">
      <c r="A73" s="34" t="s">
        <v>126</v>
      </c>
      <c r="B73" s="14">
        <v>45745</v>
      </c>
      <c r="C73" s="6" t="s">
        <v>114</v>
      </c>
      <c r="D73" s="6" t="s">
        <v>102</v>
      </c>
      <c r="E73" s="6" t="s">
        <v>115</v>
      </c>
      <c r="F73" s="6">
        <v>234.1</v>
      </c>
      <c r="G73" s="6">
        <v>242.9</v>
      </c>
      <c r="H73" s="6">
        <v>145</v>
      </c>
      <c r="I73" s="6">
        <v>14.9</v>
      </c>
      <c r="J73" s="6">
        <v>-4</v>
      </c>
      <c r="K73" s="6">
        <v>116.2</v>
      </c>
      <c r="L73" s="6">
        <v>14.1</v>
      </c>
      <c r="M73" s="6">
        <v>99</v>
      </c>
      <c r="N73" s="6">
        <v>1.46</v>
      </c>
      <c r="O73" s="6">
        <v>45.2</v>
      </c>
    </row>
    <row r="74" spans="1:15" x14ac:dyDescent="0.25">
      <c r="A74" s="34" t="s">
        <v>126</v>
      </c>
      <c r="B74" s="14">
        <v>45745</v>
      </c>
      <c r="C74" s="6" t="s">
        <v>114</v>
      </c>
      <c r="D74" s="6" t="s">
        <v>102</v>
      </c>
      <c r="E74" s="6" t="s">
        <v>115</v>
      </c>
      <c r="F74" s="6">
        <v>206.8</v>
      </c>
      <c r="G74" s="6">
        <v>218.8</v>
      </c>
      <c r="H74" s="6">
        <v>135.5</v>
      </c>
      <c r="I74" s="6">
        <v>10.7</v>
      </c>
      <c r="J74" s="6">
        <v>-7</v>
      </c>
      <c r="K74" s="6">
        <v>73.7</v>
      </c>
      <c r="L74" s="6">
        <v>23.8</v>
      </c>
      <c r="M74" s="6">
        <v>96.8</v>
      </c>
      <c r="N74" s="6">
        <v>1.4</v>
      </c>
      <c r="O74" s="6">
        <v>36.700000000000003</v>
      </c>
    </row>
    <row r="75" spans="1:15" x14ac:dyDescent="0.25">
      <c r="A75" s="34" t="s">
        <v>126</v>
      </c>
      <c r="B75" s="14">
        <v>45745</v>
      </c>
      <c r="C75" s="6" t="s">
        <v>114</v>
      </c>
      <c r="D75" s="6" t="s">
        <v>102</v>
      </c>
      <c r="E75" s="6" t="s">
        <v>115</v>
      </c>
      <c r="F75" s="6">
        <v>223.2</v>
      </c>
      <c r="G75" s="6">
        <v>234.1</v>
      </c>
      <c r="H75" s="6">
        <v>140.9</v>
      </c>
      <c r="I75" s="6">
        <v>13.2</v>
      </c>
      <c r="J75" s="6">
        <v>-7.2</v>
      </c>
      <c r="K75" s="6">
        <v>98.2</v>
      </c>
      <c r="L75" s="6">
        <v>3.9</v>
      </c>
      <c r="M75" s="6">
        <v>97.4</v>
      </c>
      <c r="N75" s="6">
        <v>1.45</v>
      </c>
      <c r="O75" s="6">
        <v>42.1</v>
      </c>
    </row>
    <row r="76" spans="1:15" x14ac:dyDescent="0.25">
      <c r="A76" s="34" t="s">
        <v>126</v>
      </c>
      <c r="B76" s="14">
        <v>45745</v>
      </c>
      <c r="C76" s="6" t="s">
        <v>116</v>
      </c>
      <c r="D76" s="6" t="s">
        <v>102</v>
      </c>
      <c r="E76" s="6" t="s">
        <v>115</v>
      </c>
      <c r="F76" s="6">
        <v>248.3</v>
      </c>
      <c r="G76" s="6">
        <v>258.2</v>
      </c>
      <c r="H76" s="6">
        <v>150</v>
      </c>
      <c r="I76" s="6">
        <v>12.6</v>
      </c>
      <c r="J76" s="6">
        <v>-2.7</v>
      </c>
      <c r="K76" s="6">
        <v>98.6</v>
      </c>
      <c r="L76" s="6">
        <v>42.6</v>
      </c>
      <c r="M76" s="6">
        <v>106.8</v>
      </c>
      <c r="N76" s="6">
        <v>1.4</v>
      </c>
      <c r="O76" s="6">
        <v>39.700000000000003</v>
      </c>
    </row>
    <row r="77" spans="1:15" x14ac:dyDescent="0.25">
      <c r="A77" s="34" t="s">
        <v>126</v>
      </c>
      <c r="B77" s="14">
        <v>45745</v>
      </c>
      <c r="C77" s="6" t="s">
        <v>116</v>
      </c>
      <c r="D77" s="6" t="s">
        <v>102</v>
      </c>
      <c r="E77" s="6" t="s">
        <v>115</v>
      </c>
      <c r="F77" s="6">
        <v>247.2</v>
      </c>
      <c r="G77" s="6">
        <v>270.2</v>
      </c>
      <c r="H77" s="6">
        <v>156.6</v>
      </c>
      <c r="I77" s="6">
        <v>8.4</v>
      </c>
      <c r="J77" s="6">
        <v>-3.6</v>
      </c>
      <c r="K77" s="6">
        <v>71.7</v>
      </c>
      <c r="L77" s="6">
        <v>-13.2</v>
      </c>
      <c r="M77" s="6">
        <v>107.2</v>
      </c>
      <c r="N77" s="6">
        <v>1.46</v>
      </c>
      <c r="O77" s="6">
        <v>32.200000000000003</v>
      </c>
    </row>
    <row r="78" spans="1:15" x14ac:dyDescent="0.25">
      <c r="A78" s="34" t="s">
        <v>126</v>
      </c>
      <c r="B78" s="14">
        <v>45745</v>
      </c>
      <c r="C78" s="6" t="s">
        <v>116</v>
      </c>
      <c r="D78" s="6" t="s">
        <v>102</v>
      </c>
      <c r="E78" s="6" t="s">
        <v>115</v>
      </c>
      <c r="F78" s="6">
        <v>227.6</v>
      </c>
      <c r="G78" s="6">
        <v>237.4</v>
      </c>
      <c r="H78" s="6">
        <v>141.1</v>
      </c>
      <c r="I78" s="6">
        <v>14.3</v>
      </c>
      <c r="J78" s="6">
        <v>-5.0999999999999996</v>
      </c>
      <c r="K78" s="6">
        <v>102.7</v>
      </c>
      <c r="L78" s="6">
        <v>-0.1</v>
      </c>
      <c r="M78" s="6">
        <v>105.7</v>
      </c>
      <c r="N78" s="6">
        <v>1.33</v>
      </c>
      <c r="O78" s="6">
        <v>42.5</v>
      </c>
    </row>
    <row r="79" spans="1:15" x14ac:dyDescent="0.25">
      <c r="A79" s="34" t="s">
        <v>126</v>
      </c>
      <c r="B79" s="14">
        <v>45745</v>
      </c>
      <c r="C79" s="6" t="s">
        <v>116</v>
      </c>
      <c r="D79" s="6" t="s">
        <v>102</v>
      </c>
      <c r="E79" s="6" t="s">
        <v>115</v>
      </c>
      <c r="F79" s="6">
        <v>252.7</v>
      </c>
      <c r="G79" s="6">
        <v>262.60000000000002</v>
      </c>
      <c r="H79" s="6">
        <v>152.1</v>
      </c>
      <c r="I79" s="6">
        <v>13.1</v>
      </c>
      <c r="J79" s="6">
        <v>0.3</v>
      </c>
      <c r="K79" s="6">
        <v>104.9</v>
      </c>
      <c r="L79" s="6">
        <v>56.1</v>
      </c>
      <c r="M79" s="6">
        <v>107.3</v>
      </c>
      <c r="N79" s="6">
        <v>1.42</v>
      </c>
      <c r="O79" s="6">
        <v>40.799999999999997</v>
      </c>
    </row>
    <row r="80" spans="1:15" x14ac:dyDescent="0.25">
      <c r="A80" s="34" t="s">
        <v>126</v>
      </c>
      <c r="B80" s="14">
        <v>45745</v>
      </c>
      <c r="C80" s="6" t="s">
        <v>116</v>
      </c>
      <c r="D80" s="6" t="s">
        <v>102</v>
      </c>
      <c r="E80" s="6" t="s">
        <v>115</v>
      </c>
      <c r="F80" s="6">
        <v>240.7</v>
      </c>
      <c r="G80" s="6">
        <v>248.3</v>
      </c>
      <c r="H80" s="6">
        <v>146.69999999999999</v>
      </c>
      <c r="I80" s="6">
        <v>15.9</v>
      </c>
      <c r="J80" s="6">
        <v>1.8</v>
      </c>
      <c r="K80" s="6">
        <v>123.5</v>
      </c>
      <c r="L80" s="6">
        <v>53.8</v>
      </c>
      <c r="M80" s="6">
        <v>106.8</v>
      </c>
      <c r="N80" s="6">
        <v>1.37</v>
      </c>
      <c r="O80" s="6">
        <v>45.8</v>
      </c>
    </row>
    <row r="81" spans="1:15" x14ac:dyDescent="0.25">
      <c r="A81" s="34" t="s">
        <v>126</v>
      </c>
      <c r="B81" s="14">
        <v>45745</v>
      </c>
      <c r="C81" s="6" t="s">
        <v>116</v>
      </c>
      <c r="D81" s="6" t="s">
        <v>102</v>
      </c>
      <c r="E81" s="6" t="s">
        <v>115</v>
      </c>
      <c r="F81" s="6">
        <v>236.3</v>
      </c>
      <c r="G81" s="6">
        <v>249.4</v>
      </c>
      <c r="H81" s="6">
        <v>149.4</v>
      </c>
      <c r="I81" s="6">
        <v>8.6999999999999993</v>
      </c>
      <c r="J81" s="6">
        <v>-6.4</v>
      </c>
      <c r="K81" s="6">
        <v>70.900000000000006</v>
      </c>
      <c r="L81" s="6">
        <v>8.9</v>
      </c>
      <c r="M81" s="6">
        <v>107.3</v>
      </c>
      <c r="N81" s="6">
        <v>1.39</v>
      </c>
      <c r="O81" s="6">
        <v>33.299999999999997</v>
      </c>
    </row>
    <row r="82" spans="1:15" x14ac:dyDescent="0.25">
      <c r="A82" s="34" t="s">
        <v>126</v>
      </c>
      <c r="B82" s="14">
        <v>45745</v>
      </c>
      <c r="C82" s="6" t="s">
        <v>116</v>
      </c>
      <c r="D82" s="6" t="s">
        <v>102</v>
      </c>
      <c r="E82" s="6" t="s">
        <v>115</v>
      </c>
      <c r="F82" s="6">
        <v>249.4</v>
      </c>
      <c r="G82" s="6">
        <v>260.39999999999998</v>
      </c>
      <c r="H82" s="6">
        <v>150.80000000000001</v>
      </c>
      <c r="I82" s="6">
        <v>12.4</v>
      </c>
      <c r="J82" s="6">
        <v>-3.5</v>
      </c>
      <c r="K82" s="6">
        <v>96.9</v>
      </c>
      <c r="L82" s="6">
        <v>39.799999999999997</v>
      </c>
      <c r="M82" s="6">
        <v>106.2</v>
      </c>
      <c r="N82" s="6">
        <v>1.42</v>
      </c>
      <c r="O82" s="6">
        <v>39.1</v>
      </c>
    </row>
    <row r="83" spans="1:15" x14ac:dyDescent="0.25">
      <c r="A83" s="34" t="s">
        <v>126</v>
      </c>
      <c r="B83" s="14">
        <v>45745</v>
      </c>
      <c r="C83" s="6" t="s">
        <v>116</v>
      </c>
      <c r="D83" s="6" t="s">
        <v>102</v>
      </c>
      <c r="E83" s="6" t="s">
        <v>115</v>
      </c>
      <c r="F83" s="6">
        <v>250.5</v>
      </c>
      <c r="G83" s="6">
        <v>260.39999999999998</v>
      </c>
      <c r="H83" s="6">
        <v>151.5</v>
      </c>
      <c r="I83" s="6">
        <v>12.7</v>
      </c>
      <c r="J83" s="6">
        <v>1.6</v>
      </c>
      <c r="K83" s="6">
        <v>101.8</v>
      </c>
      <c r="L83" s="6">
        <v>55.1</v>
      </c>
      <c r="M83" s="6">
        <v>107.3</v>
      </c>
      <c r="N83" s="6">
        <v>1.41</v>
      </c>
      <c r="O83" s="6">
        <v>40.299999999999997</v>
      </c>
    </row>
    <row r="84" spans="1:15" x14ac:dyDescent="0.25">
      <c r="A84" s="34" t="s">
        <v>126</v>
      </c>
      <c r="B84" s="14">
        <v>45745</v>
      </c>
      <c r="C84" s="6" t="s">
        <v>116</v>
      </c>
      <c r="D84" s="6" t="s">
        <v>102</v>
      </c>
      <c r="E84" s="6" t="s">
        <v>115</v>
      </c>
      <c r="F84" s="6">
        <v>242.9</v>
      </c>
      <c r="G84" s="6">
        <v>253.8</v>
      </c>
      <c r="H84" s="6">
        <v>148</v>
      </c>
      <c r="I84" s="6">
        <v>13.4</v>
      </c>
      <c r="J84" s="6">
        <v>-3.1</v>
      </c>
      <c r="K84" s="6">
        <v>102.2</v>
      </c>
      <c r="L84" s="6">
        <v>-10.6</v>
      </c>
      <c r="M84" s="6">
        <v>106.8</v>
      </c>
      <c r="N84" s="6">
        <v>1.39</v>
      </c>
      <c r="O84" s="6">
        <v>40.799999999999997</v>
      </c>
    </row>
    <row r="85" spans="1:15" x14ac:dyDescent="0.25">
      <c r="A85" s="34" t="s">
        <v>126</v>
      </c>
      <c r="B85" s="14">
        <v>45745</v>
      </c>
      <c r="C85" s="6" t="s">
        <v>116</v>
      </c>
      <c r="D85" s="6" t="s">
        <v>102</v>
      </c>
      <c r="E85" s="6" t="s">
        <v>115</v>
      </c>
      <c r="F85" s="6">
        <v>240.7</v>
      </c>
      <c r="G85" s="6">
        <v>250.5</v>
      </c>
      <c r="H85" s="6">
        <v>146.1</v>
      </c>
      <c r="I85" s="6">
        <v>13.7</v>
      </c>
      <c r="J85" s="6">
        <v>-2.2999999999999998</v>
      </c>
      <c r="K85" s="6">
        <v>101.2</v>
      </c>
      <c r="L85" s="6">
        <v>44.8</v>
      </c>
      <c r="M85" s="6">
        <v>104.6</v>
      </c>
      <c r="N85" s="6">
        <v>1.4</v>
      </c>
      <c r="O85" s="6">
        <v>40.700000000000003</v>
      </c>
    </row>
    <row r="86" spans="1:15" x14ac:dyDescent="0.25">
      <c r="A86" s="34" t="s">
        <v>126</v>
      </c>
      <c r="B86" s="14">
        <v>45745</v>
      </c>
      <c r="C86" s="6" t="s">
        <v>116</v>
      </c>
      <c r="D86" s="6" t="s">
        <v>102</v>
      </c>
      <c r="E86" s="6" t="s">
        <v>115</v>
      </c>
      <c r="F86" s="6">
        <v>248.3</v>
      </c>
      <c r="G86" s="6">
        <v>265.8</v>
      </c>
      <c r="H86" s="6">
        <v>150.80000000000001</v>
      </c>
      <c r="I86" s="6">
        <v>12.9</v>
      </c>
      <c r="J86" s="6">
        <v>-1</v>
      </c>
      <c r="K86" s="6">
        <v>101.9</v>
      </c>
      <c r="L86" s="6">
        <v>52.5</v>
      </c>
      <c r="M86" s="6">
        <v>106.8</v>
      </c>
      <c r="N86" s="6">
        <v>1.41</v>
      </c>
      <c r="O86" s="6">
        <v>40.299999999999997</v>
      </c>
    </row>
    <row r="87" spans="1:15" x14ac:dyDescent="0.25">
      <c r="A87" s="34" t="s">
        <v>126</v>
      </c>
      <c r="B87" s="14">
        <v>45745</v>
      </c>
      <c r="C87" s="6" t="s">
        <v>116</v>
      </c>
      <c r="D87" s="6" t="s">
        <v>102</v>
      </c>
      <c r="E87" s="6" t="s">
        <v>115</v>
      </c>
      <c r="F87" s="6">
        <v>225.4</v>
      </c>
      <c r="G87" s="6">
        <v>237.4</v>
      </c>
      <c r="H87" s="6">
        <v>145.30000000000001</v>
      </c>
      <c r="I87" s="6">
        <v>9</v>
      </c>
      <c r="J87" s="6">
        <v>-11.3</v>
      </c>
      <c r="K87" s="6">
        <v>68.5</v>
      </c>
      <c r="L87" s="6">
        <v>-8.4</v>
      </c>
      <c r="M87" s="6">
        <v>104.6</v>
      </c>
      <c r="N87" s="6">
        <v>1.39</v>
      </c>
      <c r="O87" s="6">
        <v>33</v>
      </c>
    </row>
    <row r="88" spans="1:15" x14ac:dyDescent="0.25">
      <c r="A88" s="34" t="s">
        <v>126</v>
      </c>
      <c r="B88" s="2">
        <v>45765</v>
      </c>
      <c r="C88" t="s">
        <v>97</v>
      </c>
      <c r="D88" t="s">
        <v>98</v>
      </c>
      <c r="E88" t="s">
        <v>99</v>
      </c>
      <c r="F88">
        <v>72.2</v>
      </c>
      <c r="G88">
        <v>78.8</v>
      </c>
      <c r="H88">
        <v>65.3</v>
      </c>
      <c r="I88">
        <v>34.799999999999997</v>
      </c>
      <c r="J88">
        <v>-4.5999999999999996</v>
      </c>
      <c r="K88">
        <v>52.9</v>
      </c>
      <c r="L88">
        <v>-9.8000000000000007</v>
      </c>
      <c r="M88">
        <v>72.900000000000006</v>
      </c>
      <c r="N88">
        <v>0.89</v>
      </c>
      <c r="O88">
        <v>47.3</v>
      </c>
    </row>
    <row r="89" spans="1:15" x14ac:dyDescent="0.25">
      <c r="A89" s="34" t="s">
        <v>126</v>
      </c>
      <c r="B89" s="2">
        <v>45765</v>
      </c>
      <c r="C89" t="s">
        <v>97</v>
      </c>
      <c r="D89" t="s">
        <v>98</v>
      </c>
      <c r="E89" t="s">
        <v>99</v>
      </c>
      <c r="F89">
        <v>84.2</v>
      </c>
      <c r="G89">
        <v>91.9</v>
      </c>
      <c r="H89">
        <v>72.2</v>
      </c>
      <c r="I89">
        <v>27.3</v>
      </c>
      <c r="J89">
        <v>-1.1000000000000001</v>
      </c>
      <c r="K89">
        <v>47.8</v>
      </c>
      <c r="L89">
        <v>-2.2000000000000002</v>
      </c>
      <c r="M89">
        <v>76.2</v>
      </c>
      <c r="N89">
        <v>0.95</v>
      </c>
      <c r="O89">
        <v>41.8</v>
      </c>
    </row>
    <row r="90" spans="1:15" x14ac:dyDescent="0.25">
      <c r="A90" s="34" t="s">
        <v>126</v>
      </c>
      <c r="B90" s="2">
        <v>45765</v>
      </c>
      <c r="C90" t="s">
        <v>97</v>
      </c>
      <c r="D90" t="s">
        <v>98</v>
      </c>
      <c r="E90" t="s">
        <v>99</v>
      </c>
      <c r="F90">
        <v>65.599999999999994</v>
      </c>
      <c r="G90">
        <v>72.2</v>
      </c>
      <c r="H90">
        <v>62.1</v>
      </c>
      <c r="I90">
        <v>42.1</v>
      </c>
      <c r="J90">
        <v>-4.7</v>
      </c>
      <c r="K90">
        <v>61</v>
      </c>
      <c r="L90">
        <v>-9.5</v>
      </c>
      <c r="M90">
        <v>69.599999999999994</v>
      </c>
      <c r="N90">
        <v>0.89</v>
      </c>
      <c r="O90">
        <v>53.1</v>
      </c>
    </row>
    <row r="91" spans="1:15" x14ac:dyDescent="0.25">
      <c r="A91" s="34" t="s">
        <v>126</v>
      </c>
      <c r="B91" s="2">
        <v>45765</v>
      </c>
      <c r="C91" t="s">
        <v>97</v>
      </c>
      <c r="D91" t="s">
        <v>98</v>
      </c>
      <c r="E91" t="s">
        <v>99</v>
      </c>
      <c r="F91">
        <v>79.900000000000006</v>
      </c>
      <c r="G91">
        <v>83.1</v>
      </c>
      <c r="H91">
        <v>70</v>
      </c>
      <c r="I91">
        <v>40.299999999999997</v>
      </c>
      <c r="J91">
        <v>-8.4</v>
      </c>
      <c r="K91">
        <v>73.7</v>
      </c>
      <c r="L91">
        <v>-16.600000000000001</v>
      </c>
      <c r="M91">
        <v>74</v>
      </c>
      <c r="N91">
        <v>0.95</v>
      </c>
      <c r="O91">
        <v>54.1</v>
      </c>
    </row>
    <row r="92" spans="1:15" x14ac:dyDescent="0.25">
      <c r="A92" s="34" t="s">
        <v>126</v>
      </c>
      <c r="B92" s="2">
        <v>45765</v>
      </c>
      <c r="C92" t="s">
        <v>97</v>
      </c>
      <c r="D92" t="s">
        <v>98</v>
      </c>
      <c r="E92" t="s">
        <v>99</v>
      </c>
      <c r="F92">
        <v>60.2</v>
      </c>
      <c r="G92">
        <v>62.4</v>
      </c>
      <c r="H92">
        <v>63</v>
      </c>
      <c r="I92">
        <v>52.8</v>
      </c>
      <c r="J92">
        <v>-0.8</v>
      </c>
      <c r="K92">
        <v>81.2</v>
      </c>
      <c r="L92">
        <v>-0.4</v>
      </c>
      <c r="M92">
        <v>74.599999999999994</v>
      </c>
      <c r="N92">
        <v>0.85</v>
      </c>
      <c r="O92">
        <v>64.400000000000006</v>
      </c>
    </row>
    <row r="93" spans="1:15" x14ac:dyDescent="0.25">
      <c r="A93" s="34" t="s">
        <v>126</v>
      </c>
      <c r="B93" s="2">
        <v>45765</v>
      </c>
      <c r="C93" t="s">
        <v>117</v>
      </c>
      <c r="D93" t="s">
        <v>118</v>
      </c>
      <c r="E93" t="s">
        <v>119</v>
      </c>
      <c r="F93">
        <v>5.5</v>
      </c>
      <c r="G93">
        <v>50.3</v>
      </c>
      <c r="H93">
        <v>46.7</v>
      </c>
      <c r="I93">
        <v>3</v>
      </c>
      <c r="J93">
        <v>2.5</v>
      </c>
      <c r="K93">
        <v>0.3</v>
      </c>
      <c r="L93">
        <v>0.2</v>
      </c>
      <c r="M93">
        <v>33.799999999999997</v>
      </c>
      <c r="N93">
        <v>1.38</v>
      </c>
      <c r="O93">
        <v>3.1</v>
      </c>
    </row>
    <row r="94" spans="1:15" x14ac:dyDescent="0.25">
      <c r="A94" s="34" t="s">
        <v>126</v>
      </c>
      <c r="B94" s="2">
        <v>45765</v>
      </c>
      <c r="C94" t="s">
        <v>117</v>
      </c>
      <c r="D94" t="s">
        <v>118</v>
      </c>
      <c r="E94" t="s">
        <v>119</v>
      </c>
      <c r="F94">
        <v>24.1</v>
      </c>
      <c r="G94">
        <v>33.9</v>
      </c>
      <c r="H94">
        <v>37.299999999999997</v>
      </c>
      <c r="I94">
        <v>24.1</v>
      </c>
      <c r="J94">
        <v>3.8</v>
      </c>
      <c r="K94">
        <v>8.6</v>
      </c>
      <c r="L94">
        <v>1.6</v>
      </c>
      <c r="M94">
        <v>24.6</v>
      </c>
      <c r="N94">
        <v>1.52</v>
      </c>
      <c r="O94">
        <v>26.4</v>
      </c>
    </row>
    <row r="95" spans="1:15" x14ac:dyDescent="0.25">
      <c r="A95" s="34" t="s">
        <v>126</v>
      </c>
      <c r="B95" s="2">
        <v>45765</v>
      </c>
      <c r="C95" t="s">
        <v>117</v>
      </c>
      <c r="D95" t="s">
        <v>118</v>
      </c>
      <c r="E95" t="s">
        <v>119</v>
      </c>
      <c r="F95">
        <v>15.3</v>
      </c>
      <c r="G95">
        <v>30.6</v>
      </c>
      <c r="H95">
        <v>35.9</v>
      </c>
      <c r="I95">
        <v>16.100000000000001</v>
      </c>
      <c r="J95">
        <v>0.7</v>
      </c>
      <c r="K95">
        <v>3.7</v>
      </c>
      <c r="L95">
        <v>0.2</v>
      </c>
      <c r="M95">
        <v>36.200000000000003</v>
      </c>
      <c r="N95">
        <v>0.99</v>
      </c>
      <c r="O95">
        <v>17.2</v>
      </c>
    </row>
    <row r="96" spans="1:15" x14ac:dyDescent="0.25">
      <c r="A96" s="34" t="s">
        <v>126</v>
      </c>
      <c r="B96" s="2">
        <v>45765</v>
      </c>
      <c r="C96" t="s">
        <v>117</v>
      </c>
      <c r="D96" t="s">
        <v>118</v>
      </c>
      <c r="E96" t="s">
        <v>119</v>
      </c>
      <c r="F96">
        <v>13.1</v>
      </c>
      <c r="G96">
        <v>40.5</v>
      </c>
      <c r="H96">
        <v>46.2</v>
      </c>
      <c r="I96">
        <v>6.9</v>
      </c>
      <c r="J96">
        <v>8.6</v>
      </c>
      <c r="K96">
        <v>1.4</v>
      </c>
      <c r="L96">
        <v>1.4</v>
      </c>
      <c r="M96">
        <v>36.299999999999997</v>
      </c>
      <c r="N96">
        <v>1.27</v>
      </c>
      <c r="O96">
        <v>7.5</v>
      </c>
    </row>
    <row r="97" spans="1:15" x14ac:dyDescent="0.25">
      <c r="A97" s="34" t="s">
        <v>126</v>
      </c>
      <c r="B97" s="2">
        <v>45765</v>
      </c>
      <c r="C97" t="s">
        <v>117</v>
      </c>
      <c r="D97" t="s">
        <v>118</v>
      </c>
      <c r="E97" t="s">
        <v>119</v>
      </c>
      <c r="F97">
        <v>26.3</v>
      </c>
      <c r="G97">
        <v>35</v>
      </c>
      <c r="H97">
        <v>37.9</v>
      </c>
      <c r="I97">
        <v>27.4</v>
      </c>
      <c r="J97">
        <v>16</v>
      </c>
      <c r="K97">
        <v>11.1</v>
      </c>
      <c r="L97">
        <v>6.7</v>
      </c>
      <c r="M97">
        <v>36.6</v>
      </c>
      <c r="N97">
        <v>1.04</v>
      </c>
      <c r="O97">
        <v>30.3</v>
      </c>
    </row>
    <row r="98" spans="1:15" x14ac:dyDescent="0.25">
      <c r="A98" s="34" t="s">
        <v>126</v>
      </c>
      <c r="B98" s="2">
        <v>45765</v>
      </c>
      <c r="C98" t="s">
        <v>117</v>
      </c>
      <c r="D98" t="s">
        <v>118</v>
      </c>
      <c r="E98" t="s">
        <v>119</v>
      </c>
      <c r="F98">
        <v>13.1</v>
      </c>
      <c r="G98">
        <v>45.9</v>
      </c>
      <c r="H98">
        <v>53.4</v>
      </c>
      <c r="I98">
        <v>4.4000000000000004</v>
      </c>
      <c r="J98">
        <v>-4.4000000000000004</v>
      </c>
      <c r="K98">
        <v>0.8</v>
      </c>
      <c r="L98">
        <v>-0.9</v>
      </c>
      <c r="M98">
        <v>38.6</v>
      </c>
      <c r="N98">
        <v>1.38</v>
      </c>
      <c r="O98">
        <v>4.7</v>
      </c>
    </row>
    <row r="99" spans="1:15" x14ac:dyDescent="0.25">
      <c r="A99" s="34" t="s">
        <v>126</v>
      </c>
      <c r="B99" s="2">
        <v>45765</v>
      </c>
      <c r="C99" t="s">
        <v>117</v>
      </c>
      <c r="D99" t="s">
        <v>118</v>
      </c>
      <c r="E99" t="s">
        <v>119</v>
      </c>
      <c r="F99">
        <v>19.7</v>
      </c>
      <c r="G99">
        <v>41.6</v>
      </c>
      <c r="H99">
        <v>43.3</v>
      </c>
      <c r="I99">
        <v>15.9</v>
      </c>
      <c r="J99">
        <v>4.9000000000000004</v>
      </c>
      <c r="K99">
        <v>5.6</v>
      </c>
      <c r="L99">
        <v>2.2000000000000002</v>
      </c>
      <c r="M99">
        <v>38.200000000000003</v>
      </c>
      <c r="N99">
        <v>1.1299999999999999</v>
      </c>
      <c r="O99">
        <v>17.8</v>
      </c>
    </row>
    <row r="100" spans="1:15" x14ac:dyDescent="0.25">
      <c r="A100" s="34" t="s">
        <v>126</v>
      </c>
      <c r="B100" s="2">
        <v>45765</v>
      </c>
      <c r="C100" t="s">
        <v>117</v>
      </c>
      <c r="D100" t="s">
        <v>118</v>
      </c>
      <c r="E100" t="s">
        <v>119</v>
      </c>
      <c r="F100">
        <v>21.9</v>
      </c>
      <c r="G100">
        <v>36.1</v>
      </c>
      <c r="H100">
        <v>39.5</v>
      </c>
      <c r="I100">
        <v>20</v>
      </c>
      <c r="J100">
        <v>-13.4</v>
      </c>
      <c r="K100">
        <v>7</v>
      </c>
      <c r="L100">
        <v>-5.5</v>
      </c>
      <c r="M100">
        <v>21.1</v>
      </c>
      <c r="N100">
        <v>1.87</v>
      </c>
      <c r="O100">
        <v>22.1</v>
      </c>
    </row>
    <row r="101" spans="1:15" x14ac:dyDescent="0.25">
      <c r="A101" s="34" t="s">
        <v>126</v>
      </c>
      <c r="B101" s="2">
        <v>45765</v>
      </c>
      <c r="C101" t="s">
        <v>117</v>
      </c>
      <c r="D101" t="s">
        <v>118</v>
      </c>
      <c r="E101" t="s">
        <v>119</v>
      </c>
      <c r="F101">
        <v>20.8</v>
      </c>
      <c r="G101">
        <v>37.200000000000003</v>
      </c>
      <c r="H101">
        <v>38.700000000000003</v>
      </c>
      <c r="I101">
        <v>22.6</v>
      </c>
      <c r="J101">
        <v>-3</v>
      </c>
      <c r="K101">
        <v>8.3000000000000007</v>
      </c>
      <c r="L101">
        <v>-1</v>
      </c>
      <c r="M101">
        <v>30.2</v>
      </c>
      <c r="N101">
        <v>1.28</v>
      </c>
      <c r="O101">
        <v>24.9</v>
      </c>
    </row>
    <row r="102" spans="1:15" x14ac:dyDescent="0.25">
      <c r="A102" s="34" t="s">
        <v>126</v>
      </c>
      <c r="B102" s="2">
        <v>45765</v>
      </c>
      <c r="C102" t="s">
        <v>117</v>
      </c>
      <c r="D102" t="s">
        <v>118</v>
      </c>
      <c r="E102" t="s">
        <v>119</v>
      </c>
      <c r="F102">
        <v>20.8</v>
      </c>
      <c r="G102">
        <v>33.9</v>
      </c>
      <c r="H102">
        <v>37.700000000000003</v>
      </c>
      <c r="I102">
        <v>18.399999999999999</v>
      </c>
      <c r="J102">
        <v>-1.7</v>
      </c>
      <c r="K102">
        <v>5.4</v>
      </c>
      <c r="L102">
        <v>-0.5</v>
      </c>
      <c r="M102">
        <v>12.6</v>
      </c>
      <c r="N102">
        <v>3</v>
      </c>
      <c r="O102">
        <v>20</v>
      </c>
    </row>
    <row r="103" spans="1:15" x14ac:dyDescent="0.25">
      <c r="A103" s="34" t="s">
        <v>126</v>
      </c>
      <c r="B103" s="2">
        <v>45765</v>
      </c>
      <c r="C103" t="s">
        <v>117</v>
      </c>
      <c r="D103" t="s">
        <v>118</v>
      </c>
      <c r="E103" t="s">
        <v>119</v>
      </c>
      <c r="F103">
        <v>29.5</v>
      </c>
      <c r="G103">
        <v>42.7</v>
      </c>
      <c r="H103">
        <v>44</v>
      </c>
      <c r="I103">
        <v>20.7</v>
      </c>
      <c r="J103">
        <v>-4.7</v>
      </c>
      <c r="K103">
        <v>9.4</v>
      </c>
      <c r="L103">
        <v>-1.8</v>
      </c>
      <c r="M103">
        <v>35.1</v>
      </c>
      <c r="N103">
        <v>1.25</v>
      </c>
      <c r="O103">
        <v>23.6</v>
      </c>
    </row>
    <row r="104" spans="1:15" x14ac:dyDescent="0.25">
      <c r="A104" s="34" t="s">
        <v>126</v>
      </c>
      <c r="B104" s="2">
        <v>45765</v>
      </c>
      <c r="C104" t="s">
        <v>117</v>
      </c>
      <c r="D104" t="s">
        <v>118</v>
      </c>
      <c r="E104" t="s">
        <v>119</v>
      </c>
      <c r="F104">
        <v>23</v>
      </c>
      <c r="G104">
        <v>47</v>
      </c>
      <c r="H104">
        <v>47.6</v>
      </c>
      <c r="I104">
        <v>13</v>
      </c>
      <c r="J104">
        <v>3.2</v>
      </c>
      <c r="K104">
        <v>4.9000000000000004</v>
      </c>
      <c r="L104">
        <v>2.2000000000000002</v>
      </c>
      <c r="M104">
        <v>44.8</v>
      </c>
      <c r="N104">
        <v>1.06</v>
      </c>
      <c r="O104">
        <v>14.9</v>
      </c>
    </row>
    <row r="105" spans="1:15" x14ac:dyDescent="0.25">
      <c r="A105" s="34" t="s">
        <v>126</v>
      </c>
      <c r="B105" s="2">
        <v>45765</v>
      </c>
      <c r="C105" t="s">
        <v>117</v>
      </c>
      <c r="D105" t="s">
        <v>118</v>
      </c>
      <c r="E105" t="s">
        <v>119</v>
      </c>
      <c r="F105">
        <v>37.200000000000003</v>
      </c>
      <c r="G105">
        <v>48.1</v>
      </c>
      <c r="H105">
        <v>47</v>
      </c>
      <c r="I105">
        <v>23.9</v>
      </c>
      <c r="J105">
        <v>0.9</v>
      </c>
      <c r="K105">
        <v>14.1</v>
      </c>
      <c r="L105">
        <v>2.1</v>
      </c>
      <c r="M105">
        <v>36.299999999999997</v>
      </c>
      <c r="N105">
        <v>1.3</v>
      </c>
      <c r="O105">
        <v>28.1</v>
      </c>
    </row>
    <row r="106" spans="1:15" x14ac:dyDescent="0.25">
      <c r="A106" s="34" t="s">
        <v>126</v>
      </c>
      <c r="B106" s="2">
        <v>45765</v>
      </c>
      <c r="C106" t="s">
        <v>117</v>
      </c>
      <c r="D106" t="s">
        <v>118</v>
      </c>
      <c r="E106" t="s">
        <v>119</v>
      </c>
      <c r="F106">
        <v>5.5</v>
      </c>
      <c r="G106">
        <v>42.7</v>
      </c>
      <c r="H106">
        <v>45.3</v>
      </c>
      <c r="I106">
        <v>2.8</v>
      </c>
      <c r="J106">
        <v>0</v>
      </c>
      <c r="K106">
        <v>0.2</v>
      </c>
      <c r="L106">
        <v>0</v>
      </c>
      <c r="M106">
        <v>32.799999999999997</v>
      </c>
      <c r="N106">
        <v>1.38</v>
      </c>
      <c r="O106">
        <v>2.9</v>
      </c>
    </row>
    <row r="107" spans="1:15" x14ac:dyDescent="0.25">
      <c r="A107" s="34" t="s">
        <v>126</v>
      </c>
      <c r="B107" s="2">
        <v>45765</v>
      </c>
      <c r="C107" t="s">
        <v>117</v>
      </c>
      <c r="D107" t="s">
        <v>118</v>
      </c>
      <c r="E107" t="s">
        <v>119</v>
      </c>
      <c r="F107">
        <v>14.2</v>
      </c>
      <c r="G107">
        <v>30.6</v>
      </c>
      <c r="H107">
        <v>36.5</v>
      </c>
      <c r="I107">
        <v>12.6</v>
      </c>
      <c r="J107">
        <v>4.5999999999999996</v>
      </c>
      <c r="K107">
        <v>2.5</v>
      </c>
      <c r="L107">
        <v>1.2</v>
      </c>
      <c r="M107">
        <v>40.5</v>
      </c>
      <c r="N107">
        <v>0.9</v>
      </c>
      <c r="O107">
        <v>13.4</v>
      </c>
    </row>
    <row r="108" spans="1:15" x14ac:dyDescent="0.25">
      <c r="A108" s="34" t="s">
        <v>126</v>
      </c>
      <c r="B108" s="2">
        <v>45765</v>
      </c>
      <c r="C108" t="s">
        <v>117</v>
      </c>
      <c r="D108" t="s">
        <v>118</v>
      </c>
      <c r="E108" t="s">
        <v>119</v>
      </c>
      <c r="F108">
        <v>16.399999999999999</v>
      </c>
      <c r="G108">
        <v>55.8</v>
      </c>
      <c r="H108">
        <v>59.5</v>
      </c>
      <c r="I108">
        <v>4.2</v>
      </c>
      <c r="J108">
        <v>8.6999999999999993</v>
      </c>
      <c r="K108">
        <v>1</v>
      </c>
      <c r="L108">
        <v>2.2999999999999998</v>
      </c>
      <c r="M108">
        <v>48.5</v>
      </c>
      <c r="N108">
        <v>1.23</v>
      </c>
      <c r="O108">
        <v>4.5999999999999996</v>
      </c>
    </row>
    <row r="109" spans="1:15" x14ac:dyDescent="0.25">
      <c r="A109" s="34" t="s">
        <v>126</v>
      </c>
      <c r="B109" s="2">
        <v>45765</v>
      </c>
      <c r="C109" t="s">
        <v>117</v>
      </c>
      <c r="D109" t="s">
        <v>118</v>
      </c>
      <c r="E109" t="s">
        <v>119</v>
      </c>
      <c r="F109">
        <v>26.3</v>
      </c>
      <c r="G109">
        <v>43.8</v>
      </c>
      <c r="H109">
        <v>48.1</v>
      </c>
      <c r="I109">
        <v>12.9</v>
      </c>
      <c r="J109">
        <v>5.9</v>
      </c>
      <c r="K109">
        <v>4.9000000000000004</v>
      </c>
      <c r="L109">
        <v>3.1</v>
      </c>
      <c r="M109">
        <v>39.4</v>
      </c>
      <c r="N109">
        <v>1.22</v>
      </c>
      <c r="O109">
        <v>14.7</v>
      </c>
    </row>
    <row r="110" spans="1:15" x14ac:dyDescent="0.25">
      <c r="A110" s="34" t="s">
        <v>126</v>
      </c>
      <c r="B110" s="2">
        <v>45765</v>
      </c>
      <c r="C110" t="s">
        <v>117</v>
      </c>
      <c r="D110" t="s">
        <v>118</v>
      </c>
      <c r="E110" t="s">
        <v>119</v>
      </c>
      <c r="F110">
        <v>35</v>
      </c>
      <c r="G110">
        <v>49.2</v>
      </c>
      <c r="H110">
        <v>50.2</v>
      </c>
      <c r="I110">
        <v>16.7</v>
      </c>
      <c r="J110">
        <v>3.3</v>
      </c>
      <c r="K110">
        <v>8.8000000000000007</v>
      </c>
      <c r="L110">
        <v>1.8</v>
      </c>
      <c r="M110">
        <v>38.299999999999997</v>
      </c>
      <c r="N110">
        <v>1.31</v>
      </c>
      <c r="O110">
        <v>19.8</v>
      </c>
    </row>
    <row r="111" spans="1:15" x14ac:dyDescent="0.25">
      <c r="A111" s="34" t="s">
        <v>126</v>
      </c>
      <c r="B111" s="2">
        <v>45765</v>
      </c>
      <c r="C111" t="s">
        <v>117</v>
      </c>
      <c r="D111" t="s">
        <v>118</v>
      </c>
      <c r="E111" t="s">
        <v>119</v>
      </c>
      <c r="F111">
        <v>21.9</v>
      </c>
      <c r="G111">
        <v>29.5</v>
      </c>
      <c r="H111">
        <v>34.4</v>
      </c>
      <c r="I111">
        <v>28.6</v>
      </c>
      <c r="J111">
        <v>-3.9</v>
      </c>
      <c r="K111">
        <v>9.6999999999999993</v>
      </c>
      <c r="L111">
        <v>-1.5</v>
      </c>
      <c r="M111">
        <v>45.2</v>
      </c>
      <c r="N111">
        <v>0.76</v>
      </c>
      <c r="O111">
        <v>30.8</v>
      </c>
    </row>
    <row r="112" spans="1:15" x14ac:dyDescent="0.25">
      <c r="A112" s="34" t="s">
        <v>126</v>
      </c>
      <c r="B112" s="2">
        <v>45765</v>
      </c>
      <c r="C112" t="s">
        <v>117</v>
      </c>
      <c r="D112" t="s">
        <v>118</v>
      </c>
      <c r="E112" t="s">
        <v>119</v>
      </c>
      <c r="F112">
        <v>16.399999999999999</v>
      </c>
      <c r="G112">
        <v>41.6</v>
      </c>
      <c r="H112">
        <v>45.9</v>
      </c>
      <c r="I112">
        <v>9</v>
      </c>
      <c r="J112">
        <v>10.199999999999999</v>
      </c>
      <c r="K112">
        <v>2.2000000000000002</v>
      </c>
      <c r="L112">
        <v>2.9</v>
      </c>
      <c r="M112">
        <v>40.5</v>
      </c>
      <c r="N112">
        <v>1.1299999999999999</v>
      </c>
      <c r="O112">
        <v>9.8000000000000007</v>
      </c>
    </row>
    <row r="113" spans="1:15" x14ac:dyDescent="0.25">
      <c r="A113" s="34" t="s">
        <v>126</v>
      </c>
      <c r="B113" s="2">
        <v>45765</v>
      </c>
      <c r="C113" t="s">
        <v>117</v>
      </c>
      <c r="D113" t="s">
        <v>118</v>
      </c>
      <c r="E113" t="s">
        <v>119</v>
      </c>
      <c r="F113">
        <v>24.1</v>
      </c>
      <c r="G113">
        <v>37.200000000000003</v>
      </c>
      <c r="H113">
        <v>41.4</v>
      </c>
      <c r="I113">
        <v>18.100000000000001</v>
      </c>
      <c r="J113">
        <v>7.3</v>
      </c>
      <c r="K113">
        <v>6.4</v>
      </c>
      <c r="L113">
        <v>3.1</v>
      </c>
      <c r="M113">
        <v>46.8</v>
      </c>
      <c r="N113">
        <v>0.88</v>
      </c>
      <c r="O113">
        <v>20.100000000000001</v>
      </c>
    </row>
    <row r="114" spans="1:15" x14ac:dyDescent="0.25">
      <c r="A114" s="34" t="s">
        <v>126</v>
      </c>
      <c r="B114" s="2">
        <v>45765</v>
      </c>
      <c r="C114" t="s">
        <v>117</v>
      </c>
      <c r="D114" t="s">
        <v>118</v>
      </c>
      <c r="E114" t="s">
        <v>119</v>
      </c>
      <c r="F114">
        <v>37.200000000000003</v>
      </c>
      <c r="G114">
        <v>50.3</v>
      </c>
      <c r="H114">
        <v>49.7</v>
      </c>
      <c r="I114">
        <v>18.600000000000001</v>
      </c>
      <c r="J114">
        <v>2.6</v>
      </c>
      <c r="K114">
        <v>10.4</v>
      </c>
      <c r="L114">
        <v>1.7</v>
      </c>
      <c r="M114">
        <v>46.8</v>
      </c>
      <c r="N114">
        <v>1.06</v>
      </c>
      <c r="O114">
        <v>22.2</v>
      </c>
    </row>
    <row r="115" spans="1:15" x14ac:dyDescent="0.25">
      <c r="A115" s="34" t="s">
        <v>126</v>
      </c>
      <c r="B115" s="2">
        <v>45765</v>
      </c>
      <c r="C115" t="s">
        <v>117</v>
      </c>
      <c r="D115" t="s">
        <v>118</v>
      </c>
      <c r="E115" t="s">
        <v>119</v>
      </c>
      <c r="F115">
        <v>20.8</v>
      </c>
      <c r="G115">
        <v>32.799999999999997</v>
      </c>
      <c r="H115">
        <v>38</v>
      </c>
      <c r="I115">
        <v>19.100000000000001</v>
      </c>
      <c r="J115">
        <v>1.2</v>
      </c>
      <c r="K115">
        <v>5.9</v>
      </c>
      <c r="L115">
        <v>0.5</v>
      </c>
      <c r="M115">
        <v>44.7</v>
      </c>
      <c r="N115">
        <v>0.85</v>
      </c>
      <c r="O115">
        <v>20.9</v>
      </c>
    </row>
    <row r="116" spans="1:15" x14ac:dyDescent="0.25">
      <c r="A116" s="34" t="s">
        <v>126</v>
      </c>
      <c r="B116" s="2">
        <v>45765</v>
      </c>
      <c r="C116" t="s">
        <v>100</v>
      </c>
      <c r="D116" t="s">
        <v>98</v>
      </c>
      <c r="E116" t="s">
        <v>99</v>
      </c>
      <c r="F116">
        <v>100.6</v>
      </c>
      <c r="G116">
        <v>108.3</v>
      </c>
      <c r="H116">
        <v>81.900000000000006</v>
      </c>
      <c r="I116">
        <v>25.1</v>
      </c>
      <c r="J116">
        <v>-3</v>
      </c>
      <c r="K116">
        <v>57.4</v>
      </c>
      <c r="L116">
        <v>-11.1</v>
      </c>
      <c r="M116">
        <v>81.8</v>
      </c>
      <c r="N116">
        <v>1</v>
      </c>
      <c r="O116">
        <v>43.1</v>
      </c>
    </row>
    <row r="117" spans="1:15" x14ac:dyDescent="0.25">
      <c r="A117" s="34" t="s">
        <v>126</v>
      </c>
      <c r="B117" s="2">
        <v>45765</v>
      </c>
      <c r="C117" t="s">
        <v>100</v>
      </c>
      <c r="D117" t="s">
        <v>98</v>
      </c>
      <c r="E117" t="s">
        <v>99</v>
      </c>
      <c r="F117">
        <v>107.2</v>
      </c>
      <c r="G117">
        <v>111.6</v>
      </c>
      <c r="H117">
        <v>84.2</v>
      </c>
      <c r="I117">
        <v>31.9</v>
      </c>
      <c r="J117">
        <v>-7.6</v>
      </c>
      <c r="K117">
        <v>82.3</v>
      </c>
      <c r="L117">
        <v>-35.299999999999997</v>
      </c>
      <c r="M117">
        <v>80.7</v>
      </c>
      <c r="N117">
        <v>1.04</v>
      </c>
      <c r="O117">
        <v>51</v>
      </c>
    </row>
    <row r="118" spans="1:15" x14ac:dyDescent="0.25">
      <c r="A118" s="34" t="s">
        <v>126</v>
      </c>
      <c r="B118" s="2">
        <v>45765</v>
      </c>
      <c r="C118" t="s">
        <v>100</v>
      </c>
      <c r="D118" t="s">
        <v>98</v>
      </c>
      <c r="E118" t="s">
        <v>99</v>
      </c>
      <c r="F118">
        <v>87.5</v>
      </c>
      <c r="G118">
        <v>90.8</v>
      </c>
      <c r="H118">
        <v>78.900000000000006</v>
      </c>
      <c r="I118">
        <v>45.3</v>
      </c>
      <c r="J118">
        <v>-9.4</v>
      </c>
      <c r="K118">
        <v>105.9</v>
      </c>
      <c r="L118">
        <v>-20</v>
      </c>
      <c r="M118">
        <v>81.2</v>
      </c>
      <c r="N118">
        <v>0.97</v>
      </c>
      <c r="O118">
        <v>62.3</v>
      </c>
    </row>
    <row r="119" spans="1:15" x14ac:dyDescent="0.25">
      <c r="A119" s="34" t="s">
        <v>126</v>
      </c>
      <c r="B119" s="2">
        <v>45765</v>
      </c>
      <c r="C119" t="s">
        <v>101</v>
      </c>
      <c r="D119" t="s">
        <v>102</v>
      </c>
      <c r="E119" t="s">
        <v>103</v>
      </c>
      <c r="F119">
        <v>120.3</v>
      </c>
      <c r="G119">
        <v>124.7</v>
      </c>
      <c r="H119">
        <v>91.6</v>
      </c>
      <c r="I119">
        <v>31</v>
      </c>
      <c r="J119">
        <v>-9.6</v>
      </c>
      <c r="K119">
        <v>95.1</v>
      </c>
      <c r="L119">
        <v>-32.700000000000003</v>
      </c>
      <c r="M119">
        <v>82.4</v>
      </c>
      <c r="N119">
        <v>1.1100000000000001</v>
      </c>
      <c r="O119">
        <v>52.5</v>
      </c>
    </row>
    <row r="120" spans="1:15" x14ac:dyDescent="0.25">
      <c r="A120" s="34" t="s">
        <v>126</v>
      </c>
      <c r="B120" s="2">
        <v>45765</v>
      </c>
      <c r="C120" t="s">
        <v>101</v>
      </c>
      <c r="D120" t="s">
        <v>102</v>
      </c>
      <c r="E120" t="s">
        <v>103</v>
      </c>
      <c r="F120">
        <v>114.9</v>
      </c>
      <c r="G120">
        <v>120.3</v>
      </c>
      <c r="H120">
        <v>88.8</v>
      </c>
      <c r="I120">
        <v>28.9</v>
      </c>
      <c r="J120">
        <v>-8.6999999999999993</v>
      </c>
      <c r="K120">
        <v>82.1</v>
      </c>
      <c r="L120">
        <v>-29.7</v>
      </c>
      <c r="M120">
        <v>81.8</v>
      </c>
      <c r="N120">
        <v>1.0900000000000001</v>
      </c>
      <c r="O120">
        <v>49.6</v>
      </c>
    </row>
    <row r="121" spans="1:15" x14ac:dyDescent="0.25">
      <c r="A121" s="34" t="s">
        <v>126</v>
      </c>
      <c r="B121" s="2">
        <v>45765</v>
      </c>
      <c r="C121" t="s">
        <v>101</v>
      </c>
      <c r="D121" t="s">
        <v>102</v>
      </c>
      <c r="E121" t="s">
        <v>103</v>
      </c>
      <c r="F121">
        <v>111.6</v>
      </c>
      <c r="G121">
        <v>114.9</v>
      </c>
      <c r="H121">
        <v>86.5</v>
      </c>
      <c r="I121">
        <v>30.5</v>
      </c>
      <c r="J121">
        <v>-4.4000000000000004</v>
      </c>
      <c r="K121">
        <v>82.4</v>
      </c>
      <c r="L121">
        <v>-7.6</v>
      </c>
      <c r="M121">
        <v>81.8</v>
      </c>
      <c r="N121">
        <v>1.06</v>
      </c>
      <c r="O121">
        <v>50.4</v>
      </c>
    </row>
    <row r="122" spans="1:15" x14ac:dyDescent="0.25">
      <c r="A122" s="34" t="s">
        <v>126</v>
      </c>
      <c r="B122" s="2">
        <v>45765</v>
      </c>
      <c r="C122" t="s">
        <v>104</v>
      </c>
      <c r="D122" t="s">
        <v>102</v>
      </c>
      <c r="E122" t="s">
        <v>103</v>
      </c>
      <c r="F122">
        <v>126.9</v>
      </c>
      <c r="G122">
        <v>129.1</v>
      </c>
      <c r="H122">
        <v>96.5</v>
      </c>
      <c r="I122">
        <v>34.799999999999997</v>
      </c>
      <c r="J122">
        <v>-5.0999999999999996</v>
      </c>
      <c r="K122">
        <v>119.6</v>
      </c>
      <c r="L122">
        <v>-18.100000000000001</v>
      </c>
      <c r="M122">
        <v>83.5</v>
      </c>
      <c r="N122">
        <v>1.1599999999999999</v>
      </c>
      <c r="O122">
        <v>57.3</v>
      </c>
    </row>
    <row r="123" spans="1:15" x14ac:dyDescent="0.25">
      <c r="A123" s="34" t="s">
        <v>126</v>
      </c>
      <c r="B123" s="2">
        <v>45765</v>
      </c>
      <c r="C123" t="s">
        <v>104</v>
      </c>
      <c r="D123" t="s">
        <v>102</v>
      </c>
      <c r="E123" t="s">
        <v>103</v>
      </c>
      <c r="F123">
        <v>123.6</v>
      </c>
      <c r="G123">
        <v>129.1</v>
      </c>
      <c r="H123">
        <v>93.3</v>
      </c>
      <c r="I123">
        <v>26.1</v>
      </c>
      <c r="J123">
        <v>-4.7</v>
      </c>
      <c r="K123">
        <v>81.5</v>
      </c>
      <c r="L123">
        <v>-15</v>
      </c>
      <c r="M123">
        <v>82.9</v>
      </c>
      <c r="N123">
        <v>1.1299999999999999</v>
      </c>
      <c r="O123">
        <v>48.2</v>
      </c>
    </row>
    <row r="124" spans="1:15" x14ac:dyDescent="0.25">
      <c r="A124" s="34" t="s">
        <v>126</v>
      </c>
      <c r="B124" s="2">
        <v>45765</v>
      </c>
      <c r="C124" t="s">
        <v>105</v>
      </c>
      <c r="D124" t="s">
        <v>102</v>
      </c>
      <c r="E124" t="s">
        <v>106</v>
      </c>
      <c r="F124">
        <v>149.9</v>
      </c>
      <c r="G124">
        <v>165.2</v>
      </c>
      <c r="H124">
        <v>114.3</v>
      </c>
      <c r="I124">
        <v>8.3000000000000007</v>
      </c>
      <c r="J124">
        <v>-6.3</v>
      </c>
      <c r="K124">
        <v>36.700000000000003</v>
      </c>
      <c r="L124">
        <v>-24</v>
      </c>
      <c r="M124">
        <v>85.7</v>
      </c>
      <c r="N124">
        <v>1.33</v>
      </c>
      <c r="O124">
        <v>26.7</v>
      </c>
    </row>
    <row r="125" spans="1:15" x14ac:dyDescent="0.25">
      <c r="A125" s="34" t="s">
        <v>126</v>
      </c>
      <c r="B125" s="2">
        <v>45765</v>
      </c>
      <c r="C125" t="s">
        <v>105</v>
      </c>
      <c r="D125" t="s">
        <v>102</v>
      </c>
      <c r="E125" t="s">
        <v>106</v>
      </c>
      <c r="F125">
        <v>125.8</v>
      </c>
      <c r="G125">
        <v>130.19999999999999</v>
      </c>
      <c r="H125">
        <v>94.5</v>
      </c>
      <c r="I125">
        <v>26.8</v>
      </c>
      <c r="J125">
        <v>2.2999999999999998</v>
      </c>
      <c r="K125">
        <v>86.5</v>
      </c>
      <c r="L125">
        <v>17.399999999999999</v>
      </c>
      <c r="M125">
        <v>84</v>
      </c>
      <c r="N125">
        <v>1.1200000000000001</v>
      </c>
      <c r="O125">
        <v>49.3</v>
      </c>
    </row>
    <row r="126" spans="1:15" x14ac:dyDescent="0.25">
      <c r="A126" s="34" t="s">
        <v>126</v>
      </c>
      <c r="B126" s="2">
        <v>45765</v>
      </c>
      <c r="C126" t="s">
        <v>105</v>
      </c>
      <c r="D126" t="s">
        <v>102</v>
      </c>
      <c r="E126" t="s">
        <v>106</v>
      </c>
      <c r="F126">
        <v>145.5</v>
      </c>
      <c r="G126">
        <v>148.80000000000001</v>
      </c>
      <c r="H126">
        <v>105.1</v>
      </c>
      <c r="I126">
        <v>24.6</v>
      </c>
      <c r="J126">
        <v>-6.6</v>
      </c>
      <c r="K126">
        <v>99.9</v>
      </c>
      <c r="L126">
        <v>-28</v>
      </c>
      <c r="M126">
        <v>84.6</v>
      </c>
      <c r="N126">
        <v>1.24</v>
      </c>
      <c r="O126">
        <v>50.3</v>
      </c>
    </row>
    <row r="127" spans="1:15" x14ac:dyDescent="0.25">
      <c r="A127" s="34" t="s">
        <v>126</v>
      </c>
      <c r="B127" s="2">
        <v>45765</v>
      </c>
      <c r="C127" t="s">
        <v>107</v>
      </c>
      <c r="D127" t="s">
        <v>102</v>
      </c>
      <c r="E127" t="s">
        <v>106</v>
      </c>
      <c r="F127">
        <v>158.6</v>
      </c>
      <c r="G127">
        <v>161.9</v>
      </c>
      <c r="H127">
        <v>112.9</v>
      </c>
      <c r="I127">
        <v>21.7</v>
      </c>
      <c r="J127">
        <v>-7.9</v>
      </c>
      <c r="K127">
        <v>102.9</v>
      </c>
      <c r="L127">
        <v>-36.5</v>
      </c>
      <c r="M127">
        <v>85.1</v>
      </c>
      <c r="N127">
        <v>1.33</v>
      </c>
      <c r="O127">
        <v>49.6</v>
      </c>
    </row>
    <row r="128" spans="1:15" x14ac:dyDescent="0.25">
      <c r="A128" s="34" t="s">
        <v>126</v>
      </c>
      <c r="B128" s="2">
        <v>45765</v>
      </c>
      <c r="C128" t="s">
        <v>107</v>
      </c>
      <c r="D128" t="s">
        <v>102</v>
      </c>
      <c r="E128" t="s">
        <v>106</v>
      </c>
      <c r="F128">
        <v>153.19999999999999</v>
      </c>
      <c r="G128">
        <v>164.1</v>
      </c>
      <c r="H128">
        <v>112.7</v>
      </c>
      <c r="I128">
        <v>10.6</v>
      </c>
      <c r="J128">
        <v>0.5</v>
      </c>
      <c r="K128">
        <v>48.1</v>
      </c>
      <c r="L128">
        <v>18.100000000000001</v>
      </c>
      <c r="M128">
        <v>83.5</v>
      </c>
      <c r="N128">
        <v>1.35</v>
      </c>
      <c r="O128">
        <v>32.5</v>
      </c>
    </row>
    <row r="129" spans="1:15" x14ac:dyDescent="0.25">
      <c r="A129" s="34" t="s">
        <v>126</v>
      </c>
      <c r="B129" s="2">
        <v>45765</v>
      </c>
      <c r="C129" t="s">
        <v>107</v>
      </c>
      <c r="D129" t="s">
        <v>102</v>
      </c>
      <c r="E129" t="s">
        <v>106</v>
      </c>
      <c r="F129">
        <v>143.30000000000001</v>
      </c>
      <c r="G129">
        <v>154.30000000000001</v>
      </c>
      <c r="H129">
        <v>105.1</v>
      </c>
      <c r="I129">
        <v>24.5</v>
      </c>
      <c r="J129">
        <v>-1.1000000000000001</v>
      </c>
      <c r="K129">
        <v>99.3</v>
      </c>
      <c r="L129">
        <v>-1.6</v>
      </c>
      <c r="M129">
        <v>85.1</v>
      </c>
      <c r="N129">
        <v>1.23</v>
      </c>
      <c r="O129">
        <v>50</v>
      </c>
    </row>
    <row r="130" spans="1:15" x14ac:dyDescent="0.25">
      <c r="A130" s="34" t="s">
        <v>126</v>
      </c>
      <c r="B130" s="2">
        <v>45765</v>
      </c>
      <c r="C130" t="s">
        <v>107</v>
      </c>
      <c r="D130" t="s">
        <v>102</v>
      </c>
      <c r="E130" t="s">
        <v>106</v>
      </c>
      <c r="F130">
        <v>153.19999999999999</v>
      </c>
      <c r="G130">
        <v>159.69999999999999</v>
      </c>
      <c r="H130">
        <v>109.7</v>
      </c>
      <c r="I130">
        <v>19.600000000000001</v>
      </c>
      <c r="J130">
        <v>-4.5</v>
      </c>
      <c r="K130">
        <v>87.1</v>
      </c>
      <c r="L130">
        <v>-17.2</v>
      </c>
      <c r="M130">
        <v>85.1</v>
      </c>
      <c r="N130">
        <v>1.29</v>
      </c>
      <c r="O130">
        <v>46.3</v>
      </c>
    </row>
    <row r="131" spans="1:15" x14ac:dyDescent="0.25">
      <c r="A131" s="34" t="s">
        <v>126</v>
      </c>
      <c r="B131" s="2">
        <v>45765</v>
      </c>
      <c r="C131" t="s">
        <v>108</v>
      </c>
      <c r="D131" t="s">
        <v>102</v>
      </c>
      <c r="E131" t="s">
        <v>106</v>
      </c>
      <c r="F131">
        <v>156.4</v>
      </c>
      <c r="G131">
        <v>166.3</v>
      </c>
      <c r="H131">
        <v>114</v>
      </c>
      <c r="I131">
        <v>11.9</v>
      </c>
      <c r="J131">
        <v>-7.6</v>
      </c>
      <c r="K131">
        <v>56.8</v>
      </c>
      <c r="L131">
        <v>-32.200000000000003</v>
      </c>
      <c r="M131">
        <v>86.8</v>
      </c>
      <c r="N131">
        <v>1.31</v>
      </c>
      <c r="O131">
        <v>36</v>
      </c>
    </row>
    <row r="132" spans="1:15" x14ac:dyDescent="0.25">
      <c r="A132" s="34" t="s">
        <v>126</v>
      </c>
      <c r="B132" s="2">
        <v>45765</v>
      </c>
      <c r="C132" t="s">
        <v>108</v>
      </c>
      <c r="D132" t="s">
        <v>102</v>
      </c>
      <c r="E132" t="s">
        <v>106</v>
      </c>
      <c r="F132">
        <v>160.80000000000001</v>
      </c>
      <c r="G132">
        <v>165.2</v>
      </c>
      <c r="H132">
        <v>112.7</v>
      </c>
      <c r="I132">
        <v>23.2</v>
      </c>
      <c r="J132">
        <v>-4.5999999999999996</v>
      </c>
      <c r="K132">
        <v>109.4</v>
      </c>
      <c r="L132">
        <v>-18.7</v>
      </c>
      <c r="M132">
        <v>85.1</v>
      </c>
      <c r="N132">
        <v>1.32</v>
      </c>
      <c r="O132">
        <v>50.8</v>
      </c>
    </row>
    <row r="133" spans="1:15" x14ac:dyDescent="0.25">
      <c r="A133" s="34" t="s">
        <v>126</v>
      </c>
      <c r="B133" s="2">
        <v>45765</v>
      </c>
      <c r="C133" t="s">
        <v>108</v>
      </c>
      <c r="D133" t="s">
        <v>102</v>
      </c>
      <c r="E133" t="s">
        <v>106</v>
      </c>
      <c r="F133">
        <v>152.1</v>
      </c>
      <c r="G133">
        <v>159.69999999999999</v>
      </c>
      <c r="H133">
        <v>108.8</v>
      </c>
      <c r="I133">
        <v>18.399999999999999</v>
      </c>
      <c r="J133">
        <v>-2.9</v>
      </c>
      <c r="K133">
        <v>79.400000000000006</v>
      </c>
      <c r="L133">
        <v>-1.3</v>
      </c>
      <c r="M133">
        <v>86.2</v>
      </c>
      <c r="N133">
        <v>1.26</v>
      </c>
      <c r="O133">
        <v>44.2</v>
      </c>
    </row>
    <row r="134" spans="1:15" x14ac:dyDescent="0.25">
      <c r="A134" s="34" t="s">
        <v>126</v>
      </c>
      <c r="B134" s="2">
        <v>45765</v>
      </c>
      <c r="C134" t="s">
        <v>108</v>
      </c>
      <c r="D134" t="s">
        <v>102</v>
      </c>
      <c r="E134" t="s">
        <v>106</v>
      </c>
      <c r="F134">
        <v>161.9</v>
      </c>
      <c r="G134">
        <v>168.5</v>
      </c>
      <c r="H134">
        <v>114.8</v>
      </c>
      <c r="I134">
        <v>19.3</v>
      </c>
      <c r="J134">
        <v>1.1000000000000001</v>
      </c>
      <c r="K134">
        <v>95.2</v>
      </c>
      <c r="L134">
        <v>3.1</v>
      </c>
      <c r="M134">
        <v>90.1</v>
      </c>
      <c r="N134">
        <v>1.27</v>
      </c>
      <c r="O134">
        <v>47.5</v>
      </c>
    </row>
    <row r="135" spans="1:15" x14ac:dyDescent="0.25">
      <c r="A135" s="34" t="s">
        <v>126</v>
      </c>
      <c r="B135" s="2">
        <v>45765</v>
      </c>
      <c r="C135" t="s">
        <v>108</v>
      </c>
      <c r="D135" t="s">
        <v>102</v>
      </c>
      <c r="E135" t="s">
        <v>106</v>
      </c>
      <c r="F135">
        <v>164.1</v>
      </c>
      <c r="G135">
        <v>172.9</v>
      </c>
      <c r="H135">
        <v>116.7</v>
      </c>
      <c r="I135">
        <v>12.7</v>
      </c>
      <c r="J135">
        <v>-1.5</v>
      </c>
      <c r="K135">
        <v>64.8</v>
      </c>
      <c r="L135">
        <v>-2.7</v>
      </c>
      <c r="M135">
        <v>87.9</v>
      </c>
      <c r="N135">
        <v>1.33</v>
      </c>
      <c r="O135">
        <v>38.5</v>
      </c>
    </row>
    <row r="136" spans="1:15" x14ac:dyDescent="0.25">
      <c r="A136" s="34" t="s">
        <v>126</v>
      </c>
      <c r="B136" s="2">
        <v>45765</v>
      </c>
      <c r="C136" t="s">
        <v>109</v>
      </c>
      <c r="D136" t="s">
        <v>102</v>
      </c>
      <c r="E136" t="s">
        <v>106</v>
      </c>
      <c r="F136">
        <v>176.1</v>
      </c>
      <c r="G136">
        <v>182.7</v>
      </c>
      <c r="H136">
        <v>121.2</v>
      </c>
      <c r="I136">
        <v>17</v>
      </c>
      <c r="J136">
        <v>-6.2</v>
      </c>
      <c r="K136">
        <v>95.2</v>
      </c>
      <c r="L136">
        <v>-25.9</v>
      </c>
      <c r="M136">
        <v>88.5</v>
      </c>
      <c r="N136">
        <v>1.37</v>
      </c>
      <c r="O136">
        <v>46</v>
      </c>
    </row>
    <row r="137" spans="1:15" x14ac:dyDescent="0.25">
      <c r="A137" s="34" t="s">
        <v>126</v>
      </c>
      <c r="B137" s="2">
        <v>45765</v>
      </c>
      <c r="C137" t="s">
        <v>109</v>
      </c>
      <c r="D137" t="s">
        <v>102</v>
      </c>
      <c r="E137" t="s">
        <v>106</v>
      </c>
      <c r="F137">
        <v>180.5</v>
      </c>
      <c r="G137">
        <v>184.9</v>
      </c>
      <c r="H137">
        <v>123.8</v>
      </c>
      <c r="I137">
        <v>19.600000000000001</v>
      </c>
      <c r="J137">
        <v>-3.6</v>
      </c>
      <c r="K137">
        <v>114.5</v>
      </c>
      <c r="L137">
        <v>-6.1</v>
      </c>
      <c r="M137">
        <v>89</v>
      </c>
      <c r="N137">
        <v>1.39</v>
      </c>
      <c r="O137">
        <v>50.1</v>
      </c>
    </row>
    <row r="138" spans="1:15" x14ac:dyDescent="0.25">
      <c r="A138" s="34" t="s">
        <v>126</v>
      </c>
      <c r="B138" s="2">
        <v>45765</v>
      </c>
      <c r="C138" t="s">
        <v>109</v>
      </c>
      <c r="D138" t="s">
        <v>102</v>
      </c>
      <c r="E138" t="s">
        <v>106</v>
      </c>
      <c r="F138">
        <v>156.4</v>
      </c>
      <c r="G138">
        <v>164.1</v>
      </c>
      <c r="H138">
        <v>111.1</v>
      </c>
      <c r="I138">
        <v>16.2</v>
      </c>
      <c r="J138">
        <v>-5.9</v>
      </c>
      <c r="K138">
        <v>72.599999999999994</v>
      </c>
      <c r="L138">
        <v>-25.9</v>
      </c>
      <c r="M138">
        <v>86.2</v>
      </c>
      <c r="N138">
        <v>1.29</v>
      </c>
      <c r="O138">
        <v>41.3</v>
      </c>
    </row>
    <row r="139" spans="1:15" x14ac:dyDescent="0.25">
      <c r="A139" s="34" t="s">
        <v>126</v>
      </c>
      <c r="B139" s="2">
        <v>45765</v>
      </c>
      <c r="C139" t="s">
        <v>112</v>
      </c>
      <c r="D139" t="s">
        <v>102</v>
      </c>
      <c r="E139" t="s">
        <v>113</v>
      </c>
      <c r="F139">
        <v>213.3</v>
      </c>
      <c r="G139">
        <v>224.3</v>
      </c>
      <c r="H139">
        <v>139.69999999999999</v>
      </c>
      <c r="I139">
        <v>10.8</v>
      </c>
      <c r="J139">
        <v>-8.1999999999999993</v>
      </c>
      <c r="K139">
        <v>83.8</v>
      </c>
      <c r="L139">
        <v>-26</v>
      </c>
      <c r="M139">
        <v>96.8</v>
      </c>
      <c r="N139">
        <v>1.44</v>
      </c>
      <c r="O139">
        <v>39.700000000000003</v>
      </c>
    </row>
    <row r="140" spans="1:15" x14ac:dyDescent="0.25">
      <c r="A140" s="34" t="s">
        <v>126</v>
      </c>
      <c r="B140" s="2">
        <v>45765</v>
      </c>
      <c r="C140" t="s">
        <v>112</v>
      </c>
      <c r="D140" t="s">
        <v>102</v>
      </c>
      <c r="E140" t="s">
        <v>113</v>
      </c>
      <c r="F140">
        <v>206.8</v>
      </c>
      <c r="G140">
        <v>213.3</v>
      </c>
      <c r="H140">
        <v>133.4</v>
      </c>
      <c r="I140">
        <v>16.7</v>
      </c>
      <c r="J140">
        <v>-3.5</v>
      </c>
      <c r="K140">
        <v>112.9</v>
      </c>
      <c r="L140">
        <v>-12.6</v>
      </c>
      <c r="M140">
        <v>95.1</v>
      </c>
      <c r="N140">
        <v>1.4</v>
      </c>
      <c r="O140">
        <v>47</v>
      </c>
    </row>
    <row r="141" spans="1:15" x14ac:dyDescent="0.25">
      <c r="A141" s="34" t="s">
        <v>126</v>
      </c>
      <c r="B141" s="2">
        <v>45765</v>
      </c>
      <c r="C141" t="s">
        <v>112</v>
      </c>
      <c r="D141" t="s">
        <v>102</v>
      </c>
      <c r="E141" t="s">
        <v>113</v>
      </c>
      <c r="F141">
        <v>179.4</v>
      </c>
      <c r="G141">
        <v>190.4</v>
      </c>
      <c r="H141">
        <v>122.2</v>
      </c>
      <c r="I141">
        <v>13.9</v>
      </c>
      <c r="J141">
        <v>9</v>
      </c>
      <c r="K141">
        <v>77.3</v>
      </c>
      <c r="L141">
        <v>36.6</v>
      </c>
      <c r="M141">
        <v>93.5</v>
      </c>
      <c r="N141">
        <v>1.31</v>
      </c>
      <c r="O141">
        <v>40.299999999999997</v>
      </c>
    </row>
    <row r="142" spans="1:15" x14ac:dyDescent="0.25">
      <c r="A142" s="34" t="s">
        <v>126</v>
      </c>
      <c r="B142" s="2">
        <v>45765</v>
      </c>
      <c r="C142" t="s">
        <v>112</v>
      </c>
      <c r="D142" t="s">
        <v>102</v>
      </c>
      <c r="E142" t="s">
        <v>113</v>
      </c>
      <c r="F142">
        <v>194.7</v>
      </c>
      <c r="G142">
        <v>206.8</v>
      </c>
      <c r="H142">
        <v>131.19999999999999</v>
      </c>
      <c r="I142">
        <v>10.4</v>
      </c>
      <c r="J142">
        <v>-4.7</v>
      </c>
      <c r="K142">
        <v>68.8</v>
      </c>
      <c r="L142">
        <v>16.100000000000001</v>
      </c>
      <c r="M142">
        <v>94.6</v>
      </c>
      <c r="N142">
        <v>1.39</v>
      </c>
      <c r="O142">
        <v>36.6</v>
      </c>
    </row>
    <row r="143" spans="1:15" x14ac:dyDescent="0.25">
      <c r="A143" s="34" t="s">
        <v>126</v>
      </c>
      <c r="B143" s="2">
        <v>45765</v>
      </c>
      <c r="C143" t="s">
        <v>114</v>
      </c>
      <c r="D143" t="s">
        <v>102</v>
      </c>
      <c r="E143" t="s">
        <v>115</v>
      </c>
      <c r="F143">
        <v>212.2</v>
      </c>
      <c r="G143">
        <v>223.2</v>
      </c>
      <c r="H143">
        <v>136.1</v>
      </c>
      <c r="I143">
        <v>12.6</v>
      </c>
      <c r="J143">
        <v>-1.8</v>
      </c>
      <c r="K143">
        <v>87.2</v>
      </c>
      <c r="L143">
        <v>-29.4</v>
      </c>
      <c r="M143">
        <v>98.5</v>
      </c>
      <c r="N143">
        <v>1.38</v>
      </c>
      <c r="O143">
        <v>40.1</v>
      </c>
    </row>
    <row r="144" spans="1:15" x14ac:dyDescent="0.25">
      <c r="A144" s="34" t="s">
        <v>126</v>
      </c>
      <c r="B144" s="2">
        <v>45765</v>
      </c>
      <c r="C144" t="s">
        <v>114</v>
      </c>
      <c r="D144" t="s">
        <v>102</v>
      </c>
      <c r="E144" t="s">
        <v>115</v>
      </c>
      <c r="F144">
        <v>223.2</v>
      </c>
      <c r="G144">
        <v>230.8</v>
      </c>
      <c r="H144">
        <v>139.6</v>
      </c>
      <c r="I144">
        <v>13.6</v>
      </c>
      <c r="J144">
        <v>-2.1</v>
      </c>
      <c r="K144">
        <v>98.6</v>
      </c>
      <c r="L144">
        <v>20.5</v>
      </c>
      <c r="M144">
        <v>98.5</v>
      </c>
      <c r="N144">
        <v>1.42</v>
      </c>
      <c r="O144">
        <v>42.2</v>
      </c>
    </row>
    <row r="145" spans="1:15" x14ac:dyDescent="0.25">
      <c r="A145" s="34" t="s">
        <v>126</v>
      </c>
      <c r="B145" s="2">
        <v>45765</v>
      </c>
      <c r="C145" t="s">
        <v>114</v>
      </c>
      <c r="D145" t="s">
        <v>102</v>
      </c>
      <c r="E145" t="s">
        <v>115</v>
      </c>
      <c r="F145">
        <v>195.8</v>
      </c>
      <c r="G145">
        <v>215.5</v>
      </c>
      <c r="H145">
        <v>143.4</v>
      </c>
      <c r="I145">
        <v>3.4</v>
      </c>
      <c r="J145">
        <v>-10.9</v>
      </c>
      <c r="K145">
        <v>34.1</v>
      </c>
      <c r="L145">
        <v>-37.9</v>
      </c>
      <c r="M145">
        <v>99.6</v>
      </c>
      <c r="N145">
        <v>1.44</v>
      </c>
      <c r="O145">
        <v>22.3</v>
      </c>
    </row>
    <row r="146" spans="1:15" x14ac:dyDescent="0.25">
      <c r="A146" s="34" t="s">
        <v>126</v>
      </c>
      <c r="B146" s="2">
        <v>45765</v>
      </c>
      <c r="C146" t="s">
        <v>116</v>
      </c>
      <c r="D146" t="s">
        <v>102</v>
      </c>
      <c r="E146" t="s">
        <v>115</v>
      </c>
      <c r="F146">
        <v>234.1</v>
      </c>
      <c r="G146">
        <v>246.2</v>
      </c>
      <c r="H146">
        <v>145.69999999999999</v>
      </c>
      <c r="I146">
        <v>10.8</v>
      </c>
      <c r="J146">
        <v>-5.3</v>
      </c>
      <c r="K146">
        <v>78.599999999999994</v>
      </c>
      <c r="L146">
        <v>-14.5</v>
      </c>
      <c r="M146">
        <v>102.9</v>
      </c>
      <c r="N146">
        <v>1.42</v>
      </c>
      <c r="O146">
        <v>35.299999999999997</v>
      </c>
    </row>
    <row r="147" spans="1:15" x14ac:dyDescent="0.25">
      <c r="A147" s="34" t="s">
        <v>126</v>
      </c>
      <c r="B147" s="2">
        <v>45765</v>
      </c>
      <c r="C147" t="s">
        <v>116</v>
      </c>
      <c r="D147" t="s">
        <v>102</v>
      </c>
      <c r="E147" t="s">
        <v>115</v>
      </c>
      <c r="F147">
        <v>207.9</v>
      </c>
      <c r="G147">
        <v>217.7</v>
      </c>
      <c r="H147">
        <v>134</v>
      </c>
      <c r="I147">
        <v>15</v>
      </c>
      <c r="J147">
        <v>-13</v>
      </c>
      <c r="K147">
        <v>98.9</v>
      </c>
      <c r="L147">
        <v>-75.900000000000006</v>
      </c>
      <c r="M147">
        <v>103.5</v>
      </c>
      <c r="N147">
        <v>1.29</v>
      </c>
      <c r="O147">
        <v>43.1</v>
      </c>
    </row>
    <row r="148" spans="1:15" x14ac:dyDescent="0.25">
      <c r="A148" s="34" t="s">
        <v>126</v>
      </c>
      <c r="B148" s="2">
        <v>45765</v>
      </c>
      <c r="C148" t="s">
        <v>116</v>
      </c>
      <c r="D148" t="s">
        <v>102</v>
      </c>
      <c r="E148" t="s">
        <v>115</v>
      </c>
      <c r="F148">
        <v>206.8</v>
      </c>
      <c r="G148">
        <v>221</v>
      </c>
      <c r="H148">
        <v>140.9</v>
      </c>
      <c r="I148">
        <v>6.8</v>
      </c>
      <c r="J148">
        <v>-10.4</v>
      </c>
      <c r="K148">
        <v>50.9</v>
      </c>
      <c r="L148">
        <v>-30.9</v>
      </c>
      <c r="M148">
        <v>104.6</v>
      </c>
      <c r="N148">
        <v>1.35</v>
      </c>
      <c r="O148">
        <v>28.4</v>
      </c>
    </row>
    <row r="149" spans="1:15" x14ac:dyDescent="0.25">
      <c r="A149" s="34" t="s">
        <v>126</v>
      </c>
      <c r="B149" s="2">
        <v>45765</v>
      </c>
      <c r="C149" t="s">
        <v>116</v>
      </c>
      <c r="D149" t="s">
        <v>102</v>
      </c>
      <c r="E149" t="s">
        <v>115</v>
      </c>
      <c r="F149">
        <v>214.4</v>
      </c>
      <c r="G149">
        <v>224.3</v>
      </c>
      <c r="H149">
        <v>135.19999999999999</v>
      </c>
      <c r="I149">
        <v>14.9</v>
      </c>
      <c r="J149">
        <v>-7.1</v>
      </c>
      <c r="K149">
        <v>99</v>
      </c>
      <c r="L149">
        <v>-2.8</v>
      </c>
      <c r="M149">
        <v>102.4</v>
      </c>
      <c r="N149">
        <v>1.32</v>
      </c>
      <c r="O149">
        <v>42.6</v>
      </c>
    </row>
    <row r="150" spans="1:15" x14ac:dyDescent="0.25">
      <c r="A150" s="34" t="s">
        <v>126</v>
      </c>
      <c r="B150" s="2">
        <v>45765</v>
      </c>
      <c r="C150" t="s">
        <v>116</v>
      </c>
      <c r="D150" t="s">
        <v>102</v>
      </c>
      <c r="E150" t="s">
        <v>115</v>
      </c>
      <c r="F150">
        <v>226.5</v>
      </c>
      <c r="G150">
        <v>237.4</v>
      </c>
      <c r="H150">
        <v>140.80000000000001</v>
      </c>
      <c r="I150">
        <v>14.2</v>
      </c>
      <c r="J150">
        <v>-8.6</v>
      </c>
      <c r="K150">
        <v>100.5</v>
      </c>
      <c r="L150">
        <v>-34.5</v>
      </c>
      <c r="M150">
        <v>104.6</v>
      </c>
      <c r="N150">
        <v>1.35</v>
      </c>
      <c r="O150">
        <v>41.8</v>
      </c>
    </row>
    <row r="151" spans="1:15" x14ac:dyDescent="0.25">
      <c r="A151" s="34" t="s">
        <v>126</v>
      </c>
      <c r="B151" s="2">
        <v>45765</v>
      </c>
      <c r="C151" t="s">
        <v>116</v>
      </c>
      <c r="D151" t="s">
        <v>102</v>
      </c>
      <c r="E151" t="s">
        <v>115</v>
      </c>
      <c r="F151">
        <v>214.4</v>
      </c>
      <c r="G151">
        <v>227.6</v>
      </c>
      <c r="H151">
        <v>136.30000000000001</v>
      </c>
      <c r="I151">
        <v>16.899999999999999</v>
      </c>
      <c r="J151">
        <v>-8.1999999999999993</v>
      </c>
      <c r="K151">
        <v>115.6</v>
      </c>
      <c r="L151">
        <v>-25.8</v>
      </c>
      <c r="M151">
        <v>103.5</v>
      </c>
      <c r="N151">
        <v>1.32</v>
      </c>
      <c r="O151">
        <v>46.3</v>
      </c>
    </row>
    <row r="152" spans="1:15" x14ac:dyDescent="0.25">
      <c r="A152" s="34" t="s">
        <v>126</v>
      </c>
      <c r="B152" s="2">
        <v>45765</v>
      </c>
      <c r="C152" t="s">
        <v>116</v>
      </c>
      <c r="D152" t="s">
        <v>102</v>
      </c>
      <c r="E152" t="s">
        <v>115</v>
      </c>
      <c r="F152">
        <v>242.9</v>
      </c>
      <c r="G152">
        <v>250.5</v>
      </c>
      <c r="H152">
        <v>146.4</v>
      </c>
      <c r="I152">
        <v>15.9</v>
      </c>
      <c r="J152">
        <v>-2</v>
      </c>
      <c r="K152">
        <v>119.5</v>
      </c>
      <c r="L152">
        <v>26.9</v>
      </c>
      <c r="M152">
        <v>104.6</v>
      </c>
      <c r="N152">
        <v>1.4</v>
      </c>
      <c r="O152">
        <v>44.6</v>
      </c>
    </row>
    <row r="153" spans="1:15" x14ac:dyDescent="0.25">
      <c r="A153" s="34" t="s">
        <v>126</v>
      </c>
      <c r="B153" s="8">
        <v>45671</v>
      </c>
      <c r="C153" s="7" t="s">
        <v>117</v>
      </c>
      <c r="D153" s="7" t="s">
        <v>118</v>
      </c>
      <c r="E153" s="7" t="s">
        <v>119</v>
      </c>
      <c r="F153" s="7">
        <v>163</v>
      </c>
      <c r="G153" s="7">
        <v>173.9</v>
      </c>
      <c r="H153" s="7">
        <v>116.9</v>
      </c>
      <c r="I153" s="7">
        <v>23.9</v>
      </c>
      <c r="J153" s="7">
        <v>3.7</v>
      </c>
      <c r="K153" s="7">
        <v>122.1</v>
      </c>
      <c r="L153" s="7">
        <v>15.2</v>
      </c>
      <c r="M153" s="7">
        <v>93.5</v>
      </c>
      <c r="N153" s="7">
        <v>1.25</v>
      </c>
      <c r="O153" s="7">
        <v>53</v>
      </c>
    </row>
    <row r="154" spans="1:15" x14ac:dyDescent="0.25">
      <c r="A154" s="34" t="s">
        <v>126</v>
      </c>
      <c r="B154" s="8">
        <v>45671</v>
      </c>
      <c r="C154" s="7" t="s">
        <v>117</v>
      </c>
      <c r="D154" s="7" t="s">
        <v>118</v>
      </c>
      <c r="E154" s="7" t="s">
        <v>119</v>
      </c>
      <c r="F154" s="7">
        <v>171.8</v>
      </c>
      <c r="G154" s="7">
        <v>176.1</v>
      </c>
      <c r="H154" s="7">
        <v>119.3</v>
      </c>
      <c r="I154" s="7">
        <v>21.7</v>
      </c>
      <c r="J154" s="7">
        <v>-2.2000000000000002</v>
      </c>
      <c r="K154" s="7">
        <v>116.1</v>
      </c>
      <c r="L154" s="7">
        <v>-6.5</v>
      </c>
      <c r="M154" s="7">
        <v>93.5</v>
      </c>
      <c r="N154" s="7">
        <v>1.28</v>
      </c>
      <c r="O154" s="7">
        <v>51</v>
      </c>
    </row>
    <row r="155" spans="1:15" x14ac:dyDescent="0.25">
      <c r="A155" s="34" t="s">
        <v>126</v>
      </c>
      <c r="B155" s="8">
        <v>45671</v>
      </c>
      <c r="C155" s="7" t="s">
        <v>117</v>
      </c>
      <c r="D155" s="7" t="s">
        <v>118</v>
      </c>
      <c r="E155" s="7" t="s">
        <v>119</v>
      </c>
      <c r="F155" s="7">
        <v>160.80000000000001</v>
      </c>
      <c r="G155" s="7">
        <v>167.4</v>
      </c>
      <c r="H155" s="7">
        <v>114.3</v>
      </c>
      <c r="I155" s="7">
        <v>21.6</v>
      </c>
      <c r="J155" s="7">
        <v>0.7</v>
      </c>
      <c r="K155" s="7">
        <v>105.5</v>
      </c>
      <c r="L155" s="7">
        <v>4</v>
      </c>
      <c r="M155" s="7">
        <v>94</v>
      </c>
      <c r="N155" s="7">
        <v>1.22</v>
      </c>
      <c r="O155" s="7">
        <v>49.9</v>
      </c>
    </row>
    <row r="156" spans="1:15" x14ac:dyDescent="0.25">
      <c r="A156" s="34" t="s">
        <v>126</v>
      </c>
      <c r="B156" s="8">
        <v>45671</v>
      </c>
      <c r="C156" s="7" t="s">
        <v>117</v>
      </c>
      <c r="D156" s="7" t="s">
        <v>118</v>
      </c>
      <c r="E156" s="7" t="s">
        <v>119</v>
      </c>
      <c r="F156" s="7">
        <v>166.3</v>
      </c>
      <c r="G156" s="7">
        <v>170.7</v>
      </c>
      <c r="H156" s="7">
        <v>117.9</v>
      </c>
      <c r="I156" s="7">
        <v>25</v>
      </c>
      <c r="J156" s="7">
        <v>2.9</v>
      </c>
      <c r="K156" s="7">
        <v>130</v>
      </c>
      <c r="L156" s="7">
        <v>7</v>
      </c>
      <c r="M156" s="7">
        <v>94</v>
      </c>
      <c r="N156" s="7">
        <v>1.25</v>
      </c>
      <c r="O156" s="7">
        <v>54.3</v>
      </c>
    </row>
    <row r="157" spans="1:15" x14ac:dyDescent="0.25">
      <c r="A157" s="34" t="s">
        <v>126</v>
      </c>
      <c r="B157" s="8">
        <v>45671</v>
      </c>
      <c r="C157" s="7" t="s">
        <v>117</v>
      </c>
      <c r="D157" s="7" t="s">
        <v>118</v>
      </c>
      <c r="E157" s="7" t="s">
        <v>119</v>
      </c>
      <c r="F157" s="7">
        <v>175</v>
      </c>
      <c r="G157" s="7">
        <v>179.4</v>
      </c>
      <c r="H157" s="7">
        <v>121.5</v>
      </c>
      <c r="I157" s="7">
        <v>23.5</v>
      </c>
      <c r="J157" s="7">
        <v>-2</v>
      </c>
      <c r="K157" s="7">
        <v>130.4</v>
      </c>
      <c r="L157" s="7">
        <v>-0.1</v>
      </c>
      <c r="M157" s="7">
        <v>90.9</v>
      </c>
      <c r="N157" s="7">
        <v>1.34</v>
      </c>
      <c r="O157" s="7">
        <v>53.6</v>
      </c>
    </row>
    <row r="158" spans="1:15" x14ac:dyDescent="0.25">
      <c r="A158" s="34" t="s">
        <v>126</v>
      </c>
      <c r="B158" s="8">
        <v>45671</v>
      </c>
      <c r="C158" s="7" t="s">
        <v>117</v>
      </c>
      <c r="D158" s="7" t="s">
        <v>118</v>
      </c>
      <c r="E158" s="7" t="s">
        <v>119</v>
      </c>
      <c r="F158" s="7">
        <v>163</v>
      </c>
      <c r="G158" s="7">
        <v>167.4</v>
      </c>
      <c r="H158" s="7">
        <v>115.1</v>
      </c>
      <c r="I158" s="7">
        <v>21.8</v>
      </c>
      <c r="J158" s="7">
        <v>-2.4</v>
      </c>
      <c r="K158" s="7">
        <v>108</v>
      </c>
      <c r="L158" s="7">
        <v>-17.399999999999999</v>
      </c>
      <c r="M158" s="7">
        <v>94.6</v>
      </c>
      <c r="N158" s="7">
        <v>1.22</v>
      </c>
      <c r="O158" s="7">
        <v>50.3</v>
      </c>
    </row>
    <row r="159" spans="1:15" x14ac:dyDescent="0.25">
      <c r="A159" s="34" t="s">
        <v>126</v>
      </c>
      <c r="B159" s="8">
        <v>45671</v>
      </c>
      <c r="C159" s="7" t="s">
        <v>117</v>
      </c>
      <c r="D159" s="7" t="s">
        <v>118</v>
      </c>
      <c r="E159" s="7" t="s">
        <v>119</v>
      </c>
      <c r="F159" s="7">
        <v>145.5</v>
      </c>
      <c r="G159" s="7">
        <v>151</v>
      </c>
      <c r="H159" s="7">
        <v>105</v>
      </c>
      <c r="I159" s="7">
        <v>23.1</v>
      </c>
      <c r="J159" s="7">
        <v>-0.5</v>
      </c>
      <c r="K159" s="7">
        <v>93</v>
      </c>
      <c r="L159" s="7">
        <v>-2.5</v>
      </c>
      <c r="M159" s="7">
        <v>92.4</v>
      </c>
      <c r="N159" s="7">
        <v>1.1399999999999999</v>
      </c>
      <c r="O159" s="7">
        <v>48.6</v>
      </c>
    </row>
    <row r="160" spans="1:15" x14ac:dyDescent="0.25">
      <c r="A160" s="34" t="s">
        <v>126</v>
      </c>
      <c r="B160" s="8">
        <v>45671</v>
      </c>
      <c r="C160" s="7" t="s">
        <v>117</v>
      </c>
      <c r="D160" s="7" t="s">
        <v>118</v>
      </c>
      <c r="E160" s="7" t="s">
        <v>119</v>
      </c>
      <c r="F160" s="7">
        <v>167.4</v>
      </c>
      <c r="G160" s="7">
        <v>171.8</v>
      </c>
      <c r="H160" s="7">
        <v>118.1</v>
      </c>
      <c r="I160" s="7">
        <v>24.7</v>
      </c>
      <c r="J160" s="7">
        <v>-0.3</v>
      </c>
      <c r="K160" s="7">
        <v>129.1</v>
      </c>
      <c r="L160" s="7">
        <v>-3.7</v>
      </c>
      <c r="M160" s="7">
        <v>90.9</v>
      </c>
      <c r="N160" s="7">
        <v>1.3</v>
      </c>
      <c r="O160" s="7">
        <v>53.9</v>
      </c>
    </row>
    <row r="161" spans="1:15" x14ac:dyDescent="0.25">
      <c r="A161" s="34" t="s">
        <v>126</v>
      </c>
      <c r="B161" s="8">
        <v>45671</v>
      </c>
      <c r="C161" s="7" t="s">
        <v>117</v>
      </c>
      <c r="D161" s="7" t="s">
        <v>118</v>
      </c>
      <c r="E161" s="7" t="s">
        <v>119</v>
      </c>
      <c r="F161" s="7">
        <v>161.9</v>
      </c>
      <c r="G161" s="7">
        <v>171.8</v>
      </c>
      <c r="H161" s="7">
        <v>114.1</v>
      </c>
      <c r="I161" s="7">
        <v>13.7</v>
      </c>
      <c r="J161" s="7">
        <v>-1.4</v>
      </c>
      <c r="K161" s="7">
        <v>64.900000000000006</v>
      </c>
      <c r="L161" s="7">
        <v>-12.6</v>
      </c>
      <c r="M161" s="7">
        <v>95.1</v>
      </c>
      <c r="N161" s="7">
        <v>1.2</v>
      </c>
      <c r="O161" s="7">
        <v>38.299999999999997</v>
      </c>
    </row>
    <row r="162" spans="1:15" x14ac:dyDescent="0.25">
      <c r="A162" s="34" t="s">
        <v>126</v>
      </c>
      <c r="B162" s="8">
        <v>45671</v>
      </c>
      <c r="C162" s="7" t="s">
        <v>117</v>
      </c>
      <c r="D162" s="7" t="s">
        <v>118</v>
      </c>
      <c r="E162" s="7" t="s">
        <v>119</v>
      </c>
      <c r="F162" s="7">
        <v>118.2</v>
      </c>
      <c r="G162" s="7">
        <v>126.9</v>
      </c>
      <c r="H162" s="7">
        <v>90.6</v>
      </c>
      <c r="I162" s="7">
        <v>20.399999999999999</v>
      </c>
      <c r="J162" s="7">
        <v>-1.4</v>
      </c>
      <c r="K162" s="7">
        <v>56.5</v>
      </c>
      <c r="L162" s="7">
        <v>-19.3</v>
      </c>
      <c r="M162" s="7">
        <v>87.4</v>
      </c>
      <c r="N162" s="7">
        <v>1.04</v>
      </c>
      <c r="O162" s="7">
        <v>39.700000000000003</v>
      </c>
    </row>
    <row r="163" spans="1:15" x14ac:dyDescent="0.25">
      <c r="A163" s="34" t="s">
        <v>126</v>
      </c>
      <c r="B163" s="8">
        <v>45671</v>
      </c>
      <c r="C163" s="7" t="s">
        <v>107</v>
      </c>
      <c r="D163" s="7" t="s">
        <v>102</v>
      </c>
      <c r="E163" s="7" t="s">
        <v>106</v>
      </c>
      <c r="F163" s="7">
        <v>147.69999999999999</v>
      </c>
      <c r="G163" s="7">
        <v>154.30000000000001</v>
      </c>
      <c r="H163" s="7">
        <v>105.9</v>
      </c>
      <c r="I163" s="7">
        <v>18.600000000000001</v>
      </c>
      <c r="J163" s="7">
        <v>-4.2</v>
      </c>
      <c r="K163" s="7">
        <v>74.8</v>
      </c>
      <c r="L163" s="7">
        <v>-10.5</v>
      </c>
      <c r="M163" s="7">
        <v>85.3</v>
      </c>
      <c r="N163" s="7">
        <v>1.24</v>
      </c>
      <c r="O163" s="7">
        <v>43</v>
      </c>
    </row>
    <row r="164" spans="1:15" x14ac:dyDescent="0.25">
      <c r="A164" s="34" t="s">
        <v>126</v>
      </c>
      <c r="B164" s="8">
        <v>45671</v>
      </c>
      <c r="C164" s="7" t="s">
        <v>107</v>
      </c>
      <c r="D164" s="7" t="s">
        <v>102</v>
      </c>
      <c r="E164" s="7" t="s">
        <v>106</v>
      </c>
      <c r="F164" s="7">
        <v>145.5</v>
      </c>
      <c r="G164" s="7">
        <v>149.9</v>
      </c>
      <c r="H164" s="7">
        <v>105.5</v>
      </c>
      <c r="I164" s="7">
        <v>27</v>
      </c>
      <c r="J164" s="7">
        <v>3.8</v>
      </c>
      <c r="K164" s="7">
        <v>111</v>
      </c>
      <c r="L164" s="7">
        <v>9.3000000000000007</v>
      </c>
      <c r="M164" s="7">
        <v>85.1</v>
      </c>
      <c r="N164" s="7">
        <v>1.24</v>
      </c>
      <c r="O164" s="7">
        <v>52.7</v>
      </c>
    </row>
    <row r="165" spans="1:15" x14ac:dyDescent="0.25">
      <c r="A165" s="34" t="s">
        <v>126</v>
      </c>
      <c r="B165" s="8">
        <v>45671</v>
      </c>
      <c r="C165" s="7" t="s">
        <v>107</v>
      </c>
      <c r="D165" s="7" t="s">
        <v>102</v>
      </c>
      <c r="E165" s="7" t="s">
        <v>106</v>
      </c>
      <c r="F165" s="7">
        <v>153.19999999999999</v>
      </c>
      <c r="G165" s="7">
        <v>157.5</v>
      </c>
      <c r="H165" s="7">
        <v>109.7</v>
      </c>
      <c r="I165" s="7">
        <v>26.8</v>
      </c>
      <c r="J165" s="7">
        <v>-2.2999999999999998</v>
      </c>
      <c r="K165" s="7">
        <v>119.5</v>
      </c>
      <c r="L165" s="7">
        <v>-14.4</v>
      </c>
      <c r="M165" s="7">
        <v>85.1</v>
      </c>
      <c r="N165" s="7">
        <v>1.29</v>
      </c>
      <c r="O165" s="7">
        <v>53.7</v>
      </c>
    </row>
    <row r="166" spans="1:15" x14ac:dyDescent="0.25">
      <c r="A166" s="34" t="s">
        <v>126</v>
      </c>
      <c r="B166" s="8">
        <v>45671</v>
      </c>
      <c r="C166" s="7" t="s">
        <v>107</v>
      </c>
      <c r="D166" s="7" t="s">
        <v>102</v>
      </c>
      <c r="E166" s="7" t="s">
        <v>106</v>
      </c>
      <c r="F166" s="7">
        <v>133.5</v>
      </c>
      <c r="G166" s="7">
        <v>153.19999999999999</v>
      </c>
      <c r="H166" s="7">
        <v>112.7</v>
      </c>
      <c r="I166" s="7">
        <v>5.2</v>
      </c>
      <c r="J166" s="7">
        <v>7.5</v>
      </c>
      <c r="K166" s="7">
        <v>20.100000000000001</v>
      </c>
      <c r="L166" s="7">
        <v>35.6</v>
      </c>
      <c r="M166" s="7">
        <v>88.5</v>
      </c>
      <c r="N166" s="7">
        <v>1.27</v>
      </c>
      <c r="O166" s="7">
        <v>17.399999999999999</v>
      </c>
    </row>
    <row r="167" spans="1:15" x14ac:dyDescent="0.25">
      <c r="A167" s="34" t="s">
        <v>126</v>
      </c>
      <c r="B167" s="8">
        <v>45671</v>
      </c>
      <c r="C167" s="7" t="s">
        <v>107</v>
      </c>
      <c r="D167" s="7" t="s">
        <v>102</v>
      </c>
      <c r="E167" s="7" t="s">
        <v>106</v>
      </c>
      <c r="F167" s="7">
        <v>124.7</v>
      </c>
      <c r="G167" s="7">
        <v>132.4</v>
      </c>
      <c r="H167" s="7">
        <v>94</v>
      </c>
      <c r="I167" s="7">
        <v>19.399999999999999</v>
      </c>
      <c r="J167" s="7">
        <v>4.4000000000000004</v>
      </c>
      <c r="K167" s="7">
        <v>58.3</v>
      </c>
      <c r="L167" s="7">
        <v>9.6999999999999993</v>
      </c>
      <c r="M167" s="7">
        <v>81.2</v>
      </c>
      <c r="N167" s="7">
        <v>1.1599999999999999</v>
      </c>
      <c r="O167" s="7">
        <v>39.700000000000003</v>
      </c>
    </row>
    <row r="168" spans="1:15" x14ac:dyDescent="0.25">
      <c r="A168" s="34" t="s">
        <v>126</v>
      </c>
      <c r="B168" s="8">
        <v>45670</v>
      </c>
      <c r="C168" s="7" t="s">
        <v>97</v>
      </c>
      <c r="D168" s="7" t="s">
        <v>98</v>
      </c>
      <c r="E168" s="7" t="s">
        <v>99</v>
      </c>
      <c r="F168" s="7">
        <v>72.2</v>
      </c>
      <c r="G168" s="7">
        <v>76.599999999999994</v>
      </c>
      <c r="H168" s="7">
        <v>64.3</v>
      </c>
      <c r="I168" s="7">
        <v>36</v>
      </c>
      <c r="J168" s="7">
        <v>6.3</v>
      </c>
      <c r="K168" s="7">
        <v>53.5</v>
      </c>
      <c r="L168" s="7">
        <v>8.8000000000000007</v>
      </c>
      <c r="M168" s="7">
        <v>79</v>
      </c>
      <c r="N168" s="7">
        <v>0.81</v>
      </c>
      <c r="O168" s="7">
        <v>48.2</v>
      </c>
    </row>
    <row r="169" spans="1:15" x14ac:dyDescent="0.25">
      <c r="A169" s="34" t="s">
        <v>126</v>
      </c>
      <c r="B169" s="8">
        <v>45670</v>
      </c>
      <c r="C169" s="7" t="s">
        <v>97</v>
      </c>
      <c r="D169" s="7" t="s">
        <v>98</v>
      </c>
      <c r="E169" s="7" t="s">
        <v>99</v>
      </c>
      <c r="F169" s="7">
        <v>86.4</v>
      </c>
      <c r="G169" s="7">
        <v>94.1</v>
      </c>
      <c r="H169" s="7">
        <v>73.2</v>
      </c>
      <c r="I169" s="7">
        <v>26.7</v>
      </c>
      <c r="J169" s="7">
        <v>-4.4000000000000004</v>
      </c>
      <c r="K169" s="7">
        <v>47.9</v>
      </c>
      <c r="L169" s="7">
        <v>-6.2</v>
      </c>
      <c r="M169" s="7">
        <v>81.2</v>
      </c>
      <c r="N169" s="7">
        <v>0.9</v>
      </c>
      <c r="O169" s="7">
        <v>41.4</v>
      </c>
    </row>
    <row r="170" spans="1:15" x14ac:dyDescent="0.25">
      <c r="A170" s="34" t="s">
        <v>126</v>
      </c>
      <c r="B170" s="8">
        <v>45670</v>
      </c>
      <c r="C170" s="7" t="s">
        <v>97</v>
      </c>
      <c r="D170" s="7" t="s">
        <v>98</v>
      </c>
      <c r="E170" s="7" t="s">
        <v>99</v>
      </c>
      <c r="F170" s="7">
        <v>63.5</v>
      </c>
      <c r="G170" s="7">
        <v>65.599999999999994</v>
      </c>
      <c r="H170" s="7">
        <v>63.1</v>
      </c>
      <c r="I170" s="7">
        <v>50.3</v>
      </c>
      <c r="J170" s="7">
        <v>-0.8</v>
      </c>
      <c r="K170" s="7">
        <v>77.400000000000006</v>
      </c>
      <c r="L170" s="7">
        <v>-3.6</v>
      </c>
      <c r="M170" s="7">
        <v>80.099999999999994</v>
      </c>
      <c r="N170" s="7">
        <v>0.79</v>
      </c>
      <c r="O170" s="7">
        <v>61.7</v>
      </c>
    </row>
    <row r="171" spans="1:15" x14ac:dyDescent="0.25">
      <c r="A171" s="34" t="s">
        <v>126</v>
      </c>
      <c r="B171" s="8">
        <v>45670</v>
      </c>
      <c r="C171" s="7" t="s">
        <v>97</v>
      </c>
      <c r="D171" s="7" t="s">
        <v>98</v>
      </c>
      <c r="E171" s="7" t="s">
        <v>99</v>
      </c>
      <c r="F171" s="7">
        <v>60.2</v>
      </c>
      <c r="G171" s="7">
        <v>63.5</v>
      </c>
      <c r="H171" s="7">
        <v>61.4</v>
      </c>
      <c r="I171" s="7">
        <v>50</v>
      </c>
      <c r="J171" s="7">
        <v>4.3</v>
      </c>
      <c r="K171" s="7">
        <v>73.2</v>
      </c>
      <c r="L171" s="7">
        <v>3.5</v>
      </c>
      <c r="M171" s="7">
        <v>79</v>
      </c>
      <c r="N171" s="7">
        <v>0.78</v>
      </c>
      <c r="O171" s="7">
        <v>60.9</v>
      </c>
    </row>
    <row r="172" spans="1:15" x14ac:dyDescent="0.25">
      <c r="A172" s="34" t="s">
        <v>126</v>
      </c>
      <c r="B172" s="8">
        <v>45670</v>
      </c>
      <c r="C172" s="7" t="s">
        <v>97</v>
      </c>
      <c r="D172" s="7" t="s">
        <v>98</v>
      </c>
      <c r="E172" s="7" t="s">
        <v>99</v>
      </c>
      <c r="F172" s="7">
        <v>62.4</v>
      </c>
      <c r="G172" s="7">
        <v>64.5</v>
      </c>
      <c r="H172" s="7">
        <v>67.400000000000006</v>
      </c>
      <c r="I172" s="7">
        <v>54.5</v>
      </c>
      <c r="J172" s="7">
        <v>-3.3</v>
      </c>
      <c r="K172" s="7">
        <v>95</v>
      </c>
      <c r="L172" s="7">
        <v>-3.4</v>
      </c>
      <c r="M172" s="7">
        <v>76.8</v>
      </c>
      <c r="N172" s="7">
        <v>0.88</v>
      </c>
      <c r="O172" s="7">
        <v>68.2</v>
      </c>
    </row>
    <row r="173" spans="1:15" x14ac:dyDescent="0.25">
      <c r="A173" s="34" t="s">
        <v>126</v>
      </c>
      <c r="B173" s="8">
        <v>45670</v>
      </c>
      <c r="C173" s="7" t="s">
        <v>100</v>
      </c>
      <c r="D173" s="7" t="s">
        <v>98</v>
      </c>
      <c r="E173" s="7" t="s">
        <v>99</v>
      </c>
      <c r="F173" s="7">
        <v>110.5</v>
      </c>
      <c r="G173" s="7">
        <v>132.4</v>
      </c>
      <c r="H173" s="7">
        <v>102</v>
      </c>
      <c r="I173" s="7">
        <v>5.9</v>
      </c>
      <c r="J173" s="7">
        <v>-7.1</v>
      </c>
      <c r="K173" s="7">
        <v>16</v>
      </c>
      <c r="L173" s="7">
        <v>-13.6</v>
      </c>
      <c r="M173" s="7">
        <v>81.8</v>
      </c>
      <c r="N173" s="7">
        <v>1.25</v>
      </c>
      <c r="O173" s="7">
        <v>15.9</v>
      </c>
    </row>
    <row r="174" spans="1:15" x14ac:dyDescent="0.25">
      <c r="A174" s="34" t="s">
        <v>126</v>
      </c>
      <c r="B174" s="8">
        <v>45670</v>
      </c>
      <c r="C174" s="7" t="s">
        <v>100</v>
      </c>
      <c r="D174" s="7" t="s">
        <v>98</v>
      </c>
      <c r="E174" s="7" t="s">
        <v>99</v>
      </c>
      <c r="F174" s="7">
        <v>83.1</v>
      </c>
      <c r="G174" s="7">
        <v>86.4</v>
      </c>
      <c r="H174" s="7">
        <v>72.099999999999994</v>
      </c>
      <c r="I174" s="7">
        <v>41.9</v>
      </c>
      <c r="J174" s="7">
        <v>-8.3000000000000007</v>
      </c>
      <c r="K174" s="7">
        <v>81.7</v>
      </c>
      <c r="L174" s="7">
        <v>-15.7</v>
      </c>
      <c r="M174" s="7">
        <v>76.400000000000006</v>
      </c>
      <c r="N174" s="7">
        <v>0.94</v>
      </c>
      <c r="O174" s="7">
        <v>56.3</v>
      </c>
    </row>
    <row r="175" spans="1:15" x14ac:dyDescent="0.25">
      <c r="A175" s="34" t="s">
        <v>126</v>
      </c>
      <c r="B175" s="8">
        <v>45670</v>
      </c>
      <c r="C175" s="7" t="s">
        <v>100</v>
      </c>
      <c r="D175" s="7" t="s">
        <v>98</v>
      </c>
      <c r="E175" s="7" t="s">
        <v>99</v>
      </c>
      <c r="F175" s="7">
        <v>109.4</v>
      </c>
      <c r="G175" s="7">
        <v>122.5</v>
      </c>
      <c r="H175" s="7">
        <v>89.8</v>
      </c>
      <c r="I175" s="7">
        <v>15</v>
      </c>
      <c r="J175" s="7">
        <v>-0.8</v>
      </c>
      <c r="K175" s="7">
        <v>37.299999999999997</v>
      </c>
      <c r="L175" s="7">
        <v>3.9</v>
      </c>
      <c r="M175" s="7">
        <v>79.599999999999994</v>
      </c>
      <c r="N175" s="7">
        <v>1.1299999999999999</v>
      </c>
      <c r="O175" s="7">
        <v>31.1</v>
      </c>
    </row>
    <row r="176" spans="1:15" x14ac:dyDescent="0.25">
      <c r="A176" s="34" t="s">
        <v>126</v>
      </c>
      <c r="B176" s="8">
        <v>45670</v>
      </c>
      <c r="C176" s="7" t="s">
        <v>100</v>
      </c>
      <c r="D176" s="7" t="s">
        <v>98</v>
      </c>
      <c r="E176" s="7" t="s">
        <v>99</v>
      </c>
      <c r="F176" s="7">
        <v>103.9</v>
      </c>
      <c r="G176" s="7">
        <v>114.9</v>
      </c>
      <c r="H176" s="7">
        <v>86.6</v>
      </c>
      <c r="I176" s="7">
        <v>15.3</v>
      </c>
      <c r="J176" s="7">
        <v>-2.4</v>
      </c>
      <c r="K176" s="7">
        <v>34.200000000000003</v>
      </c>
      <c r="L176" s="7">
        <v>-1.3</v>
      </c>
      <c r="M176" s="7">
        <v>77.400000000000006</v>
      </c>
      <c r="N176" s="7">
        <v>1.1200000000000001</v>
      </c>
      <c r="O176" s="7">
        <v>30</v>
      </c>
    </row>
    <row r="177" spans="1:15" x14ac:dyDescent="0.25">
      <c r="A177" s="34" t="s">
        <v>126</v>
      </c>
      <c r="B177" s="8">
        <v>45670</v>
      </c>
      <c r="C177" s="7" t="s">
        <v>100</v>
      </c>
      <c r="D177" s="7" t="s">
        <v>98</v>
      </c>
      <c r="E177" s="7" t="s">
        <v>99</v>
      </c>
      <c r="F177" s="7">
        <v>102.8</v>
      </c>
      <c r="G177" s="7">
        <v>114.9</v>
      </c>
      <c r="H177" s="7">
        <v>87.4</v>
      </c>
      <c r="I177" s="7">
        <v>13.6</v>
      </c>
      <c r="J177" s="7">
        <v>-2.1</v>
      </c>
      <c r="K177" s="7">
        <v>29.5</v>
      </c>
      <c r="L177" s="7">
        <v>-5.5</v>
      </c>
      <c r="M177" s="7">
        <v>74.599999999999994</v>
      </c>
      <c r="N177" s="7">
        <v>1.17</v>
      </c>
      <c r="O177" s="7">
        <v>26.9</v>
      </c>
    </row>
    <row r="178" spans="1:15" x14ac:dyDescent="0.25">
      <c r="A178" s="34" t="s">
        <v>126</v>
      </c>
      <c r="B178" s="8">
        <v>45670</v>
      </c>
      <c r="C178" s="7" t="s">
        <v>101</v>
      </c>
      <c r="D178" s="7" t="s">
        <v>102</v>
      </c>
      <c r="E178" s="7" t="s">
        <v>103</v>
      </c>
      <c r="F178" s="7">
        <v>118.2</v>
      </c>
      <c r="G178" s="7">
        <v>125.8</v>
      </c>
      <c r="H178" s="7">
        <v>92.3</v>
      </c>
      <c r="I178" s="7">
        <v>20.8</v>
      </c>
      <c r="J178" s="7">
        <v>-0.4</v>
      </c>
      <c r="K178" s="7">
        <v>60.7</v>
      </c>
      <c r="L178" s="7">
        <v>-2.9</v>
      </c>
      <c r="M178" s="7">
        <v>82.4</v>
      </c>
      <c r="N178" s="7">
        <v>1.1200000000000001</v>
      </c>
      <c r="O178" s="7">
        <v>41.8</v>
      </c>
    </row>
    <row r="179" spans="1:15" x14ac:dyDescent="0.25">
      <c r="A179" s="34" t="s">
        <v>126</v>
      </c>
      <c r="B179" s="8">
        <v>45670</v>
      </c>
      <c r="C179" s="7" t="s">
        <v>101</v>
      </c>
      <c r="D179" s="7" t="s">
        <v>102</v>
      </c>
      <c r="E179" s="7" t="s">
        <v>103</v>
      </c>
      <c r="F179" s="7">
        <v>120.3</v>
      </c>
      <c r="G179" s="7">
        <v>136.80000000000001</v>
      </c>
      <c r="H179" s="7">
        <v>103</v>
      </c>
      <c r="I179" s="7">
        <v>7.2</v>
      </c>
      <c r="J179" s="7">
        <v>-3.2</v>
      </c>
      <c r="K179" s="7">
        <v>21.7</v>
      </c>
      <c r="L179" s="7">
        <v>-6.7</v>
      </c>
      <c r="M179" s="7">
        <v>81.2</v>
      </c>
      <c r="N179" s="7">
        <v>1.27</v>
      </c>
      <c r="O179" s="7">
        <v>19.7</v>
      </c>
    </row>
    <row r="180" spans="1:15" x14ac:dyDescent="0.25">
      <c r="A180" s="34" t="s">
        <v>126</v>
      </c>
      <c r="B180" s="8">
        <v>45670</v>
      </c>
      <c r="C180" s="7" t="s">
        <v>101</v>
      </c>
      <c r="D180" s="7" t="s">
        <v>102</v>
      </c>
      <c r="E180" s="7" t="s">
        <v>103</v>
      </c>
      <c r="F180" s="7">
        <v>105</v>
      </c>
      <c r="G180" s="7">
        <v>109.4</v>
      </c>
      <c r="H180" s="7">
        <v>84.8</v>
      </c>
      <c r="I180" s="7">
        <v>38</v>
      </c>
      <c r="J180" s="7">
        <v>-12.6</v>
      </c>
      <c r="K180" s="7">
        <v>101.4</v>
      </c>
      <c r="L180" s="7">
        <v>-39.9</v>
      </c>
      <c r="M180" s="7">
        <v>77.900000000000006</v>
      </c>
      <c r="N180" s="7">
        <v>1.0900000000000001</v>
      </c>
      <c r="O180" s="7">
        <v>56.8</v>
      </c>
    </row>
    <row r="181" spans="1:15" x14ac:dyDescent="0.25">
      <c r="A181" s="34" t="s">
        <v>126</v>
      </c>
      <c r="B181" s="8">
        <v>45670</v>
      </c>
      <c r="C181" s="7" t="s">
        <v>101</v>
      </c>
      <c r="D181" s="7" t="s">
        <v>102</v>
      </c>
      <c r="E181" s="7" t="s">
        <v>103</v>
      </c>
      <c r="F181" s="7">
        <v>105</v>
      </c>
      <c r="G181" s="7">
        <v>119.2</v>
      </c>
      <c r="H181" s="7">
        <v>89.5</v>
      </c>
      <c r="I181" s="7">
        <v>12.8</v>
      </c>
      <c r="J181" s="7">
        <v>13.3</v>
      </c>
      <c r="K181" s="7">
        <v>29.6</v>
      </c>
      <c r="L181" s="7">
        <v>35.799999999999997</v>
      </c>
      <c r="M181" s="7">
        <v>81.8</v>
      </c>
      <c r="N181" s="7">
        <v>1.0900000000000001</v>
      </c>
      <c r="O181" s="7">
        <v>26.8</v>
      </c>
    </row>
    <row r="182" spans="1:15" x14ac:dyDescent="0.25">
      <c r="A182" s="34" t="s">
        <v>126</v>
      </c>
      <c r="B182" s="8">
        <v>45670</v>
      </c>
      <c r="C182" s="7" t="s">
        <v>101</v>
      </c>
      <c r="D182" s="7" t="s">
        <v>102</v>
      </c>
      <c r="E182" s="7" t="s">
        <v>103</v>
      </c>
      <c r="F182" s="7">
        <v>117.1</v>
      </c>
      <c r="G182" s="7">
        <v>126.9</v>
      </c>
      <c r="H182" s="7">
        <v>92.7</v>
      </c>
      <c r="I182" s="7">
        <v>16</v>
      </c>
      <c r="J182" s="7">
        <v>5.4</v>
      </c>
      <c r="K182" s="7">
        <v>44.5</v>
      </c>
      <c r="L182" s="7">
        <v>21.1</v>
      </c>
      <c r="M182" s="7">
        <v>81.2</v>
      </c>
      <c r="N182" s="7">
        <v>1.1399999999999999</v>
      </c>
      <c r="O182" s="7">
        <v>34.4</v>
      </c>
    </row>
    <row r="183" spans="1:15" x14ac:dyDescent="0.25">
      <c r="A183" s="34" t="s">
        <v>126</v>
      </c>
      <c r="B183" s="8">
        <v>45670</v>
      </c>
      <c r="C183" s="7" t="s">
        <v>104</v>
      </c>
      <c r="D183" s="7" t="s">
        <v>102</v>
      </c>
      <c r="E183" s="7" t="s">
        <v>103</v>
      </c>
      <c r="F183" s="7">
        <v>135.69999999999999</v>
      </c>
      <c r="G183" s="7">
        <v>155.30000000000001</v>
      </c>
      <c r="H183" s="7">
        <v>114.5</v>
      </c>
      <c r="I183" s="7">
        <v>5</v>
      </c>
      <c r="J183" s="7">
        <v>5.3</v>
      </c>
      <c r="K183" s="7">
        <v>19</v>
      </c>
      <c r="L183" s="7">
        <v>12.4</v>
      </c>
      <c r="M183" s="7">
        <v>84</v>
      </c>
      <c r="N183" s="7">
        <v>1.36</v>
      </c>
      <c r="O183" s="7">
        <v>16.3</v>
      </c>
    </row>
    <row r="184" spans="1:15" x14ac:dyDescent="0.25">
      <c r="A184" s="34" t="s">
        <v>126</v>
      </c>
      <c r="B184" s="8">
        <v>45670</v>
      </c>
      <c r="C184" s="7" t="s">
        <v>104</v>
      </c>
      <c r="D184" s="7" t="s">
        <v>102</v>
      </c>
      <c r="E184" s="7" t="s">
        <v>103</v>
      </c>
      <c r="F184" s="7">
        <v>135.69999999999999</v>
      </c>
      <c r="G184" s="7">
        <v>147.69999999999999</v>
      </c>
      <c r="H184" s="7">
        <v>104.9</v>
      </c>
      <c r="I184" s="7">
        <v>10.9</v>
      </c>
      <c r="J184" s="7">
        <v>-0.8</v>
      </c>
      <c r="K184" s="7">
        <v>39.9</v>
      </c>
      <c r="L184" s="7">
        <v>13.2</v>
      </c>
      <c r="M184" s="7">
        <v>84.6</v>
      </c>
      <c r="N184" s="7">
        <v>1.24</v>
      </c>
      <c r="O184" s="7">
        <v>29.9</v>
      </c>
    </row>
    <row r="185" spans="1:15" x14ac:dyDescent="0.25">
      <c r="A185" s="34" t="s">
        <v>126</v>
      </c>
      <c r="B185" s="8">
        <v>45670</v>
      </c>
      <c r="C185" s="7" t="s">
        <v>104</v>
      </c>
      <c r="D185" s="7" t="s">
        <v>102</v>
      </c>
      <c r="E185" s="7" t="s">
        <v>103</v>
      </c>
      <c r="F185" s="7">
        <v>128</v>
      </c>
      <c r="G185" s="7">
        <v>133.5</v>
      </c>
      <c r="H185" s="7">
        <v>96.7</v>
      </c>
      <c r="I185" s="7">
        <v>23.7</v>
      </c>
      <c r="J185" s="7">
        <v>8</v>
      </c>
      <c r="K185" s="7">
        <v>79.2</v>
      </c>
      <c r="L185" s="7">
        <v>17.8</v>
      </c>
      <c r="M185" s="7">
        <v>81.8</v>
      </c>
      <c r="N185" s="7">
        <v>1.18</v>
      </c>
      <c r="O185" s="7">
        <v>47.1</v>
      </c>
    </row>
    <row r="186" spans="1:15" x14ac:dyDescent="0.25">
      <c r="A186" s="34" t="s">
        <v>126</v>
      </c>
      <c r="B186" s="8">
        <v>45670</v>
      </c>
      <c r="C186" s="7" t="s">
        <v>104</v>
      </c>
      <c r="D186" s="7" t="s">
        <v>102</v>
      </c>
      <c r="E186" s="7" t="s">
        <v>103</v>
      </c>
      <c r="F186" s="7">
        <v>125.8</v>
      </c>
      <c r="G186" s="7">
        <v>136.80000000000001</v>
      </c>
      <c r="H186" s="7">
        <v>97.9</v>
      </c>
      <c r="I186" s="7">
        <v>14.4</v>
      </c>
      <c r="J186" s="7">
        <v>10.4</v>
      </c>
      <c r="K186" s="7">
        <v>45.4</v>
      </c>
      <c r="L186" s="7">
        <v>34.299999999999997</v>
      </c>
      <c r="M186" s="7">
        <v>84.6</v>
      </c>
      <c r="N186" s="7">
        <v>1.1599999999999999</v>
      </c>
      <c r="O186" s="7">
        <v>33.9</v>
      </c>
    </row>
    <row r="187" spans="1:15" x14ac:dyDescent="0.25">
      <c r="A187" s="34" t="s">
        <v>126</v>
      </c>
      <c r="B187" s="8">
        <v>45670</v>
      </c>
      <c r="C187" s="7" t="s">
        <v>104</v>
      </c>
      <c r="D187" s="7" t="s">
        <v>102</v>
      </c>
      <c r="E187" s="7" t="s">
        <v>103</v>
      </c>
      <c r="F187" s="7">
        <v>114.9</v>
      </c>
      <c r="G187" s="7">
        <v>118.2</v>
      </c>
      <c r="H187" s="7">
        <v>90.8</v>
      </c>
      <c r="I187" s="7">
        <v>37.700000000000003</v>
      </c>
      <c r="J187" s="7">
        <v>8.6</v>
      </c>
      <c r="K187" s="7">
        <v>115.1</v>
      </c>
      <c r="L187" s="7">
        <v>12</v>
      </c>
      <c r="M187" s="7">
        <v>81.2</v>
      </c>
      <c r="N187" s="7">
        <v>1.1200000000000001</v>
      </c>
      <c r="O187" s="7">
        <v>58.4</v>
      </c>
    </row>
    <row r="188" spans="1:15" x14ac:dyDescent="0.25">
      <c r="A188" s="34" t="s">
        <v>126</v>
      </c>
      <c r="B188" s="8">
        <v>45670</v>
      </c>
      <c r="C188" s="7" t="s">
        <v>104</v>
      </c>
      <c r="D188" s="7" t="s">
        <v>102</v>
      </c>
      <c r="E188" s="7" t="s">
        <v>103</v>
      </c>
      <c r="F188" s="7">
        <v>105</v>
      </c>
      <c r="G188" s="7">
        <v>125.8</v>
      </c>
      <c r="H188" s="7">
        <v>100.4</v>
      </c>
      <c r="I188" s="7">
        <v>5.7</v>
      </c>
      <c r="J188" s="7">
        <v>14.2</v>
      </c>
      <c r="K188" s="7">
        <v>14.6</v>
      </c>
      <c r="L188" s="7">
        <v>26.1</v>
      </c>
      <c r="M188" s="7">
        <v>81.900000000000006</v>
      </c>
      <c r="N188" s="7">
        <v>1.23</v>
      </c>
      <c r="O188" s="7">
        <v>15.1</v>
      </c>
    </row>
    <row r="189" spans="1:15" x14ac:dyDescent="0.25">
      <c r="A189" s="34" t="s">
        <v>126</v>
      </c>
      <c r="B189" s="8">
        <v>45670</v>
      </c>
      <c r="C189" s="7" t="s">
        <v>104</v>
      </c>
      <c r="D189" s="7" t="s">
        <v>102</v>
      </c>
      <c r="E189" s="7" t="s">
        <v>103</v>
      </c>
      <c r="F189" s="7">
        <v>142.19999999999999</v>
      </c>
      <c r="G189" s="7">
        <v>151</v>
      </c>
      <c r="H189" s="7">
        <v>105</v>
      </c>
      <c r="I189" s="7">
        <v>14.8</v>
      </c>
      <c r="J189" s="7">
        <v>12.6</v>
      </c>
      <c r="K189" s="7">
        <v>57.3</v>
      </c>
      <c r="L189" s="7">
        <v>35.200000000000003</v>
      </c>
      <c r="M189" s="7">
        <v>78.2</v>
      </c>
      <c r="N189" s="7">
        <v>1.34</v>
      </c>
      <c r="O189" s="7">
        <v>37.4</v>
      </c>
    </row>
    <row r="190" spans="1:15" x14ac:dyDescent="0.25">
      <c r="A190" s="34" t="s">
        <v>126</v>
      </c>
      <c r="B190" s="8">
        <v>45670</v>
      </c>
      <c r="C190" s="7" t="s">
        <v>104</v>
      </c>
      <c r="D190" s="7" t="s">
        <v>102</v>
      </c>
      <c r="E190" s="7" t="s">
        <v>103</v>
      </c>
      <c r="F190" s="7">
        <v>126.9</v>
      </c>
      <c r="G190" s="7">
        <v>138.9</v>
      </c>
      <c r="H190" s="7">
        <v>99.6</v>
      </c>
      <c r="I190" s="7">
        <v>12.5</v>
      </c>
      <c r="J190" s="7">
        <v>9.4</v>
      </c>
      <c r="K190" s="7">
        <v>40.1</v>
      </c>
      <c r="L190" s="7">
        <v>21.5</v>
      </c>
      <c r="M190" s="7">
        <v>80.099999999999994</v>
      </c>
      <c r="N190" s="7">
        <v>1.24</v>
      </c>
      <c r="O190" s="7">
        <v>30.9</v>
      </c>
    </row>
    <row r="191" spans="1:15" x14ac:dyDescent="0.25">
      <c r="A191" s="34" t="s">
        <v>126</v>
      </c>
      <c r="B191" s="8">
        <v>45670</v>
      </c>
      <c r="C191" s="7" t="s">
        <v>104</v>
      </c>
      <c r="D191" s="7" t="s">
        <v>102</v>
      </c>
      <c r="E191" s="7" t="s">
        <v>103</v>
      </c>
      <c r="F191" s="7">
        <v>123.6</v>
      </c>
      <c r="G191" s="7">
        <v>133.5</v>
      </c>
      <c r="H191" s="7">
        <v>95.4</v>
      </c>
      <c r="I191" s="7">
        <v>18.3</v>
      </c>
      <c r="J191" s="7">
        <v>1.8</v>
      </c>
      <c r="K191" s="7">
        <v>56.8</v>
      </c>
      <c r="L191" s="7">
        <v>2.6</v>
      </c>
      <c r="M191" s="7">
        <v>81.8</v>
      </c>
      <c r="N191" s="7">
        <v>1.17</v>
      </c>
      <c r="O191" s="7">
        <v>39.4</v>
      </c>
    </row>
    <row r="192" spans="1:15" x14ac:dyDescent="0.25">
      <c r="A192" s="34" t="s">
        <v>126</v>
      </c>
      <c r="B192" s="8">
        <v>45670</v>
      </c>
      <c r="C192" s="7" t="s">
        <v>104</v>
      </c>
      <c r="D192" s="7" t="s">
        <v>102</v>
      </c>
      <c r="E192" s="7" t="s">
        <v>103</v>
      </c>
      <c r="F192" s="7">
        <v>124.7</v>
      </c>
      <c r="G192" s="7">
        <v>145.5</v>
      </c>
      <c r="H192" s="7">
        <v>110.7</v>
      </c>
      <c r="I192" s="7">
        <v>4.5999999999999996</v>
      </c>
      <c r="J192" s="7">
        <v>2.6</v>
      </c>
      <c r="K192" s="7">
        <v>16.3</v>
      </c>
      <c r="L192" s="7">
        <v>5.8</v>
      </c>
      <c r="M192" s="7">
        <v>84.6</v>
      </c>
      <c r="N192" s="7">
        <v>1.31</v>
      </c>
      <c r="O192" s="7">
        <v>15.1</v>
      </c>
    </row>
    <row r="193" spans="1:15" x14ac:dyDescent="0.25">
      <c r="A193" s="34" t="s">
        <v>126</v>
      </c>
      <c r="B193" s="8">
        <v>45670</v>
      </c>
      <c r="C193" s="7" t="s">
        <v>105</v>
      </c>
      <c r="D193" s="7" t="s">
        <v>102</v>
      </c>
      <c r="E193" s="7" t="s">
        <v>106</v>
      </c>
      <c r="F193" s="7">
        <v>111.6</v>
      </c>
      <c r="G193" s="7">
        <v>114.9</v>
      </c>
      <c r="H193" s="7">
        <v>87.3</v>
      </c>
      <c r="I193" s="7">
        <v>34.6</v>
      </c>
      <c r="J193" s="7">
        <v>9</v>
      </c>
      <c r="K193" s="7">
        <v>96.9</v>
      </c>
      <c r="L193" s="7">
        <v>22.7</v>
      </c>
      <c r="M193" s="7">
        <v>80.099999999999994</v>
      </c>
      <c r="N193" s="7">
        <v>1.0900000000000001</v>
      </c>
      <c r="O193" s="7">
        <v>54.3</v>
      </c>
    </row>
    <row r="194" spans="1:15" x14ac:dyDescent="0.25">
      <c r="A194" s="34" t="s">
        <v>126</v>
      </c>
      <c r="B194" s="8">
        <v>45670</v>
      </c>
      <c r="C194" s="7" t="s">
        <v>105</v>
      </c>
      <c r="D194" s="7" t="s">
        <v>102</v>
      </c>
      <c r="E194" s="7" t="s">
        <v>106</v>
      </c>
      <c r="F194" s="7">
        <v>135.69999999999999</v>
      </c>
      <c r="G194" s="7">
        <v>137.80000000000001</v>
      </c>
      <c r="H194" s="7">
        <v>100</v>
      </c>
      <c r="I194" s="7">
        <v>32.200000000000003</v>
      </c>
      <c r="J194" s="7">
        <v>2.4</v>
      </c>
      <c r="K194" s="7">
        <v>118.8</v>
      </c>
      <c r="L194" s="7">
        <v>1.5</v>
      </c>
      <c r="M194" s="7">
        <v>82.4</v>
      </c>
      <c r="N194" s="7">
        <v>1.21</v>
      </c>
      <c r="O194" s="7">
        <v>55.7</v>
      </c>
    </row>
    <row r="195" spans="1:15" x14ac:dyDescent="0.25">
      <c r="A195" s="34" t="s">
        <v>126</v>
      </c>
      <c r="B195" s="8">
        <v>45670</v>
      </c>
      <c r="C195" s="7" t="s">
        <v>105</v>
      </c>
      <c r="D195" s="7" t="s">
        <v>102</v>
      </c>
      <c r="E195" s="7" t="s">
        <v>106</v>
      </c>
      <c r="F195" s="7">
        <v>128</v>
      </c>
      <c r="G195" s="7">
        <v>132.4</v>
      </c>
      <c r="H195" s="7">
        <v>95.8</v>
      </c>
      <c r="I195" s="7">
        <v>30.7</v>
      </c>
      <c r="J195" s="7">
        <v>3.3</v>
      </c>
      <c r="K195" s="7">
        <v>103.3</v>
      </c>
      <c r="L195" s="7">
        <v>8.3000000000000007</v>
      </c>
      <c r="M195" s="7">
        <v>81.8</v>
      </c>
      <c r="N195" s="7">
        <v>1.17</v>
      </c>
      <c r="O195" s="7">
        <v>53.2</v>
      </c>
    </row>
    <row r="196" spans="1:15" x14ac:dyDescent="0.25">
      <c r="A196" s="34" t="s">
        <v>126</v>
      </c>
      <c r="B196" s="8">
        <v>45670</v>
      </c>
      <c r="C196" s="7" t="s">
        <v>105</v>
      </c>
      <c r="D196" s="7" t="s">
        <v>102</v>
      </c>
      <c r="E196" s="7" t="s">
        <v>106</v>
      </c>
      <c r="F196" s="7">
        <v>112.7</v>
      </c>
      <c r="G196" s="7">
        <v>116</v>
      </c>
      <c r="H196" s="7">
        <v>87.6</v>
      </c>
      <c r="I196" s="7">
        <v>33.9</v>
      </c>
      <c r="J196" s="7">
        <v>7.5</v>
      </c>
      <c r="K196" s="7">
        <v>95.8</v>
      </c>
      <c r="L196" s="7">
        <v>23.5</v>
      </c>
      <c r="M196" s="7">
        <v>82.4</v>
      </c>
      <c r="N196" s="7">
        <v>1.06</v>
      </c>
      <c r="O196" s="7">
        <v>53.8</v>
      </c>
    </row>
    <row r="197" spans="1:15" x14ac:dyDescent="0.25">
      <c r="A197" s="34" t="s">
        <v>126</v>
      </c>
      <c r="B197" s="8">
        <v>45670</v>
      </c>
      <c r="C197" s="7" t="s">
        <v>105</v>
      </c>
      <c r="D197" s="7" t="s">
        <v>102</v>
      </c>
      <c r="E197" s="7" t="s">
        <v>106</v>
      </c>
      <c r="F197" s="7">
        <v>130.19999999999999</v>
      </c>
      <c r="G197" s="7">
        <v>132.4</v>
      </c>
      <c r="H197" s="7">
        <v>97.3</v>
      </c>
      <c r="I197" s="7">
        <v>32.799999999999997</v>
      </c>
      <c r="J197" s="7">
        <v>4.3</v>
      </c>
      <c r="K197" s="7">
        <v>114.5</v>
      </c>
      <c r="L197" s="7">
        <v>9.8000000000000007</v>
      </c>
      <c r="M197" s="7">
        <v>83.5</v>
      </c>
      <c r="N197" s="7">
        <v>1.17</v>
      </c>
      <c r="O197" s="7">
        <v>55.5</v>
      </c>
    </row>
    <row r="198" spans="1:15" x14ac:dyDescent="0.25">
      <c r="A198" s="34" t="s">
        <v>126</v>
      </c>
      <c r="B198" s="8">
        <v>45670</v>
      </c>
      <c r="C198" s="7" t="s">
        <v>105</v>
      </c>
      <c r="D198" s="7" t="s">
        <v>102</v>
      </c>
      <c r="E198" s="7" t="s">
        <v>106</v>
      </c>
      <c r="F198" s="7">
        <v>141.1</v>
      </c>
      <c r="G198" s="7">
        <v>146.6</v>
      </c>
      <c r="H198" s="7">
        <v>102.8</v>
      </c>
      <c r="I198" s="7">
        <v>27.5</v>
      </c>
      <c r="J198" s="7">
        <v>-4.5999999999999996</v>
      </c>
      <c r="K198" s="7">
        <v>107</v>
      </c>
      <c r="L198" s="7">
        <v>-27</v>
      </c>
      <c r="M198" s="7">
        <v>84</v>
      </c>
      <c r="N198" s="7">
        <v>1.22</v>
      </c>
      <c r="O198" s="7">
        <v>52.4</v>
      </c>
    </row>
    <row r="199" spans="1:15" x14ac:dyDescent="0.25">
      <c r="A199" s="34" t="s">
        <v>126</v>
      </c>
      <c r="B199" s="8">
        <v>45670</v>
      </c>
      <c r="C199" s="7" t="s">
        <v>105</v>
      </c>
      <c r="D199" s="7" t="s">
        <v>102</v>
      </c>
      <c r="E199" s="7" t="s">
        <v>106</v>
      </c>
      <c r="F199" s="7">
        <v>125.8</v>
      </c>
      <c r="G199" s="7">
        <v>129.1</v>
      </c>
      <c r="H199" s="7">
        <v>95.2</v>
      </c>
      <c r="I199" s="7">
        <v>33.299999999999997</v>
      </c>
      <c r="J199" s="7">
        <v>4.5999999999999996</v>
      </c>
      <c r="K199" s="7">
        <v>111.4</v>
      </c>
      <c r="L199" s="7">
        <v>14.7</v>
      </c>
      <c r="M199" s="7">
        <v>84.6</v>
      </c>
      <c r="N199" s="7">
        <v>1.1299999999999999</v>
      </c>
      <c r="O199" s="7">
        <v>55.6</v>
      </c>
    </row>
    <row r="200" spans="1:15" x14ac:dyDescent="0.25">
      <c r="A200" s="34" t="s">
        <v>126</v>
      </c>
      <c r="B200" s="8">
        <v>45670</v>
      </c>
      <c r="C200" s="7" t="s">
        <v>105</v>
      </c>
      <c r="D200" s="7" t="s">
        <v>102</v>
      </c>
      <c r="E200" s="7" t="s">
        <v>106</v>
      </c>
      <c r="F200" s="7">
        <v>145.5</v>
      </c>
      <c r="G200" s="7">
        <v>148.80000000000001</v>
      </c>
      <c r="H200" s="7">
        <v>106.7</v>
      </c>
      <c r="I200" s="7">
        <v>30.9</v>
      </c>
      <c r="J200" s="7">
        <v>-3.4</v>
      </c>
      <c r="K200" s="7">
        <v>129.69999999999999</v>
      </c>
      <c r="L200" s="7">
        <v>-20.399999999999999</v>
      </c>
      <c r="M200" s="7">
        <v>85.1</v>
      </c>
      <c r="N200" s="7">
        <v>1.25</v>
      </c>
      <c r="O200" s="7">
        <v>56.6</v>
      </c>
    </row>
    <row r="201" spans="1:15" x14ac:dyDescent="0.25">
      <c r="A201" s="34" t="s">
        <v>126</v>
      </c>
      <c r="B201" s="8">
        <v>45670</v>
      </c>
      <c r="C201" s="7" t="s">
        <v>105</v>
      </c>
      <c r="D201" s="7" t="s">
        <v>102</v>
      </c>
      <c r="E201" s="7" t="s">
        <v>106</v>
      </c>
      <c r="F201" s="7">
        <v>126.9</v>
      </c>
      <c r="G201" s="7">
        <v>130.19999999999999</v>
      </c>
      <c r="H201" s="7">
        <v>94.9</v>
      </c>
      <c r="I201" s="7">
        <v>30.1</v>
      </c>
      <c r="J201" s="7">
        <v>0.5</v>
      </c>
      <c r="K201" s="7">
        <v>99.3</v>
      </c>
      <c r="L201" s="7">
        <v>-0.2</v>
      </c>
      <c r="M201" s="7">
        <v>83.5</v>
      </c>
      <c r="N201" s="7">
        <v>1.1399999999999999</v>
      </c>
      <c r="O201" s="7">
        <v>52.5</v>
      </c>
    </row>
    <row r="202" spans="1:15" x14ac:dyDescent="0.25">
      <c r="A202" s="34" t="s">
        <v>126</v>
      </c>
      <c r="B202" s="8">
        <v>45670</v>
      </c>
      <c r="C202" s="7" t="s">
        <v>107</v>
      </c>
      <c r="D202" s="7" t="s">
        <v>102</v>
      </c>
      <c r="E202" s="7" t="s">
        <v>106</v>
      </c>
      <c r="F202" s="7">
        <v>131.30000000000001</v>
      </c>
      <c r="G202" s="7">
        <v>152.1</v>
      </c>
      <c r="H202" s="7">
        <v>113.2</v>
      </c>
      <c r="I202" s="7">
        <v>4.7</v>
      </c>
      <c r="J202" s="7">
        <v>-0.8</v>
      </c>
      <c r="K202" s="7">
        <v>19.100000000000001</v>
      </c>
      <c r="L202" s="7">
        <v>3.6</v>
      </c>
      <c r="M202" s="7">
        <v>86.8</v>
      </c>
      <c r="N202" s="7">
        <v>1.3</v>
      </c>
      <c r="O202" s="7">
        <v>17.100000000000001</v>
      </c>
    </row>
    <row r="203" spans="1:15" x14ac:dyDescent="0.25">
      <c r="A203" s="34" t="s">
        <v>126</v>
      </c>
      <c r="B203" s="8">
        <v>45670</v>
      </c>
      <c r="C203" s="7" t="s">
        <v>107</v>
      </c>
      <c r="D203" s="7" t="s">
        <v>102</v>
      </c>
      <c r="E203" s="7" t="s">
        <v>106</v>
      </c>
      <c r="F203" s="7">
        <v>138.9</v>
      </c>
      <c r="G203" s="7">
        <v>146.6</v>
      </c>
      <c r="H203" s="7">
        <v>102.8</v>
      </c>
      <c r="I203" s="7">
        <v>18.3</v>
      </c>
      <c r="J203" s="7">
        <v>5.2</v>
      </c>
      <c r="K203" s="7">
        <v>68.599999999999994</v>
      </c>
      <c r="L203" s="7">
        <v>23.9</v>
      </c>
      <c r="M203" s="7">
        <v>86.8</v>
      </c>
      <c r="N203" s="7">
        <v>1.18</v>
      </c>
      <c r="O203" s="7">
        <v>42.1</v>
      </c>
    </row>
    <row r="204" spans="1:15" x14ac:dyDescent="0.25">
      <c r="A204" s="34" t="s">
        <v>126</v>
      </c>
      <c r="B204" s="8">
        <v>45670</v>
      </c>
      <c r="C204" s="7" t="s">
        <v>107</v>
      </c>
      <c r="D204" s="7" t="s">
        <v>102</v>
      </c>
      <c r="E204" s="7" t="s">
        <v>106</v>
      </c>
      <c r="F204" s="7">
        <v>155.30000000000001</v>
      </c>
      <c r="G204" s="7">
        <v>159.69999999999999</v>
      </c>
      <c r="H204" s="7">
        <v>110.7</v>
      </c>
      <c r="I204" s="7">
        <v>25.8</v>
      </c>
      <c r="J204" s="7">
        <v>-1.6</v>
      </c>
      <c r="K204" s="7">
        <v>117.4</v>
      </c>
      <c r="L204" s="7">
        <v>-8.5</v>
      </c>
      <c r="M204" s="7">
        <v>88.9</v>
      </c>
      <c r="N204" s="7">
        <v>1.25</v>
      </c>
      <c r="O204" s="7">
        <v>53</v>
      </c>
    </row>
    <row r="205" spans="1:15" x14ac:dyDescent="0.25">
      <c r="A205" s="34" t="s">
        <v>126</v>
      </c>
      <c r="B205" s="8">
        <v>45670</v>
      </c>
      <c r="C205" s="7" t="s">
        <v>107</v>
      </c>
      <c r="D205" s="7" t="s">
        <v>102</v>
      </c>
      <c r="E205" s="7" t="s">
        <v>106</v>
      </c>
      <c r="F205" s="7">
        <v>129.1</v>
      </c>
      <c r="G205" s="7">
        <v>134.6</v>
      </c>
      <c r="H205" s="7">
        <v>96.2</v>
      </c>
      <c r="I205" s="7">
        <v>24.6</v>
      </c>
      <c r="J205" s="7">
        <v>6</v>
      </c>
      <c r="K205" s="7">
        <v>81.5</v>
      </c>
      <c r="L205" s="7">
        <v>13.6</v>
      </c>
      <c r="M205" s="7">
        <v>82.9</v>
      </c>
      <c r="N205" s="7">
        <v>1.1599999999999999</v>
      </c>
      <c r="O205" s="7">
        <v>47.4</v>
      </c>
    </row>
    <row r="206" spans="1:15" x14ac:dyDescent="0.25">
      <c r="A206" s="34" t="s">
        <v>126</v>
      </c>
      <c r="B206" s="2">
        <v>45766</v>
      </c>
      <c r="C206" s="12" t="s">
        <v>120</v>
      </c>
      <c r="D206" t="s">
        <v>98</v>
      </c>
      <c r="E206" t="s">
        <v>99</v>
      </c>
      <c r="F206">
        <v>31.7</v>
      </c>
      <c r="G206">
        <v>38.299999999999997</v>
      </c>
      <c r="H206">
        <v>40.200000000000003</v>
      </c>
      <c r="I206">
        <v>31.9</v>
      </c>
      <c r="J206">
        <v>0.2</v>
      </c>
      <c r="K206">
        <v>16.5</v>
      </c>
      <c r="L206">
        <v>0</v>
      </c>
      <c r="M206">
        <v>52.6</v>
      </c>
      <c r="N206">
        <v>0.76</v>
      </c>
      <c r="O206">
        <v>36.299999999999997</v>
      </c>
    </row>
    <row r="207" spans="1:15" x14ac:dyDescent="0.25">
      <c r="A207" s="34" t="s">
        <v>126</v>
      </c>
      <c r="B207" s="2">
        <v>45766</v>
      </c>
      <c r="C207" s="12" t="s">
        <v>120</v>
      </c>
      <c r="D207" t="s">
        <v>98</v>
      </c>
      <c r="E207" t="s">
        <v>99</v>
      </c>
      <c r="F207">
        <v>28.4</v>
      </c>
      <c r="G207">
        <v>32.799999999999997</v>
      </c>
      <c r="H207">
        <v>39.6</v>
      </c>
      <c r="I207">
        <v>40.799999999999997</v>
      </c>
      <c r="J207">
        <v>-2.9</v>
      </c>
      <c r="K207">
        <v>23.6</v>
      </c>
      <c r="L207">
        <v>-1.9</v>
      </c>
      <c r="M207">
        <v>46.4</v>
      </c>
      <c r="N207">
        <v>0.85</v>
      </c>
      <c r="O207">
        <v>45.5</v>
      </c>
    </row>
    <row r="208" spans="1:15" x14ac:dyDescent="0.25">
      <c r="A208" s="34" t="s">
        <v>126</v>
      </c>
      <c r="B208" s="2">
        <v>45766</v>
      </c>
      <c r="C208" s="12" t="s">
        <v>120</v>
      </c>
      <c r="D208" t="s">
        <v>98</v>
      </c>
      <c r="E208" t="s">
        <v>99</v>
      </c>
      <c r="F208">
        <v>28.4</v>
      </c>
      <c r="G208">
        <v>33.9</v>
      </c>
      <c r="H208">
        <v>40.4</v>
      </c>
      <c r="I208">
        <v>37.1</v>
      </c>
      <c r="J208">
        <v>2.2999999999999998</v>
      </c>
      <c r="K208">
        <v>21.2</v>
      </c>
      <c r="L208">
        <v>1.1000000000000001</v>
      </c>
      <c r="M208">
        <v>37.200000000000003</v>
      </c>
      <c r="N208">
        <v>1.0900000000000001</v>
      </c>
      <c r="O208">
        <v>41.7</v>
      </c>
    </row>
    <row r="209" spans="1:15" x14ac:dyDescent="0.25">
      <c r="A209" s="34" t="s">
        <v>126</v>
      </c>
      <c r="B209" s="2">
        <v>45766</v>
      </c>
      <c r="C209" s="12" t="s">
        <v>120</v>
      </c>
      <c r="D209" t="s">
        <v>98</v>
      </c>
      <c r="E209" t="s">
        <v>99</v>
      </c>
      <c r="F209">
        <v>31.7</v>
      </c>
      <c r="G209">
        <v>37.200000000000003</v>
      </c>
      <c r="H209">
        <v>40.5</v>
      </c>
      <c r="I209">
        <v>37.4</v>
      </c>
      <c r="J209">
        <v>3.6</v>
      </c>
      <c r="K209">
        <v>21.6</v>
      </c>
      <c r="L209">
        <v>1.9</v>
      </c>
      <c r="M209">
        <v>55.3</v>
      </c>
      <c r="N209">
        <v>0.73</v>
      </c>
      <c r="O209">
        <v>42.2</v>
      </c>
    </row>
    <row r="210" spans="1:15" x14ac:dyDescent="0.25">
      <c r="A210" s="34" t="s">
        <v>126</v>
      </c>
      <c r="B210" s="2">
        <v>45766</v>
      </c>
      <c r="C210" s="12" t="s">
        <v>120</v>
      </c>
      <c r="D210" t="s">
        <v>98</v>
      </c>
      <c r="E210" t="s">
        <v>99</v>
      </c>
      <c r="F210">
        <v>24.1</v>
      </c>
      <c r="G210">
        <v>29.5</v>
      </c>
      <c r="H210">
        <v>37.200000000000003</v>
      </c>
      <c r="I210">
        <v>36.5</v>
      </c>
      <c r="J210">
        <v>3.5</v>
      </c>
      <c r="K210">
        <v>17.399999999999999</v>
      </c>
      <c r="L210">
        <v>1.4</v>
      </c>
      <c r="M210">
        <v>44.8</v>
      </c>
      <c r="N210">
        <v>0.83</v>
      </c>
      <c r="O210">
        <v>40.4</v>
      </c>
    </row>
    <row r="211" spans="1:15" x14ac:dyDescent="0.25">
      <c r="A211" s="34" t="s">
        <v>126</v>
      </c>
      <c r="B211" s="2">
        <v>45766</v>
      </c>
      <c r="C211" s="12" t="s">
        <v>120</v>
      </c>
      <c r="D211" t="s">
        <v>98</v>
      </c>
      <c r="E211" t="s">
        <v>99</v>
      </c>
      <c r="F211">
        <v>24.1</v>
      </c>
      <c r="G211">
        <v>28.4</v>
      </c>
      <c r="H211">
        <v>35.799999999999997</v>
      </c>
      <c r="I211">
        <v>48</v>
      </c>
      <c r="J211">
        <v>-2.2999999999999998</v>
      </c>
      <c r="K211">
        <v>24.3</v>
      </c>
      <c r="L211">
        <v>-0.8</v>
      </c>
      <c r="M211">
        <v>37</v>
      </c>
      <c r="N211">
        <v>0.97</v>
      </c>
      <c r="O211">
        <v>51.9</v>
      </c>
    </row>
    <row r="212" spans="1:15" x14ac:dyDescent="0.25">
      <c r="A212" s="34" t="s">
        <v>126</v>
      </c>
      <c r="B212" s="2">
        <v>45766</v>
      </c>
      <c r="C212" s="12" t="s">
        <v>120</v>
      </c>
      <c r="D212" t="s">
        <v>98</v>
      </c>
      <c r="E212" t="s">
        <v>99</v>
      </c>
      <c r="F212">
        <v>28.4</v>
      </c>
      <c r="G212">
        <v>33.9</v>
      </c>
      <c r="H212">
        <v>39</v>
      </c>
      <c r="I212">
        <v>38.1</v>
      </c>
      <c r="J212">
        <v>1.8</v>
      </c>
      <c r="K212">
        <v>20.5</v>
      </c>
      <c r="L212">
        <v>0.9</v>
      </c>
      <c r="M212">
        <v>36.700000000000003</v>
      </c>
      <c r="N212">
        <v>1.06</v>
      </c>
      <c r="O212">
        <v>42.5</v>
      </c>
    </row>
    <row r="213" spans="1:15" x14ac:dyDescent="0.25">
      <c r="A213" s="34" t="s">
        <v>126</v>
      </c>
      <c r="B213" s="2">
        <v>45766</v>
      </c>
      <c r="C213" s="12" t="s">
        <v>120</v>
      </c>
      <c r="D213" t="s">
        <v>98</v>
      </c>
      <c r="E213" t="s">
        <v>99</v>
      </c>
      <c r="F213">
        <v>20.8</v>
      </c>
      <c r="G213">
        <v>30.6</v>
      </c>
      <c r="H213">
        <v>36.799999999999997</v>
      </c>
      <c r="I213">
        <v>26.3</v>
      </c>
      <c r="J213">
        <v>27.2</v>
      </c>
      <c r="K213">
        <v>9.6999999999999993</v>
      </c>
      <c r="L213">
        <v>10</v>
      </c>
      <c r="M213">
        <v>37.5</v>
      </c>
      <c r="N213">
        <v>0.98</v>
      </c>
      <c r="O213">
        <v>29.1</v>
      </c>
    </row>
    <row r="214" spans="1:15" x14ac:dyDescent="0.25">
      <c r="A214" s="34" t="s">
        <v>126</v>
      </c>
      <c r="B214" s="2">
        <v>45766</v>
      </c>
      <c r="C214" s="12" t="s">
        <v>120</v>
      </c>
      <c r="D214" t="s">
        <v>98</v>
      </c>
      <c r="E214" t="s">
        <v>99</v>
      </c>
      <c r="F214">
        <v>25.2</v>
      </c>
      <c r="G214">
        <v>31.7</v>
      </c>
      <c r="H214">
        <v>38.700000000000003</v>
      </c>
      <c r="I214">
        <v>34.200000000000003</v>
      </c>
      <c r="J214">
        <v>-1.1000000000000001</v>
      </c>
      <c r="K214">
        <v>17</v>
      </c>
      <c r="L214">
        <v>-0.4</v>
      </c>
      <c r="M214">
        <v>36.299999999999997</v>
      </c>
      <c r="N214">
        <v>1.06</v>
      </c>
      <c r="O214">
        <v>38.200000000000003</v>
      </c>
    </row>
    <row r="215" spans="1:15" x14ac:dyDescent="0.25">
      <c r="A215" s="34" t="s">
        <v>126</v>
      </c>
      <c r="B215" s="2">
        <v>45766</v>
      </c>
      <c r="C215" s="12" t="s">
        <v>120</v>
      </c>
      <c r="D215" t="s">
        <v>98</v>
      </c>
      <c r="E215" t="s">
        <v>99</v>
      </c>
      <c r="F215">
        <v>26.3</v>
      </c>
      <c r="G215">
        <v>31.7</v>
      </c>
      <c r="H215">
        <v>39.200000000000003</v>
      </c>
      <c r="I215">
        <v>37.9</v>
      </c>
      <c r="J215">
        <v>-3.9</v>
      </c>
      <c r="K215">
        <v>20.6</v>
      </c>
      <c r="L215">
        <v>-1.9</v>
      </c>
      <c r="M215">
        <v>40.700000000000003</v>
      </c>
      <c r="N215">
        <v>0.96</v>
      </c>
      <c r="O215">
        <v>42.4</v>
      </c>
    </row>
    <row r="216" spans="1:15" x14ac:dyDescent="0.25">
      <c r="A216" s="34" t="s">
        <v>126</v>
      </c>
      <c r="B216" s="2">
        <v>45766</v>
      </c>
      <c r="C216" s="12" t="s">
        <v>120</v>
      </c>
      <c r="D216" t="s">
        <v>98</v>
      </c>
      <c r="E216" t="s">
        <v>99</v>
      </c>
      <c r="F216">
        <v>29.5</v>
      </c>
      <c r="G216">
        <v>36.1</v>
      </c>
      <c r="H216">
        <v>40.200000000000003</v>
      </c>
      <c r="I216">
        <v>38.5</v>
      </c>
      <c r="J216">
        <v>-1</v>
      </c>
      <c r="K216">
        <v>22.2</v>
      </c>
      <c r="L216">
        <v>-0.2</v>
      </c>
      <c r="M216">
        <v>37.5</v>
      </c>
      <c r="N216">
        <v>1.07</v>
      </c>
      <c r="O216">
        <v>43.1</v>
      </c>
    </row>
    <row r="217" spans="1:15" x14ac:dyDescent="0.25">
      <c r="A217" s="34" t="s">
        <v>126</v>
      </c>
      <c r="B217" s="2">
        <v>45766</v>
      </c>
      <c r="C217" s="12" t="s">
        <v>120</v>
      </c>
      <c r="D217" t="s">
        <v>98</v>
      </c>
      <c r="E217" t="s">
        <v>99</v>
      </c>
      <c r="F217">
        <v>23</v>
      </c>
      <c r="G217">
        <v>26.3</v>
      </c>
      <c r="H217">
        <v>33.4</v>
      </c>
      <c r="I217">
        <v>43.9</v>
      </c>
      <c r="J217">
        <v>-1.2</v>
      </c>
      <c r="K217">
        <v>18.600000000000001</v>
      </c>
      <c r="L217">
        <v>-0.5</v>
      </c>
      <c r="M217">
        <v>35.4</v>
      </c>
      <c r="N217">
        <v>0.94</v>
      </c>
      <c r="O217">
        <v>47.2</v>
      </c>
    </row>
    <row r="218" spans="1:15" x14ac:dyDescent="0.25">
      <c r="A218" s="34" t="s">
        <v>126</v>
      </c>
      <c r="B218" s="2">
        <v>45766</v>
      </c>
      <c r="C218" s="12" t="s">
        <v>120</v>
      </c>
      <c r="D218" t="s">
        <v>98</v>
      </c>
      <c r="E218" t="s">
        <v>99</v>
      </c>
      <c r="F218">
        <v>26.3</v>
      </c>
      <c r="G218">
        <v>33.9</v>
      </c>
      <c r="H218">
        <v>38.299999999999997</v>
      </c>
      <c r="I218">
        <v>34.1</v>
      </c>
      <c r="J218">
        <v>2</v>
      </c>
      <c r="K218">
        <v>16.600000000000001</v>
      </c>
      <c r="L218">
        <v>1.2</v>
      </c>
      <c r="M218">
        <v>45.7</v>
      </c>
      <c r="N218">
        <v>0.84</v>
      </c>
      <c r="O218">
        <v>38.1</v>
      </c>
    </row>
    <row r="219" spans="1:15" x14ac:dyDescent="0.25">
      <c r="A219" s="34" t="s">
        <v>126</v>
      </c>
      <c r="B219" s="2">
        <v>45766</v>
      </c>
      <c r="C219" s="12" t="s">
        <v>120</v>
      </c>
      <c r="D219" t="s">
        <v>98</v>
      </c>
      <c r="E219" t="s">
        <v>99</v>
      </c>
      <c r="F219">
        <v>26.3</v>
      </c>
      <c r="G219">
        <v>33.9</v>
      </c>
      <c r="H219">
        <v>40</v>
      </c>
      <c r="I219">
        <v>32.200000000000003</v>
      </c>
      <c r="J219">
        <v>0.8</v>
      </c>
      <c r="K219">
        <v>16.5</v>
      </c>
      <c r="L219">
        <v>-0.1</v>
      </c>
      <c r="M219">
        <v>38.5</v>
      </c>
      <c r="N219">
        <v>1.04</v>
      </c>
      <c r="O219">
        <v>36.299999999999997</v>
      </c>
    </row>
    <row r="220" spans="1:15" x14ac:dyDescent="0.25">
      <c r="A220" s="34" t="s">
        <v>126</v>
      </c>
      <c r="B220" s="2">
        <v>45766</v>
      </c>
      <c r="C220" s="12" t="s">
        <v>120</v>
      </c>
      <c r="D220" t="s">
        <v>98</v>
      </c>
      <c r="E220" t="s">
        <v>99</v>
      </c>
      <c r="F220">
        <v>28.4</v>
      </c>
      <c r="G220">
        <v>33.9</v>
      </c>
      <c r="H220">
        <v>38.5</v>
      </c>
      <c r="I220">
        <v>37.799999999999997</v>
      </c>
      <c r="J220">
        <v>4.5</v>
      </c>
      <c r="K220">
        <v>19.7</v>
      </c>
      <c r="L220">
        <v>2.1</v>
      </c>
      <c r="M220">
        <v>40</v>
      </c>
      <c r="N220">
        <v>0.96</v>
      </c>
      <c r="O220">
        <v>42</v>
      </c>
    </row>
    <row r="221" spans="1:15" x14ac:dyDescent="0.25">
      <c r="A221" s="34" t="s">
        <v>126</v>
      </c>
      <c r="B221" s="2">
        <v>45766</v>
      </c>
      <c r="C221" s="12" t="s">
        <v>120</v>
      </c>
      <c r="D221" t="s">
        <v>98</v>
      </c>
      <c r="E221" t="s">
        <v>99</v>
      </c>
      <c r="F221">
        <v>27.4</v>
      </c>
      <c r="G221">
        <v>33.9</v>
      </c>
      <c r="H221">
        <v>38.9</v>
      </c>
      <c r="I221">
        <v>41.1</v>
      </c>
      <c r="J221">
        <v>3.9</v>
      </c>
      <c r="K221">
        <v>22.9</v>
      </c>
      <c r="L221">
        <v>1.6</v>
      </c>
      <c r="M221">
        <v>39.6</v>
      </c>
      <c r="N221">
        <v>0.98</v>
      </c>
      <c r="O221">
        <v>45.5</v>
      </c>
    </row>
    <row r="222" spans="1:15" x14ac:dyDescent="0.25">
      <c r="A222" s="34" t="s">
        <v>126</v>
      </c>
      <c r="B222" s="2">
        <v>45766</v>
      </c>
      <c r="C222" s="12" t="s">
        <v>120</v>
      </c>
      <c r="D222" t="s">
        <v>98</v>
      </c>
      <c r="E222" t="s">
        <v>99</v>
      </c>
      <c r="F222">
        <v>27.4</v>
      </c>
      <c r="G222">
        <v>35</v>
      </c>
      <c r="H222">
        <v>40.6</v>
      </c>
      <c r="I222">
        <v>35.200000000000003</v>
      </c>
      <c r="J222">
        <v>2.6</v>
      </c>
      <c r="K222">
        <v>19.7</v>
      </c>
      <c r="L222">
        <v>1.3</v>
      </c>
      <c r="M222">
        <v>39.9</v>
      </c>
      <c r="N222">
        <v>1.02</v>
      </c>
      <c r="O222">
        <v>39.799999999999997</v>
      </c>
    </row>
    <row r="223" spans="1:15" x14ac:dyDescent="0.25">
      <c r="A223" s="34" t="s">
        <v>126</v>
      </c>
      <c r="B223" s="2">
        <v>45766</v>
      </c>
      <c r="C223" s="12" t="s">
        <v>120</v>
      </c>
      <c r="D223" t="s">
        <v>98</v>
      </c>
      <c r="E223" t="s">
        <v>99</v>
      </c>
      <c r="F223">
        <v>28.4</v>
      </c>
      <c r="G223">
        <v>32.799999999999997</v>
      </c>
      <c r="H223">
        <v>38.4</v>
      </c>
      <c r="I223">
        <v>47.5</v>
      </c>
      <c r="J223">
        <v>-0.5</v>
      </c>
      <c r="K223">
        <v>27.5</v>
      </c>
      <c r="L223">
        <v>-0.2</v>
      </c>
      <c r="M223">
        <v>48.4</v>
      </c>
      <c r="N223">
        <v>0.79</v>
      </c>
      <c r="O223">
        <v>51.9</v>
      </c>
    </row>
    <row r="224" spans="1:15" x14ac:dyDescent="0.25">
      <c r="A224" s="34" t="s">
        <v>126</v>
      </c>
      <c r="B224" s="2">
        <v>45766</v>
      </c>
      <c r="C224" s="12" t="s">
        <v>120</v>
      </c>
      <c r="D224" t="s">
        <v>98</v>
      </c>
      <c r="E224" t="s">
        <v>99</v>
      </c>
      <c r="F224">
        <v>25.2</v>
      </c>
      <c r="G224">
        <v>32.799999999999997</v>
      </c>
      <c r="H224">
        <v>38.299999999999997</v>
      </c>
      <c r="I224">
        <v>39.5</v>
      </c>
      <c r="J224">
        <v>3.6</v>
      </c>
      <c r="K224">
        <v>21</v>
      </c>
      <c r="L224">
        <v>2.2999999999999998</v>
      </c>
      <c r="M224">
        <v>39.5</v>
      </c>
      <c r="N224">
        <v>0.97</v>
      </c>
      <c r="O224">
        <v>43.8</v>
      </c>
    </row>
    <row r="225" spans="1:15" x14ac:dyDescent="0.25">
      <c r="A225" s="34" t="s">
        <v>126</v>
      </c>
      <c r="B225" s="2">
        <v>45766</v>
      </c>
      <c r="C225" s="12" t="s">
        <v>120</v>
      </c>
      <c r="D225" t="s">
        <v>98</v>
      </c>
      <c r="E225" t="s">
        <v>99</v>
      </c>
      <c r="F225">
        <v>45.9</v>
      </c>
      <c r="G225">
        <v>58</v>
      </c>
      <c r="H225">
        <v>59.7</v>
      </c>
      <c r="I225">
        <v>24.3</v>
      </c>
      <c r="J225">
        <v>2.9</v>
      </c>
      <c r="K225">
        <v>25.7</v>
      </c>
      <c r="L225">
        <v>3.8</v>
      </c>
      <c r="M225">
        <v>59.9</v>
      </c>
      <c r="N225">
        <v>1</v>
      </c>
      <c r="O225">
        <v>33</v>
      </c>
    </row>
    <row r="226" spans="1:15" x14ac:dyDescent="0.25">
      <c r="A226" s="34" t="s">
        <v>126</v>
      </c>
      <c r="B226" s="2">
        <v>45766</v>
      </c>
      <c r="C226" s="12" t="s">
        <v>120</v>
      </c>
      <c r="D226" t="s">
        <v>98</v>
      </c>
      <c r="E226" t="s">
        <v>99</v>
      </c>
      <c r="F226">
        <v>28.4</v>
      </c>
      <c r="G226">
        <v>36.1</v>
      </c>
      <c r="H226">
        <v>44</v>
      </c>
      <c r="I226">
        <v>31.3</v>
      </c>
      <c r="J226">
        <v>-0.1</v>
      </c>
      <c r="K226">
        <v>19.3</v>
      </c>
      <c r="L226">
        <v>0</v>
      </c>
      <c r="M226">
        <v>46.4</v>
      </c>
      <c r="N226">
        <v>0.95</v>
      </c>
      <c r="O226">
        <v>36.4</v>
      </c>
    </row>
    <row r="227" spans="1:15" x14ac:dyDescent="0.25">
      <c r="A227" s="34" t="s">
        <v>126</v>
      </c>
      <c r="B227" s="2">
        <v>45766</v>
      </c>
      <c r="C227" s="12" t="s">
        <v>120</v>
      </c>
      <c r="D227" t="s">
        <v>98</v>
      </c>
      <c r="E227" t="s">
        <v>99</v>
      </c>
      <c r="F227">
        <v>28.4</v>
      </c>
      <c r="G227">
        <v>35</v>
      </c>
      <c r="H227">
        <v>42.6</v>
      </c>
      <c r="I227">
        <v>33.700000000000003</v>
      </c>
      <c r="J227">
        <v>5.4</v>
      </c>
      <c r="K227">
        <v>20.3</v>
      </c>
      <c r="L227">
        <v>3.8</v>
      </c>
      <c r="M227">
        <v>47.9</v>
      </c>
      <c r="N227">
        <v>0.89</v>
      </c>
      <c r="O227">
        <v>38.700000000000003</v>
      </c>
    </row>
    <row r="228" spans="1:15" x14ac:dyDescent="0.25">
      <c r="A228" s="34" t="s">
        <v>126</v>
      </c>
      <c r="B228" s="2">
        <v>45766</v>
      </c>
      <c r="C228" s="12" t="s">
        <v>120</v>
      </c>
      <c r="D228" t="s">
        <v>98</v>
      </c>
      <c r="E228" t="s">
        <v>99</v>
      </c>
      <c r="F228">
        <v>30.6</v>
      </c>
      <c r="G228">
        <v>38.299999999999997</v>
      </c>
      <c r="H228">
        <v>41.5</v>
      </c>
      <c r="I228">
        <v>34.799999999999997</v>
      </c>
      <c r="J228">
        <v>2.1</v>
      </c>
      <c r="K228">
        <v>20.2</v>
      </c>
      <c r="L228">
        <v>0.9</v>
      </c>
      <c r="M228">
        <v>48.4</v>
      </c>
      <c r="N228">
        <v>0.86</v>
      </c>
      <c r="O228">
        <v>39.6</v>
      </c>
    </row>
    <row r="229" spans="1:15" x14ac:dyDescent="0.25">
      <c r="A229" s="34" t="s">
        <v>126</v>
      </c>
      <c r="B229" s="2">
        <v>45766</v>
      </c>
      <c r="C229" s="12" t="s">
        <v>120</v>
      </c>
      <c r="D229" t="s">
        <v>98</v>
      </c>
      <c r="E229" t="s">
        <v>99</v>
      </c>
      <c r="F229">
        <v>39.4</v>
      </c>
      <c r="G229">
        <v>44.9</v>
      </c>
      <c r="H229">
        <v>47.8</v>
      </c>
      <c r="I229">
        <v>40.4</v>
      </c>
      <c r="J229">
        <v>2.1</v>
      </c>
      <c r="K229">
        <v>34.1</v>
      </c>
      <c r="L229">
        <v>1.7</v>
      </c>
      <c r="M229">
        <v>46.7</v>
      </c>
      <c r="N229">
        <v>1.02</v>
      </c>
      <c r="O229">
        <v>47</v>
      </c>
    </row>
    <row r="230" spans="1:15" x14ac:dyDescent="0.25">
      <c r="A230" s="34" t="s">
        <v>126</v>
      </c>
      <c r="B230" s="2">
        <v>45766</v>
      </c>
      <c r="C230" s="12" t="s">
        <v>120</v>
      </c>
      <c r="D230" t="s">
        <v>98</v>
      </c>
      <c r="E230" t="s">
        <v>99</v>
      </c>
      <c r="F230">
        <v>27.4</v>
      </c>
      <c r="G230">
        <v>33.9</v>
      </c>
      <c r="H230">
        <v>38.5</v>
      </c>
      <c r="I230">
        <v>39.4</v>
      </c>
      <c r="J230">
        <v>0.9</v>
      </c>
      <c r="K230">
        <v>21.1</v>
      </c>
      <c r="L230">
        <v>0.7</v>
      </c>
      <c r="M230">
        <v>39.1</v>
      </c>
      <c r="N230">
        <v>0.99</v>
      </c>
      <c r="O230">
        <v>43.7</v>
      </c>
    </row>
    <row r="231" spans="1:15" x14ac:dyDescent="0.25">
      <c r="A231" s="34" t="s">
        <v>126</v>
      </c>
      <c r="B231" s="2">
        <v>45766</v>
      </c>
      <c r="C231" s="12" t="s">
        <v>120</v>
      </c>
      <c r="D231" t="s">
        <v>98</v>
      </c>
      <c r="E231" t="s">
        <v>99</v>
      </c>
      <c r="F231">
        <v>31.7</v>
      </c>
      <c r="G231">
        <v>38.299999999999997</v>
      </c>
      <c r="H231">
        <v>41.1</v>
      </c>
      <c r="I231">
        <v>39.700000000000003</v>
      </c>
      <c r="J231">
        <v>-1.5</v>
      </c>
      <c r="K231">
        <v>24.3</v>
      </c>
      <c r="L231">
        <v>0.3</v>
      </c>
      <c r="M231">
        <v>46.7</v>
      </c>
      <c r="N231">
        <v>0.88</v>
      </c>
      <c r="O231">
        <v>44.6</v>
      </c>
    </row>
    <row r="232" spans="1:15" x14ac:dyDescent="0.25">
      <c r="A232" s="34" t="s">
        <v>126</v>
      </c>
      <c r="B232" s="2">
        <v>45766</v>
      </c>
      <c r="C232" s="12" t="s">
        <v>120</v>
      </c>
      <c r="D232" t="s">
        <v>98</v>
      </c>
      <c r="E232" t="s">
        <v>99</v>
      </c>
      <c r="F232">
        <v>35</v>
      </c>
      <c r="G232">
        <v>41.6</v>
      </c>
      <c r="H232">
        <v>44.5</v>
      </c>
      <c r="I232">
        <v>40.4</v>
      </c>
      <c r="J232">
        <v>1.9</v>
      </c>
      <c r="K232">
        <v>29.5</v>
      </c>
      <c r="L232">
        <v>1.8</v>
      </c>
      <c r="M232">
        <v>46.7</v>
      </c>
      <c r="N232">
        <v>0.95</v>
      </c>
      <c r="O232">
        <v>46.1</v>
      </c>
    </row>
    <row r="233" spans="1:15" x14ac:dyDescent="0.25">
      <c r="A233" s="34" t="s">
        <v>126</v>
      </c>
      <c r="B233" s="2">
        <v>45766</v>
      </c>
      <c r="C233" s="12" t="s">
        <v>120</v>
      </c>
      <c r="D233" t="s">
        <v>98</v>
      </c>
      <c r="E233" t="s">
        <v>99</v>
      </c>
      <c r="F233">
        <v>25.2</v>
      </c>
      <c r="G233">
        <v>30.6</v>
      </c>
      <c r="H233">
        <v>39.6</v>
      </c>
      <c r="I233">
        <v>42.2</v>
      </c>
      <c r="J233">
        <v>0.1</v>
      </c>
      <c r="K233">
        <v>24.7</v>
      </c>
      <c r="L233">
        <v>0.9</v>
      </c>
      <c r="M233">
        <v>36.299999999999997</v>
      </c>
      <c r="N233">
        <v>1.0900000000000001</v>
      </c>
      <c r="O233">
        <v>46.8</v>
      </c>
    </row>
    <row r="234" spans="1:15" x14ac:dyDescent="0.25">
      <c r="A234" s="34" t="s">
        <v>126</v>
      </c>
      <c r="B234" s="2">
        <v>45766</v>
      </c>
      <c r="C234" s="12" t="s">
        <v>120</v>
      </c>
      <c r="D234" t="s">
        <v>98</v>
      </c>
      <c r="E234" t="s">
        <v>99</v>
      </c>
      <c r="F234">
        <v>23</v>
      </c>
      <c r="G234">
        <v>29.5</v>
      </c>
      <c r="H234">
        <v>36.6</v>
      </c>
      <c r="I234">
        <v>35.799999999999997</v>
      </c>
      <c r="J234">
        <v>5.6</v>
      </c>
      <c r="K234">
        <v>16.3</v>
      </c>
      <c r="L234">
        <v>2.2999999999999998</v>
      </c>
      <c r="M234">
        <v>35.700000000000003</v>
      </c>
      <c r="N234">
        <v>1.03</v>
      </c>
      <c r="O234">
        <v>39.5</v>
      </c>
    </row>
    <row r="235" spans="1:15" x14ac:dyDescent="0.25">
      <c r="A235" s="34" t="s">
        <v>126</v>
      </c>
      <c r="B235" s="2">
        <v>45766</v>
      </c>
      <c r="C235" s="12" t="s">
        <v>121</v>
      </c>
      <c r="D235" t="s">
        <v>98</v>
      </c>
      <c r="E235" t="s">
        <v>99</v>
      </c>
      <c r="F235">
        <v>38.299999999999997</v>
      </c>
      <c r="G235">
        <v>44.9</v>
      </c>
      <c r="H235">
        <v>47.3</v>
      </c>
      <c r="I235">
        <v>38.299999999999997</v>
      </c>
      <c r="J235">
        <v>-5.8</v>
      </c>
      <c r="K235">
        <v>30.9</v>
      </c>
      <c r="L235">
        <v>-4.5</v>
      </c>
      <c r="M235">
        <v>47.7</v>
      </c>
      <c r="N235">
        <v>0.99</v>
      </c>
      <c r="O235">
        <v>44.9</v>
      </c>
    </row>
    <row r="236" spans="1:15" x14ac:dyDescent="0.25">
      <c r="A236" s="34" t="s">
        <v>126</v>
      </c>
      <c r="B236" s="2">
        <v>45766</v>
      </c>
      <c r="C236" s="12" t="s">
        <v>121</v>
      </c>
      <c r="D236" t="s">
        <v>98</v>
      </c>
      <c r="E236" t="s">
        <v>99</v>
      </c>
      <c r="F236">
        <v>41.6</v>
      </c>
      <c r="G236">
        <v>47</v>
      </c>
      <c r="H236">
        <v>51.6</v>
      </c>
      <c r="I236">
        <v>35.799999999999997</v>
      </c>
      <c r="J236">
        <v>-0.9</v>
      </c>
      <c r="K236">
        <v>33.5</v>
      </c>
      <c r="L236">
        <v>-0.9</v>
      </c>
      <c r="M236">
        <v>47.7</v>
      </c>
      <c r="N236">
        <v>1.08</v>
      </c>
      <c r="O236">
        <v>43.5</v>
      </c>
    </row>
    <row r="237" spans="1:15" x14ac:dyDescent="0.25">
      <c r="A237" s="34" t="s">
        <v>126</v>
      </c>
      <c r="B237" s="2">
        <v>45766</v>
      </c>
      <c r="C237" s="12" t="s">
        <v>121</v>
      </c>
      <c r="D237" t="s">
        <v>98</v>
      </c>
      <c r="E237" t="s">
        <v>99</v>
      </c>
      <c r="F237">
        <v>42.7</v>
      </c>
      <c r="G237">
        <v>49.2</v>
      </c>
      <c r="H237">
        <v>46.7</v>
      </c>
      <c r="I237">
        <v>37.799999999999997</v>
      </c>
      <c r="J237">
        <v>-2.6</v>
      </c>
      <c r="K237">
        <v>29.4</v>
      </c>
      <c r="L237">
        <v>-2.5</v>
      </c>
      <c r="M237">
        <v>51</v>
      </c>
      <c r="N237">
        <v>0.92</v>
      </c>
      <c r="O237">
        <v>44.2</v>
      </c>
    </row>
    <row r="238" spans="1:15" x14ac:dyDescent="0.25">
      <c r="A238" s="34" t="s">
        <v>126</v>
      </c>
      <c r="B238" s="2">
        <v>45766</v>
      </c>
      <c r="C238" s="12" t="s">
        <v>121</v>
      </c>
      <c r="D238" t="s">
        <v>98</v>
      </c>
      <c r="E238" t="s">
        <v>99</v>
      </c>
      <c r="F238">
        <v>45.9</v>
      </c>
      <c r="G238">
        <v>53.6</v>
      </c>
      <c r="H238">
        <v>50.8</v>
      </c>
      <c r="I238">
        <v>31.9</v>
      </c>
      <c r="J238">
        <v>-3.7</v>
      </c>
      <c r="K238">
        <v>27.3</v>
      </c>
      <c r="L238">
        <v>-4.5999999999999996</v>
      </c>
      <c r="M238">
        <v>52.7</v>
      </c>
      <c r="N238">
        <v>0.97</v>
      </c>
      <c r="O238">
        <v>39.200000000000003</v>
      </c>
    </row>
    <row r="239" spans="1:15" x14ac:dyDescent="0.25">
      <c r="A239" s="34" t="s">
        <v>126</v>
      </c>
      <c r="B239" s="2">
        <v>45766</v>
      </c>
      <c r="C239" s="12" t="s">
        <v>121</v>
      </c>
      <c r="D239" t="s">
        <v>98</v>
      </c>
      <c r="E239" t="s">
        <v>99</v>
      </c>
      <c r="F239">
        <v>48.1</v>
      </c>
      <c r="G239">
        <v>53.6</v>
      </c>
      <c r="H239">
        <v>50.3</v>
      </c>
      <c r="I239">
        <v>41.3</v>
      </c>
      <c r="J239">
        <v>-7</v>
      </c>
      <c r="K239">
        <v>39.1</v>
      </c>
      <c r="L239">
        <v>-6</v>
      </c>
      <c r="M239">
        <v>53.8</v>
      </c>
      <c r="N239">
        <v>0.93</v>
      </c>
      <c r="O239">
        <v>48.7</v>
      </c>
    </row>
    <row r="240" spans="1:15" x14ac:dyDescent="0.25">
      <c r="A240" s="34" t="s">
        <v>126</v>
      </c>
      <c r="B240" s="2">
        <v>45766</v>
      </c>
      <c r="C240" s="12" t="s">
        <v>121</v>
      </c>
      <c r="D240" t="s">
        <v>98</v>
      </c>
      <c r="E240" t="s">
        <v>99</v>
      </c>
      <c r="F240">
        <v>50.3</v>
      </c>
      <c r="G240">
        <v>54.7</v>
      </c>
      <c r="H240">
        <v>53.9</v>
      </c>
      <c r="I240">
        <v>48</v>
      </c>
      <c r="J240">
        <v>-3</v>
      </c>
      <c r="K240">
        <v>54.9</v>
      </c>
      <c r="L240">
        <v>-2.8</v>
      </c>
      <c r="M240">
        <v>55.3</v>
      </c>
      <c r="N240">
        <v>0.97</v>
      </c>
      <c r="O240">
        <v>55.8</v>
      </c>
    </row>
    <row r="241" spans="1:15" x14ac:dyDescent="0.25">
      <c r="A241" s="34" t="s">
        <v>126</v>
      </c>
      <c r="B241" s="2">
        <v>45766</v>
      </c>
      <c r="C241" s="12" t="s">
        <v>121</v>
      </c>
      <c r="D241" t="s">
        <v>98</v>
      </c>
      <c r="E241" t="s">
        <v>99</v>
      </c>
      <c r="F241">
        <v>45.9</v>
      </c>
      <c r="G241">
        <v>52.5</v>
      </c>
      <c r="H241">
        <v>50.2</v>
      </c>
      <c r="I241">
        <v>41.6</v>
      </c>
      <c r="J241">
        <v>1.7</v>
      </c>
      <c r="K241">
        <v>39.200000000000003</v>
      </c>
      <c r="L241">
        <v>1.4</v>
      </c>
      <c r="M241">
        <v>46.8</v>
      </c>
      <c r="N241">
        <v>1.07</v>
      </c>
      <c r="O241">
        <v>48.8</v>
      </c>
    </row>
    <row r="242" spans="1:15" x14ac:dyDescent="0.25">
      <c r="A242" s="34" t="s">
        <v>126</v>
      </c>
      <c r="B242" s="2">
        <v>45766</v>
      </c>
      <c r="C242" s="12" t="s">
        <v>121</v>
      </c>
      <c r="D242" t="s">
        <v>98</v>
      </c>
      <c r="E242" t="s">
        <v>99</v>
      </c>
      <c r="F242">
        <v>41.6</v>
      </c>
      <c r="G242">
        <v>49.2</v>
      </c>
      <c r="H242">
        <v>48.3</v>
      </c>
      <c r="I242">
        <v>34.700000000000003</v>
      </c>
      <c r="J242">
        <v>1.8</v>
      </c>
      <c r="K242">
        <v>27.7</v>
      </c>
      <c r="L242">
        <v>-0.8</v>
      </c>
      <c r="M242">
        <v>48.9</v>
      </c>
      <c r="N242">
        <v>0.99</v>
      </c>
      <c r="O242">
        <v>41.4</v>
      </c>
    </row>
    <row r="243" spans="1:15" x14ac:dyDescent="0.25">
      <c r="A243" s="34" t="s">
        <v>126</v>
      </c>
      <c r="B243" s="2">
        <v>45766</v>
      </c>
      <c r="C243" s="12" t="s">
        <v>121</v>
      </c>
      <c r="D243" t="s">
        <v>98</v>
      </c>
      <c r="E243" t="s">
        <v>99</v>
      </c>
      <c r="F243">
        <v>48.1</v>
      </c>
      <c r="G243">
        <v>55.8</v>
      </c>
      <c r="H243">
        <v>49.9</v>
      </c>
      <c r="I243">
        <v>37.6</v>
      </c>
      <c r="J243">
        <v>-0.9</v>
      </c>
      <c r="K243">
        <v>33.6</v>
      </c>
      <c r="L243">
        <v>1.3</v>
      </c>
      <c r="M243">
        <v>56</v>
      </c>
      <c r="N243">
        <v>0.89</v>
      </c>
      <c r="O243">
        <v>45</v>
      </c>
    </row>
    <row r="244" spans="1:15" x14ac:dyDescent="0.25">
      <c r="A244" s="34" t="s">
        <v>126</v>
      </c>
      <c r="B244" s="2">
        <v>45766</v>
      </c>
      <c r="C244" s="12" t="s">
        <v>121</v>
      </c>
      <c r="D244" t="s">
        <v>98</v>
      </c>
      <c r="E244" t="s">
        <v>99</v>
      </c>
      <c r="F244">
        <v>39.4</v>
      </c>
      <c r="G244">
        <v>49.2</v>
      </c>
      <c r="H244">
        <v>48.2</v>
      </c>
      <c r="I244">
        <v>33.5</v>
      </c>
      <c r="J244">
        <v>-5.8</v>
      </c>
      <c r="K244">
        <v>26.2</v>
      </c>
      <c r="L244">
        <v>-5.5</v>
      </c>
      <c r="M244">
        <v>48.9</v>
      </c>
      <c r="N244">
        <v>0.98</v>
      </c>
      <c r="O244">
        <v>40.1</v>
      </c>
    </row>
    <row r="245" spans="1:15" x14ac:dyDescent="0.25">
      <c r="A245" s="34" t="s">
        <v>126</v>
      </c>
      <c r="B245" s="2">
        <v>45766</v>
      </c>
      <c r="C245" s="12" t="s">
        <v>121</v>
      </c>
      <c r="D245" t="s">
        <v>98</v>
      </c>
      <c r="E245" t="s">
        <v>99</v>
      </c>
      <c r="F245">
        <v>40.5</v>
      </c>
      <c r="G245">
        <v>48.1</v>
      </c>
      <c r="H245">
        <v>48.3</v>
      </c>
      <c r="I245">
        <v>33.9</v>
      </c>
      <c r="J245">
        <v>0</v>
      </c>
      <c r="K245">
        <v>26.8</v>
      </c>
      <c r="L245">
        <v>-1.3</v>
      </c>
      <c r="M245">
        <v>47.8</v>
      </c>
      <c r="N245">
        <v>1.01</v>
      </c>
      <c r="O245">
        <v>40.6</v>
      </c>
    </row>
    <row r="246" spans="1:15" x14ac:dyDescent="0.25">
      <c r="A246" s="34" t="s">
        <v>126</v>
      </c>
      <c r="B246" s="2">
        <v>45766</v>
      </c>
      <c r="C246" s="12" t="s">
        <v>121</v>
      </c>
      <c r="D246" t="s">
        <v>98</v>
      </c>
      <c r="E246" t="s">
        <v>99</v>
      </c>
      <c r="F246">
        <v>38.299999999999997</v>
      </c>
      <c r="G246">
        <v>45.9</v>
      </c>
      <c r="H246">
        <v>46.9</v>
      </c>
      <c r="I246">
        <v>38.6</v>
      </c>
      <c r="J246">
        <v>1</v>
      </c>
      <c r="K246">
        <v>30.6</v>
      </c>
      <c r="L246">
        <v>1</v>
      </c>
      <c r="M246">
        <v>48.9</v>
      </c>
      <c r="N246">
        <v>0.96</v>
      </c>
      <c r="O246">
        <v>44.9</v>
      </c>
    </row>
    <row r="247" spans="1:15" x14ac:dyDescent="0.25">
      <c r="A247" s="34" t="s">
        <v>126</v>
      </c>
      <c r="B247" s="2">
        <v>45766</v>
      </c>
      <c r="C247" s="12" t="s">
        <v>121</v>
      </c>
      <c r="D247" t="s">
        <v>98</v>
      </c>
      <c r="E247" t="s">
        <v>99</v>
      </c>
      <c r="F247">
        <v>33.9</v>
      </c>
      <c r="G247">
        <v>42.7</v>
      </c>
      <c r="H247">
        <v>44.8</v>
      </c>
      <c r="I247">
        <v>36.700000000000003</v>
      </c>
      <c r="J247">
        <v>2.2999999999999998</v>
      </c>
      <c r="K247">
        <v>25.9</v>
      </c>
      <c r="L247">
        <v>0.1</v>
      </c>
      <c r="M247">
        <v>47.5</v>
      </c>
      <c r="N247">
        <v>0.94</v>
      </c>
      <c r="O247">
        <v>42.5</v>
      </c>
    </row>
    <row r="248" spans="1:15" x14ac:dyDescent="0.25">
      <c r="A248" s="34" t="s">
        <v>126</v>
      </c>
      <c r="B248" s="2">
        <v>45766</v>
      </c>
      <c r="C248" s="12" t="s">
        <v>121</v>
      </c>
      <c r="D248" t="s">
        <v>98</v>
      </c>
      <c r="E248" t="s">
        <v>99</v>
      </c>
      <c r="F248">
        <v>35</v>
      </c>
      <c r="G248">
        <v>41.6</v>
      </c>
      <c r="H248">
        <v>46.4</v>
      </c>
      <c r="I248">
        <v>39.4</v>
      </c>
      <c r="J248">
        <v>-2.5</v>
      </c>
      <c r="K248">
        <v>31</v>
      </c>
      <c r="L248">
        <v>0.2</v>
      </c>
      <c r="M248">
        <v>46.7</v>
      </c>
      <c r="N248">
        <v>0.99</v>
      </c>
      <c r="O248">
        <v>45.7</v>
      </c>
    </row>
    <row r="249" spans="1:15" x14ac:dyDescent="0.25">
      <c r="A249" s="34" t="s">
        <v>126</v>
      </c>
      <c r="B249" s="2">
        <v>45766</v>
      </c>
      <c r="C249" s="12" t="s">
        <v>121</v>
      </c>
      <c r="D249" t="s">
        <v>98</v>
      </c>
      <c r="E249" t="s">
        <v>99</v>
      </c>
      <c r="F249">
        <v>38.299999999999997</v>
      </c>
      <c r="G249">
        <v>47</v>
      </c>
      <c r="H249">
        <v>45.9</v>
      </c>
      <c r="I249">
        <v>34.799999999999997</v>
      </c>
      <c r="J249">
        <v>1.2</v>
      </c>
      <c r="K249">
        <v>25.1</v>
      </c>
      <c r="L249">
        <v>0.9</v>
      </c>
      <c r="M249">
        <v>47.2</v>
      </c>
      <c r="N249">
        <v>0.97</v>
      </c>
      <c r="O249">
        <v>40.799999999999997</v>
      </c>
    </row>
    <row r="250" spans="1:15" x14ac:dyDescent="0.25">
      <c r="A250" s="34" t="s">
        <v>126</v>
      </c>
      <c r="B250" s="2">
        <v>45766</v>
      </c>
      <c r="C250" s="12" t="s">
        <v>121</v>
      </c>
      <c r="D250" t="s">
        <v>98</v>
      </c>
      <c r="E250" t="s">
        <v>99</v>
      </c>
      <c r="F250">
        <v>49.2</v>
      </c>
      <c r="G250">
        <v>55.8</v>
      </c>
      <c r="H250">
        <v>52.2</v>
      </c>
      <c r="I250">
        <v>40</v>
      </c>
      <c r="J250">
        <v>-3.6</v>
      </c>
      <c r="K250">
        <v>40.299999999999997</v>
      </c>
      <c r="L250">
        <v>-3.3</v>
      </c>
      <c r="M250">
        <v>57.4</v>
      </c>
      <c r="N250">
        <v>0.91</v>
      </c>
      <c r="O250">
        <v>47.9</v>
      </c>
    </row>
    <row r="251" spans="1:15" x14ac:dyDescent="0.25">
      <c r="A251" s="34" t="s">
        <v>126</v>
      </c>
      <c r="B251" s="2">
        <v>45766</v>
      </c>
      <c r="C251" s="12" t="s">
        <v>121</v>
      </c>
      <c r="D251" t="s">
        <v>98</v>
      </c>
      <c r="E251" t="s">
        <v>99</v>
      </c>
      <c r="F251">
        <v>43.8</v>
      </c>
      <c r="G251">
        <v>50.3</v>
      </c>
      <c r="H251">
        <v>49.2</v>
      </c>
      <c r="I251">
        <v>40.9</v>
      </c>
      <c r="J251">
        <v>-2.1</v>
      </c>
      <c r="K251">
        <v>36.799999999999997</v>
      </c>
      <c r="L251">
        <v>-1.5</v>
      </c>
      <c r="M251">
        <v>51.4</v>
      </c>
      <c r="N251">
        <v>0.96</v>
      </c>
      <c r="O251">
        <v>47.8</v>
      </c>
    </row>
    <row r="252" spans="1:15" x14ac:dyDescent="0.25">
      <c r="A252" s="34" t="s">
        <v>126</v>
      </c>
      <c r="B252" s="2">
        <v>45766</v>
      </c>
      <c r="C252" s="12" t="s">
        <v>121</v>
      </c>
      <c r="D252" t="s">
        <v>98</v>
      </c>
      <c r="E252" t="s">
        <v>99</v>
      </c>
      <c r="F252">
        <v>41.6</v>
      </c>
      <c r="G252">
        <v>50.3</v>
      </c>
      <c r="H252">
        <v>48.7</v>
      </c>
      <c r="I252">
        <v>35.700000000000003</v>
      </c>
      <c r="J252">
        <v>-1.1000000000000001</v>
      </c>
      <c r="K252">
        <v>29.5</v>
      </c>
      <c r="L252">
        <v>-3.5</v>
      </c>
      <c r="M252">
        <v>48.4</v>
      </c>
      <c r="N252">
        <v>1.01</v>
      </c>
      <c r="O252">
        <v>42.5</v>
      </c>
    </row>
    <row r="253" spans="1:15" x14ac:dyDescent="0.25">
      <c r="A253" s="34" t="s">
        <v>126</v>
      </c>
      <c r="B253" s="2">
        <v>45766</v>
      </c>
      <c r="C253" s="12" t="s">
        <v>121</v>
      </c>
      <c r="D253" t="s">
        <v>98</v>
      </c>
      <c r="E253" t="s">
        <v>99</v>
      </c>
      <c r="F253">
        <v>38.299999999999997</v>
      </c>
      <c r="G253">
        <v>42.7</v>
      </c>
      <c r="H253">
        <v>44</v>
      </c>
      <c r="I253">
        <v>41.9</v>
      </c>
      <c r="J253">
        <v>4</v>
      </c>
      <c r="K253">
        <v>30.4</v>
      </c>
      <c r="L253">
        <v>2.7</v>
      </c>
      <c r="M253">
        <v>46.8</v>
      </c>
      <c r="N253">
        <v>0.94</v>
      </c>
      <c r="O253">
        <v>47.5</v>
      </c>
    </row>
    <row r="254" spans="1:15" x14ac:dyDescent="0.25">
      <c r="A254" s="34" t="s">
        <v>126</v>
      </c>
      <c r="B254" s="2">
        <v>45766</v>
      </c>
      <c r="C254" s="12" t="s">
        <v>121</v>
      </c>
      <c r="D254" t="s">
        <v>98</v>
      </c>
      <c r="E254" t="s">
        <v>99</v>
      </c>
      <c r="F254">
        <v>33.9</v>
      </c>
      <c r="G254">
        <v>38.299999999999997</v>
      </c>
      <c r="H254">
        <v>46</v>
      </c>
      <c r="I254">
        <v>46.2</v>
      </c>
      <c r="J254">
        <v>3.9</v>
      </c>
      <c r="K254">
        <v>38.1</v>
      </c>
      <c r="L254">
        <v>1.9</v>
      </c>
      <c r="M254">
        <v>48</v>
      </c>
      <c r="N254">
        <v>0.96</v>
      </c>
      <c r="O254">
        <v>52.3</v>
      </c>
    </row>
    <row r="255" spans="1:15" x14ac:dyDescent="0.25">
      <c r="A255" s="34" t="s">
        <v>126</v>
      </c>
      <c r="B255" s="2">
        <v>45766</v>
      </c>
      <c r="C255" s="12" t="s">
        <v>121</v>
      </c>
      <c r="D255" t="s">
        <v>98</v>
      </c>
      <c r="E255" t="s">
        <v>99</v>
      </c>
      <c r="F255">
        <v>54.7</v>
      </c>
      <c r="G255">
        <v>61.3</v>
      </c>
      <c r="H255">
        <v>55.5</v>
      </c>
      <c r="I255">
        <v>36.700000000000003</v>
      </c>
      <c r="J255">
        <v>-0.4</v>
      </c>
      <c r="K255">
        <v>40.4</v>
      </c>
      <c r="L255">
        <v>-3.9</v>
      </c>
      <c r="M255">
        <v>52.4</v>
      </c>
      <c r="N255">
        <v>1.06</v>
      </c>
      <c r="O255">
        <v>45.5</v>
      </c>
    </row>
    <row r="256" spans="1:15" x14ac:dyDescent="0.25">
      <c r="A256" s="34" t="s">
        <v>126</v>
      </c>
      <c r="B256" s="2">
        <v>45766</v>
      </c>
      <c r="C256" s="12" t="s">
        <v>121</v>
      </c>
      <c r="D256" t="s">
        <v>98</v>
      </c>
      <c r="E256" t="s">
        <v>99</v>
      </c>
      <c r="F256">
        <v>40.5</v>
      </c>
      <c r="G256">
        <v>44.9</v>
      </c>
      <c r="H256">
        <v>46.2</v>
      </c>
      <c r="I256">
        <v>46.4</v>
      </c>
      <c r="J256">
        <v>-1.1000000000000001</v>
      </c>
      <c r="K256">
        <v>38.799999999999997</v>
      </c>
      <c r="L256">
        <v>-0.6</v>
      </c>
      <c r="M256">
        <v>54</v>
      </c>
      <c r="N256">
        <v>0.86</v>
      </c>
      <c r="O256">
        <v>52.6</v>
      </c>
    </row>
    <row r="257" spans="1:15" x14ac:dyDescent="0.25">
      <c r="A257" s="34" t="s">
        <v>126</v>
      </c>
      <c r="B257" s="2">
        <v>45766</v>
      </c>
      <c r="C257" s="12" t="s">
        <v>121</v>
      </c>
      <c r="D257" t="s">
        <v>98</v>
      </c>
      <c r="E257" t="s">
        <v>99</v>
      </c>
      <c r="F257">
        <v>45.9</v>
      </c>
      <c r="G257">
        <v>52.5</v>
      </c>
      <c r="H257">
        <v>49.6</v>
      </c>
      <c r="I257">
        <v>39.9</v>
      </c>
      <c r="J257">
        <v>-2.2000000000000002</v>
      </c>
      <c r="K257">
        <v>36.200000000000003</v>
      </c>
      <c r="L257">
        <v>-2.5</v>
      </c>
      <c r="M257">
        <v>44.9</v>
      </c>
      <c r="N257">
        <v>1.1000000000000001</v>
      </c>
      <c r="O257">
        <v>47</v>
      </c>
    </row>
    <row r="258" spans="1:15" x14ac:dyDescent="0.25">
      <c r="A258" s="34" t="s">
        <v>126</v>
      </c>
      <c r="B258" s="2">
        <v>45766</v>
      </c>
      <c r="C258" s="12" t="s">
        <v>121</v>
      </c>
      <c r="D258" t="s">
        <v>98</v>
      </c>
      <c r="E258" t="s">
        <v>99</v>
      </c>
      <c r="F258">
        <v>42.7</v>
      </c>
      <c r="G258">
        <v>45.9</v>
      </c>
      <c r="H258">
        <v>48</v>
      </c>
      <c r="I258">
        <v>47.4</v>
      </c>
      <c r="J258">
        <v>2.7</v>
      </c>
      <c r="K258">
        <v>43.1</v>
      </c>
      <c r="L258">
        <v>2</v>
      </c>
      <c r="M258">
        <v>50.7</v>
      </c>
      <c r="N258">
        <v>0.95</v>
      </c>
      <c r="O258">
        <v>54</v>
      </c>
    </row>
    <row r="259" spans="1:15" x14ac:dyDescent="0.25">
      <c r="A259" s="34" t="s">
        <v>126</v>
      </c>
      <c r="B259" s="2">
        <v>45766</v>
      </c>
      <c r="C259" s="12" t="s">
        <v>121</v>
      </c>
      <c r="D259" t="s">
        <v>98</v>
      </c>
      <c r="E259" t="s">
        <v>99</v>
      </c>
      <c r="F259">
        <v>45.9</v>
      </c>
      <c r="G259">
        <v>61.3</v>
      </c>
      <c r="H259">
        <v>55.5</v>
      </c>
      <c r="I259">
        <v>20.9</v>
      </c>
      <c r="J259">
        <v>2.9</v>
      </c>
      <c r="K259">
        <v>16.899999999999999</v>
      </c>
      <c r="L259">
        <v>0.3</v>
      </c>
      <c r="M259">
        <v>54</v>
      </c>
      <c r="N259">
        <v>1.03</v>
      </c>
      <c r="O259">
        <v>27</v>
      </c>
    </row>
    <row r="260" spans="1:15" x14ac:dyDescent="0.25">
      <c r="A260" s="34" t="s">
        <v>126</v>
      </c>
      <c r="B260" s="2">
        <v>45766</v>
      </c>
      <c r="C260" s="12" t="s">
        <v>121</v>
      </c>
      <c r="D260" t="s">
        <v>98</v>
      </c>
      <c r="E260" t="s">
        <v>99</v>
      </c>
      <c r="F260">
        <v>44.9</v>
      </c>
      <c r="G260">
        <v>50.3</v>
      </c>
      <c r="H260">
        <v>51.8</v>
      </c>
      <c r="I260">
        <v>41.1</v>
      </c>
      <c r="J260">
        <v>2</v>
      </c>
      <c r="K260">
        <v>41.3</v>
      </c>
      <c r="L260">
        <v>-0.3</v>
      </c>
      <c r="M260">
        <v>48</v>
      </c>
      <c r="N260">
        <v>1.08</v>
      </c>
      <c r="O260">
        <v>48.8</v>
      </c>
    </row>
    <row r="261" spans="1:15" x14ac:dyDescent="0.25">
      <c r="A261" s="34" t="s">
        <v>126</v>
      </c>
      <c r="B261" s="2">
        <v>45766</v>
      </c>
      <c r="C261" s="12" t="s">
        <v>121</v>
      </c>
      <c r="D261" t="s">
        <v>98</v>
      </c>
      <c r="E261" t="s">
        <v>99</v>
      </c>
      <c r="F261">
        <v>41.6</v>
      </c>
      <c r="G261">
        <v>47</v>
      </c>
      <c r="H261">
        <v>49.4</v>
      </c>
      <c r="I261">
        <v>40.299999999999997</v>
      </c>
      <c r="J261">
        <v>-2.4</v>
      </c>
      <c r="K261">
        <v>36.299999999999997</v>
      </c>
      <c r="L261">
        <v>-2.4</v>
      </c>
      <c r="M261">
        <v>49.8</v>
      </c>
      <c r="N261">
        <v>0.99</v>
      </c>
      <c r="O261">
        <v>47.3</v>
      </c>
    </row>
    <row r="262" spans="1:15" x14ac:dyDescent="0.25">
      <c r="A262" s="34" t="s">
        <v>126</v>
      </c>
      <c r="B262" s="2">
        <v>45766</v>
      </c>
      <c r="C262" s="12" t="s">
        <v>121</v>
      </c>
      <c r="D262" t="s">
        <v>98</v>
      </c>
      <c r="E262" t="s">
        <v>99</v>
      </c>
      <c r="F262">
        <v>53.6</v>
      </c>
      <c r="G262">
        <v>67.8</v>
      </c>
      <c r="H262">
        <v>59.1</v>
      </c>
      <c r="I262">
        <v>17.8</v>
      </c>
      <c r="J262">
        <v>4.5</v>
      </c>
      <c r="K262">
        <v>15</v>
      </c>
      <c r="L262">
        <v>3.2</v>
      </c>
      <c r="M262">
        <v>54.7</v>
      </c>
      <c r="N262">
        <v>1.08</v>
      </c>
      <c r="O262">
        <v>23.6</v>
      </c>
    </row>
    <row r="263" spans="1:15" x14ac:dyDescent="0.25">
      <c r="A263" s="34" t="s">
        <v>126</v>
      </c>
      <c r="B263" s="2">
        <v>45780</v>
      </c>
      <c r="C263" t="s">
        <v>97</v>
      </c>
      <c r="D263" t="s">
        <v>98</v>
      </c>
      <c r="E263" t="s">
        <v>99</v>
      </c>
      <c r="F263">
        <v>88.6</v>
      </c>
      <c r="G263">
        <v>96.3</v>
      </c>
      <c r="H263">
        <v>74.5</v>
      </c>
      <c r="I263">
        <v>28</v>
      </c>
      <c r="J263">
        <v>-2.2000000000000002</v>
      </c>
      <c r="K263">
        <v>52.9</v>
      </c>
      <c r="L263">
        <v>-1.9</v>
      </c>
      <c r="M263">
        <v>77.2</v>
      </c>
      <c r="N263">
        <v>0.97</v>
      </c>
      <c r="O263">
        <v>43.5</v>
      </c>
    </row>
    <row r="264" spans="1:15" x14ac:dyDescent="0.25">
      <c r="A264" s="34" t="s">
        <v>126</v>
      </c>
      <c r="B264" s="2">
        <v>45780</v>
      </c>
      <c r="C264" t="s">
        <v>97</v>
      </c>
      <c r="D264" t="s">
        <v>98</v>
      </c>
      <c r="E264" t="s">
        <v>99</v>
      </c>
      <c r="F264">
        <v>81</v>
      </c>
      <c r="G264">
        <v>84.2</v>
      </c>
      <c r="H264">
        <v>72</v>
      </c>
      <c r="I264">
        <v>46.7</v>
      </c>
      <c r="J264">
        <v>-8.6</v>
      </c>
      <c r="K264">
        <v>91.6</v>
      </c>
      <c r="L264">
        <v>-19.399999999999999</v>
      </c>
      <c r="M264">
        <v>75</v>
      </c>
      <c r="N264">
        <v>0.96</v>
      </c>
      <c r="O264">
        <v>61.3</v>
      </c>
    </row>
    <row r="265" spans="1:15" x14ac:dyDescent="0.25">
      <c r="A265" s="34" t="s">
        <v>126</v>
      </c>
      <c r="B265" s="2">
        <v>45780</v>
      </c>
      <c r="C265" t="s">
        <v>97</v>
      </c>
      <c r="D265" t="s">
        <v>98</v>
      </c>
      <c r="E265" t="s">
        <v>99</v>
      </c>
      <c r="F265">
        <v>66.7</v>
      </c>
      <c r="G265">
        <v>68.900000000000006</v>
      </c>
      <c r="H265">
        <v>64.599999999999994</v>
      </c>
      <c r="I265">
        <v>48</v>
      </c>
      <c r="J265">
        <v>-5.3</v>
      </c>
      <c r="K265">
        <v>76.5</v>
      </c>
      <c r="L265">
        <v>-6.6</v>
      </c>
      <c r="M265">
        <v>77.8</v>
      </c>
      <c r="N265">
        <v>0.83</v>
      </c>
      <c r="O265">
        <v>59.9</v>
      </c>
    </row>
    <row r="266" spans="1:15" x14ac:dyDescent="0.25">
      <c r="A266" s="34" t="s">
        <v>126</v>
      </c>
      <c r="B266" s="2">
        <v>45780</v>
      </c>
      <c r="C266" t="s">
        <v>97</v>
      </c>
      <c r="D266" t="s">
        <v>98</v>
      </c>
      <c r="E266" t="s">
        <v>99</v>
      </c>
      <c r="F266">
        <v>96.3</v>
      </c>
      <c r="G266">
        <v>101.7</v>
      </c>
      <c r="H266">
        <v>77.3</v>
      </c>
      <c r="I266">
        <v>28.8</v>
      </c>
      <c r="J266">
        <v>-6.6</v>
      </c>
      <c r="K266">
        <v>59.9</v>
      </c>
      <c r="L266">
        <v>-13.1</v>
      </c>
      <c r="M266">
        <v>80</v>
      </c>
      <c r="N266">
        <v>0.97</v>
      </c>
      <c r="O266">
        <v>45.5</v>
      </c>
    </row>
    <row r="267" spans="1:15" x14ac:dyDescent="0.25">
      <c r="A267" s="34" t="s">
        <v>126</v>
      </c>
      <c r="B267" s="2">
        <v>45780</v>
      </c>
      <c r="C267" t="s">
        <v>117</v>
      </c>
      <c r="D267" t="s">
        <v>118</v>
      </c>
      <c r="E267" t="s">
        <v>119</v>
      </c>
      <c r="F267">
        <v>63.5</v>
      </c>
      <c r="G267">
        <v>82.1</v>
      </c>
      <c r="H267">
        <v>72.2</v>
      </c>
      <c r="I267">
        <v>11.9</v>
      </c>
      <c r="J267">
        <v>-9.9</v>
      </c>
      <c r="K267">
        <v>12.4</v>
      </c>
      <c r="L267">
        <v>-10.9</v>
      </c>
      <c r="M267">
        <v>72.3</v>
      </c>
      <c r="N267">
        <v>1</v>
      </c>
      <c r="O267">
        <v>16.8</v>
      </c>
    </row>
    <row r="268" spans="1:15" x14ac:dyDescent="0.25">
      <c r="A268" s="34" t="s">
        <v>126</v>
      </c>
      <c r="B268" s="2">
        <v>45780</v>
      </c>
      <c r="C268" t="s">
        <v>117</v>
      </c>
      <c r="D268" t="s">
        <v>118</v>
      </c>
      <c r="E268" t="s">
        <v>119</v>
      </c>
      <c r="F268">
        <v>112.7</v>
      </c>
      <c r="G268">
        <v>123.6</v>
      </c>
      <c r="H268">
        <v>87.6</v>
      </c>
      <c r="I268">
        <v>17.600000000000001</v>
      </c>
      <c r="J268">
        <v>-7.5</v>
      </c>
      <c r="K268">
        <v>42.2</v>
      </c>
      <c r="L268">
        <v>-11.9</v>
      </c>
      <c r="M268">
        <v>72.3</v>
      </c>
      <c r="N268">
        <v>1.21</v>
      </c>
      <c r="O268">
        <v>33.5</v>
      </c>
    </row>
    <row r="269" spans="1:15" x14ac:dyDescent="0.25">
      <c r="A269" s="34" t="s">
        <v>126</v>
      </c>
      <c r="B269" s="2">
        <v>45780</v>
      </c>
      <c r="C269" t="s">
        <v>117</v>
      </c>
      <c r="D269" t="s">
        <v>118</v>
      </c>
      <c r="E269" t="s">
        <v>119</v>
      </c>
      <c r="F269">
        <v>28.4</v>
      </c>
      <c r="G269">
        <v>76.599999999999994</v>
      </c>
      <c r="H269">
        <v>80.599999999999994</v>
      </c>
      <c r="I269">
        <v>3.8</v>
      </c>
      <c r="J269">
        <v>5.4</v>
      </c>
      <c r="K269">
        <v>2.4</v>
      </c>
      <c r="L269">
        <v>4.5</v>
      </c>
      <c r="M269">
        <v>71.8</v>
      </c>
      <c r="N269">
        <v>1.1200000000000001</v>
      </c>
      <c r="O269">
        <v>5</v>
      </c>
    </row>
    <row r="270" spans="1:15" x14ac:dyDescent="0.25">
      <c r="A270" s="34" t="s">
        <v>126</v>
      </c>
      <c r="B270" s="2">
        <v>45780</v>
      </c>
      <c r="C270" t="s">
        <v>117</v>
      </c>
      <c r="D270" t="s">
        <v>118</v>
      </c>
      <c r="E270" t="s">
        <v>119</v>
      </c>
      <c r="F270">
        <v>96.3</v>
      </c>
      <c r="G270">
        <v>105</v>
      </c>
      <c r="H270">
        <v>79</v>
      </c>
      <c r="I270">
        <v>24.9</v>
      </c>
      <c r="J270">
        <v>-1.6</v>
      </c>
      <c r="K270">
        <v>52.2</v>
      </c>
      <c r="L270">
        <v>2.6</v>
      </c>
      <c r="M270">
        <v>67.900000000000006</v>
      </c>
      <c r="N270">
        <v>1.1599999999999999</v>
      </c>
      <c r="O270">
        <v>41</v>
      </c>
    </row>
    <row r="271" spans="1:15" x14ac:dyDescent="0.25">
      <c r="A271" s="34" t="s">
        <v>126</v>
      </c>
      <c r="B271" s="2">
        <v>45780</v>
      </c>
      <c r="C271" t="s">
        <v>117</v>
      </c>
      <c r="D271" t="s">
        <v>118</v>
      </c>
      <c r="E271" t="s">
        <v>119</v>
      </c>
      <c r="F271">
        <v>105</v>
      </c>
      <c r="G271">
        <v>114.9</v>
      </c>
      <c r="H271">
        <v>83.1</v>
      </c>
      <c r="I271">
        <v>22.5</v>
      </c>
      <c r="J271">
        <v>-0.6</v>
      </c>
      <c r="K271">
        <v>51.6</v>
      </c>
      <c r="L271">
        <v>6.3</v>
      </c>
      <c r="M271">
        <v>74</v>
      </c>
      <c r="N271">
        <v>1.1200000000000001</v>
      </c>
      <c r="O271">
        <v>39.4</v>
      </c>
    </row>
    <row r="272" spans="1:15" x14ac:dyDescent="0.25">
      <c r="A272" s="34" t="s">
        <v>126</v>
      </c>
      <c r="B272" s="2">
        <v>45780</v>
      </c>
      <c r="C272" t="s">
        <v>117</v>
      </c>
      <c r="D272" t="s">
        <v>118</v>
      </c>
      <c r="E272" t="s">
        <v>119</v>
      </c>
      <c r="F272">
        <v>112.7</v>
      </c>
      <c r="G272">
        <v>120.3</v>
      </c>
      <c r="H272">
        <v>84.2</v>
      </c>
      <c r="I272">
        <v>24.7</v>
      </c>
      <c r="J272">
        <v>-3.4</v>
      </c>
      <c r="K272">
        <v>60.2</v>
      </c>
      <c r="L272">
        <v>1.2</v>
      </c>
      <c r="M272">
        <v>74</v>
      </c>
      <c r="N272">
        <v>1.1399999999999999</v>
      </c>
      <c r="O272">
        <v>42.9</v>
      </c>
    </row>
    <row r="273" spans="1:15" x14ac:dyDescent="0.25">
      <c r="A273" s="34" t="s">
        <v>126</v>
      </c>
      <c r="B273" s="2">
        <v>45780</v>
      </c>
      <c r="C273" t="s">
        <v>117</v>
      </c>
      <c r="D273" t="s">
        <v>118</v>
      </c>
      <c r="E273" t="s">
        <v>119</v>
      </c>
      <c r="F273">
        <v>121.4</v>
      </c>
      <c r="G273">
        <v>131.30000000000001</v>
      </c>
      <c r="H273">
        <v>91.4</v>
      </c>
      <c r="I273">
        <v>18.8</v>
      </c>
      <c r="J273">
        <v>-6.3</v>
      </c>
      <c r="K273">
        <v>51.8</v>
      </c>
      <c r="L273">
        <v>-12.4</v>
      </c>
      <c r="M273">
        <v>75.7</v>
      </c>
      <c r="N273">
        <v>1.21</v>
      </c>
      <c r="O273">
        <v>37.299999999999997</v>
      </c>
    </row>
    <row r="274" spans="1:15" x14ac:dyDescent="0.25">
      <c r="A274" s="34" t="s">
        <v>126</v>
      </c>
      <c r="B274" s="2">
        <v>45780</v>
      </c>
      <c r="C274" t="s">
        <v>117</v>
      </c>
      <c r="D274" t="s">
        <v>118</v>
      </c>
      <c r="E274" t="s">
        <v>119</v>
      </c>
      <c r="F274">
        <v>119.2</v>
      </c>
      <c r="G274">
        <v>128</v>
      </c>
      <c r="H274">
        <v>92.3</v>
      </c>
      <c r="I274">
        <v>20.9</v>
      </c>
      <c r="J274">
        <v>-3.9</v>
      </c>
      <c r="K274">
        <v>61.1</v>
      </c>
      <c r="L274">
        <v>-0.9</v>
      </c>
      <c r="M274">
        <v>77.400000000000006</v>
      </c>
      <c r="N274">
        <v>1.19</v>
      </c>
      <c r="O274">
        <v>41.2</v>
      </c>
    </row>
    <row r="275" spans="1:15" x14ac:dyDescent="0.25">
      <c r="A275" s="34" t="s">
        <v>126</v>
      </c>
      <c r="B275" s="2">
        <v>45780</v>
      </c>
      <c r="C275" t="s">
        <v>117</v>
      </c>
      <c r="D275" t="s">
        <v>118</v>
      </c>
      <c r="E275" t="s">
        <v>119</v>
      </c>
      <c r="F275">
        <v>28.4</v>
      </c>
      <c r="G275">
        <v>51.4</v>
      </c>
      <c r="H275">
        <v>55</v>
      </c>
      <c r="I275">
        <v>9.6</v>
      </c>
      <c r="J275">
        <v>-7.5</v>
      </c>
      <c r="K275">
        <v>3.9</v>
      </c>
      <c r="L275">
        <v>-3.7</v>
      </c>
      <c r="M275">
        <v>76.2</v>
      </c>
      <c r="N275">
        <v>0.72</v>
      </c>
      <c r="O275">
        <v>11.1</v>
      </c>
    </row>
    <row r="276" spans="1:15" x14ac:dyDescent="0.25">
      <c r="A276" s="34" t="s">
        <v>126</v>
      </c>
      <c r="B276" s="2">
        <v>45780</v>
      </c>
      <c r="C276" t="s">
        <v>117</v>
      </c>
      <c r="D276" t="s">
        <v>118</v>
      </c>
      <c r="E276" t="s">
        <v>119</v>
      </c>
      <c r="F276">
        <v>93</v>
      </c>
      <c r="G276">
        <v>101.7</v>
      </c>
      <c r="H276">
        <v>78.3</v>
      </c>
      <c r="I276">
        <v>24.3</v>
      </c>
      <c r="J276">
        <v>-1.7</v>
      </c>
      <c r="K276">
        <v>49.3</v>
      </c>
      <c r="L276">
        <v>8.6</v>
      </c>
      <c r="M276">
        <v>76.2</v>
      </c>
      <c r="N276">
        <v>1.03</v>
      </c>
      <c r="O276">
        <v>39.799999999999997</v>
      </c>
    </row>
    <row r="277" spans="1:15" x14ac:dyDescent="0.25">
      <c r="A277" s="34" t="s">
        <v>126</v>
      </c>
      <c r="B277" s="2">
        <v>45780</v>
      </c>
      <c r="C277" t="s">
        <v>117</v>
      </c>
      <c r="D277" t="s">
        <v>118</v>
      </c>
      <c r="E277" t="s">
        <v>119</v>
      </c>
      <c r="F277">
        <v>138.9</v>
      </c>
      <c r="G277">
        <v>151</v>
      </c>
      <c r="H277">
        <v>106.2</v>
      </c>
      <c r="I277">
        <v>11.4</v>
      </c>
      <c r="J277">
        <v>-2.5</v>
      </c>
      <c r="K277">
        <v>39.200000000000003</v>
      </c>
      <c r="L277">
        <v>4.2</v>
      </c>
      <c r="M277">
        <v>81.2</v>
      </c>
      <c r="N277">
        <v>1.31</v>
      </c>
      <c r="O277">
        <v>27.6</v>
      </c>
    </row>
    <row r="278" spans="1:15" x14ac:dyDescent="0.25">
      <c r="A278" s="34" t="s">
        <v>126</v>
      </c>
      <c r="B278" s="2">
        <v>45780</v>
      </c>
      <c r="C278" t="s">
        <v>117</v>
      </c>
      <c r="D278" t="s">
        <v>118</v>
      </c>
      <c r="E278" t="s">
        <v>119</v>
      </c>
      <c r="F278">
        <v>148.80000000000001</v>
      </c>
      <c r="G278">
        <v>157.5</v>
      </c>
      <c r="H278">
        <v>108.4</v>
      </c>
      <c r="I278">
        <v>13.6</v>
      </c>
      <c r="J278">
        <v>-4.3</v>
      </c>
      <c r="K278">
        <v>53.7</v>
      </c>
      <c r="L278">
        <v>-11.2</v>
      </c>
      <c r="M278">
        <v>81.2</v>
      </c>
      <c r="N278">
        <v>1.33</v>
      </c>
      <c r="O278">
        <v>34.200000000000003</v>
      </c>
    </row>
    <row r="279" spans="1:15" x14ac:dyDescent="0.25">
      <c r="A279" s="34" t="s">
        <v>126</v>
      </c>
      <c r="B279" s="2">
        <v>45780</v>
      </c>
      <c r="C279" t="s">
        <v>117</v>
      </c>
      <c r="D279" t="s">
        <v>118</v>
      </c>
      <c r="E279" t="s">
        <v>119</v>
      </c>
      <c r="F279">
        <v>144.4</v>
      </c>
      <c r="G279">
        <v>155.30000000000001</v>
      </c>
      <c r="H279">
        <v>106.6</v>
      </c>
      <c r="I279">
        <v>12.1</v>
      </c>
      <c r="J279">
        <v>-5</v>
      </c>
      <c r="K279">
        <v>43.2</v>
      </c>
      <c r="L279">
        <v>-12.1</v>
      </c>
      <c r="M279">
        <v>81.2</v>
      </c>
      <c r="N279">
        <v>1.31</v>
      </c>
      <c r="O279">
        <v>29.7</v>
      </c>
    </row>
    <row r="280" spans="1:15" x14ac:dyDescent="0.25">
      <c r="A280" s="34" t="s">
        <v>126</v>
      </c>
      <c r="B280" s="2">
        <v>45780</v>
      </c>
      <c r="C280" t="s">
        <v>100</v>
      </c>
      <c r="D280" t="s">
        <v>98</v>
      </c>
      <c r="E280" t="s">
        <v>99</v>
      </c>
      <c r="F280">
        <v>81</v>
      </c>
      <c r="G280">
        <v>83.1</v>
      </c>
      <c r="H280">
        <v>75.400000000000006</v>
      </c>
      <c r="I280">
        <v>46.7</v>
      </c>
      <c r="J280">
        <v>-4.4000000000000004</v>
      </c>
      <c r="K280">
        <v>100.1</v>
      </c>
      <c r="L280">
        <v>-8.1999999999999993</v>
      </c>
      <c r="M280">
        <v>79.400000000000006</v>
      </c>
      <c r="N280">
        <v>0.95</v>
      </c>
      <c r="O280">
        <v>62.5</v>
      </c>
    </row>
    <row r="281" spans="1:15" x14ac:dyDescent="0.25">
      <c r="A281" s="34" t="s">
        <v>126</v>
      </c>
      <c r="B281" s="2">
        <v>45780</v>
      </c>
      <c r="C281" t="s">
        <v>100</v>
      </c>
      <c r="D281" t="s">
        <v>98</v>
      </c>
      <c r="E281" t="s">
        <v>99</v>
      </c>
      <c r="F281">
        <v>82.1</v>
      </c>
      <c r="G281">
        <v>84.2</v>
      </c>
      <c r="H281">
        <v>75.8</v>
      </c>
      <c r="I281">
        <v>48.2</v>
      </c>
      <c r="J281">
        <v>-3.9</v>
      </c>
      <c r="K281">
        <v>104.4</v>
      </c>
      <c r="L281">
        <v>-10.199999999999999</v>
      </c>
      <c r="M281">
        <v>81.2</v>
      </c>
      <c r="N281">
        <v>0.93</v>
      </c>
      <c r="O281">
        <v>64.3</v>
      </c>
    </row>
    <row r="282" spans="1:15" x14ac:dyDescent="0.25">
      <c r="A282" s="34" t="s">
        <v>126</v>
      </c>
      <c r="B282" s="2">
        <v>45780</v>
      </c>
      <c r="C282" t="s">
        <v>100</v>
      </c>
      <c r="D282" t="s">
        <v>98</v>
      </c>
      <c r="E282" t="s">
        <v>99</v>
      </c>
      <c r="F282">
        <v>78.8</v>
      </c>
      <c r="G282">
        <v>82.1</v>
      </c>
      <c r="H282">
        <v>68.8</v>
      </c>
      <c r="I282">
        <v>41.2</v>
      </c>
      <c r="J282">
        <v>-1.7</v>
      </c>
      <c r="K282">
        <v>72.7</v>
      </c>
      <c r="L282">
        <v>-3.6</v>
      </c>
      <c r="M282">
        <v>79.599999999999994</v>
      </c>
      <c r="N282">
        <v>0.86</v>
      </c>
      <c r="O282">
        <v>54.4</v>
      </c>
    </row>
    <row r="283" spans="1:15" x14ac:dyDescent="0.25">
      <c r="A283" s="34" t="s">
        <v>126</v>
      </c>
      <c r="B283" s="2">
        <v>45780</v>
      </c>
      <c r="C283" t="s">
        <v>100</v>
      </c>
      <c r="D283" t="s">
        <v>98</v>
      </c>
      <c r="E283" t="s">
        <v>99</v>
      </c>
      <c r="F283">
        <v>95.2</v>
      </c>
      <c r="G283">
        <v>97.4</v>
      </c>
      <c r="H283">
        <v>80.7</v>
      </c>
      <c r="I283">
        <v>39.299999999999997</v>
      </c>
      <c r="J283">
        <v>-6.1</v>
      </c>
      <c r="K283">
        <v>95</v>
      </c>
      <c r="L283">
        <v>-21.1</v>
      </c>
      <c r="M283">
        <v>81.2</v>
      </c>
      <c r="N283">
        <v>0.99</v>
      </c>
      <c r="O283">
        <v>56.6</v>
      </c>
    </row>
    <row r="284" spans="1:15" x14ac:dyDescent="0.25">
      <c r="A284" s="34" t="s">
        <v>126</v>
      </c>
      <c r="B284" s="2">
        <v>45780</v>
      </c>
      <c r="C284" t="s">
        <v>100</v>
      </c>
      <c r="D284" t="s">
        <v>98</v>
      </c>
      <c r="E284" t="s">
        <v>99</v>
      </c>
      <c r="F284">
        <v>101.7</v>
      </c>
      <c r="G284">
        <v>105</v>
      </c>
      <c r="H284">
        <v>81.5</v>
      </c>
      <c r="I284">
        <v>32.5</v>
      </c>
      <c r="J284">
        <v>-4.9000000000000004</v>
      </c>
      <c r="K284">
        <v>78.3</v>
      </c>
      <c r="L284">
        <v>-17.899999999999999</v>
      </c>
      <c r="M284">
        <v>81.8</v>
      </c>
      <c r="N284">
        <v>1</v>
      </c>
      <c r="O284">
        <v>50.7</v>
      </c>
    </row>
    <row r="285" spans="1:15" x14ac:dyDescent="0.25">
      <c r="A285" s="34" t="s">
        <v>126</v>
      </c>
      <c r="B285" s="2">
        <v>45780</v>
      </c>
      <c r="C285" t="s">
        <v>100</v>
      </c>
      <c r="D285" t="s">
        <v>98</v>
      </c>
      <c r="E285" t="s">
        <v>99</v>
      </c>
      <c r="F285">
        <v>91.9</v>
      </c>
      <c r="G285">
        <v>95.2</v>
      </c>
      <c r="H285">
        <v>76.599999999999994</v>
      </c>
      <c r="I285">
        <v>35.9</v>
      </c>
      <c r="J285">
        <v>-4.8</v>
      </c>
      <c r="K285">
        <v>77.099999999999994</v>
      </c>
      <c r="L285">
        <v>-18.899999999999999</v>
      </c>
      <c r="M285">
        <v>78.400000000000006</v>
      </c>
      <c r="N285">
        <v>0.98</v>
      </c>
      <c r="O285">
        <v>52.1</v>
      </c>
    </row>
    <row r="286" spans="1:15" x14ac:dyDescent="0.25">
      <c r="A286" s="34" t="s">
        <v>126</v>
      </c>
      <c r="B286" s="2">
        <v>45780</v>
      </c>
      <c r="C286" t="s">
        <v>101</v>
      </c>
      <c r="D286" t="s">
        <v>102</v>
      </c>
      <c r="E286" t="s">
        <v>103</v>
      </c>
      <c r="F286">
        <v>106.1</v>
      </c>
      <c r="G286">
        <v>108.3</v>
      </c>
      <c r="H286">
        <v>87.5</v>
      </c>
      <c r="I286">
        <v>38.9</v>
      </c>
      <c r="J286">
        <v>-1.5</v>
      </c>
      <c r="K286">
        <v>110.6</v>
      </c>
      <c r="L286">
        <v>-6.8</v>
      </c>
      <c r="M286">
        <v>81.2</v>
      </c>
      <c r="N286">
        <v>1.08</v>
      </c>
      <c r="O286">
        <v>58.4</v>
      </c>
    </row>
    <row r="287" spans="1:15" x14ac:dyDescent="0.25">
      <c r="A287" s="34" t="s">
        <v>126</v>
      </c>
      <c r="B287" s="2">
        <v>45780</v>
      </c>
      <c r="C287" t="s">
        <v>101</v>
      </c>
      <c r="D287" t="s">
        <v>102</v>
      </c>
      <c r="E287" t="s">
        <v>103</v>
      </c>
      <c r="F287">
        <v>116</v>
      </c>
      <c r="G287">
        <v>120.3</v>
      </c>
      <c r="H287">
        <v>90.8</v>
      </c>
      <c r="I287">
        <v>28</v>
      </c>
      <c r="J287">
        <v>-5.2</v>
      </c>
      <c r="K287">
        <v>83.3</v>
      </c>
      <c r="L287">
        <v>-26.2</v>
      </c>
      <c r="M287">
        <v>81.8</v>
      </c>
      <c r="N287">
        <v>1.1100000000000001</v>
      </c>
      <c r="O287">
        <v>49.6</v>
      </c>
    </row>
    <row r="288" spans="1:15" x14ac:dyDescent="0.25">
      <c r="A288" s="34" t="s">
        <v>126</v>
      </c>
      <c r="B288" s="2">
        <v>45780</v>
      </c>
      <c r="C288" t="s">
        <v>101</v>
      </c>
      <c r="D288" t="s">
        <v>102</v>
      </c>
      <c r="E288" t="s">
        <v>103</v>
      </c>
      <c r="F288">
        <v>95.2</v>
      </c>
      <c r="G288">
        <v>98.5</v>
      </c>
      <c r="H288">
        <v>84.1</v>
      </c>
      <c r="I288">
        <v>23.9</v>
      </c>
      <c r="J288">
        <v>-10.6</v>
      </c>
      <c r="K288">
        <v>57.6</v>
      </c>
      <c r="L288">
        <v>-40.200000000000003</v>
      </c>
      <c r="M288">
        <v>77.2</v>
      </c>
      <c r="N288">
        <v>1.0900000000000001</v>
      </c>
      <c r="O288">
        <v>42.3</v>
      </c>
    </row>
    <row r="289" spans="1:15" x14ac:dyDescent="0.25">
      <c r="A289" s="34" t="s">
        <v>126</v>
      </c>
      <c r="B289" s="2">
        <v>45780</v>
      </c>
      <c r="C289" t="s">
        <v>101</v>
      </c>
      <c r="D289" t="s">
        <v>102</v>
      </c>
      <c r="E289" t="s">
        <v>103</v>
      </c>
      <c r="F289">
        <v>105</v>
      </c>
      <c r="G289">
        <v>107.2</v>
      </c>
      <c r="H289">
        <v>83.7</v>
      </c>
      <c r="I289">
        <v>35.6</v>
      </c>
      <c r="J289">
        <v>-1.4</v>
      </c>
      <c r="K289">
        <v>91.8</v>
      </c>
      <c r="L289">
        <v>-7.7</v>
      </c>
      <c r="M289">
        <v>79.599999999999994</v>
      </c>
      <c r="N289">
        <v>1.05</v>
      </c>
      <c r="O289">
        <v>54.2</v>
      </c>
    </row>
    <row r="290" spans="1:15" x14ac:dyDescent="0.25">
      <c r="A290" s="34" t="s">
        <v>126</v>
      </c>
      <c r="B290" s="2">
        <v>45780</v>
      </c>
      <c r="C290" t="s">
        <v>101</v>
      </c>
      <c r="D290" t="s">
        <v>102</v>
      </c>
      <c r="E290" t="s">
        <v>103</v>
      </c>
      <c r="F290">
        <v>116</v>
      </c>
      <c r="G290">
        <v>118.2</v>
      </c>
      <c r="H290">
        <v>88.1</v>
      </c>
      <c r="I290">
        <v>38.1</v>
      </c>
      <c r="J290">
        <v>-1.3</v>
      </c>
      <c r="K290">
        <v>109.8</v>
      </c>
      <c r="L290">
        <v>-7.7</v>
      </c>
      <c r="M290">
        <v>80.099999999999994</v>
      </c>
      <c r="N290">
        <v>1.1000000000000001</v>
      </c>
      <c r="O290">
        <v>57.9</v>
      </c>
    </row>
    <row r="291" spans="1:15" x14ac:dyDescent="0.25">
      <c r="A291" s="34" t="s">
        <v>126</v>
      </c>
      <c r="B291" s="2">
        <v>45780</v>
      </c>
      <c r="C291" t="s">
        <v>104</v>
      </c>
      <c r="D291" t="s">
        <v>102</v>
      </c>
      <c r="E291" t="s">
        <v>103</v>
      </c>
      <c r="F291">
        <v>118.2</v>
      </c>
      <c r="G291">
        <v>124.7</v>
      </c>
      <c r="H291">
        <v>90.6</v>
      </c>
      <c r="I291">
        <v>27.5</v>
      </c>
      <c r="J291">
        <v>-2.2000000000000002</v>
      </c>
      <c r="K291">
        <v>81.099999999999994</v>
      </c>
      <c r="L291">
        <v>-21.7</v>
      </c>
      <c r="M291">
        <v>80.099999999999994</v>
      </c>
      <c r="N291">
        <v>1.1299999999999999</v>
      </c>
      <c r="O291">
        <v>48.7</v>
      </c>
    </row>
    <row r="292" spans="1:15" x14ac:dyDescent="0.25">
      <c r="A292" s="34" t="s">
        <v>126</v>
      </c>
      <c r="B292" s="2">
        <v>45780</v>
      </c>
      <c r="C292" t="s">
        <v>104</v>
      </c>
      <c r="D292" t="s">
        <v>102</v>
      </c>
      <c r="E292" t="s">
        <v>103</v>
      </c>
      <c r="F292">
        <v>132.4</v>
      </c>
      <c r="G292">
        <v>135.69999999999999</v>
      </c>
      <c r="H292">
        <v>97.9</v>
      </c>
      <c r="I292">
        <v>29.3</v>
      </c>
      <c r="J292">
        <v>0.3</v>
      </c>
      <c r="K292">
        <v>102.9</v>
      </c>
      <c r="L292">
        <v>-10.4</v>
      </c>
      <c r="M292">
        <v>82.4</v>
      </c>
      <c r="N292">
        <v>1.19</v>
      </c>
      <c r="O292">
        <v>52.7</v>
      </c>
    </row>
    <row r="293" spans="1:15" x14ac:dyDescent="0.25">
      <c r="A293" s="34" t="s">
        <v>126</v>
      </c>
      <c r="B293" s="2">
        <v>45780</v>
      </c>
      <c r="C293" t="s">
        <v>104</v>
      </c>
      <c r="D293" t="s">
        <v>102</v>
      </c>
      <c r="E293" t="s">
        <v>103</v>
      </c>
      <c r="F293">
        <v>134.6</v>
      </c>
      <c r="G293">
        <v>138.9</v>
      </c>
      <c r="H293">
        <v>96</v>
      </c>
      <c r="I293">
        <v>31.3</v>
      </c>
      <c r="J293">
        <v>0.6</v>
      </c>
      <c r="K293">
        <v>106.1</v>
      </c>
      <c r="L293">
        <v>-5.6</v>
      </c>
      <c r="M293">
        <v>80.599999999999994</v>
      </c>
      <c r="N293">
        <v>1.19</v>
      </c>
      <c r="O293">
        <v>53.9</v>
      </c>
    </row>
    <row r="294" spans="1:15" x14ac:dyDescent="0.25">
      <c r="A294" s="34" t="s">
        <v>126</v>
      </c>
      <c r="B294" s="2">
        <v>45780</v>
      </c>
      <c r="C294" t="s">
        <v>104</v>
      </c>
      <c r="D294" t="s">
        <v>102</v>
      </c>
      <c r="E294" t="s">
        <v>103</v>
      </c>
      <c r="F294">
        <v>136.80000000000001</v>
      </c>
      <c r="G294">
        <v>140</v>
      </c>
      <c r="H294">
        <v>99.8</v>
      </c>
      <c r="I294">
        <v>29.9</v>
      </c>
      <c r="J294">
        <v>-1.8</v>
      </c>
      <c r="K294">
        <v>109.5</v>
      </c>
      <c r="L294">
        <v>-14.6</v>
      </c>
      <c r="M294">
        <v>82.4</v>
      </c>
      <c r="N294">
        <v>1.21</v>
      </c>
      <c r="O294">
        <v>53.8</v>
      </c>
    </row>
    <row r="295" spans="1:15" x14ac:dyDescent="0.25">
      <c r="A295" s="34" t="s">
        <v>126</v>
      </c>
      <c r="B295" s="2">
        <v>45780</v>
      </c>
      <c r="C295" t="s">
        <v>104</v>
      </c>
      <c r="D295" t="s">
        <v>102</v>
      </c>
      <c r="E295" t="s">
        <v>103</v>
      </c>
      <c r="F295">
        <v>121.4</v>
      </c>
      <c r="G295">
        <v>125.8</v>
      </c>
      <c r="H295">
        <v>88.7</v>
      </c>
      <c r="I295">
        <v>30.4</v>
      </c>
      <c r="J295">
        <v>3.6</v>
      </c>
      <c r="K295">
        <v>86.9</v>
      </c>
      <c r="L295">
        <v>11</v>
      </c>
      <c r="M295">
        <v>82.9</v>
      </c>
      <c r="N295">
        <v>1.07</v>
      </c>
      <c r="O295">
        <v>51</v>
      </c>
    </row>
    <row r="296" spans="1:15" x14ac:dyDescent="0.25">
      <c r="A296" s="34" t="s">
        <v>126</v>
      </c>
      <c r="B296" s="2">
        <v>45780</v>
      </c>
      <c r="C296" t="s">
        <v>105</v>
      </c>
      <c r="D296" t="s">
        <v>102</v>
      </c>
      <c r="E296" t="s">
        <v>106</v>
      </c>
      <c r="F296">
        <v>144.4</v>
      </c>
      <c r="G296">
        <v>147.69999999999999</v>
      </c>
      <c r="H296">
        <v>104.2</v>
      </c>
      <c r="I296">
        <v>28.7</v>
      </c>
      <c r="J296">
        <v>2.1</v>
      </c>
      <c r="K296">
        <v>114.9</v>
      </c>
      <c r="L296">
        <v>0.6</v>
      </c>
      <c r="M296">
        <v>84</v>
      </c>
      <c r="N296">
        <v>1.24</v>
      </c>
      <c r="O296">
        <v>53.9</v>
      </c>
    </row>
    <row r="297" spans="1:15" x14ac:dyDescent="0.25">
      <c r="A297" s="34" t="s">
        <v>126</v>
      </c>
      <c r="B297" s="2">
        <v>45780</v>
      </c>
      <c r="C297" t="s">
        <v>105</v>
      </c>
      <c r="D297" t="s">
        <v>102</v>
      </c>
      <c r="E297" t="s">
        <v>106</v>
      </c>
      <c r="F297">
        <v>135.69999999999999</v>
      </c>
      <c r="G297">
        <v>140</v>
      </c>
      <c r="H297">
        <v>97.9</v>
      </c>
      <c r="I297">
        <v>29.3</v>
      </c>
      <c r="J297">
        <v>3.6</v>
      </c>
      <c r="K297">
        <v>103.2</v>
      </c>
      <c r="L297">
        <v>7.9</v>
      </c>
      <c r="M297">
        <v>81.8</v>
      </c>
      <c r="N297">
        <v>1.2</v>
      </c>
      <c r="O297">
        <v>52.6</v>
      </c>
    </row>
    <row r="298" spans="1:15" x14ac:dyDescent="0.25">
      <c r="A298" s="34" t="s">
        <v>126</v>
      </c>
      <c r="B298" s="2">
        <v>45780</v>
      </c>
      <c r="C298" t="s">
        <v>105</v>
      </c>
      <c r="D298" t="s">
        <v>102</v>
      </c>
      <c r="E298" t="s">
        <v>106</v>
      </c>
      <c r="F298">
        <v>138.9</v>
      </c>
      <c r="G298">
        <v>144.4</v>
      </c>
      <c r="H298">
        <v>97</v>
      </c>
      <c r="I298">
        <v>27.1</v>
      </c>
      <c r="J298">
        <v>3.8</v>
      </c>
      <c r="K298">
        <v>92.6</v>
      </c>
      <c r="L298">
        <v>14.7</v>
      </c>
      <c r="M298">
        <v>83.5</v>
      </c>
      <c r="N298">
        <v>1.1599999999999999</v>
      </c>
      <c r="O298">
        <v>50.3</v>
      </c>
    </row>
    <row r="299" spans="1:15" x14ac:dyDescent="0.25">
      <c r="A299" s="34" t="s">
        <v>126</v>
      </c>
      <c r="B299" s="2">
        <v>45780</v>
      </c>
      <c r="C299" t="s">
        <v>105</v>
      </c>
      <c r="D299" t="s">
        <v>102</v>
      </c>
      <c r="E299" t="s">
        <v>106</v>
      </c>
      <c r="F299">
        <v>136.80000000000001</v>
      </c>
      <c r="G299">
        <v>140</v>
      </c>
      <c r="H299">
        <v>99.2</v>
      </c>
      <c r="I299">
        <v>28.2</v>
      </c>
      <c r="J299">
        <v>3.8</v>
      </c>
      <c r="K299">
        <v>101.7</v>
      </c>
      <c r="L299">
        <v>9.9</v>
      </c>
      <c r="M299">
        <v>82.4</v>
      </c>
      <c r="N299">
        <v>1.2</v>
      </c>
      <c r="O299">
        <v>52</v>
      </c>
    </row>
    <row r="300" spans="1:15" x14ac:dyDescent="0.25">
      <c r="A300" s="34" t="s">
        <v>126</v>
      </c>
      <c r="B300" s="2">
        <v>45780</v>
      </c>
      <c r="C300" t="s">
        <v>107</v>
      </c>
      <c r="D300" t="s">
        <v>102</v>
      </c>
      <c r="E300" t="s">
        <v>106</v>
      </c>
      <c r="F300">
        <v>151</v>
      </c>
      <c r="G300">
        <v>159.69999999999999</v>
      </c>
      <c r="H300">
        <v>106.3</v>
      </c>
      <c r="I300">
        <v>18.899999999999999</v>
      </c>
      <c r="J300">
        <v>5.3</v>
      </c>
      <c r="K300">
        <v>77.400000000000006</v>
      </c>
      <c r="L300">
        <v>25.9</v>
      </c>
      <c r="M300">
        <v>84.6</v>
      </c>
      <c r="N300">
        <v>1.26</v>
      </c>
      <c r="O300">
        <v>44.4</v>
      </c>
    </row>
    <row r="301" spans="1:15" x14ac:dyDescent="0.25">
      <c r="A301" s="34" t="s">
        <v>126</v>
      </c>
      <c r="B301" s="2">
        <v>45780</v>
      </c>
      <c r="C301" t="s">
        <v>107</v>
      </c>
      <c r="D301" t="s">
        <v>102</v>
      </c>
      <c r="E301" t="s">
        <v>106</v>
      </c>
      <c r="F301">
        <v>145.5</v>
      </c>
      <c r="G301">
        <v>148.80000000000001</v>
      </c>
      <c r="H301">
        <v>103.8</v>
      </c>
      <c r="I301">
        <v>26</v>
      </c>
      <c r="J301">
        <v>2.2999999999999998</v>
      </c>
      <c r="K301">
        <v>103</v>
      </c>
      <c r="L301">
        <v>12</v>
      </c>
      <c r="M301">
        <v>82.9</v>
      </c>
      <c r="N301">
        <v>1.25</v>
      </c>
      <c r="O301">
        <v>51</v>
      </c>
    </row>
    <row r="302" spans="1:15" x14ac:dyDescent="0.25">
      <c r="A302" s="34" t="s">
        <v>126</v>
      </c>
      <c r="B302" s="2">
        <v>45780</v>
      </c>
      <c r="C302" t="s">
        <v>107</v>
      </c>
      <c r="D302" t="s">
        <v>102</v>
      </c>
      <c r="E302" t="s">
        <v>106</v>
      </c>
      <c r="F302">
        <v>146.6</v>
      </c>
      <c r="G302">
        <v>151</v>
      </c>
      <c r="H302">
        <v>105</v>
      </c>
      <c r="I302">
        <v>25.8</v>
      </c>
      <c r="J302">
        <v>6.2</v>
      </c>
      <c r="K302">
        <v>104.8</v>
      </c>
      <c r="L302">
        <v>16.399999999999999</v>
      </c>
      <c r="M302">
        <v>83.5</v>
      </c>
      <c r="N302">
        <v>1.26</v>
      </c>
      <c r="O302">
        <v>51.3</v>
      </c>
    </row>
    <row r="303" spans="1:15" x14ac:dyDescent="0.25">
      <c r="A303" s="34" t="s">
        <v>126</v>
      </c>
      <c r="B303" s="2">
        <v>45780</v>
      </c>
      <c r="C303" t="s">
        <v>107</v>
      </c>
      <c r="D303" t="s">
        <v>102</v>
      </c>
      <c r="E303" t="s">
        <v>106</v>
      </c>
      <c r="F303">
        <v>159.69999999999999</v>
      </c>
      <c r="G303">
        <v>163</v>
      </c>
      <c r="H303">
        <v>112.9</v>
      </c>
      <c r="I303">
        <v>25.6</v>
      </c>
      <c r="J303">
        <v>2.1</v>
      </c>
      <c r="K303">
        <v>121.4</v>
      </c>
      <c r="L303">
        <v>-4.4000000000000004</v>
      </c>
      <c r="M303">
        <v>85.1</v>
      </c>
      <c r="N303">
        <v>1.33</v>
      </c>
      <c r="O303">
        <v>53.4</v>
      </c>
    </row>
    <row r="304" spans="1:15" x14ac:dyDescent="0.25">
      <c r="A304" s="34" t="s">
        <v>126</v>
      </c>
      <c r="B304" s="2">
        <v>45780</v>
      </c>
      <c r="C304" t="s">
        <v>108</v>
      </c>
      <c r="D304" t="s">
        <v>102</v>
      </c>
      <c r="E304" t="s">
        <v>106</v>
      </c>
      <c r="F304">
        <v>136.80000000000001</v>
      </c>
      <c r="G304">
        <v>142.19999999999999</v>
      </c>
      <c r="H304">
        <v>102.3</v>
      </c>
      <c r="I304">
        <v>22.5</v>
      </c>
      <c r="J304">
        <v>8.9</v>
      </c>
      <c r="K304">
        <v>85.3</v>
      </c>
      <c r="L304">
        <v>35.799999999999997</v>
      </c>
      <c r="M304">
        <v>85.7</v>
      </c>
      <c r="N304">
        <v>1.19</v>
      </c>
      <c r="O304">
        <v>47.2</v>
      </c>
    </row>
    <row r="305" spans="1:15" x14ac:dyDescent="0.25">
      <c r="A305" s="34" t="s">
        <v>126</v>
      </c>
      <c r="B305" s="2">
        <v>45780</v>
      </c>
      <c r="C305" t="s">
        <v>108</v>
      </c>
      <c r="D305" t="s">
        <v>102</v>
      </c>
      <c r="E305" t="s">
        <v>106</v>
      </c>
      <c r="F305">
        <v>149.9</v>
      </c>
      <c r="G305">
        <v>156.4</v>
      </c>
      <c r="H305">
        <v>108.2</v>
      </c>
      <c r="I305">
        <v>24.7</v>
      </c>
      <c r="J305">
        <v>6.7</v>
      </c>
      <c r="K305">
        <v>107</v>
      </c>
      <c r="L305">
        <v>30.7</v>
      </c>
      <c r="M305">
        <v>87.4</v>
      </c>
      <c r="N305">
        <v>1.24</v>
      </c>
      <c r="O305">
        <v>51.3</v>
      </c>
    </row>
    <row r="306" spans="1:15" x14ac:dyDescent="0.25">
      <c r="A306" s="34" t="s">
        <v>126</v>
      </c>
      <c r="B306" s="2">
        <v>45780</v>
      </c>
      <c r="C306" t="s">
        <v>108</v>
      </c>
      <c r="D306" t="s">
        <v>102</v>
      </c>
      <c r="E306" t="s">
        <v>106</v>
      </c>
      <c r="F306">
        <v>149.9</v>
      </c>
      <c r="G306">
        <v>155.30000000000001</v>
      </c>
      <c r="H306">
        <v>106.8</v>
      </c>
      <c r="I306">
        <v>20.2</v>
      </c>
      <c r="J306">
        <v>0.6</v>
      </c>
      <c r="K306">
        <v>84.1</v>
      </c>
      <c r="L306">
        <v>-12.7</v>
      </c>
      <c r="M306">
        <v>84</v>
      </c>
      <c r="N306">
        <v>1.27</v>
      </c>
      <c r="O306">
        <v>45.9</v>
      </c>
    </row>
    <row r="307" spans="1:15" x14ac:dyDescent="0.25">
      <c r="A307" s="34" t="s">
        <v>126</v>
      </c>
      <c r="B307" s="2">
        <v>45780</v>
      </c>
      <c r="C307" t="s">
        <v>108</v>
      </c>
      <c r="D307" t="s">
        <v>102</v>
      </c>
      <c r="E307" t="s">
        <v>106</v>
      </c>
      <c r="F307">
        <v>156.4</v>
      </c>
      <c r="G307">
        <v>163</v>
      </c>
      <c r="H307">
        <v>110.1</v>
      </c>
      <c r="I307">
        <v>19.2</v>
      </c>
      <c r="J307">
        <v>3.7</v>
      </c>
      <c r="K307">
        <v>85.4</v>
      </c>
      <c r="L307">
        <v>27</v>
      </c>
      <c r="M307">
        <v>85.7</v>
      </c>
      <c r="N307">
        <v>1.28</v>
      </c>
      <c r="O307">
        <v>45.8</v>
      </c>
    </row>
    <row r="308" spans="1:15" x14ac:dyDescent="0.25">
      <c r="A308" s="34" t="s">
        <v>126</v>
      </c>
      <c r="B308" s="2">
        <v>45780</v>
      </c>
      <c r="C308" t="s">
        <v>108</v>
      </c>
      <c r="D308" t="s">
        <v>102</v>
      </c>
      <c r="E308" t="s">
        <v>106</v>
      </c>
      <c r="F308">
        <v>167.4</v>
      </c>
      <c r="G308">
        <v>171.8</v>
      </c>
      <c r="H308">
        <v>116.9</v>
      </c>
      <c r="I308">
        <v>24.7</v>
      </c>
      <c r="J308">
        <v>4.9000000000000004</v>
      </c>
      <c r="K308">
        <v>126.2</v>
      </c>
      <c r="L308">
        <v>20.8</v>
      </c>
      <c r="M308">
        <v>86.8</v>
      </c>
      <c r="N308">
        <v>1.35</v>
      </c>
      <c r="O308">
        <v>53.8</v>
      </c>
    </row>
    <row r="309" spans="1:15" x14ac:dyDescent="0.25">
      <c r="A309" s="34" t="s">
        <v>126</v>
      </c>
      <c r="B309" s="2">
        <v>45780</v>
      </c>
      <c r="C309" t="s">
        <v>109</v>
      </c>
      <c r="D309" t="s">
        <v>102</v>
      </c>
      <c r="E309" t="s">
        <v>106</v>
      </c>
      <c r="F309">
        <v>161.9</v>
      </c>
      <c r="G309">
        <v>165.2</v>
      </c>
      <c r="H309">
        <v>113.9</v>
      </c>
      <c r="I309">
        <v>23.8</v>
      </c>
      <c r="J309">
        <v>9.6</v>
      </c>
      <c r="K309">
        <v>115.4</v>
      </c>
      <c r="L309">
        <v>53.5</v>
      </c>
      <c r="M309">
        <v>88.5</v>
      </c>
      <c r="N309">
        <v>1.29</v>
      </c>
      <c r="O309">
        <v>52.1</v>
      </c>
    </row>
    <row r="310" spans="1:15" x14ac:dyDescent="0.25">
      <c r="A310" s="34" t="s">
        <v>126</v>
      </c>
      <c r="B310" s="2">
        <v>45780</v>
      </c>
      <c r="C310" t="s">
        <v>109</v>
      </c>
      <c r="D310" t="s">
        <v>102</v>
      </c>
      <c r="E310" t="s">
        <v>106</v>
      </c>
      <c r="F310">
        <v>164.1</v>
      </c>
      <c r="G310">
        <v>169.6</v>
      </c>
      <c r="H310">
        <v>113.3</v>
      </c>
      <c r="I310">
        <v>19.600000000000001</v>
      </c>
      <c r="J310">
        <v>5.8</v>
      </c>
      <c r="K310">
        <v>93.1</v>
      </c>
      <c r="L310">
        <v>17.7</v>
      </c>
      <c r="M310">
        <v>86.8</v>
      </c>
      <c r="N310">
        <v>1.3</v>
      </c>
      <c r="O310">
        <v>46.8</v>
      </c>
    </row>
    <row r="311" spans="1:15" x14ac:dyDescent="0.25">
      <c r="A311" s="34" t="s">
        <v>126</v>
      </c>
      <c r="B311" s="2">
        <v>45780</v>
      </c>
      <c r="C311" t="s">
        <v>109</v>
      </c>
      <c r="D311" t="s">
        <v>102</v>
      </c>
      <c r="E311" t="s">
        <v>106</v>
      </c>
      <c r="F311">
        <v>158.6</v>
      </c>
      <c r="G311">
        <v>164.1</v>
      </c>
      <c r="H311">
        <v>110.4</v>
      </c>
      <c r="I311">
        <v>22.1</v>
      </c>
      <c r="J311">
        <v>4.5</v>
      </c>
      <c r="K311">
        <v>99.3</v>
      </c>
      <c r="L311">
        <v>24.2</v>
      </c>
      <c r="M311">
        <v>85.7</v>
      </c>
      <c r="N311">
        <v>1.29</v>
      </c>
      <c r="O311">
        <v>48.8</v>
      </c>
    </row>
    <row r="312" spans="1:15" x14ac:dyDescent="0.25">
      <c r="A312" s="34" t="s">
        <v>126</v>
      </c>
      <c r="B312" s="2">
        <v>45780</v>
      </c>
      <c r="C312" t="s">
        <v>109</v>
      </c>
      <c r="D312" t="s">
        <v>102</v>
      </c>
      <c r="E312" t="s">
        <v>106</v>
      </c>
      <c r="F312">
        <v>169.6</v>
      </c>
      <c r="G312">
        <v>173.9</v>
      </c>
      <c r="H312">
        <v>117</v>
      </c>
      <c r="I312">
        <v>21.6</v>
      </c>
      <c r="J312">
        <v>4.3</v>
      </c>
      <c r="K312">
        <v>110.7</v>
      </c>
      <c r="L312">
        <v>25</v>
      </c>
      <c r="M312">
        <v>85.7</v>
      </c>
      <c r="N312">
        <v>1.37</v>
      </c>
      <c r="O312">
        <v>50.3</v>
      </c>
    </row>
    <row r="313" spans="1:15" x14ac:dyDescent="0.25">
      <c r="A313" s="34" t="s">
        <v>126</v>
      </c>
      <c r="B313" s="2">
        <v>45780</v>
      </c>
      <c r="C313" t="s">
        <v>109</v>
      </c>
      <c r="D313" t="s">
        <v>102</v>
      </c>
      <c r="E313" t="s">
        <v>106</v>
      </c>
      <c r="F313">
        <v>169.6</v>
      </c>
      <c r="G313">
        <v>175</v>
      </c>
      <c r="H313">
        <v>117.7</v>
      </c>
      <c r="I313">
        <v>20.7</v>
      </c>
      <c r="J313">
        <v>3.5</v>
      </c>
      <c r="K313">
        <v>107.6</v>
      </c>
      <c r="L313">
        <v>12.7</v>
      </c>
      <c r="M313">
        <v>88.5</v>
      </c>
      <c r="N313">
        <v>1.33</v>
      </c>
      <c r="O313">
        <v>49.6</v>
      </c>
    </row>
    <row r="314" spans="1:15" x14ac:dyDescent="0.25">
      <c r="A314" s="34" t="s">
        <v>126</v>
      </c>
      <c r="B314" s="2">
        <v>45780</v>
      </c>
      <c r="C314" t="s">
        <v>110</v>
      </c>
      <c r="D314" t="s">
        <v>102</v>
      </c>
      <c r="E314" t="s">
        <v>106</v>
      </c>
      <c r="F314">
        <v>182.7</v>
      </c>
      <c r="G314">
        <v>187.1</v>
      </c>
      <c r="H314">
        <v>123.6</v>
      </c>
      <c r="I314">
        <v>22.4</v>
      </c>
      <c r="J314">
        <v>6.8</v>
      </c>
      <c r="K314">
        <v>129.69999999999999</v>
      </c>
      <c r="L314">
        <v>43.8</v>
      </c>
      <c r="M314">
        <v>91.2</v>
      </c>
      <c r="N314">
        <v>1.36</v>
      </c>
      <c r="O314">
        <v>53.3</v>
      </c>
    </row>
    <row r="315" spans="1:15" x14ac:dyDescent="0.25">
      <c r="A315" s="34" t="s">
        <v>126</v>
      </c>
      <c r="B315" s="2">
        <v>45780</v>
      </c>
      <c r="C315" t="s">
        <v>112</v>
      </c>
      <c r="D315" t="s">
        <v>102</v>
      </c>
      <c r="E315" t="s">
        <v>113</v>
      </c>
      <c r="F315">
        <v>180.5</v>
      </c>
      <c r="G315">
        <v>186</v>
      </c>
      <c r="H315">
        <v>127.4</v>
      </c>
      <c r="I315">
        <v>16.899999999999999</v>
      </c>
      <c r="J315">
        <v>3.5</v>
      </c>
      <c r="K315">
        <v>101.2</v>
      </c>
      <c r="L315">
        <v>52.2</v>
      </c>
      <c r="M315">
        <v>95.7</v>
      </c>
      <c r="N315">
        <v>1.33</v>
      </c>
      <c r="O315">
        <v>44.9</v>
      </c>
    </row>
    <row r="316" spans="1:15" x14ac:dyDescent="0.25">
      <c r="A316" s="34" t="s">
        <v>126</v>
      </c>
      <c r="B316" s="2">
        <v>45780</v>
      </c>
      <c r="C316" t="s">
        <v>112</v>
      </c>
      <c r="D316" t="s">
        <v>102</v>
      </c>
      <c r="E316" t="s">
        <v>113</v>
      </c>
      <c r="F316">
        <v>201.3</v>
      </c>
      <c r="G316">
        <v>211.1</v>
      </c>
      <c r="H316">
        <v>136.1</v>
      </c>
      <c r="I316">
        <v>10.3</v>
      </c>
      <c r="J316">
        <v>-3.6</v>
      </c>
      <c r="K316">
        <v>70.8</v>
      </c>
      <c r="L316">
        <v>-8.1999999999999993</v>
      </c>
      <c r="M316">
        <v>96.2</v>
      </c>
      <c r="N316">
        <v>1.41</v>
      </c>
      <c r="O316">
        <v>35.6</v>
      </c>
    </row>
    <row r="317" spans="1:15" x14ac:dyDescent="0.25">
      <c r="A317" s="34" t="s">
        <v>126</v>
      </c>
      <c r="B317" s="2">
        <v>45780</v>
      </c>
      <c r="C317" t="s">
        <v>112</v>
      </c>
      <c r="D317" t="s">
        <v>102</v>
      </c>
      <c r="E317" t="s">
        <v>113</v>
      </c>
      <c r="F317">
        <v>186</v>
      </c>
      <c r="G317">
        <v>193.6</v>
      </c>
      <c r="H317">
        <v>127.2</v>
      </c>
      <c r="I317">
        <v>14.4</v>
      </c>
      <c r="J317">
        <v>-2.4</v>
      </c>
      <c r="K317">
        <v>84.9</v>
      </c>
      <c r="L317">
        <v>23.5</v>
      </c>
      <c r="M317">
        <v>94.7</v>
      </c>
      <c r="N317">
        <v>1.34</v>
      </c>
      <c r="O317">
        <v>40.700000000000003</v>
      </c>
    </row>
    <row r="318" spans="1:15" x14ac:dyDescent="0.25">
      <c r="A318" s="34" t="s">
        <v>126</v>
      </c>
      <c r="B318" s="2">
        <v>45780</v>
      </c>
      <c r="C318" t="s">
        <v>112</v>
      </c>
      <c r="D318" t="s">
        <v>102</v>
      </c>
      <c r="E318" t="s">
        <v>113</v>
      </c>
      <c r="F318">
        <v>194.7</v>
      </c>
      <c r="G318">
        <v>200.2</v>
      </c>
      <c r="H318">
        <v>134.6</v>
      </c>
      <c r="I318">
        <v>16.2</v>
      </c>
      <c r="J318">
        <v>4.4000000000000004</v>
      </c>
      <c r="K318">
        <v>109.3</v>
      </c>
      <c r="L318">
        <v>52.4</v>
      </c>
      <c r="M318">
        <v>97.4</v>
      </c>
      <c r="N318">
        <v>1.38</v>
      </c>
      <c r="O318">
        <v>45.4</v>
      </c>
    </row>
    <row r="319" spans="1:15" x14ac:dyDescent="0.25">
      <c r="A319" s="34" t="s">
        <v>126</v>
      </c>
      <c r="B319" s="2">
        <v>45780</v>
      </c>
      <c r="C319" t="s">
        <v>112</v>
      </c>
      <c r="D319" t="s">
        <v>102</v>
      </c>
      <c r="E319" t="s">
        <v>113</v>
      </c>
      <c r="F319">
        <v>206.8</v>
      </c>
      <c r="G319">
        <v>214.4</v>
      </c>
      <c r="H319">
        <v>136</v>
      </c>
      <c r="I319">
        <v>14.4</v>
      </c>
      <c r="J319">
        <v>-1</v>
      </c>
      <c r="K319">
        <v>98.6</v>
      </c>
      <c r="L319">
        <v>30.9</v>
      </c>
      <c r="M319">
        <v>97.9</v>
      </c>
      <c r="N319">
        <v>1.39</v>
      </c>
      <c r="O319">
        <v>42.7</v>
      </c>
    </row>
    <row r="320" spans="1:15" x14ac:dyDescent="0.25">
      <c r="A320" s="34" t="s">
        <v>126</v>
      </c>
      <c r="B320" s="2">
        <v>45780</v>
      </c>
      <c r="C320" t="s">
        <v>114</v>
      </c>
      <c r="D320" t="s">
        <v>102</v>
      </c>
      <c r="E320" t="s">
        <v>115</v>
      </c>
      <c r="F320">
        <v>201.3</v>
      </c>
      <c r="G320">
        <v>211.1</v>
      </c>
      <c r="H320">
        <v>136.30000000000001</v>
      </c>
      <c r="I320">
        <v>12.2</v>
      </c>
      <c r="J320">
        <v>-5.4</v>
      </c>
      <c r="K320">
        <v>88.9</v>
      </c>
      <c r="L320">
        <v>23.6</v>
      </c>
      <c r="M320">
        <v>98.5</v>
      </c>
      <c r="N320">
        <v>1.38</v>
      </c>
      <c r="O320">
        <v>41.5</v>
      </c>
    </row>
    <row r="321" spans="1:15" x14ac:dyDescent="0.25">
      <c r="A321" s="34" t="s">
        <v>126</v>
      </c>
      <c r="B321" s="2">
        <v>45780</v>
      </c>
      <c r="C321" t="s">
        <v>114</v>
      </c>
      <c r="D321" t="s">
        <v>102</v>
      </c>
      <c r="E321" t="s">
        <v>115</v>
      </c>
      <c r="F321">
        <v>186</v>
      </c>
      <c r="G321">
        <v>193.6</v>
      </c>
      <c r="H321">
        <v>131.4</v>
      </c>
      <c r="I321">
        <v>14.6</v>
      </c>
      <c r="J321">
        <v>0.9</v>
      </c>
      <c r="K321">
        <v>96</v>
      </c>
      <c r="L321">
        <v>50.4</v>
      </c>
      <c r="M321">
        <v>96.2</v>
      </c>
      <c r="N321">
        <v>1.36</v>
      </c>
      <c r="O321">
        <v>43.7</v>
      </c>
    </row>
    <row r="322" spans="1:15" x14ac:dyDescent="0.25">
      <c r="A322" s="34" t="s">
        <v>126</v>
      </c>
      <c r="B322" s="2">
        <v>45780</v>
      </c>
      <c r="C322" t="s">
        <v>114</v>
      </c>
      <c r="D322" t="s">
        <v>102</v>
      </c>
      <c r="E322" t="s">
        <v>115</v>
      </c>
      <c r="F322">
        <v>199.1</v>
      </c>
      <c r="G322">
        <v>203.5</v>
      </c>
      <c r="H322">
        <v>138.19999999999999</v>
      </c>
      <c r="I322">
        <v>14.2</v>
      </c>
      <c r="J322">
        <v>5.5</v>
      </c>
      <c r="K322">
        <v>103.6</v>
      </c>
      <c r="L322">
        <v>70.2</v>
      </c>
      <c r="M322">
        <v>97.4</v>
      </c>
      <c r="N322">
        <v>1.42</v>
      </c>
      <c r="O322">
        <v>44.2</v>
      </c>
    </row>
    <row r="323" spans="1:15" x14ac:dyDescent="0.25">
      <c r="A323" s="34" t="s">
        <v>126</v>
      </c>
      <c r="B323" s="2">
        <v>45780</v>
      </c>
      <c r="C323" t="s">
        <v>114</v>
      </c>
      <c r="D323" t="s">
        <v>102</v>
      </c>
      <c r="E323" t="s">
        <v>115</v>
      </c>
      <c r="F323">
        <v>199.1</v>
      </c>
      <c r="G323">
        <v>202.4</v>
      </c>
      <c r="H323">
        <v>136.9</v>
      </c>
      <c r="I323">
        <v>21</v>
      </c>
      <c r="J323">
        <v>0</v>
      </c>
      <c r="K323">
        <v>149.5</v>
      </c>
      <c r="L323">
        <v>45.8</v>
      </c>
      <c r="M323">
        <v>99.6</v>
      </c>
      <c r="N323">
        <v>1.37</v>
      </c>
      <c r="O323">
        <v>53.5</v>
      </c>
    </row>
    <row r="324" spans="1:15" x14ac:dyDescent="0.25">
      <c r="A324" s="34" t="s">
        <v>126</v>
      </c>
      <c r="B324" s="2">
        <v>45780</v>
      </c>
      <c r="C324" t="s">
        <v>114</v>
      </c>
      <c r="D324" t="s">
        <v>102</v>
      </c>
      <c r="E324" t="s">
        <v>115</v>
      </c>
      <c r="F324">
        <v>189.3</v>
      </c>
      <c r="G324">
        <v>201.3</v>
      </c>
      <c r="H324">
        <v>135.80000000000001</v>
      </c>
      <c r="I324">
        <v>8.6999999999999993</v>
      </c>
      <c r="J324">
        <v>-8</v>
      </c>
      <c r="K324">
        <v>65</v>
      </c>
      <c r="L324">
        <v>10.1</v>
      </c>
      <c r="M324">
        <v>97.4</v>
      </c>
      <c r="N324">
        <v>1.39</v>
      </c>
      <c r="O324">
        <v>35.1</v>
      </c>
    </row>
    <row r="325" spans="1:15" x14ac:dyDescent="0.25">
      <c r="A325" s="34" t="s">
        <v>126</v>
      </c>
      <c r="B325" s="2">
        <v>45780</v>
      </c>
      <c r="C325" t="s">
        <v>114</v>
      </c>
      <c r="D325" t="s">
        <v>102</v>
      </c>
      <c r="E325" t="s">
        <v>115</v>
      </c>
      <c r="F325">
        <v>182.7</v>
      </c>
      <c r="G325">
        <v>194.7</v>
      </c>
      <c r="H325">
        <v>126</v>
      </c>
      <c r="I325">
        <v>10</v>
      </c>
      <c r="J325">
        <v>-8.6999999999999993</v>
      </c>
      <c r="K325">
        <v>55.2</v>
      </c>
      <c r="L325">
        <v>-5.7</v>
      </c>
      <c r="M325">
        <v>97.9</v>
      </c>
      <c r="N325">
        <v>1.29</v>
      </c>
      <c r="O325">
        <v>31.6</v>
      </c>
    </row>
    <row r="326" spans="1:15" x14ac:dyDescent="0.25">
      <c r="A326" s="34" t="s">
        <v>126</v>
      </c>
      <c r="B326" s="2">
        <v>45780</v>
      </c>
      <c r="C326" t="s">
        <v>114</v>
      </c>
      <c r="D326" t="s">
        <v>102</v>
      </c>
      <c r="E326" t="s">
        <v>115</v>
      </c>
      <c r="F326">
        <v>206.8</v>
      </c>
      <c r="G326">
        <v>215.5</v>
      </c>
      <c r="H326">
        <v>139.5</v>
      </c>
      <c r="I326">
        <v>12.6</v>
      </c>
      <c r="J326">
        <v>-7.4</v>
      </c>
      <c r="K326">
        <v>93.1</v>
      </c>
      <c r="L326">
        <v>9.6</v>
      </c>
      <c r="M326">
        <v>100.1</v>
      </c>
      <c r="N326">
        <v>1.39</v>
      </c>
      <c r="O326">
        <v>41.3</v>
      </c>
    </row>
    <row r="327" spans="1:15" x14ac:dyDescent="0.25">
      <c r="A327" s="34" t="s">
        <v>126</v>
      </c>
      <c r="B327" s="2">
        <v>45780</v>
      </c>
      <c r="C327" t="s">
        <v>114</v>
      </c>
      <c r="D327" t="s">
        <v>102</v>
      </c>
      <c r="E327" t="s">
        <v>115</v>
      </c>
      <c r="F327">
        <v>182.7</v>
      </c>
      <c r="G327">
        <v>190.4</v>
      </c>
      <c r="H327">
        <v>129.19999999999999</v>
      </c>
      <c r="I327">
        <v>15.1</v>
      </c>
      <c r="J327">
        <v>-5.0999999999999996</v>
      </c>
      <c r="K327">
        <v>94</v>
      </c>
      <c r="L327">
        <v>26.4</v>
      </c>
      <c r="M327">
        <v>97.9</v>
      </c>
      <c r="N327">
        <v>1.32</v>
      </c>
      <c r="O327">
        <v>43.1</v>
      </c>
    </row>
    <row r="328" spans="1:15" x14ac:dyDescent="0.25">
      <c r="A328" s="34" t="s">
        <v>126</v>
      </c>
      <c r="B328" s="2">
        <v>45780</v>
      </c>
      <c r="C328" t="s">
        <v>114</v>
      </c>
      <c r="D328" t="s">
        <v>102</v>
      </c>
      <c r="E328" t="s">
        <v>115</v>
      </c>
      <c r="F328">
        <v>211.1</v>
      </c>
      <c r="G328">
        <v>216.6</v>
      </c>
      <c r="H328">
        <v>139.9</v>
      </c>
      <c r="I328">
        <v>15.5</v>
      </c>
      <c r="J328">
        <v>-2.4</v>
      </c>
      <c r="K328">
        <v>112.7</v>
      </c>
      <c r="L328">
        <v>11.1</v>
      </c>
      <c r="M328">
        <v>99.6</v>
      </c>
      <c r="N328">
        <v>1.41</v>
      </c>
      <c r="O328">
        <v>45.2</v>
      </c>
    </row>
    <row r="329" spans="1:15" x14ac:dyDescent="0.25">
      <c r="A329" s="34" t="s">
        <v>126</v>
      </c>
      <c r="B329" s="2">
        <v>45780</v>
      </c>
      <c r="C329" t="s">
        <v>114</v>
      </c>
      <c r="D329" t="s">
        <v>102</v>
      </c>
      <c r="E329" t="s">
        <v>115</v>
      </c>
      <c r="F329">
        <v>210</v>
      </c>
      <c r="G329">
        <v>215.5</v>
      </c>
      <c r="H329">
        <v>140.6</v>
      </c>
      <c r="I329">
        <v>14.4</v>
      </c>
      <c r="J329">
        <v>-3.6</v>
      </c>
      <c r="K329">
        <v>106.2</v>
      </c>
      <c r="L329">
        <v>15.7</v>
      </c>
      <c r="M329">
        <v>99.6</v>
      </c>
      <c r="N329">
        <v>1.41</v>
      </c>
      <c r="O329">
        <v>43.8</v>
      </c>
    </row>
    <row r="330" spans="1:15" x14ac:dyDescent="0.25">
      <c r="A330" s="34" t="s">
        <v>126</v>
      </c>
      <c r="B330" s="2">
        <v>45780</v>
      </c>
      <c r="C330" t="s">
        <v>116</v>
      </c>
      <c r="D330" t="s">
        <v>102</v>
      </c>
      <c r="E330" t="s">
        <v>115</v>
      </c>
      <c r="F330">
        <v>222.1</v>
      </c>
      <c r="G330">
        <v>229.7</v>
      </c>
      <c r="H330">
        <v>144.69999999999999</v>
      </c>
      <c r="I330">
        <v>17.399999999999999</v>
      </c>
      <c r="J330">
        <v>1.6</v>
      </c>
      <c r="K330">
        <v>131.9</v>
      </c>
      <c r="L330">
        <v>52.9</v>
      </c>
      <c r="M330">
        <v>104.6</v>
      </c>
      <c r="N330">
        <v>1.38</v>
      </c>
      <c r="O330">
        <v>47.7</v>
      </c>
    </row>
    <row r="331" spans="1:15" x14ac:dyDescent="0.25">
      <c r="A331" s="34" t="s">
        <v>126</v>
      </c>
      <c r="B331" s="2">
        <v>45780</v>
      </c>
      <c r="C331" t="s">
        <v>116</v>
      </c>
      <c r="D331" t="s">
        <v>102</v>
      </c>
      <c r="E331" t="s">
        <v>115</v>
      </c>
      <c r="F331">
        <v>200.2</v>
      </c>
      <c r="G331">
        <v>206.8</v>
      </c>
      <c r="H331">
        <v>133.9</v>
      </c>
      <c r="I331">
        <v>16.399999999999999</v>
      </c>
      <c r="J331">
        <v>-9</v>
      </c>
      <c r="K331">
        <v>109.7</v>
      </c>
      <c r="L331">
        <v>-23.8</v>
      </c>
      <c r="M331">
        <v>104.6</v>
      </c>
      <c r="N331">
        <v>1.28</v>
      </c>
      <c r="O331">
        <v>45.8</v>
      </c>
    </row>
    <row r="332" spans="1:15" x14ac:dyDescent="0.25">
      <c r="A332" s="34" t="s">
        <v>126</v>
      </c>
      <c r="B332" s="2">
        <v>45780</v>
      </c>
      <c r="C332" t="s">
        <v>116</v>
      </c>
      <c r="D332" t="s">
        <v>102</v>
      </c>
      <c r="E332" t="s">
        <v>115</v>
      </c>
      <c r="F332">
        <v>200.2</v>
      </c>
      <c r="G332">
        <v>204.6</v>
      </c>
      <c r="H332">
        <v>134.69999999999999</v>
      </c>
      <c r="I332">
        <v>18.3</v>
      </c>
      <c r="J332">
        <v>-7.3</v>
      </c>
      <c r="K332">
        <v>123</v>
      </c>
      <c r="L332">
        <v>-34.200000000000003</v>
      </c>
      <c r="M332">
        <v>102.4</v>
      </c>
      <c r="N332">
        <v>1.32</v>
      </c>
      <c r="O332">
        <v>48.1</v>
      </c>
    </row>
    <row r="333" spans="1:15" x14ac:dyDescent="0.25">
      <c r="A333" s="34" t="s">
        <v>126</v>
      </c>
      <c r="B333" s="2">
        <v>45780</v>
      </c>
      <c r="C333" t="s">
        <v>116</v>
      </c>
      <c r="D333" t="s">
        <v>102</v>
      </c>
      <c r="E333" t="s">
        <v>115</v>
      </c>
      <c r="F333">
        <v>244</v>
      </c>
      <c r="G333">
        <v>256</v>
      </c>
      <c r="H333">
        <v>150.9</v>
      </c>
      <c r="I333">
        <v>12.6</v>
      </c>
      <c r="J333">
        <v>-6.5</v>
      </c>
      <c r="K333">
        <v>98.2</v>
      </c>
      <c r="L333">
        <v>-20</v>
      </c>
      <c r="M333">
        <v>106.2</v>
      </c>
      <c r="N333">
        <v>1.42</v>
      </c>
      <c r="O333">
        <v>39.4</v>
      </c>
    </row>
    <row r="334" spans="1:15" x14ac:dyDescent="0.25">
      <c r="A334" s="34" t="s">
        <v>126</v>
      </c>
      <c r="B334" s="2">
        <v>45780</v>
      </c>
      <c r="C334" t="s">
        <v>116</v>
      </c>
      <c r="D334" t="s">
        <v>102</v>
      </c>
      <c r="E334" t="s">
        <v>115</v>
      </c>
      <c r="F334">
        <v>210</v>
      </c>
      <c r="G334">
        <v>219.9</v>
      </c>
      <c r="H334">
        <v>145.9</v>
      </c>
      <c r="I334">
        <v>7.4</v>
      </c>
      <c r="J334">
        <v>-10</v>
      </c>
      <c r="K334">
        <v>60.5</v>
      </c>
      <c r="L334">
        <v>0.6</v>
      </c>
      <c r="M334">
        <v>107.3</v>
      </c>
      <c r="N334">
        <v>1.36</v>
      </c>
      <c r="O334">
        <v>31.1</v>
      </c>
    </row>
    <row r="335" spans="1:15" x14ac:dyDescent="0.25">
      <c r="A335" s="34" t="s">
        <v>126</v>
      </c>
      <c r="B335" s="2">
        <v>45780</v>
      </c>
      <c r="C335" t="s">
        <v>116</v>
      </c>
      <c r="D335" t="s">
        <v>102</v>
      </c>
      <c r="E335" t="s">
        <v>115</v>
      </c>
      <c r="F335">
        <v>233</v>
      </c>
      <c r="G335">
        <v>238.5</v>
      </c>
      <c r="H335">
        <v>149.4</v>
      </c>
      <c r="I335">
        <v>13.5</v>
      </c>
      <c r="J335">
        <v>-4.2</v>
      </c>
      <c r="K335">
        <v>102.6</v>
      </c>
      <c r="L335">
        <v>-4.2</v>
      </c>
      <c r="M335">
        <v>102.9</v>
      </c>
      <c r="N335">
        <v>1.45</v>
      </c>
      <c r="O335">
        <v>40.299999999999997</v>
      </c>
    </row>
    <row r="336" spans="1:15" x14ac:dyDescent="0.25">
      <c r="A336" s="34" t="s">
        <v>126</v>
      </c>
      <c r="B336" s="2">
        <v>45780</v>
      </c>
      <c r="C336" t="s">
        <v>116</v>
      </c>
      <c r="D336" t="s">
        <v>102</v>
      </c>
      <c r="E336" t="s">
        <v>115</v>
      </c>
      <c r="F336">
        <v>204.6</v>
      </c>
      <c r="G336">
        <v>211.1</v>
      </c>
      <c r="H336">
        <v>135.5</v>
      </c>
      <c r="I336">
        <v>15.9</v>
      </c>
      <c r="J336">
        <v>-10.6</v>
      </c>
      <c r="K336">
        <v>109.5</v>
      </c>
      <c r="L336">
        <v>-7.5</v>
      </c>
      <c r="M336">
        <v>105.7</v>
      </c>
      <c r="N336">
        <v>1.28</v>
      </c>
      <c r="O336">
        <v>45.5</v>
      </c>
    </row>
    <row r="337" spans="1:15" x14ac:dyDescent="0.25">
      <c r="A337" s="34" t="s">
        <v>126</v>
      </c>
      <c r="B337" s="2">
        <v>45780</v>
      </c>
      <c r="C337" t="s">
        <v>116</v>
      </c>
      <c r="D337" t="s">
        <v>102</v>
      </c>
      <c r="E337" t="s">
        <v>115</v>
      </c>
      <c r="F337">
        <v>249.4</v>
      </c>
      <c r="G337">
        <v>259.3</v>
      </c>
      <c r="H337">
        <v>151.80000000000001</v>
      </c>
      <c r="I337">
        <v>13.7</v>
      </c>
      <c r="J337">
        <v>-4.5</v>
      </c>
      <c r="K337">
        <v>108</v>
      </c>
      <c r="L337">
        <v>-16.600000000000001</v>
      </c>
      <c r="M337">
        <v>107.3</v>
      </c>
      <c r="N337">
        <v>1.41</v>
      </c>
      <c r="O337">
        <v>41.4</v>
      </c>
    </row>
    <row r="338" spans="1:15" x14ac:dyDescent="0.25">
      <c r="A338" s="34" t="s">
        <v>126</v>
      </c>
      <c r="B338" s="2">
        <v>45780</v>
      </c>
      <c r="C338" t="s">
        <v>116</v>
      </c>
      <c r="D338" t="s">
        <v>102</v>
      </c>
      <c r="E338" t="s">
        <v>115</v>
      </c>
      <c r="F338">
        <v>210</v>
      </c>
      <c r="G338">
        <v>215.5</v>
      </c>
      <c r="H338">
        <v>143.5</v>
      </c>
      <c r="I338">
        <v>16.8</v>
      </c>
      <c r="J338">
        <v>-1.5</v>
      </c>
      <c r="K338">
        <v>124.7</v>
      </c>
      <c r="L338">
        <v>42</v>
      </c>
      <c r="M338">
        <v>104</v>
      </c>
      <c r="N338">
        <v>1.38</v>
      </c>
      <c r="O338">
        <v>46.4</v>
      </c>
    </row>
    <row r="339" spans="1:15" x14ac:dyDescent="0.25">
      <c r="A339" s="34" t="s">
        <v>126</v>
      </c>
      <c r="B339" s="2">
        <v>45780</v>
      </c>
      <c r="C339" t="s">
        <v>116</v>
      </c>
      <c r="D339" t="s">
        <v>102</v>
      </c>
      <c r="E339" t="s">
        <v>115</v>
      </c>
      <c r="F339">
        <v>211.1</v>
      </c>
      <c r="G339">
        <v>215.5</v>
      </c>
      <c r="H339">
        <v>145</v>
      </c>
      <c r="I339">
        <v>17.5</v>
      </c>
      <c r="J339">
        <v>-2.9</v>
      </c>
      <c r="K339">
        <v>131.4</v>
      </c>
      <c r="L339">
        <v>39.200000000000003</v>
      </c>
      <c r="M339">
        <v>104</v>
      </c>
      <c r="N339">
        <v>1.39</v>
      </c>
      <c r="O339">
        <v>47.4</v>
      </c>
    </row>
    <row r="340" spans="1:15" x14ac:dyDescent="0.25">
      <c r="A340" s="34" t="s">
        <v>126</v>
      </c>
      <c r="B340" s="2">
        <v>45780</v>
      </c>
      <c r="C340" t="s">
        <v>116</v>
      </c>
      <c r="D340" t="s">
        <v>102</v>
      </c>
      <c r="E340" t="s">
        <v>115</v>
      </c>
      <c r="F340">
        <v>224.3</v>
      </c>
      <c r="G340">
        <v>228.6</v>
      </c>
      <c r="H340">
        <v>152.69999999999999</v>
      </c>
      <c r="I340">
        <v>13.9</v>
      </c>
      <c r="J340">
        <v>-6.3</v>
      </c>
      <c r="K340">
        <v>111.3</v>
      </c>
      <c r="L340">
        <v>29.2</v>
      </c>
      <c r="M340">
        <v>107.3</v>
      </c>
      <c r="N340">
        <v>1.42</v>
      </c>
      <c r="O340">
        <v>42</v>
      </c>
    </row>
    <row r="341" spans="1:15" x14ac:dyDescent="0.25">
      <c r="A341" s="34" t="s">
        <v>126</v>
      </c>
      <c r="B341" s="2">
        <v>45780</v>
      </c>
      <c r="C341" t="s">
        <v>116</v>
      </c>
      <c r="D341" t="s">
        <v>102</v>
      </c>
      <c r="E341" t="s">
        <v>115</v>
      </c>
      <c r="F341">
        <v>223.2</v>
      </c>
      <c r="G341">
        <v>227.6</v>
      </c>
      <c r="H341">
        <v>146.19999999999999</v>
      </c>
      <c r="I341">
        <v>16.399999999999999</v>
      </c>
      <c r="J341">
        <v>-3.8</v>
      </c>
      <c r="K341">
        <v>123.6</v>
      </c>
      <c r="L341">
        <v>16.5</v>
      </c>
      <c r="M341">
        <v>104.6</v>
      </c>
      <c r="N341">
        <v>1.4</v>
      </c>
      <c r="O341">
        <v>45.5</v>
      </c>
    </row>
    <row r="342" spans="1:15" x14ac:dyDescent="0.25">
      <c r="A342" s="34" t="s">
        <v>126</v>
      </c>
      <c r="B342" s="2">
        <v>45780</v>
      </c>
      <c r="C342" t="s">
        <v>116</v>
      </c>
      <c r="D342" t="s">
        <v>102</v>
      </c>
      <c r="E342" t="s">
        <v>115</v>
      </c>
      <c r="F342">
        <v>221</v>
      </c>
      <c r="G342">
        <v>225.4</v>
      </c>
      <c r="H342">
        <v>145.69999999999999</v>
      </c>
      <c r="I342">
        <v>16.7</v>
      </c>
      <c r="J342">
        <v>-4.3</v>
      </c>
      <c r="K342">
        <v>123.8</v>
      </c>
      <c r="L342">
        <v>16.8</v>
      </c>
      <c r="M342">
        <v>101.8</v>
      </c>
      <c r="N342">
        <v>1.43</v>
      </c>
      <c r="O342">
        <v>45.5</v>
      </c>
    </row>
    <row r="343" spans="1:15" x14ac:dyDescent="0.25">
      <c r="A343" s="34" t="s">
        <v>126</v>
      </c>
      <c r="B343" s="2">
        <v>45780</v>
      </c>
      <c r="C343" t="s">
        <v>116</v>
      </c>
      <c r="D343" t="s">
        <v>102</v>
      </c>
      <c r="E343" t="s">
        <v>115</v>
      </c>
      <c r="F343">
        <v>209</v>
      </c>
      <c r="G343">
        <v>213.3</v>
      </c>
      <c r="H343">
        <v>143.19999999999999</v>
      </c>
      <c r="I343">
        <v>18</v>
      </c>
      <c r="J343">
        <v>-2.7</v>
      </c>
      <c r="K343">
        <v>137.19999999999999</v>
      </c>
      <c r="L343">
        <v>49.1</v>
      </c>
      <c r="M343">
        <v>107.3</v>
      </c>
      <c r="N343">
        <v>1.33</v>
      </c>
      <c r="O343">
        <v>49.4</v>
      </c>
    </row>
    <row r="344" spans="1:15" x14ac:dyDescent="0.25">
      <c r="A344" s="34" t="s">
        <v>126</v>
      </c>
      <c r="B344" s="2">
        <v>45780</v>
      </c>
      <c r="C344" t="s">
        <v>116</v>
      </c>
      <c r="D344" t="s">
        <v>102</v>
      </c>
      <c r="E344" t="s">
        <v>115</v>
      </c>
      <c r="F344">
        <v>228.6</v>
      </c>
      <c r="G344">
        <v>234.1</v>
      </c>
      <c r="H344">
        <v>149.19999999999999</v>
      </c>
      <c r="I344">
        <v>15.2</v>
      </c>
      <c r="J344">
        <v>-2.6</v>
      </c>
      <c r="K344">
        <v>116.8</v>
      </c>
      <c r="L344">
        <v>34.299999999999997</v>
      </c>
      <c r="M344">
        <v>105.7</v>
      </c>
      <c r="N344">
        <v>1.41</v>
      </c>
      <c r="O344">
        <v>43.5</v>
      </c>
    </row>
    <row r="345" spans="1:15" x14ac:dyDescent="0.25">
      <c r="A345" s="34" t="s">
        <v>126</v>
      </c>
      <c r="B345" s="2">
        <v>45780</v>
      </c>
      <c r="C345" t="s">
        <v>116</v>
      </c>
      <c r="D345" t="s">
        <v>102</v>
      </c>
      <c r="E345" t="s">
        <v>115</v>
      </c>
      <c r="F345">
        <v>204.6</v>
      </c>
      <c r="G345">
        <v>207.9</v>
      </c>
      <c r="H345">
        <v>138.1</v>
      </c>
      <c r="I345">
        <v>21.2</v>
      </c>
      <c r="J345">
        <v>-9.1</v>
      </c>
      <c r="K345">
        <v>152.30000000000001</v>
      </c>
      <c r="L345">
        <v>-21.2</v>
      </c>
      <c r="M345">
        <v>105.1</v>
      </c>
      <c r="N345">
        <v>1.31</v>
      </c>
      <c r="O345">
        <v>53.5</v>
      </c>
    </row>
    <row r="346" spans="1:15" x14ac:dyDescent="0.25">
      <c r="A346" s="34" t="s">
        <v>126</v>
      </c>
      <c r="B346" s="2">
        <v>45780</v>
      </c>
      <c r="C346" t="s">
        <v>116</v>
      </c>
      <c r="D346" t="s">
        <v>102</v>
      </c>
      <c r="E346" t="s">
        <v>115</v>
      </c>
      <c r="F346">
        <v>206.8</v>
      </c>
      <c r="G346">
        <v>209</v>
      </c>
      <c r="H346">
        <v>145.6</v>
      </c>
      <c r="I346">
        <v>19</v>
      </c>
      <c r="J346">
        <v>-3.8</v>
      </c>
      <c r="K346">
        <v>146.5</v>
      </c>
      <c r="L346">
        <v>32</v>
      </c>
      <c r="M346">
        <v>105.7</v>
      </c>
      <c r="N346">
        <v>1.38</v>
      </c>
      <c r="O346">
        <v>50.3</v>
      </c>
    </row>
    <row r="347" spans="1:15" x14ac:dyDescent="0.25">
      <c r="A347" s="34" t="s">
        <v>126</v>
      </c>
      <c r="B347" s="2">
        <v>45780</v>
      </c>
      <c r="C347" t="s">
        <v>116</v>
      </c>
      <c r="D347" t="s">
        <v>102</v>
      </c>
      <c r="E347" t="s">
        <v>115</v>
      </c>
      <c r="F347">
        <v>212.2</v>
      </c>
      <c r="G347">
        <v>219.9</v>
      </c>
      <c r="H347">
        <v>148.1</v>
      </c>
      <c r="I347">
        <v>13.9</v>
      </c>
      <c r="J347">
        <v>-4.5</v>
      </c>
      <c r="K347">
        <v>105</v>
      </c>
      <c r="L347">
        <v>45</v>
      </c>
      <c r="M347">
        <v>105.7</v>
      </c>
      <c r="N347">
        <v>1.4</v>
      </c>
      <c r="O347">
        <v>41.2</v>
      </c>
    </row>
    <row r="348" spans="1:15" x14ac:dyDescent="0.25">
      <c r="A348" s="34" t="s">
        <v>126</v>
      </c>
      <c r="B348" s="2">
        <v>45780</v>
      </c>
      <c r="C348" t="s">
        <v>116</v>
      </c>
      <c r="D348" t="s">
        <v>102</v>
      </c>
      <c r="E348" t="s">
        <v>115</v>
      </c>
      <c r="F348">
        <v>214.4</v>
      </c>
      <c r="G348">
        <v>224.3</v>
      </c>
      <c r="H348">
        <v>144.6</v>
      </c>
      <c r="I348">
        <v>10.6</v>
      </c>
      <c r="J348">
        <v>-6.7</v>
      </c>
      <c r="K348">
        <v>78.099999999999994</v>
      </c>
      <c r="L348">
        <v>16.5</v>
      </c>
      <c r="M348">
        <v>104.6</v>
      </c>
      <c r="N348">
        <v>1.38</v>
      </c>
      <c r="O348">
        <v>35.6</v>
      </c>
    </row>
    <row r="349" spans="1:15" x14ac:dyDescent="0.25">
      <c r="A349" s="34" t="s">
        <v>126</v>
      </c>
      <c r="B349" s="2">
        <v>45780</v>
      </c>
      <c r="C349" t="s">
        <v>116</v>
      </c>
      <c r="D349" t="s">
        <v>102</v>
      </c>
      <c r="E349" t="s">
        <v>115</v>
      </c>
      <c r="F349">
        <v>209</v>
      </c>
      <c r="G349">
        <v>216.6</v>
      </c>
      <c r="H349">
        <v>144.6</v>
      </c>
      <c r="I349">
        <v>9.9</v>
      </c>
      <c r="J349">
        <v>-5.9</v>
      </c>
      <c r="K349">
        <v>74.7</v>
      </c>
      <c r="L349">
        <v>10.4</v>
      </c>
      <c r="M349">
        <v>106.2</v>
      </c>
      <c r="N349">
        <v>1.36</v>
      </c>
      <c r="O349">
        <v>35</v>
      </c>
    </row>
    <row r="350" spans="1:15" x14ac:dyDescent="0.25">
      <c r="A350" s="34" t="s">
        <v>126</v>
      </c>
      <c r="B350" s="2">
        <v>45780</v>
      </c>
      <c r="C350" t="s">
        <v>116</v>
      </c>
      <c r="D350" t="s">
        <v>102</v>
      </c>
      <c r="E350" t="s">
        <v>115</v>
      </c>
      <c r="F350">
        <v>244</v>
      </c>
      <c r="G350">
        <v>254.9</v>
      </c>
      <c r="H350">
        <v>151.30000000000001</v>
      </c>
      <c r="I350">
        <v>9.9</v>
      </c>
      <c r="J350">
        <v>-11.2</v>
      </c>
      <c r="K350">
        <v>78.900000000000006</v>
      </c>
      <c r="L350">
        <v>-32.6</v>
      </c>
      <c r="M350">
        <v>104.6</v>
      </c>
      <c r="N350">
        <v>1.45</v>
      </c>
      <c r="O350">
        <v>34.799999999999997</v>
      </c>
    </row>
    <row r="351" spans="1:15" x14ac:dyDescent="0.25">
      <c r="A351" s="34" t="s">
        <v>126</v>
      </c>
      <c r="B351" s="2">
        <v>45780</v>
      </c>
      <c r="C351" t="s">
        <v>116</v>
      </c>
      <c r="D351" t="s">
        <v>102</v>
      </c>
      <c r="E351" t="s">
        <v>115</v>
      </c>
      <c r="F351">
        <v>211.1</v>
      </c>
      <c r="G351">
        <v>214.4</v>
      </c>
      <c r="H351">
        <v>144.80000000000001</v>
      </c>
      <c r="I351">
        <v>18.100000000000001</v>
      </c>
      <c r="J351">
        <v>-1.2</v>
      </c>
      <c r="K351">
        <v>139.1</v>
      </c>
      <c r="L351">
        <v>46.8</v>
      </c>
      <c r="M351">
        <v>103.5</v>
      </c>
      <c r="N351">
        <v>1.4</v>
      </c>
      <c r="O351">
        <v>49.3</v>
      </c>
    </row>
    <row r="352" spans="1:15" x14ac:dyDescent="0.25">
      <c r="A352" s="34" t="s">
        <v>126</v>
      </c>
      <c r="B352" s="2">
        <v>45780</v>
      </c>
      <c r="C352" t="s">
        <v>116</v>
      </c>
      <c r="D352" t="s">
        <v>102</v>
      </c>
      <c r="E352" t="s">
        <v>115</v>
      </c>
      <c r="F352">
        <v>225.4</v>
      </c>
      <c r="G352">
        <v>230.8</v>
      </c>
      <c r="H352">
        <v>148.19999999999999</v>
      </c>
      <c r="I352">
        <v>16</v>
      </c>
      <c r="J352">
        <v>-0.7</v>
      </c>
      <c r="K352">
        <v>125.6</v>
      </c>
      <c r="L352">
        <v>39.6</v>
      </c>
      <c r="M352">
        <v>104.6</v>
      </c>
      <c r="N352">
        <v>1.42</v>
      </c>
      <c r="O352">
        <v>45.9</v>
      </c>
    </row>
    <row r="353" spans="1:15" x14ac:dyDescent="0.25">
      <c r="A353" s="34" t="s">
        <v>126</v>
      </c>
      <c r="B353" s="2">
        <v>45780</v>
      </c>
      <c r="C353" t="s">
        <v>116</v>
      </c>
      <c r="D353" t="s">
        <v>102</v>
      </c>
      <c r="E353" t="s">
        <v>115</v>
      </c>
      <c r="F353">
        <v>213.3</v>
      </c>
      <c r="G353">
        <v>222.1</v>
      </c>
      <c r="H353">
        <v>148.30000000000001</v>
      </c>
      <c r="I353">
        <v>7.6</v>
      </c>
      <c r="J353">
        <v>-7</v>
      </c>
      <c r="K353">
        <v>60.2</v>
      </c>
      <c r="L353">
        <v>12.9</v>
      </c>
      <c r="M353">
        <v>105.1</v>
      </c>
      <c r="N353">
        <v>1.41</v>
      </c>
      <c r="O353">
        <v>30.1</v>
      </c>
    </row>
    <row r="354" spans="1:15" x14ac:dyDescent="0.25">
      <c r="A354" s="34" t="s">
        <v>126</v>
      </c>
      <c r="B354" s="2">
        <v>45780</v>
      </c>
      <c r="C354" t="s">
        <v>116</v>
      </c>
      <c r="D354" t="s">
        <v>102</v>
      </c>
      <c r="E354" t="s">
        <v>115</v>
      </c>
      <c r="F354">
        <v>204.6</v>
      </c>
      <c r="G354">
        <v>207.9</v>
      </c>
      <c r="H354">
        <v>141.1</v>
      </c>
      <c r="I354">
        <v>16.899999999999999</v>
      </c>
      <c r="J354">
        <v>3.5</v>
      </c>
      <c r="K354">
        <v>125.5</v>
      </c>
      <c r="L354">
        <v>50.7</v>
      </c>
      <c r="M354">
        <v>104</v>
      </c>
      <c r="N354">
        <v>1.36</v>
      </c>
      <c r="O354">
        <v>47.7</v>
      </c>
    </row>
    <row r="355" spans="1:15" x14ac:dyDescent="0.25">
      <c r="A355" s="34" t="s">
        <v>126</v>
      </c>
      <c r="B355" s="10">
        <v>45801</v>
      </c>
      <c r="C355" t="s">
        <v>97</v>
      </c>
      <c r="D355" t="s">
        <v>98</v>
      </c>
      <c r="E355" t="s">
        <v>99</v>
      </c>
      <c r="F355">
        <v>63.5</v>
      </c>
      <c r="G355">
        <v>65.599999999999994</v>
      </c>
      <c r="H355">
        <v>63.7</v>
      </c>
      <c r="I355">
        <v>50.5</v>
      </c>
      <c r="J355">
        <v>2.5</v>
      </c>
      <c r="K355">
        <v>79</v>
      </c>
      <c r="L355">
        <v>2.9</v>
      </c>
      <c r="M355">
        <v>76.3</v>
      </c>
      <c r="N355">
        <v>0.84</v>
      </c>
      <c r="O355">
        <v>62.2</v>
      </c>
    </row>
    <row r="356" spans="1:15" x14ac:dyDescent="0.25">
      <c r="A356" s="34" t="s">
        <v>126</v>
      </c>
      <c r="B356" s="10">
        <v>45801</v>
      </c>
      <c r="C356" t="s">
        <v>97</v>
      </c>
      <c r="D356" t="s">
        <v>98</v>
      </c>
      <c r="E356" t="s">
        <v>99</v>
      </c>
      <c r="F356">
        <v>72.2</v>
      </c>
      <c r="G356">
        <v>74.400000000000006</v>
      </c>
      <c r="H356">
        <v>65.8</v>
      </c>
      <c r="I356">
        <v>51.7</v>
      </c>
      <c r="J356">
        <v>3.7</v>
      </c>
      <c r="K356">
        <v>86.1</v>
      </c>
      <c r="L356">
        <v>3</v>
      </c>
      <c r="M356">
        <v>80.3</v>
      </c>
      <c r="N356">
        <v>0.82</v>
      </c>
      <c r="O356">
        <v>64.3</v>
      </c>
    </row>
    <row r="357" spans="1:15" x14ac:dyDescent="0.25">
      <c r="A357" s="34" t="s">
        <v>126</v>
      </c>
      <c r="B357" s="10">
        <v>45801</v>
      </c>
      <c r="C357" t="s">
        <v>97</v>
      </c>
      <c r="D357" t="s">
        <v>98</v>
      </c>
      <c r="E357" t="s">
        <v>99</v>
      </c>
      <c r="F357">
        <v>78.8</v>
      </c>
      <c r="G357">
        <v>84.2</v>
      </c>
      <c r="H357">
        <v>68.599999999999994</v>
      </c>
      <c r="I357">
        <v>35.6</v>
      </c>
      <c r="J357">
        <v>-1</v>
      </c>
      <c r="K357">
        <v>60.6</v>
      </c>
      <c r="L357">
        <v>-10.6</v>
      </c>
      <c r="M357">
        <v>77.7</v>
      </c>
      <c r="N357">
        <v>0.88</v>
      </c>
      <c r="O357">
        <v>49.2</v>
      </c>
    </row>
    <row r="358" spans="1:15" x14ac:dyDescent="0.25">
      <c r="A358" s="34" t="s">
        <v>126</v>
      </c>
      <c r="B358" s="10">
        <v>45801</v>
      </c>
      <c r="C358" t="s">
        <v>97</v>
      </c>
      <c r="D358" t="s">
        <v>98</v>
      </c>
      <c r="E358" t="s">
        <v>99</v>
      </c>
      <c r="F358">
        <v>84.2</v>
      </c>
      <c r="G358">
        <v>89.7</v>
      </c>
      <c r="H358">
        <v>70.8</v>
      </c>
      <c r="I358">
        <v>37.4</v>
      </c>
      <c r="J358">
        <v>-2.4</v>
      </c>
      <c r="K358">
        <v>68.7</v>
      </c>
      <c r="L358">
        <v>-12.9</v>
      </c>
      <c r="M358">
        <v>79.900000000000006</v>
      </c>
      <c r="N358">
        <v>0.89</v>
      </c>
      <c r="O358">
        <v>51.8</v>
      </c>
    </row>
    <row r="359" spans="1:15" x14ac:dyDescent="0.25">
      <c r="A359" s="34" t="s">
        <v>126</v>
      </c>
      <c r="B359" s="10">
        <v>45801</v>
      </c>
      <c r="C359" t="s">
        <v>116</v>
      </c>
      <c r="D359" t="s">
        <v>102</v>
      </c>
      <c r="E359" t="s">
        <v>115</v>
      </c>
      <c r="F359">
        <v>225.4</v>
      </c>
      <c r="G359">
        <v>230.8</v>
      </c>
      <c r="H359">
        <v>150.30000000000001</v>
      </c>
      <c r="I359">
        <v>12.5</v>
      </c>
      <c r="J359">
        <v>-3.8</v>
      </c>
      <c r="K359">
        <v>96.4</v>
      </c>
      <c r="L359">
        <v>-45.2</v>
      </c>
      <c r="M359">
        <v>105.7</v>
      </c>
      <c r="N359">
        <v>1.42</v>
      </c>
      <c r="O359">
        <v>39</v>
      </c>
    </row>
    <row r="360" spans="1:15" x14ac:dyDescent="0.25">
      <c r="A360" s="34" t="s">
        <v>126</v>
      </c>
      <c r="B360" s="10">
        <v>45801</v>
      </c>
      <c r="C360" t="s">
        <v>116</v>
      </c>
      <c r="D360" t="s">
        <v>102</v>
      </c>
      <c r="E360" t="s">
        <v>115</v>
      </c>
      <c r="F360">
        <v>223.2</v>
      </c>
      <c r="G360">
        <v>229.7</v>
      </c>
      <c r="H360">
        <v>147</v>
      </c>
      <c r="I360">
        <v>16.5</v>
      </c>
      <c r="J360">
        <v>0.3</v>
      </c>
      <c r="K360">
        <v>128.4</v>
      </c>
      <c r="L360">
        <v>50.7</v>
      </c>
      <c r="M360">
        <v>106.8</v>
      </c>
      <c r="N360">
        <v>1.38</v>
      </c>
      <c r="O360">
        <v>46.7</v>
      </c>
    </row>
    <row r="361" spans="1:15" x14ac:dyDescent="0.25">
      <c r="A361" s="34" t="s">
        <v>126</v>
      </c>
      <c r="B361" s="10">
        <v>45801</v>
      </c>
      <c r="C361" t="s">
        <v>116</v>
      </c>
      <c r="D361" t="s">
        <v>102</v>
      </c>
      <c r="E361" t="s">
        <v>115</v>
      </c>
      <c r="F361">
        <v>206.8</v>
      </c>
      <c r="G361">
        <v>218.8</v>
      </c>
      <c r="H361">
        <v>144.4</v>
      </c>
      <c r="I361">
        <v>4.9000000000000004</v>
      </c>
      <c r="J361">
        <v>-7.3</v>
      </c>
      <c r="K361">
        <v>40.4</v>
      </c>
      <c r="L361">
        <v>-5.2</v>
      </c>
      <c r="M361">
        <v>103.5</v>
      </c>
      <c r="N361">
        <v>1.4</v>
      </c>
      <c r="O361">
        <v>24.1</v>
      </c>
    </row>
    <row r="362" spans="1:15" x14ac:dyDescent="0.25">
      <c r="A362" s="34" t="s">
        <v>126</v>
      </c>
      <c r="B362" s="10">
        <v>45801</v>
      </c>
      <c r="C362" t="s">
        <v>116</v>
      </c>
      <c r="D362" t="s">
        <v>102</v>
      </c>
      <c r="E362" t="s">
        <v>115</v>
      </c>
      <c r="F362">
        <v>217.7</v>
      </c>
      <c r="G362">
        <v>221</v>
      </c>
      <c r="H362">
        <v>146.4</v>
      </c>
      <c r="I362">
        <v>17.899999999999999</v>
      </c>
      <c r="J362">
        <v>0.5</v>
      </c>
      <c r="K362">
        <v>140.30000000000001</v>
      </c>
      <c r="L362">
        <v>46.1</v>
      </c>
      <c r="M362">
        <v>106.8</v>
      </c>
      <c r="N362">
        <v>1.37</v>
      </c>
      <c r="O362">
        <v>49.2</v>
      </c>
    </row>
    <row r="363" spans="1:15" x14ac:dyDescent="0.25">
      <c r="A363" s="34" t="s">
        <v>126</v>
      </c>
      <c r="B363" s="10">
        <v>45801</v>
      </c>
      <c r="C363" t="s">
        <v>116</v>
      </c>
      <c r="D363" t="s">
        <v>102</v>
      </c>
      <c r="E363" t="s">
        <v>115</v>
      </c>
      <c r="F363">
        <v>206.8</v>
      </c>
      <c r="G363">
        <v>211.1</v>
      </c>
      <c r="H363">
        <v>145.19999999999999</v>
      </c>
      <c r="I363">
        <v>16.3</v>
      </c>
      <c r="J363">
        <v>-5.5</v>
      </c>
      <c r="K363">
        <v>121.9</v>
      </c>
      <c r="L363">
        <v>37.799999999999997</v>
      </c>
      <c r="M363">
        <v>105.1</v>
      </c>
      <c r="N363">
        <v>1.38</v>
      </c>
      <c r="O363">
        <v>45.4</v>
      </c>
    </row>
    <row r="364" spans="1:15" x14ac:dyDescent="0.25">
      <c r="A364" s="34" t="s">
        <v>126</v>
      </c>
      <c r="B364" s="10">
        <v>45801</v>
      </c>
      <c r="C364" t="s">
        <v>116</v>
      </c>
      <c r="D364" t="s">
        <v>102</v>
      </c>
      <c r="E364" t="s">
        <v>115</v>
      </c>
      <c r="F364">
        <v>201.3</v>
      </c>
      <c r="G364">
        <v>212.2</v>
      </c>
      <c r="H364">
        <v>143.19999999999999</v>
      </c>
      <c r="I364">
        <v>4.9000000000000004</v>
      </c>
      <c r="J364">
        <v>-10.9</v>
      </c>
      <c r="K364">
        <v>40.799999999999997</v>
      </c>
      <c r="L364">
        <v>-14.2</v>
      </c>
      <c r="M364">
        <v>104.6</v>
      </c>
      <c r="N364">
        <v>1.37</v>
      </c>
      <c r="O364">
        <v>24.5</v>
      </c>
    </row>
    <row r="365" spans="1:15" x14ac:dyDescent="0.25">
      <c r="A365" s="34" t="s">
        <v>126</v>
      </c>
      <c r="B365" s="10">
        <v>45801</v>
      </c>
      <c r="C365" t="s">
        <v>116</v>
      </c>
      <c r="D365" t="s">
        <v>102</v>
      </c>
      <c r="E365" t="s">
        <v>115</v>
      </c>
      <c r="F365">
        <v>215.5</v>
      </c>
      <c r="G365">
        <v>222.1</v>
      </c>
      <c r="H365">
        <v>148.30000000000001</v>
      </c>
      <c r="I365">
        <v>11.2</v>
      </c>
      <c r="J365">
        <v>-6.4</v>
      </c>
      <c r="K365">
        <v>84.3</v>
      </c>
      <c r="L365">
        <v>25.1</v>
      </c>
      <c r="M365">
        <v>104.6</v>
      </c>
      <c r="N365">
        <v>1.42</v>
      </c>
      <c r="O365">
        <v>36.4</v>
      </c>
    </row>
    <row r="366" spans="1:15" x14ac:dyDescent="0.25">
      <c r="A366" s="34" t="s">
        <v>126</v>
      </c>
      <c r="B366" s="10">
        <v>45801</v>
      </c>
      <c r="C366" t="s">
        <v>116</v>
      </c>
      <c r="D366" t="s">
        <v>102</v>
      </c>
      <c r="E366" t="s">
        <v>115</v>
      </c>
      <c r="F366">
        <v>198</v>
      </c>
      <c r="G366">
        <v>204.6</v>
      </c>
      <c r="H366">
        <v>143.1</v>
      </c>
      <c r="I366">
        <v>10.9</v>
      </c>
      <c r="J366">
        <v>-7.7</v>
      </c>
      <c r="K366">
        <v>81.8</v>
      </c>
      <c r="L366">
        <v>27.4</v>
      </c>
      <c r="M366">
        <v>107.3</v>
      </c>
      <c r="N366">
        <v>1.33</v>
      </c>
      <c r="O366">
        <v>37.299999999999997</v>
      </c>
    </row>
    <row r="367" spans="1:15" x14ac:dyDescent="0.25">
      <c r="A367" s="34" t="s">
        <v>126</v>
      </c>
      <c r="B367" s="10">
        <v>45801</v>
      </c>
      <c r="C367" t="s">
        <v>116</v>
      </c>
      <c r="D367" t="s">
        <v>102</v>
      </c>
      <c r="E367" t="s">
        <v>115</v>
      </c>
      <c r="F367">
        <v>211.1</v>
      </c>
      <c r="G367">
        <v>219.9</v>
      </c>
      <c r="H367">
        <v>145.30000000000001</v>
      </c>
      <c r="I367">
        <v>7.7</v>
      </c>
      <c r="J367">
        <v>-10.4</v>
      </c>
      <c r="K367">
        <v>59.5</v>
      </c>
      <c r="L367">
        <v>-8.4</v>
      </c>
      <c r="M367">
        <v>104.6</v>
      </c>
      <c r="N367">
        <v>1.39</v>
      </c>
      <c r="O367">
        <v>30.5</v>
      </c>
    </row>
    <row r="368" spans="1:15" x14ac:dyDescent="0.25">
      <c r="A368" s="34" t="s">
        <v>126</v>
      </c>
      <c r="B368" s="10">
        <v>45801</v>
      </c>
      <c r="C368" t="s">
        <v>116</v>
      </c>
      <c r="D368" t="s">
        <v>102</v>
      </c>
      <c r="E368" t="s">
        <v>115</v>
      </c>
      <c r="F368">
        <v>211.1</v>
      </c>
      <c r="G368">
        <v>222.1</v>
      </c>
      <c r="H368">
        <v>143</v>
      </c>
      <c r="I368">
        <v>9.8000000000000007</v>
      </c>
      <c r="J368">
        <v>-7.2</v>
      </c>
      <c r="K368">
        <v>72.5</v>
      </c>
      <c r="L368">
        <v>8.9</v>
      </c>
      <c r="M368">
        <v>105.1</v>
      </c>
      <c r="N368">
        <v>1.36</v>
      </c>
      <c r="O368">
        <v>34.6</v>
      </c>
    </row>
    <row r="369" spans="1:15" x14ac:dyDescent="0.25">
      <c r="A369" s="34" t="s">
        <v>126</v>
      </c>
      <c r="B369" s="10">
        <v>45801</v>
      </c>
      <c r="C369" t="s">
        <v>116</v>
      </c>
      <c r="D369" t="s">
        <v>102</v>
      </c>
      <c r="E369" t="s">
        <v>115</v>
      </c>
      <c r="F369">
        <v>202.4</v>
      </c>
      <c r="G369">
        <v>207.9</v>
      </c>
      <c r="H369">
        <v>143</v>
      </c>
      <c r="I369">
        <v>14.7</v>
      </c>
      <c r="J369">
        <v>-4.3</v>
      </c>
      <c r="K369">
        <v>105</v>
      </c>
      <c r="L369">
        <v>36.1</v>
      </c>
      <c r="M369">
        <v>103.5</v>
      </c>
      <c r="N369">
        <v>1.38</v>
      </c>
      <c r="O369">
        <v>42.1</v>
      </c>
    </row>
    <row r="370" spans="1:15" x14ac:dyDescent="0.25">
      <c r="A370" s="34" t="s">
        <v>126</v>
      </c>
      <c r="B370" s="10">
        <v>45801</v>
      </c>
      <c r="C370" t="s">
        <v>116</v>
      </c>
      <c r="D370" t="s">
        <v>102</v>
      </c>
      <c r="E370" t="s">
        <v>115</v>
      </c>
      <c r="F370">
        <v>223.2</v>
      </c>
      <c r="G370">
        <v>228.6</v>
      </c>
      <c r="H370">
        <v>145.6</v>
      </c>
      <c r="I370">
        <v>12.7</v>
      </c>
      <c r="J370">
        <v>-2.8</v>
      </c>
      <c r="K370">
        <v>95.2</v>
      </c>
      <c r="L370">
        <v>6.6</v>
      </c>
      <c r="M370">
        <v>106.2</v>
      </c>
      <c r="N370">
        <v>1.37</v>
      </c>
      <c r="O370">
        <v>39.799999999999997</v>
      </c>
    </row>
    <row r="371" spans="1:15" x14ac:dyDescent="0.25">
      <c r="A371" s="34" t="s">
        <v>126</v>
      </c>
      <c r="B371" s="10">
        <v>45801</v>
      </c>
      <c r="C371" t="s">
        <v>100</v>
      </c>
      <c r="D371" t="s">
        <v>98</v>
      </c>
      <c r="E371" t="s">
        <v>99</v>
      </c>
      <c r="F371">
        <v>90.8</v>
      </c>
      <c r="G371">
        <v>93</v>
      </c>
      <c r="H371">
        <v>75.7</v>
      </c>
      <c r="I371">
        <v>43</v>
      </c>
      <c r="J371">
        <v>-3.2</v>
      </c>
      <c r="K371">
        <v>92.6</v>
      </c>
      <c r="L371">
        <v>-11.3</v>
      </c>
      <c r="M371">
        <v>77.900000000000006</v>
      </c>
      <c r="N371">
        <v>0.97</v>
      </c>
      <c r="O371">
        <v>58.6</v>
      </c>
    </row>
    <row r="372" spans="1:15" x14ac:dyDescent="0.25">
      <c r="A372" s="34" t="s">
        <v>126</v>
      </c>
      <c r="B372" s="10">
        <v>45801</v>
      </c>
      <c r="C372" t="s">
        <v>100</v>
      </c>
      <c r="D372" t="s">
        <v>98</v>
      </c>
      <c r="E372" t="s">
        <v>99</v>
      </c>
      <c r="F372">
        <v>74.400000000000006</v>
      </c>
      <c r="G372">
        <v>79.900000000000006</v>
      </c>
      <c r="H372">
        <v>66.3</v>
      </c>
      <c r="I372">
        <v>38.299999999999997</v>
      </c>
      <c r="J372">
        <v>-2.4</v>
      </c>
      <c r="K372">
        <v>61.9</v>
      </c>
      <c r="L372">
        <v>-7</v>
      </c>
      <c r="M372">
        <v>79.900000000000006</v>
      </c>
      <c r="N372">
        <v>0.83</v>
      </c>
      <c r="O372">
        <v>51.1</v>
      </c>
    </row>
    <row r="373" spans="1:15" x14ac:dyDescent="0.25">
      <c r="A373" s="34" t="s">
        <v>126</v>
      </c>
      <c r="B373" s="10">
        <v>45801</v>
      </c>
      <c r="C373" t="s">
        <v>100</v>
      </c>
      <c r="D373" t="s">
        <v>98</v>
      </c>
      <c r="E373" t="s">
        <v>99</v>
      </c>
      <c r="F373">
        <v>75.5</v>
      </c>
      <c r="G373">
        <v>77.7</v>
      </c>
      <c r="H373">
        <v>72.5</v>
      </c>
      <c r="I373">
        <v>49.9</v>
      </c>
      <c r="J373">
        <v>1.2</v>
      </c>
      <c r="K373">
        <v>99.3</v>
      </c>
      <c r="L373">
        <v>1.7</v>
      </c>
      <c r="M373">
        <v>79.599999999999994</v>
      </c>
      <c r="N373">
        <v>0.91</v>
      </c>
      <c r="O373">
        <v>64.8</v>
      </c>
    </row>
    <row r="374" spans="1:15" x14ac:dyDescent="0.25">
      <c r="A374" s="34" t="s">
        <v>126</v>
      </c>
      <c r="B374" s="10">
        <v>45801</v>
      </c>
      <c r="C374" t="s">
        <v>100</v>
      </c>
      <c r="D374" t="s">
        <v>98</v>
      </c>
      <c r="E374" t="s">
        <v>99</v>
      </c>
      <c r="F374">
        <v>87.5</v>
      </c>
      <c r="G374">
        <v>89.7</v>
      </c>
      <c r="H374">
        <v>77.5</v>
      </c>
      <c r="I374">
        <v>45.5</v>
      </c>
      <c r="J374">
        <v>-5.4</v>
      </c>
      <c r="K374">
        <v>102.8</v>
      </c>
      <c r="L374">
        <v>-8.1999999999999993</v>
      </c>
      <c r="M374">
        <v>81.8</v>
      </c>
      <c r="N374">
        <v>0.95</v>
      </c>
      <c r="O374">
        <v>62</v>
      </c>
    </row>
    <row r="375" spans="1:15" x14ac:dyDescent="0.25">
      <c r="A375" s="34" t="s">
        <v>126</v>
      </c>
      <c r="B375" s="10">
        <v>45801</v>
      </c>
      <c r="C375" t="s">
        <v>100</v>
      </c>
      <c r="D375" t="s">
        <v>98</v>
      </c>
      <c r="E375" t="s">
        <v>99</v>
      </c>
      <c r="F375">
        <v>82.1</v>
      </c>
      <c r="G375">
        <v>84.2</v>
      </c>
      <c r="H375">
        <v>70.599999999999994</v>
      </c>
      <c r="I375">
        <v>40.5</v>
      </c>
      <c r="J375">
        <v>0.3</v>
      </c>
      <c r="K375">
        <v>75.3</v>
      </c>
      <c r="L375">
        <v>-0.1</v>
      </c>
      <c r="M375">
        <v>81.2</v>
      </c>
      <c r="N375">
        <v>0.87</v>
      </c>
      <c r="O375">
        <v>54.5</v>
      </c>
    </row>
    <row r="376" spans="1:15" x14ac:dyDescent="0.25">
      <c r="A376" s="34" t="s">
        <v>126</v>
      </c>
      <c r="B376" s="10">
        <v>45801</v>
      </c>
      <c r="C376" t="s">
        <v>100</v>
      </c>
      <c r="D376" t="s">
        <v>98</v>
      </c>
      <c r="E376" t="s">
        <v>99</v>
      </c>
      <c r="F376">
        <v>84.2</v>
      </c>
      <c r="G376">
        <v>86.4</v>
      </c>
      <c r="H376">
        <v>74.2</v>
      </c>
      <c r="I376">
        <v>43.9</v>
      </c>
      <c r="J376">
        <v>-8.3000000000000007</v>
      </c>
      <c r="K376">
        <v>91.1</v>
      </c>
      <c r="L376">
        <v>-12.1</v>
      </c>
      <c r="M376">
        <v>77.400000000000006</v>
      </c>
      <c r="N376">
        <v>0.96</v>
      </c>
      <c r="O376">
        <v>59.1</v>
      </c>
    </row>
    <row r="377" spans="1:15" x14ac:dyDescent="0.25">
      <c r="A377" s="34" t="s">
        <v>126</v>
      </c>
      <c r="B377" s="10">
        <v>45801</v>
      </c>
      <c r="C377" t="s">
        <v>100</v>
      </c>
      <c r="D377" t="s">
        <v>98</v>
      </c>
      <c r="E377" t="s">
        <v>99</v>
      </c>
      <c r="F377">
        <v>88.6</v>
      </c>
      <c r="G377">
        <v>91.9</v>
      </c>
      <c r="H377">
        <v>74.7</v>
      </c>
      <c r="I377">
        <v>42.6</v>
      </c>
      <c r="J377">
        <v>-5</v>
      </c>
      <c r="K377">
        <v>89.2</v>
      </c>
      <c r="L377">
        <v>-13.3</v>
      </c>
      <c r="M377">
        <v>78.5</v>
      </c>
      <c r="N377">
        <v>0.95</v>
      </c>
      <c r="O377">
        <v>57.8</v>
      </c>
    </row>
    <row r="378" spans="1:15" x14ac:dyDescent="0.25">
      <c r="A378" s="34" t="s">
        <v>126</v>
      </c>
      <c r="B378" s="10">
        <v>45801</v>
      </c>
      <c r="C378" t="s">
        <v>100</v>
      </c>
      <c r="D378" t="s">
        <v>98</v>
      </c>
      <c r="E378" t="s">
        <v>99</v>
      </c>
      <c r="F378">
        <v>78.8</v>
      </c>
      <c r="G378">
        <v>86.4</v>
      </c>
      <c r="H378">
        <v>67.5</v>
      </c>
      <c r="I378">
        <v>30.8</v>
      </c>
      <c r="J378">
        <v>1.9</v>
      </c>
      <c r="K378">
        <v>48.4</v>
      </c>
      <c r="L378">
        <v>6</v>
      </c>
      <c r="M378">
        <v>77.900000000000006</v>
      </c>
      <c r="N378">
        <v>0.87</v>
      </c>
      <c r="O378">
        <v>44</v>
      </c>
    </row>
    <row r="379" spans="1:15" x14ac:dyDescent="0.25">
      <c r="A379" s="34" t="s">
        <v>126</v>
      </c>
      <c r="B379" s="10">
        <v>45801</v>
      </c>
      <c r="C379" t="s">
        <v>100</v>
      </c>
      <c r="D379" t="s">
        <v>98</v>
      </c>
      <c r="E379" t="s">
        <v>99</v>
      </c>
      <c r="F379">
        <v>73.3</v>
      </c>
      <c r="G379">
        <v>76.599999999999994</v>
      </c>
      <c r="H379">
        <v>68.8</v>
      </c>
      <c r="I379">
        <v>47.4</v>
      </c>
      <c r="J379">
        <v>-3.6</v>
      </c>
      <c r="K379">
        <v>85</v>
      </c>
      <c r="L379">
        <v>-4.5999999999999996</v>
      </c>
      <c r="M379">
        <v>78.900000000000006</v>
      </c>
      <c r="N379">
        <v>0.87</v>
      </c>
      <c r="O379">
        <v>60.8</v>
      </c>
    </row>
    <row r="380" spans="1:15" x14ac:dyDescent="0.25">
      <c r="A380" s="34" t="s">
        <v>126</v>
      </c>
      <c r="B380" s="10">
        <v>45801</v>
      </c>
      <c r="C380" t="s">
        <v>100</v>
      </c>
      <c r="D380" t="s">
        <v>98</v>
      </c>
      <c r="E380" t="s">
        <v>99</v>
      </c>
      <c r="F380">
        <v>89.7</v>
      </c>
      <c r="G380">
        <v>93</v>
      </c>
      <c r="H380">
        <v>75.7</v>
      </c>
      <c r="I380">
        <v>43.5</v>
      </c>
      <c r="J380">
        <v>-3.8</v>
      </c>
      <c r="K380">
        <v>93.8</v>
      </c>
      <c r="L380">
        <v>-13.7</v>
      </c>
      <c r="M380">
        <v>80.099999999999994</v>
      </c>
      <c r="N380">
        <v>0.95</v>
      </c>
      <c r="O380">
        <v>59.1</v>
      </c>
    </row>
    <row r="381" spans="1:15" x14ac:dyDescent="0.25">
      <c r="A381" s="34" t="s">
        <v>126</v>
      </c>
      <c r="B381" s="10">
        <v>45801</v>
      </c>
      <c r="C381" t="s">
        <v>100</v>
      </c>
      <c r="D381" t="s">
        <v>98</v>
      </c>
      <c r="E381" t="s">
        <v>99</v>
      </c>
      <c r="F381">
        <v>96.3</v>
      </c>
      <c r="G381">
        <v>101.7</v>
      </c>
      <c r="H381">
        <v>78.400000000000006</v>
      </c>
      <c r="I381">
        <v>30.2</v>
      </c>
      <c r="J381">
        <v>2</v>
      </c>
      <c r="K381">
        <v>65.8</v>
      </c>
      <c r="L381">
        <v>7.4</v>
      </c>
      <c r="M381">
        <v>81.8</v>
      </c>
      <c r="N381">
        <v>0.96</v>
      </c>
      <c r="O381">
        <v>47.5</v>
      </c>
    </row>
    <row r="382" spans="1:15" x14ac:dyDescent="0.25">
      <c r="A382" s="34" t="s">
        <v>126</v>
      </c>
      <c r="B382" s="10">
        <v>45801</v>
      </c>
      <c r="C382" t="s">
        <v>100</v>
      </c>
      <c r="D382" t="s">
        <v>98</v>
      </c>
      <c r="E382" t="s">
        <v>99</v>
      </c>
      <c r="F382">
        <v>93</v>
      </c>
      <c r="G382">
        <v>97.4</v>
      </c>
      <c r="H382">
        <v>76.599999999999994</v>
      </c>
      <c r="I382">
        <v>34.799999999999997</v>
      </c>
      <c r="J382">
        <v>-4.4000000000000004</v>
      </c>
      <c r="K382">
        <v>74.5</v>
      </c>
      <c r="L382">
        <v>-7</v>
      </c>
      <c r="M382">
        <v>79</v>
      </c>
      <c r="N382">
        <v>0.97</v>
      </c>
      <c r="O382">
        <v>51.2</v>
      </c>
    </row>
    <row r="383" spans="1:15" x14ac:dyDescent="0.25">
      <c r="A383" s="34" t="s">
        <v>126</v>
      </c>
      <c r="B383" s="10">
        <v>45801</v>
      </c>
      <c r="C383" t="s">
        <v>100</v>
      </c>
      <c r="D383" t="s">
        <v>98</v>
      </c>
      <c r="E383" t="s">
        <v>99</v>
      </c>
      <c r="F383">
        <v>79.900000000000006</v>
      </c>
      <c r="G383">
        <v>83.1</v>
      </c>
      <c r="H383">
        <v>72.2</v>
      </c>
      <c r="I383">
        <v>45.7</v>
      </c>
      <c r="J383">
        <v>-7.4</v>
      </c>
      <c r="K383">
        <v>90.1</v>
      </c>
      <c r="L383">
        <v>-16.100000000000001</v>
      </c>
      <c r="M383">
        <v>76.2</v>
      </c>
      <c r="N383">
        <v>0.95</v>
      </c>
      <c r="O383">
        <v>60.3</v>
      </c>
    </row>
    <row r="384" spans="1:15" x14ac:dyDescent="0.25">
      <c r="A384" s="34" t="s">
        <v>126</v>
      </c>
      <c r="B384" s="10">
        <v>45801</v>
      </c>
      <c r="C384" t="s">
        <v>100</v>
      </c>
      <c r="D384" t="s">
        <v>98</v>
      </c>
      <c r="E384" t="s">
        <v>99</v>
      </c>
      <c r="F384">
        <v>86.4</v>
      </c>
      <c r="G384">
        <v>88.6</v>
      </c>
      <c r="H384">
        <v>72.5</v>
      </c>
      <c r="I384">
        <v>40.299999999999997</v>
      </c>
      <c r="J384">
        <v>-5</v>
      </c>
      <c r="K384">
        <v>78.900000000000006</v>
      </c>
      <c r="L384">
        <v>-18.2</v>
      </c>
      <c r="M384">
        <v>79.599999999999994</v>
      </c>
      <c r="N384">
        <v>0.91</v>
      </c>
      <c r="O384">
        <v>54.9</v>
      </c>
    </row>
    <row r="385" spans="1:15" x14ac:dyDescent="0.25">
      <c r="A385" s="34" t="s">
        <v>126</v>
      </c>
      <c r="B385" s="10">
        <v>45801</v>
      </c>
      <c r="C385" t="s">
        <v>101</v>
      </c>
      <c r="D385" t="s">
        <v>102</v>
      </c>
      <c r="E385" t="s">
        <v>103</v>
      </c>
      <c r="F385">
        <v>106.1</v>
      </c>
      <c r="G385">
        <v>109.4</v>
      </c>
      <c r="H385">
        <v>82.6</v>
      </c>
      <c r="I385">
        <v>37.6</v>
      </c>
      <c r="J385">
        <v>0.2</v>
      </c>
      <c r="K385">
        <v>94.9</v>
      </c>
      <c r="L385">
        <v>-3.5</v>
      </c>
      <c r="M385">
        <v>81.8</v>
      </c>
      <c r="N385">
        <v>1.01</v>
      </c>
      <c r="O385">
        <v>55.6</v>
      </c>
    </row>
    <row r="386" spans="1:15" x14ac:dyDescent="0.25">
      <c r="A386" s="34" t="s">
        <v>126</v>
      </c>
      <c r="B386" s="10">
        <v>45801</v>
      </c>
      <c r="C386" t="s">
        <v>101</v>
      </c>
      <c r="D386" t="s">
        <v>102</v>
      </c>
      <c r="E386" t="s">
        <v>103</v>
      </c>
      <c r="F386">
        <v>91.9</v>
      </c>
      <c r="G386">
        <v>99.6</v>
      </c>
      <c r="H386">
        <v>76.599999999999994</v>
      </c>
      <c r="I386">
        <v>23.1</v>
      </c>
      <c r="J386">
        <v>-13.3</v>
      </c>
      <c r="K386">
        <v>43.8</v>
      </c>
      <c r="L386">
        <v>-21.2</v>
      </c>
      <c r="M386">
        <v>81.2</v>
      </c>
      <c r="N386">
        <v>0.94</v>
      </c>
      <c r="O386">
        <v>38</v>
      </c>
    </row>
    <row r="387" spans="1:15" x14ac:dyDescent="0.25">
      <c r="A387" s="34" t="s">
        <v>126</v>
      </c>
      <c r="B387" s="10">
        <v>45801</v>
      </c>
      <c r="C387" t="s">
        <v>101</v>
      </c>
      <c r="D387" t="s">
        <v>102</v>
      </c>
      <c r="E387" t="s">
        <v>103</v>
      </c>
      <c r="F387">
        <v>108.3</v>
      </c>
      <c r="G387">
        <v>112.7</v>
      </c>
      <c r="H387">
        <v>83.6</v>
      </c>
      <c r="I387">
        <v>35.200000000000003</v>
      </c>
      <c r="J387">
        <v>-3.2</v>
      </c>
      <c r="K387">
        <v>90.5</v>
      </c>
      <c r="L387">
        <v>-6</v>
      </c>
      <c r="M387">
        <v>82.9</v>
      </c>
      <c r="N387">
        <v>1.01</v>
      </c>
      <c r="O387">
        <v>53.9</v>
      </c>
    </row>
    <row r="388" spans="1:15" x14ac:dyDescent="0.25">
      <c r="A388" s="34" t="s">
        <v>126</v>
      </c>
      <c r="B388" s="10">
        <v>45801</v>
      </c>
      <c r="C388" t="s">
        <v>101</v>
      </c>
      <c r="D388" t="s">
        <v>102</v>
      </c>
      <c r="E388" t="s">
        <v>103</v>
      </c>
      <c r="F388">
        <v>106.1</v>
      </c>
      <c r="G388">
        <v>108.3</v>
      </c>
      <c r="H388">
        <v>84.7</v>
      </c>
      <c r="I388">
        <v>40.1</v>
      </c>
      <c r="J388">
        <v>-4.9000000000000004</v>
      </c>
      <c r="K388">
        <v>106.9</v>
      </c>
      <c r="L388">
        <v>-12.4</v>
      </c>
      <c r="M388">
        <v>82.4</v>
      </c>
      <c r="N388">
        <v>1.03</v>
      </c>
      <c r="O388">
        <v>58.6</v>
      </c>
    </row>
    <row r="389" spans="1:15" x14ac:dyDescent="0.25">
      <c r="A389" s="34" t="s">
        <v>126</v>
      </c>
      <c r="B389" s="10">
        <v>45801</v>
      </c>
      <c r="C389" t="s">
        <v>101</v>
      </c>
      <c r="D389" t="s">
        <v>102</v>
      </c>
      <c r="E389" t="s">
        <v>103</v>
      </c>
      <c r="F389">
        <v>112.7</v>
      </c>
      <c r="G389">
        <v>114.9</v>
      </c>
      <c r="H389">
        <v>88.4</v>
      </c>
      <c r="I389">
        <v>36.200000000000003</v>
      </c>
      <c r="J389">
        <v>-6.1</v>
      </c>
      <c r="K389">
        <v>104.8</v>
      </c>
      <c r="L389">
        <v>-11.7</v>
      </c>
      <c r="M389">
        <v>82.4</v>
      </c>
      <c r="N389">
        <v>1.07</v>
      </c>
      <c r="O389">
        <v>56.2</v>
      </c>
    </row>
    <row r="390" spans="1:15" x14ac:dyDescent="0.25">
      <c r="A390" s="34" t="s">
        <v>126</v>
      </c>
      <c r="B390" s="10">
        <v>45801</v>
      </c>
      <c r="C390" t="s">
        <v>101</v>
      </c>
      <c r="D390" t="s">
        <v>102</v>
      </c>
      <c r="E390" t="s">
        <v>103</v>
      </c>
      <c r="F390">
        <v>125.8</v>
      </c>
      <c r="G390">
        <v>131.30000000000001</v>
      </c>
      <c r="H390">
        <v>95</v>
      </c>
      <c r="I390">
        <v>21.5</v>
      </c>
      <c r="J390">
        <v>-2.1</v>
      </c>
      <c r="K390">
        <v>67.900000000000006</v>
      </c>
      <c r="L390">
        <v>-4.5</v>
      </c>
      <c r="M390">
        <v>79</v>
      </c>
      <c r="N390">
        <v>1.2</v>
      </c>
      <c r="O390">
        <v>43.6</v>
      </c>
    </row>
    <row r="391" spans="1:15" x14ac:dyDescent="0.25">
      <c r="A391" s="34" t="s">
        <v>126</v>
      </c>
      <c r="B391" s="10">
        <v>45801</v>
      </c>
      <c r="C391" t="s">
        <v>101</v>
      </c>
      <c r="D391" t="s">
        <v>102</v>
      </c>
      <c r="E391" t="s">
        <v>103</v>
      </c>
      <c r="F391">
        <v>113.8</v>
      </c>
      <c r="G391">
        <v>117.1</v>
      </c>
      <c r="H391">
        <v>87.4</v>
      </c>
      <c r="I391">
        <v>36</v>
      </c>
      <c r="J391">
        <v>-5.7</v>
      </c>
      <c r="K391">
        <v>101.6</v>
      </c>
      <c r="L391">
        <v>-23.7</v>
      </c>
      <c r="M391">
        <v>80.7</v>
      </c>
      <c r="N391">
        <v>1.08</v>
      </c>
      <c r="O391">
        <v>55.7</v>
      </c>
    </row>
    <row r="392" spans="1:15" x14ac:dyDescent="0.25">
      <c r="A392" s="34" t="s">
        <v>126</v>
      </c>
      <c r="B392" s="10">
        <v>45801</v>
      </c>
      <c r="C392" t="s">
        <v>101</v>
      </c>
      <c r="D392" t="s">
        <v>102</v>
      </c>
      <c r="E392" t="s">
        <v>103</v>
      </c>
      <c r="F392">
        <v>108.3</v>
      </c>
      <c r="G392">
        <v>112.7</v>
      </c>
      <c r="H392">
        <v>85</v>
      </c>
      <c r="I392">
        <v>31.7</v>
      </c>
      <c r="J392">
        <v>-5.3</v>
      </c>
      <c r="K392">
        <v>83.1</v>
      </c>
      <c r="L392">
        <v>-21.1</v>
      </c>
      <c r="M392">
        <v>79</v>
      </c>
      <c r="N392">
        <v>1.08</v>
      </c>
      <c r="O392">
        <v>51</v>
      </c>
    </row>
    <row r="393" spans="1:15" x14ac:dyDescent="0.25">
      <c r="A393" s="34" t="s">
        <v>126</v>
      </c>
      <c r="B393" s="10">
        <v>45801</v>
      </c>
      <c r="C393" t="s">
        <v>104</v>
      </c>
      <c r="D393" t="s">
        <v>102</v>
      </c>
      <c r="E393" t="s">
        <v>103</v>
      </c>
      <c r="F393">
        <v>129.1</v>
      </c>
      <c r="G393">
        <v>133.5</v>
      </c>
      <c r="H393">
        <v>93.4</v>
      </c>
      <c r="I393">
        <v>30.4</v>
      </c>
      <c r="J393">
        <v>-8.3000000000000007</v>
      </c>
      <c r="K393">
        <v>96.8</v>
      </c>
      <c r="L393">
        <v>-36.6</v>
      </c>
      <c r="M393">
        <v>78.599999999999994</v>
      </c>
      <c r="N393">
        <v>1.19</v>
      </c>
      <c r="O393">
        <v>52.2</v>
      </c>
    </row>
    <row r="394" spans="1:15" x14ac:dyDescent="0.25">
      <c r="A394" s="34" t="s">
        <v>126</v>
      </c>
      <c r="B394" s="10">
        <v>45801</v>
      </c>
      <c r="C394" t="s">
        <v>104</v>
      </c>
      <c r="D394" t="s">
        <v>102</v>
      </c>
      <c r="E394" t="s">
        <v>103</v>
      </c>
      <c r="F394">
        <v>132.4</v>
      </c>
      <c r="G394">
        <v>140</v>
      </c>
      <c r="H394">
        <v>95.9</v>
      </c>
      <c r="I394">
        <v>24.5</v>
      </c>
      <c r="J394">
        <v>-3.9</v>
      </c>
      <c r="K394">
        <v>81</v>
      </c>
      <c r="L394">
        <v>-27.5</v>
      </c>
      <c r="M394">
        <v>82.4</v>
      </c>
      <c r="N394">
        <v>1.1599999999999999</v>
      </c>
      <c r="O394">
        <v>47.6</v>
      </c>
    </row>
    <row r="395" spans="1:15" x14ac:dyDescent="0.25">
      <c r="A395" s="34" t="s">
        <v>126</v>
      </c>
      <c r="B395" s="10">
        <v>45801</v>
      </c>
      <c r="C395" t="s">
        <v>104</v>
      </c>
      <c r="D395" t="s">
        <v>102</v>
      </c>
      <c r="E395" t="s">
        <v>103</v>
      </c>
      <c r="F395">
        <v>135.69999999999999</v>
      </c>
      <c r="G395">
        <v>142.19999999999999</v>
      </c>
      <c r="H395">
        <v>98.8</v>
      </c>
      <c r="I395">
        <v>22.8</v>
      </c>
      <c r="J395">
        <v>0.4</v>
      </c>
      <c r="K395">
        <v>79.8</v>
      </c>
      <c r="L395">
        <v>3.5</v>
      </c>
      <c r="M395">
        <v>83.5</v>
      </c>
      <c r="N395">
        <v>1.18</v>
      </c>
      <c r="O395">
        <v>46.7</v>
      </c>
    </row>
    <row r="396" spans="1:15" x14ac:dyDescent="0.25">
      <c r="A396" s="34" t="s">
        <v>126</v>
      </c>
      <c r="B396" s="10">
        <v>45801</v>
      </c>
      <c r="C396" t="s">
        <v>104</v>
      </c>
      <c r="D396" t="s">
        <v>102</v>
      </c>
      <c r="E396" t="s">
        <v>103</v>
      </c>
      <c r="F396">
        <v>118.2</v>
      </c>
      <c r="G396">
        <v>122.5</v>
      </c>
      <c r="H396">
        <v>87.9</v>
      </c>
      <c r="I396">
        <v>31.4</v>
      </c>
      <c r="J396">
        <v>-1.5</v>
      </c>
      <c r="K396">
        <v>88.5</v>
      </c>
      <c r="L396">
        <v>-2.2000000000000002</v>
      </c>
      <c r="M396">
        <v>78.400000000000006</v>
      </c>
      <c r="N396">
        <v>1.1200000000000001</v>
      </c>
      <c r="O396">
        <v>51.5</v>
      </c>
    </row>
    <row r="397" spans="1:15" x14ac:dyDescent="0.25">
      <c r="A397" s="34" t="s">
        <v>126</v>
      </c>
      <c r="B397" s="10">
        <v>45801</v>
      </c>
      <c r="C397" t="s">
        <v>104</v>
      </c>
      <c r="D397" t="s">
        <v>102</v>
      </c>
      <c r="E397" t="s">
        <v>103</v>
      </c>
      <c r="F397">
        <v>121.4</v>
      </c>
      <c r="G397">
        <v>124.7</v>
      </c>
      <c r="H397">
        <v>91.6</v>
      </c>
      <c r="I397">
        <v>35.6</v>
      </c>
      <c r="J397">
        <v>-1.6</v>
      </c>
      <c r="K397">
        <v>110.2</v>
      </c>
      <c r="L397">
        <v>-9.1</v>
      </c>
      <c r="M397">
        <v>81.2</v>
      </c>
      <c r="N397">
        <v>1.1299999999999999</v>
      </c>
      <c r="O397">
        <v>56.4</v>
      </c>
    </row>
    <row r="398" spans="1:15" x14ac:dyDescent="0.25">
      <c r="A398" s="34" t="s">
        <v>126</v>
      </c>
      <c r="B398" s="10">
        <v>45801</v>
      </c>
      <c r="C398" t="s">
        <v>104</v>
      </c>
      <c r="D398" t="s">
        <v>102</v>
      </c>
      <c r="E398" t="s">
        <v>103</v>
      </c>
      <c r="F398">
        <v>131.30000000000001</v>
      </c>
      <c r="G398">
        <v>134.6</v>
      </c>
      <c r="H398">
        <v>96.7</v>
      </c>
      <c r="I398">
        <v>28.2</v>
      </c>
      <c r="J398">
        <v>-1.7</v>
      </c>
      <c r="K398">
        <v>96.2</v>
      </c>
      <c r="L398">
        <v>-6</v>
      </c>
      <c r="M398">
        <v>81.8</v>
      </c>
      <c r="N398">
        <v>1.18</v>
      </c>
      <c r="O398">
        <v>51.4</v>
      </c>
    </row>
    <row r="399" spans="1:15" x14ac:dyDescent="0.25">
      <c r="A399" s="34" t="s">
        <v>126</v>
      </c>
      <c r="B399" s="10">
        <v>45801</v>
      </c>
      <c r="C399" t="s">
        <v>104</v>
      </c>
      <c r="D399" t="s">
        <v>102</v>
      </c>
      <c r="E399" t="s">
        <v>103</v>
      </c>
      <c r="F399">
        <v>125.8</v>
      </c>
      <c r="G399">
        <v>131.30000000000001</v>
      </c>
      <c r="H399">
        <v>91.6</v>
      </c>
      <c r="I399">
        <v>27.2</v>
      </c>
      <c r="J399">
        <v>-4.8</v>
      </c>
      <c r="K399">
        <v>82.2</v>
      </c>
      <c r="L399">
        <v>-11.1</v>
      </c>
      <c r="M399">
        <v>82.4</v>
      </c>
      <c r="N399">
        <v>1.1100000000000001</v>
      </c>
      <c r="O399">
        <v>48.8</v>
      </c>
    </row>
    <row r="400" spans="1:15" x14ac:dyDescent="0.25">
      <c r="A400" s="34" t="s">
        <v>126</v>
      </c>
      <c r="B400" s="10">
        <v>45801</v>
      </c>
      <c r="C400" t="s">
        <v>107</v>
      </c>
      <c r="D400" t="s">
        <v>102</v>
      </c>
      <c r="E400" t="s">
        <v>106</v>
      </c>
      <c r="F400">
        <v>144.4</v>
      </c>
      <c r="G400">
        <v>146.6</v>
      </c>
      <c r="H400">
        <v>104.6</v>
      </c>
      <c r="I400">
        <v>26.4</v>
      </c>
      <c r="J400">
        <v>1.8</v>
      </c>
      <c r="K400">
        <v>106.4</v>
      </c>
      <c r="L400">
        <v>-5.8</v>
      </c>
      <c r="M400">
        <v>84.6</v>
      </c>
      <c r="N400">
        <v>1.24</v>
      </c>
      <c r="O400">
        <v>51.6</v>
      </c>
    </row>
    <row r="401" spans="1:15" x14ac:dyDescent="0.25">
      <c r="A401" s="34" t="s">
        <v>126</v>
      </c>
      <c r="B401" s="10">
        <v>45801</v>
      </c>
      <c r="C401" t="s">
        <v>107</v>
      </c>
      <c r="D401" t="s">
        <v>102</v>
      </c>
      <c r="E401" t="s">
        <v>106</v>
      </c>
      <c r="F401">
        <v>142.19999999999999</v>
      </c>
      <c r="G401">
        <v>147.69999999999999</v>
      </c>
      <c r="H401">
        <v>101.9</v>
      </c>
      <c r="I401">
        <v>24.7</v>
      </c>
      <c r="J401">
        <v>-0.3</v>
      </c>
      <c r="K401">
        <v>93.4</v>
      </c>
      <c r="L401">
        <v>8.8000000000000007</v>
      </c>
      <c r="M401">
        <v>84.6</v>
      </c>
      <c r="N401">
        <v>1.21</v>
      </c>
      <c r="O401">
        <v>49.2</v>
      </c>
    </row>
    <row r="402" spans="1:15" x14ac:dyDescent="0.25">
      <c r="A402" s="34" t="s">
        <v>126</v>
      </c>
      <c r="B402" s="10">
        <v>45801</v>
      </c>
      <c r="C402" t="s">
        <v>107</v>
      </c>
      <c r="D402" t="s">
        <v>102</v>
      </c>
      <c r="E402" t="s">
        <v>106</v>
      </c>
      <c r="F402">
        <v>142.19999999999999</v>
      </c>
      <c r="G402">
        <v>144.4</v>
      </c>
      <c r="H402">
        <v>103.2</v>
      </c>
      <c r="I402">
        <v>18.8</v>
      </c>
      <c r="J402">
        <v>-12.7</v>
      </c>
      <c r="K402">
        <v>71.5</v>
      </c>
      <c r="L402">
        <v>-31</v>
      </c>
      <c r="M402">
        <v>84</v>
      </c>
      <c r="N402">
        <v>1.23</v>
      </c>
      <c r="O402">
        <v>42.7</v>
      </c>
    </row>
    <row r="403" spans="1:15" x14ac:dyDescent="0.25">
      <c r="A403" s="34" t="s">
        <v>126</v>
      </c>
      <c r="B403" s="10">
        <v>45801</v>
      </c>
      <c r="C403" t="s">
        <v>107</v>
      </c>
      <c r="D403" t="s">
        <v>102</v>
      </c>
      <c r="E403" t="s">
        <v>106</v>
      </c>
      <c r="F403">
        <v>149.9</v>
      </c>
      <c r="G403">
        <v>151</v>
      </c>
      <c r="H403">
        <v>108</v>
      </c>
      <c r="I403">
        <v>23.7</v>
      </c>
      <c r="J403">
        <v>-5.4</v>
      </c>
      <c r="K403">
        <v>101.8</v>
      </c>
      <c r="L403">
        <v>-36.799999999999997</v>
      </c>
      <c r="M403">
        <v>84.6</v>
      </c>
      <c r="N403">
        <v>1.28</v>
      </c>
      <c r="O403">
        <v>50</v>
      </c>
    </row>
    <row r="404" spans="1:15" x14ac:dyDescent="0.25">
      <c r="A404" s="34" t="s">
        <v>126</v>
      </c>
      <c r="B404" s="10">
        <v>45801</v>
      </c>
      <c r="C404" t="s">
        <v>107</v>
      </c>
      <c r="D404" t="s">
        <v>102</v>
      </c>
      <c r="E404" t="s">
        <v>106</v>
      </c>
      <c r="F404">
        <v>146.6</v>
      </c>
      <c r="G404">
        <v>149.9</v>
      </c>
      <c r="H404">
        <v>104.8</v>
      </c>
      <c r="I404">
        <v>27.3</v>
      </c>
      <c r="J404">
        <v>2.7</v>
      </c>
      <c r="K404">
        <v>110.3</v>
      </c>
      <c r="L404">
        <v>11.3</v>
      </c>
      <c r="M404">
        <v>84.6</v>
      </c>
      <c r="N404">
        <v>1.24</v>
      </c>
      <c r="O404">
        <v>52.5</v>
      </c>
    </row>
    <row r="405" spans="1:15" x14ac:dyDescent="0.25">
      <c r="A405" s="34" t="s">
        <v>126</v>
      </c>
      <c r="B405" s="10">
        <v>45801</v>
      </c>
      <c r="C405" t="s">
        <v>107</v>
      </c>
      <c r="D405" t="s">
        <v>102</v>
      </c>
      <c r="E405" t="s">
        <v>106</v>
      </c>
      <c r="F405">
        <v>146.6</v>
      </c>
      <c r="G405">
        <v>149.9</v>
      </c>
      <c r="H405">
        <v>107.2</v>
      </c>
      <c r="I405">
        <v>26</v>
      </c>
      <c r="J405">
        <v>-0.5</v>
      </c>
      <c r="K405">
        <v>110.2</v>
      </c>
      <c r="L405">
        <v>-3</v>
      </c>
      <c r="M405">
        <v>84</v>
      </c>
      <c r="N405">
        <v>1.28</v>
      </c>
      <c r="O405">
        <v>51.9</v>
      </c>
    </row>
    <row r="406" spans="1:15" x14ac:dyDescent="0.25">
      <c r="A406" s="34" t="s">
        <v>126</v>
      </c>
      <c r="B406" s="10">
        <v>45801</v>
      </c>
      <c r="C406" t="s">
        <v>107</v>
      </c>
      <c r="D406" t="s">
        <v>102</v>
      </c>
      <c r="E406" t="s">
        <v>106</v>
      </c>
      <c r="F406">
        <v>147.69999999999999</v>
      </c>
      <c r="G406">
        <v>148.80000000000001</v>
      </c>
      <c r="H406">
        <v>107.9</v>
      </c>
      <c r="I406">
        <v>20.3</v>
      </c>
      <c r="J406">
        <v>-5.5</v>
      </c>
      <c r="K406">
        <v>86.3</v>
      </c>
      <c r="L406">
        <v>-45.1</v>
      </c>
      <c r="M406">
        <v>82.9</v>
      </c>
      <c r="N406">
        <v>1.3</v>
      </c>
      <c r="O406">
        <v>46.3</v>
      </c>
    </row>
    <row r="407" spans="1:15" x14ac:dyDescent="0.25">
      <c r="A407" s="34" t="s">
        <v>126</v>
      </c>
      <c r="B407" s="10">
        <v>45801</v>
      </c>
      <c r="C407" t="s">
        <v>107</v>
      </c>
      <c r="D407" t="s">
        <v>102</v>
      </c>
      <c r="E407" t="s">
        <v>106</v>
      </c>
      <c r="F407">
        <v>140</v>
      </c>
      <c r="G407">
        <v>145.5</v>
      </c>
      <c r="H407">
        <v>100.8</v>
      </c>
      <c r="I407">
        <v>22.2</v>
      </c>
      <c r="J407">
        <v>2.9</v>
      </c>
      <c r="K407">
        <v>81.2</v>
      </c>
      <c r="L407">
        <v>20.3</v>
      </c>
      <c r="M407">
        <v>82.9</v>
      </c>
      <c r="N407">
        <v>1.22</v>
      </c>
      <c r="O407">
        <v>46.4</v>
      </c>
    </row>
    <row r="408" spans="1:15" x14ac:dyDescent="0.25">
      <c r="A408" s="34" t="s">
        <v>126</v>
      </c>
      <c r="B408" s="10">
        <v>45801</v>
      </c>
      <c r="C408" t="s">
        <v>107</v>
      </c>
      <c r="D408" t="s">
        <v>102</v>
      </c>
      <c r="E408" t="s">
        <v>106</v>
      </c>
      <c r="F408">
        <v>166.3</v>
      </c>
      <c r="G408">
        <v>169.6</v>
      </c>
      <c r="H408">
        <v>111.8</v>
      </c>
      <c r="I408">
        <v>25.7</v>
      </c>
      <c r="J408">
        <v>-2.4</v>
      </c>
      <c r="K408">
        <v>119.2</v>
      </c>
      <c r="L408">
        <v>-19.2</v>
      </c>
      <c r="M408">
        <v>86.8</v>
      </c>
      <c r="N408">
        <v>1.29</v>
      </c>
      <c r="O408">
        <v>53.2</v>
      </c>
    </row>
    <row r="409" spans="1:15" x14ac:dyDescent="0.25">
      <c r="A409" s="34" t="s">
        <v>126</v>
      </c>
      <c r="B409" s="10">
        <v>45801</v>
      </c>
      <c r="C409" t="s">
        <v>107</v>
      </c>
      <c r="D409" t="s">
        <v>102</v>
      </c>
      <c r="E409" t="s">
        <v>106</v>
      </c>
      <c r="F409">
        <v>151</v>
      </c>
      <c r="G409">
        <v>156.4</v>
      </c>
      <c r="H409">
        <v>108.6</v>
      </c>
      <c r="I409">
        <v>22.6</v>
      </c>
      <c r="J409">
        <v>0.3</v>
      </c>
      <c r="K409">
        <v>98.3</v>
      </c>
      <c r="L409">
        <v>1.1000000000000001</v>
      </c>
      <c r="M409">
        <v>85.7</v>
      </c>
      <c r="N409">
        <v>1.27</v>
      </c>
      <c r="O409">
        <v>49.2</v>
      </c>
    </row>
    <row r="410" spans="1:15" x14ac:dyDescent="0.25">
      <c r="A410" s="34" t="s">
        <v>126</v>
      </c>
      <c r="B410" s="10">
        <v>45801</v>
      </c>
      <c r="C410" t="s">
        <v>107</v>
      </c>
      <c r="D410" t="s">
        <v>102</v>
      </c>
      <c r="E410" t="s">
        <v>106</v>
      </c>
      <c r="F410">
        <v>149.9</v>
      </c>
      <c r="G410">
        <v>153.19999999999999</v>
      </c>
      <c r="H410">
        <v>107.6</v>
      </c>
      <c r="I410">
        <v>28.3</v>
      </c>
      <c r="J410">
        <v>1.7</v>
      </c>
      <c r="K410">
        <v>121.2</v>
      </c>
      <c r="L410">
        <v>4.5999999999999996</v>
      </c>
      <c r="M410">
        <v>85.7</v>
      </c>
      <c r="N410">
        <v>1.26</v>
      </c>
      <c r="O410">
        <v>54.4</v>
      </c>
    </row>
    <row r="411" spans="1:15" x14ac:dyDescent="0.25">
      <c r="A411" s="34" t="s">
        <v>126</v>
      </c>
      <c r="B411" s="10">
        <v>45801</v>
      </c>
      <c r="C411" t="s">
        <v>107</v>
      </c>
      <c r="D411" t="s">
        <v>102</v>
      </c>
      <c r="E411" t="s">
        <v>106</v>
      </c>
      <c r="F411">
        <v>156.4</v>
      </c>
      <c r="G411">
        <v>159.69999999999999</v>
      </c>
      <c r="H411">
        <v>110.6</v>
      </c>
      <c r="I411">
        <v>24.3</v>
      </c>
      <c r="J411">
        <v>-4.5</v>
      </c>
      <c r="K411">
        <v>110.2</v>
      </c>
      <c r="L411">
        <v>-25</v>
      </c>
      <c r="M411">
        <v>84.6</v>
      </c>
      <c r="N411">
        <v>1.31</v>
      </c>
      <c r="O411">
        <v>51.4</v>
      </c>
    </row>
    <row r="412" spans="1:15" x14ac:dyDescent="0.25">
      <c r="A412" s="34" t="s">
        <v>126</v>
      </c>
      <c r="B412" s="10">
        <v>45801</v>
      </c>
      <c r="C412" t="s">
        <v>107</v>
      </c>
      <c r="D412" t="s">
        <v>102</v>
      </c>
      <c r="E412" t="s">
        <v>106</v>
      </c>
      <c r="F412">
        <v>144.4</v>
      </c>
      <c r="G412">
        <v>148.80000000000001</v>
      </c>
      <c r="H412">
        <v>103.8</v>
      </c>
      <c r="I412">
        <v>22.9</v>
      </c>
      <c r="J412">
        <v>1.7</v>
      </c>
      <c r="K412">
        <v>90</v>
      </c>
      <c r="L412">
        <v>1</v>
      </c>
      <c r="M412">
        <v>84.6</v>
      </c>
      <c r="N412">
        <v>1.23</v>
      </c>
      <c r="O412">
        <v>48.1</v>
      </c>
    </row>
    <row r="413" spans="1:15" x14ac:dyDescent="0.25">
      <c r="A413" s="34" t="s">
        <v>126</v>
      </c>
      <c r="B413" s="10">
        <v>45801</v>
      </c>
      <c r="C413" t="s">
        <v>107</v>
      </c>
      <c r="D413" t="s">
        <v>102</v>
      </c>
      <c r="E413" t="s">
        <v>106</v>
      </c>
      <c r="F413">
        <v>146.6</v>
      </c>
      <c r="G413">
        <v>148.80000000000001</v>
      </c>
      <c r="H413">
        <v>104.6</v>
      </c>
      <c r="I413">
        <v>31.8</v>
      </c>
      <c r="J413">
        <v>5.8</v>
      </c>
      <c r="K413">
        <v>128.5</v>
      </c>
      <c r="L413">
        <v>16.7</v>
      </c>
      <c r="M413">
        <v>84.6</v>
      </c>
      <c r="N413">
        <v>1.24</v>
      </c>
      <c r="O413">
        <v>57</v>
      </c>
    </row>
    <row r="414" spans="1:15" x14ac:dyDescent="0.25">
      <c r="A414" s="34" t="s">
        <v>126</v>
      </c>
      <c r="B414" s="10">
        <v>45801</v>
      </c>
      <c r="C414" t="s">
        <v>107</v>
      </c>
      <c r="D414" t="s">
        <v>102</v>
      </c>
      <c r="E414" t="s">
        <v>106</v>
      </c>
      <c r="F414">
        <v>158.6</v>
      </c>
      <c r="G414">
        <v>163</v>
      </c>
      <c r="H414">
        <v>108.8</v>
      </c>
      <c r="I414">
        <v>24.6</v>
      </c>
      <c r="J414">
        <v>-1.2</v>
      </c>
      <c r="K414">
        <v>107.6</v>
      </c>
      <c r="L414">
        <v>-15.5</v>
      </c>
      <c r="M414">
        <v>85.7</v>
      </c>
      <c r="N414">
        <v>1.27</v>
      </c>
      <c r="O414">
        <v>51.2</v>
      </c>
    </row>
    <row r="415" spans="1:15" x14ac:dyDescent="0.25">
      <c r="A415" s="34" t="s">
        <v>126</v>
      </c>
      <c r="B415" s="10">
        <v>45801</v>
      </c>
      <c r="C415" t="s">
        <v>108</v>
      </c>
      <c r="D415" t="s">
        <v>102</v>
      </c>
      <c r="E415" t="s">
        <v>106</v>
      </c>
      <c r="F415">
        <v>154.30000000000001</v>
      </c>
      <c r="G415">
        <v>160.80000000000001</v>
      </c>
      <c r="H415">
        <v>110.5</v>
      </c>
      <c r="I415">
        <v>16.899999999999999</v>
      </c>
      <c r="J415">
        <v>-0.5</v>
      </c>
      <c r="K415">
        <v>75.5</v>
      </c>
      <c r="L415">
        <v>-1.1000000000000001</v>
      </c>
      <c r="M415">
        <v>85.7</v>
      </c>
      <c r="N415">
        <v>1.29</v>
      </c>
      <c r="O415">
        <v>42.8</v>
      </c>
    </row>
    <row r="416" spans="1:15" x14ac:dyDescent="0.25">
      <c r="A416" s="34" t="s">
        <v>126</v>
      </c>
      <c r="B416" s="10">
        <v>45801</v>
      </c>
      <c r="C416" t="s">
        <v>108</v>
      </c>
      <c r="D416" t="s">
        <v>102</v>
      </c>
      <c r="E416" t="s">
        <v>106</v>
      </c>
      <c r="F416">
        <v>148.80000000000001</v>
      </c>
      <c r="G416">
        <v>156.4</v>
      </c>
      <c r="H416">
        <v>107.8</v>
      </c>
      <c r="I416">
        <v>22.7</v>
      </c>
      <c r="J416">
        <v>-1.7</v>
      </c>
      <c r="K416">
        <v>97</v>
      </c>
      <c r="L416">
        <v>-17.899999999999999</v>
      </c>
      <c r="M416">
        <v>84</v>
      </c>
      <c r="N416">
        <v>1.28</v>
      </c>
      <c r="O416">
        <v>48.8</v>
      </c>
    </row>
    <row r="417" spans="1:18" x14ac:dyDescent="0.25">
      <c r="A417" s="34" t="s">
        <v>126</v>
      </c>
      <c r="B417" s="10">
        <v>45801</v>
      </c>
      <c r="C417" t="s">
        <v>108</v>
      </c>
      <c r="D417" t="s">
        <v>102</v>
      </c>
      <c r="E417" t="s">
        <v>106</v>
      </c>
      <c r="F417">
        <v>163</v>
      </c>
      <c r="G417">
        <v>164.1</v>
      </c>
      <c r="H417">
        <v>114.7</v>
      </c>
      <c r="I417">
        <v>20.100000000000001</v>
      </c>
      <c r="J417">
        <v>-5.2</v>
      </c>
      <c r="K417">
        <v>98.7</v>
      </c>
      <c r="L417">
        <v>-46.9</v>
      </c>
      <c r="M417">
        <v>87.9</v>
      </c>
      <c r="N417">
        <v>1.31</v>
      </c>
      <c r="O417">
        <v>48.2</v>
      </c>
    </row>
    <row r="418" spans="1:18" x14ac:dyDescent="0.25">
      <c r="A418" s="34" t="s">
        <v>126</v>
      </c>
      <c r="B418" s="10">
        <v>45801</v>
      </c>
      <c r="C418" t="s">
        <v>108</v>
      </c>
      <c r="D418" t="s">
        <v>102</v>
      </c>
      <c r="E418" t="s">
        <v>106</v>
      </c>
      <c r="F418">
        <v>163</v>
      </c>
      <c r="G418">
        <v>166.3</v>
      </c>
      <c r="H418">
        <v>115.4</v>
      </c>
      <c r="I418">
        <v>23</v>
      </c>
      <c r="J418">
        <v>-1.7</v>
      </c>
      <c r="K418">
        <v>114.1</v>
      </c>
      <c r="L418">
        <v>-20.2</v>
      </c>
      <c r="M418">
        <v>86.8</v>
      </c>
      <c r="N418">
        <v>1.33</v>
      </c>
      <c r="O418">
        <v>51.4</v>
      </c>
    </row>
    <row r="419" spans="1:18" x14ac:dyDescent="0.25">
      <c r="A419" s="34" t="s">
        <v>126</v>
      </c>
      <c r="B419" s="10">
        <v>45801</v>
      </c>
      <c r="C419" t="s">
        <v>108</v>
      </c>
      <c r="D419" t="s">
        <v>102</v>
      </c>
      <c r="E419" t="s">
        <v>106</v>
      </c>
      <c r="F419">
        <v>161.9</v>
      </c>
      <c r="G419">
        <v>165.2</v>
      </c>
      <c r="H419">
        <v>115.7</v>
      </c>
      <c r="I419">
        <v>24.8</v>
      </c>
      <c r="J419">
        <v>1.3</v>
      </c>
      <c r="K419">
        <v>123.7</v>
      </c>
      <c r="L419">
        <v>-1</v>
      </c>
      <c r="M419">
        <v>87.4</v>
      </c>
      <c r="N419">
        <v>1.32</v>
      </c>
      <c r="O419">
        <v>53.3</v>
      </c>
    </row>
    <row r="420" spans="1:18" x14ac:dyDescent="0.25">
      <c r="A420" s="34" t="s">
        <v>126</v>
      </c>
      <c r="B420" s="10">
        <v>45801</v>
      </c>
      <c r="C420" t="s">
        <v>108</v>
      </c>
      <c r="D420" t="s">
        <v>102</v>
      </c>
      <c r="E420" t="s">
        <v>106</v>
      </c>
      <c r="F420">
        <v>165.2</v>
      </c>
      <c r="G420">
        <v>172.9</v>
      </c>
      <c r="H420">
        <v>113.1</v>
      </c>
      <c r="I420">
        <v>17.7</v>
      </c>
      <c r="J420">
        <v>-0.1</v>
      </c>
      <c r="K420">
        <v>84.1</v>
      </c>
      <c r="L420">
        <v>5.7</v>
      </c>
      <c r="M420">
        <v>88.5</v>
      </c>
      <c r="N420">
        <v>1.28</v>
      </c>
      <c r="O420">
        <v>45</v>
      </c>
    </row>
    <row r="421" spans="1:18" x14ac:dyDescent="0.25">
      <c r="A421" s="34" t="s">
        <v>126</v>
      </c>
      <c r="B421" s="10">
        <v>45801</v>
      </c>
      <c r="C421" t="s">
        <v>108</v>
      </c>
      <c r="D421" t="s">
        <v>102</v>
      </c>
      <c r="E421" t="s">
        <v>106</v>
      </c>
      <c r="F421">
        <v>172.9</v>
      </c>
      <c r="G421">
        <v>173.9</v>
      </c>
      <c r="H421">
        <v>116.4</v>
      </c>
      <c r="I421">
        <v>23.2</v>
      </c>
      <c r="J421">
        <v>-6.6</v>
      </c>
      <c r="K421">
        <v>117.5</v>
      </c>
      <c r="L421">
        <v>-44.9</v>
      </c>
      <c r="M421">
        <v>87.4</v>
      </c>
      <c r="N421">
        <v>1.33</v>
      </c>
      <c r="O421">
        <v>52</v>
      </c>
    </row>
    <row r="422" spans="1:18" x14ac:dyDescent="0.25">
      <c r="A422" s="34" t="s">
        <v>126</v>
      </c>
      <c r="B422" s="10">
        <v>45801</v>
      </c>
      <c r="C422" t="s">
        <v>112</v>
      </c>
      <c r="D422" t="s">
        <v>102</v>
      </c>
      <c r="E422" t="s">
        <v>113</v>
      </c>
      <c r="F422">
        <v>179.4</v>
      </c>
      <c r="G422">
        <v>190.4</v>
      </c>
      <c r="H422">
        <v>114.3</v>
      </c>
      <c r="I422">
        <v>20.3</v>
      </c>
      <c r="J422">
        <v>5.9</v>
      </c>
      <c r="K422">
        <v>97.4</v>
      </c>
      <c r="L422">
        <v>31.1</v>
      </c>
      <c r="M422">
        <v>93.5</v>
      </c>
      <c r="N422">
        <v>1.22</v>
      </c>
      <c r="O422">
        <v>46.9</v>
      </c>
    </row>
    <row r="423" spans="1:18" x14ac:dyDescent="0.25">
      <c r="A423" s="34" t="s">
        <v>126</v>
      </c>
      <c r="B423" s="10">
        <v>45801</v>
      </c>
      <c r="C423" t="s">
        <v>112</v>
      </c>
      <c r="D423" t="s">
        <v>102</v>
      </c>
      <c r="E423" t="s">
        <v>113</v>
      </c>
      <c r="F423">
        <v>175</v>
      </c>
      <c r="G423">
        <v>189.3</v>
      </c>
      <c r="H423">
        <v>134.5</v>
      </c>
      <c r="I423">
        <v>6.3</v>
      </c>
      <c r="J423">
        <v>1.3</v>
      </c>
      <c r="K423">
        <v>47</v>
      </c>
      <c r="L423">
        <v>36.299999999999997</v>
      </c>
      <c r="M423">
        <v>94.6</v>
      </c>
      <c r="N423">
        <v>1.42</v>
      </c>
      <c r="O423">
        <v>29</v>
      </c>
    </row>
    <row r="424" spans="1:18" x14ac:dyDescent="0.25">
      <c r="A424" s="34" t="s">
        <v>126</v>
      </c>
      <c r="B424" s="10">
        <v>45801</v>
      </c>
      <c r="C424" t="s">
        <v>112</v>
      </c>
      <c r="D424" t="s">
        <v>102</v>
      </c>
      <c r="E424" t="s">
        <v>113</v>
      </c>
      <c r="F424">
        <v>176.1</v>
      </c>
      <c r="G424">
        <v>179.4</v>
      </c>
      <c r="H424">
        <v>125.8</v>
      </c>
      <c r="I424">
        <v>17.5</v>
      </c>
      <c r="J424">
        <v>-4.0999999999999996</v>
      </c>
      <c r="K424">
        <v>104.5</v>
      </c>
      <c r="L424">
        <v>-51.6</v>
      </c>
      <c r="M424">
        <v>92.4</v>
      </c>
      <c r="N424">
        <v>1.36</v>
      </c>
      <c r="O424">
        <v>46.4</v>
      </c>
    </row>
    <row r="425" spans="1:18" x14ac:dyDescent="0.25">
      <c r="A425" s="34" t="s">
        <v>126</v>
      </c>
      <c r="B425" s="10">
        <v>45872</v>
      </c>
      <c r="C425" t="s">
        <v>117</v>
      </c>
      <c r="D425" t="s">
        <v>118</v>
      </c>
      <c r="E425" t="s">
        <v>119</v>
      </c>
      <c r="F425">
        <v>17.5</v>
      </c>
      <c r="G425">
        <v>26.3</v>
      </c>
      <c r="H425">
        <v>35.200000000000003</v>
      </c>
      <c r="I425">
        <v>19.5</v>
      </c>
      <c r="J425">
        <v>-10.8</v>
      </c>
      <c r="K425">
        <v>5.0999999999999996</v>
      </c>
      <c r="L425">
        <v>-4</v>
      </c>
      <c r="M425">
        <v>39.5</v>
      </c>
      <c r="N425">
        <v>0.89</v>
      </c>
      <c r="O425">
        <v>21</v>
      </c>
      <c r="P425"/>
      <c r="Q425"/>
      <c r="R425"/>
    </row>
    <row r="426" spans="1:18" x14ac:dyDescent="0.25">
      <c r="A426" s="34" t="s">
        <v>126</v>
      </c>
      <c r="B426" s="10">
        <v>45872</v>
      </c>
      <c r="C426" t="s">
        <v>117</v>
      </c>
      <c r="D426" t="s">
        <v>118</v>
      </c>
      <c r="E426" t="s">
        <v>119</v>
      </c>
      <c r="F426">
        <v>33.9</v>
      </c>
      <c r="G426">
        <v>41.6</v>
      </c>
      <c r="H426">
        <v>43.6</v>
      </c>
      <c r="I426">
        <v>32.9</v>
      </c>
      <c r="J426">
        <v>-7.7</v>
      </c>
      <c r="K426">
        <v>20.399999999999999</v>
      </c>
      <c r="L426">
        <v>-4.4000000000000004</v>
      </c>
      <c r="M426">
        <v>39.5</v>
      </c>
      <c r="N426">
        <v>1.1000000000000001</v>
      </c>
      <c r="O426">
        <v>37.799999999999997</v>
      </c>
      <c r="P426"/>
      <c r="Q426"/>
      <c r="R426"/>
    </row>
    <row r="427" spans="1:18" x14ac:dyDescent="0.25">
      <c r="A427" s="34" t="s">
        <v>126</v>
      </c>
      <c r="B427" s="10">
        <v>45872</v>
      </c>
      <c r="C427" t="s">
        <v>117</v>
      </c>
      <c r="D427" t="s">
        <v>118</v>
      </c>
      <c r="E427" t="s">
        <v>119</v>
      </c>
      <c r="F427">
        <v>28.4</v>
      </c>
      <c r="G427">
        <v>40.5</v>
      </c>
      <c r="H427">
        <v>44.9</v>
      </c>
      <c r="I427">
        <v>24</v>
      </c>
      <c r="J427">
        <v>-3.3</v>
      </c>
      <c r="K427">
        <v>12.8</v>
      </c>
      <c r="L427">
        <v>0.1</v>
      </c>
      <c r="M427">
        <v>38.799999999999997</v>
      </c>
      <c r="N427">
        <v>1.1599999999999999</v>
      </c>
      <c r="O427">
        <v>27.7</v>
      </c>
      <c r="P427"/>
      <c r="Q427"/>
      <c r="R427"/>
    </row>
    <row r="428" spans="1:18" x14ac:dyDescent="0.25">
      <c r="A428" s="34" t="s">
        <v>126</v>
      </c>
      <c r="B428" s="10">
        <v>45872</v>
      </c>
      <c r="C428" t="s">
        <v>117</v>
      </c>
      <c r="D428" t="s">
        <v>118</v>
      </c>
      <c r="E428" t="s">
        <v>119</v>
      </c>
      <c r="F428">
        <v>35</v>
      </c>
      <c r="G428">
        <v>52.5</v>
      </c>
      <c r="H428">
        <v>57</v>
      </c>
      <c r="I428">
        <v>11.6</v>
      </c>
      <c r="J428">
        <v>4.0999999999999996</v>
      </c>
      <c r="K428">
        <v>6.2</v>
      </c>
      <c r="L428">
        <v>3.4</v>
      </c>
      <c r="M428">
        <v>47.8</v>
      </c>
      <c r="N428">
        <v>1.19</v>
      </c>
      <c r="O428">
        <v>14</v>
      </c>
      <c r="P428"/>
      <c r="Q428"/>
      <c r="R428"/>
    </row>
    <row r="429" spans="1:18" x14ac:dyDescent="0.25">
      <c r="A429" s="34" t="s">
        <v>126</v>
      </c>
      <c r="B429" s="10">
        <v>45872</v>
      </c>
      <c r="C429" t="s">
        <v>117</v>
      </c>
      <c r="D429" t="s">
        <v>118</v>
      </c>
      <c r="E429" t="s">
        <v>119</v>
      </c>
      <c r="F429">
        <v>29.5</v>
      </c>
      <c r="G429">
        <v>30.6</v>
      </c>
      <c r="H429">
        <v>39.799999999999997</v>
      </c>
      <c r="I429">
        <v>53.2</v>
      </c>
      <c r="J429">
        <v>5.5</v>
      </c>
      <c r="K429">
        <v>33.9</v>
      </c>
      <c r="L429">
        <v>2.8</v>
      </c>
      <c r="M429">
        <v>47.7</v>
      </c>
      <c r="N429">
        <v>0.83</v>
      </c>
      <c r="O429">
        <v>57.5</v>
      </c>
      <c r="P429"/>
      <c r="Q429"/>
      <c r="R429"/>
    </row>
    <row r="430" spans="1:18" x14ac:dyDescent="0.25">
      <c r="A430" s="34" t="s">
        <v>126</v>
      </c>
      <c r="B430" s="10">
        <v>45872</v>
      </c>
      <c r="C430" t="s">
        <v>117</v>
      </c>
      <c r="D430" t="s">
        <v>118</v>
      </c>
      <c r="E430" t="s">
        <v>119</v>
      </c>
      <c r="F430">
        <v>18.600000000000001</v>
      </c>
      <c r="G430">
        <v>48.1</v>
      </c>
      <c r="H430">
        <v>51.7</v>
      </c>
      <c r="I430">
        <v>9.1</v>
      </c>
      <c r="J430">
        <v>-3.8</v>
      </c>
      <c r="K430">
        <v>3.1</v>
      </c>
      <c r="L430">
        <v>-1.2</v>
      </c>
      <c r="M430">
        <v>39.9</v>
      </c>
      <c r="N430">
        <v>1.3</v>
      </c>
      <c r="O430">
        <v>10.3</v>
      </c>
      <c r="P430"/>
      <c r="Q430"/>
      <c r="R430"/>
    </row>
    <row r="431" spans="1:18" x14ac:dyDescent="0.25">
      <c r="A431" s="34" t="s">
        <v>126</v>
      </c>
      <c r="B431" s="10">
        <v>45872</v>
      </c>
      <c r="C431" t="s">
        <v>117</v>
      </c>
      <c r="D431" t="s">
        <v>118</v>
      </c>
      <c r="E431" t="s">
        <v>119</v>
      </c>
      <c r="F431">
        <v>45.9</v>
      </c>
      <c r="G431">
        <v>52.5</v>
      </c>
      <c r="H431">
        <v>47.9</v>
      </c>
      <c r="I431">
        <v>37.6</v>
      </c>
      <c r="J431">
        <v>7.9</v>
      </c>
      <c r="K431">
        <v>30.7</v>
      </c>
      <c r="L431">
        <v>7.4</v>
      </c>
      <c r="M431">
        <v>48</v>
      </c>
      <c r="N431">
        <v>1</v>
      </c>
      <c r="O431">
        <v>44.2</v>
      </c>
      <c r="P431"/>
      <c r="Q431"/>
      <c r="R431"/>
    </row>
    <row r="432" spans="1:18" x14ac:dyDescent="0.25">
      <c r="A432" s="34" t="s">
        <v>126</v>
      </c>
      <c r="B432" s="10">
        <v>45872</v>
      </c>
      <c r="C432" t="s">
        <v>117</v>
      </c>
      <c r="D432" t="s">
        <v>118</v>
      </c>
      <c r="E432" t="s">
        <v>119</v>
      </c>
      <c r="F432">
        <v>28.4</v>
      </c>
      <c r="G432">
        <v>33.9</v>
      </c>
      <c r="H432">
        <v>40.9</v>
      </c>
      <c r="I432">
        <v>37.6</v>
      </c>
      <c r="J432">
        <v>10.3</v>
      </c>
      <c r="K432">
        <v>22.1</v>
      </c>
      <c r="L432">
        <v>5.8</v>
      </c>
      <c r="M432">
        <v>46.3</v>
      </c>
      <c r="N432">
        <v>0.88</v>
      </c>
      <c r="O432">
        <v>42.2</v>
      </c>
      <c r="P432"/>
      <c r="Q432"/>
      <c r="R432"/>
    </row>
    <row r="433" spans="1:18" x14ac:dyDescent="0.25">
      <c r="A433" s="34" t="s">
        <v>126</v>
      </c>
      <c r="B433" s="10">
        <v>45872</v>
      </c>
      <c r="C433" t="s">
        <v>117</v>
      </c>
      <c r="D433" t="s">
        <v>118</v>
      </c>
      <c r="E433" t="s">
        <v>119</v>
      </c>
      <c r="F433">
        <v>9.8000000000000007</v>
      </c>
      <c r="G433">
        <v>17.5</v>
      </c>
      <c r="H433">
        <v>25</v>
      </c>
      <c r="I433">
        <v>21.9</v>
      </c>
      <c r="J433">
        <v>-18.399999999999999</v>
      </c>
      <c r="K433">
        <v>3.1</v>
      </c>
      <c r="L433">
        <v>-3.1</v>
      </c>
      <c r="M433">
        <v>30.2</v>
      </c>
      <c r="N433">
        <v>0.83</v>
      </c>
      <c r="O433">
        <v>22.7</v>
      </c>
      <c r="P433"/>
      <c r="Q433"/>
      <c r="R433"/>
    </row>
    <row r="434" spans="1:18" x14ac:dyDescent="0.25">
      <c r="A434" s="34" t="s">
        <v>126</v>
      </c>
      <c r="B434" s="10">
        <v>45872</v>
      </c>
      <c r="C434" t="s">
        <v>117</v>
      </c>
      <c r="D434" t="s">
        <v>118</v>
      </c>
      <c r="E434" t="s">
        <v>119</v>
      </c>
      <c r="F434">
        <v>20.8</v>
      </c>
      <c r="G434">
        <v>41.6</v>
      </c>
      <c r="H434">
        <v>47.6</v>
      </c>
      <c r="I434">
        <v>11</v>
      </c>
      <c r="J434">
        <v>3.3</v>
      </c>
      <c r="K434">
        <v>3.6</v>
      </c>
      <c r="L434">
        <v>1.8</v>
      </c>
      <c r="M434">
        <v>40.200000000000003</v>
      </c>
      <c r="N434">
        <v>1.18</v>
      </c>
      <c r="O434">
        <v>12.4</v>
      </c>
      <c r="P434"/>
      <c r="Q434"/>
      <c r="R434"/>
    </row>
    <row r="435" spans="1:18" x14ac:dyDescent="0.25">
      <c r="A435" s="34" t="s">
        <v>126</v>
      </c>
      <c r="B435" s="10">
        <v>45872</v>
      </c>
      <c r="C435" t="s">
        <v>117</v>
      </c>
      <c r="D435" t="s">
        <v>118</v>
      </c>
      <c r="E435" t="s">
        <v>119</v>
      </c>
      <c r="F435">
        <v>42.7</v>
      </c>
      <c r="G435">
        <v>51.4</v>
      </c>
      <c r="H435">
        <v>48.8</v>
      </c>
      <c r="I435">
        <v>28.9</v>
      </c>
      <c r="J435">
        <v>-2.5</v>
      </c>
      <c r="K435">
        <v>21.2</v>
      </c>
      <c r="L435">
        <v>-0.3</v>
      </c>
      <c r="M435">
        <v>40.299999999999997</v>
      </c>
      <c r="N435">
        <v>1.21</v>
      </c>
      <c r="O435">
        <v>34.6</v>
      </c>
      <c r="P435"/>
      <c r="Q435"/>
      <c r="R435"/>
    </row>
    <row r="436" spans="1:18" x14ac:dyDescent="0.25">
      <c r="A436" s="34" t="s">
        <v>126</v>
      </c>
      <c r="B436" s="10">
        <v>45872</v>
      </c>
      <c r="C436" t="s">
        <v>117</v>
      </c>
      <c r="D436" t="s">
        <v>118</v>
      </c>
      <c r="E436" t="s">
        <v>119</v>
      </c>
      <c r="F436">
        <v>24.1</v>
      </c>
      <c r="G436">
        <v>30.6</v>
      </c>
      <c r="H436">
        <v>35.1</v>
      </c>
      <c r="I436">
        <v>30.9</v>
      </c>
      <c r="J436">
        <v>5.3</v>
      </c>
      <c r="K436">
        <v>11.6</v>
      </c>
      <c r="L436">
        <v>2.2000000000000002</v>
      </c>
      <c r="M436">
        <v>43.3</v>
      </c>
      <c r="N436">
        <v>0.81</v>
      </c>
      <c r="O436">
        <v>33.6</v>
      </c>
      <c r="P436"/>
      <c r="Q436"/>
      <c r="R436"/>
    </row>
    <row r="437" spans="1:18" x14ac:dyDescent="0.25">
      <c r="A437" s="34" t="s">
        <v>126</v>
      </c>
      <c r="B437" s="10">
        <v>45872</v>
      </c>
      <c r="C437" t="s">
        <v>117</v>
      </c>
      <c r="D437" t="s">
        <v>118</v>
      </c>
      <c r="E437" t="s">
        <v>119</v>
      </c>
      <c r="F437">
        <v>42.7</v>
      </c>
      <c r="G437">
        <v>58</v>
      </c>
      <c r="H437">
        <v>56.1</v>
      </c>
      <c r="I437">
        <v>15.4</v>
      </c>
      <c r="J437">
        <v>-7.6</v>
      </c>
      <c r="K437">
        <v>10</v>
      </c>
      <c r="L437">
        <v>-5.6</v>
      </c>
      <c r="M437">
        <v>42.7</v>
      </c>
      <c r="N437">
        <v>1.31</v>
      </c>
      <c r="O437">
        <v>19</v>
      </c>
      <c r="P437"/>
      <c r="Q437"/>
      <c r="R437"/>
    </row>
    <row r="438" spans="1:18" x14ac:dyDescent="0.25">
      <c r="A438" s="34" t="s">
        <v>126</v>
      </c>
      <c r="B438" s="10">
        <v>45872</v>
      </c>
      <c r="C438" t="s">
        <v>117</v>
      </c>
      <c r="D438" t="s">
        <v>118</v>
      </c>
      <c r="E438" t="s">
        <v>119</v>
      </c>
      <c r="F438">
        <v>32.799999999999997</v>
      </c>
      <c r="G438">
        <v>54.7</v>
      </c>
      <c r="H438">
        <v>57.5</v>
      </c>
      <c r="I438">
        <v>13</v>
      </c>
      <c r="J438">
        <v>-10.1</v>
      </c>
      <c r="K438">
        <v>7.8</v>
      </c>
      <c r="L438">
        <v>-6.2</v>
      </c>
      <c r="M438">
        <v>46.8</v>
      </c>
      <c r="N438">
        <v>1.23</v>
      </c>
      <c r="O438">
        <v>16</v>
      </c>
      <c r="P438"/>
      <c r="Q438"/>
      <c r="R438"/>
    </row>
    <row r="439" spans="1:18" x14ac:dyDescent="0.25">
      <c r="A439" s="34" t="s">
        <v>126</v>
      </c>
      <c r="B439" s="10">
        <v>45872</v>
      </c>
      <c r="C439" t="s">
        <v>117</v>
      </c>
      <c r="D439" t="s">
        <v>118</v>
      </c>
      <c r="E439" t="s">
        <v>119</v>
      </c>
      <c r="F439">
        <v>12</v>
      </c>
      <c r="G439">
        <v>39.4</v>
      </c>
      <c r="H439">
        <v>44.5</v>
      </c>
      <c r="I439">
        <v>6.4</v>
      </c>
      <c r="J439">
        <v>-12.6</v>
      </c>
      <c r="K439">
        <v>1.1000000000000001</v>
      </c>
      <c r="L439">
        <v>-2.7</v>
      </c>
      <c r="M439">
        <v>45.1</v>
      </c>
      <c r="N439">
        <v>0.99</v>
      </c>
      <c r="O439">
        <v>6.8</v>
      </c>
      <c r="P439"/>
      <c r="Q439"/>
      <c r="R439"/>
    </row>
    <row r="440" spans="1:18" x14ac:dyDescent="0.25">
      <c r="A440" s="34" t="s">
        <v>126</v>
      </c>
      <c r="B440" s="10">
        <v>45872</v>
      </c>
      <c r="C440" t="s">
        <v>117</v>
      </c>
      <c r="D440" t="s">
        <v>118</v>
      </c>
      <c r="E440" t="s">
        <v>119</v>
      </c>
      <c r="F440">
        <v>19.7</v>
      </c>
      <c r="G440">
        <v>39.4</v>
      </c>
      <c r="H440">
        <v>44.9</v>
      </c>
      <c r="I440">
        <v>10.8</v>
      </c>
      <c r="J440">
        <v>5</v>
      </c>
      <c r="K440">
        <v>3</v>
      </c>
      <c r="L440">
        <v>1.7</v>
      </c>
      <c r="M440">
        <v>45.7</v>
      </c>
      <c r="N440">
        <v>0.98</v>
      </c>
      <c r="O440">
        <v>11.9</v>
      </c>
      <c r="P440"/>
      <c r="Q440"/>
      <c r="R440"/>
    </row>
    <row r="441" spans="1:18" x14ac:dyDescent="0.25">
      <c r="A441" s="34" t="s">
        <v>126</v>
      </c>
      <c r="B441" s="10">
        <v>45872</v>
      </c>
      <c r="C441" t="s">
        <v>117</v>
      </c>
      <c r="D441" t="s">
        <v>118</v>
      </c>
      <c r="E441" t="s">
        <v>119</v>
      </c>
      <c r="F441">
        <v>16.399999999999999</v>
      </c>
      <c r="G441">
        <v>25.2</v>
      </c>
      <c r="H441">
        <v>26.5</v>
      </c>
      <c r="I441">
        <v>24.9</v>
      </c>
      <c r="J441">
        <v>-14.7</v>
      </c>
      <c r="K441">
        <v>4.4000000000000004</v>
      </c>
      <c r="L441">
        <v>-4.8</v>
      </c>
      <c r="M441">
        <v>45.2</v>
      </c>
      <c r="N441">
        <v>0.59</v>
      </c>
      <c r="O441">
        <v>26</v>
      </c>
      <c r="P441"/>
      <c r="Q441"/>
      <c r="R441"/>
    </row>
    <row r="442" spans="1:18" x14ac:dyDescent="0.25">
      <c r="A442" s="34" t="s">
        <v>126</v>
      </c>
      <c r="B442" s="10">
        <v>45872</v>
      </c>
      <c r="C442" t="s">
        <v>117</v>
      </c>
      <c r="D442" t="s">
        <v>118</v>
      </c>
      <c r="E442" t="s">
        <v>119</v>
      </c>
      <c r="F442">
        <v>0</v>
      </c>
      <c r="G442">
        <v>38.299999999999997</v>
      </c>
      <c r="H442">
        <v>55.9</v>
      </c>
      <c r="I442">
        <v>2.1</v>
      </c>
      <c r="J442">
        <v>9</v>
      </c>
      <c r="K442">
        <v>0.2</v>
      </c>
      <c r="L442">
        <v>0.8</v>
      </c>
      <c r="M442">
        <v>43.3</v>
      </c>
      <c r="N442">
        <v>1.29</v>
      </c>
      <c r="O442">
        <v>2.2000000000000002</v>
      </c>
      <c r="P442"/>
      <c r="Q442"/>
      <c r="R442"/>
    </row>
    <row r="443" spans="1:18" x14ac:dyDescent="0.25">
      <c r="A443" s="34" t="s">
        <v>126</v>
      </c>
      <c r="B443" s="10">
        <v>45872</v>
      </c>
      <c r="C443" t="s">
        <v>117</v>
      </c>
      <c r="D443" t="s">
        <v>118</v>
      </c>
      <c r="E443" t="s">
        <v>119</v>
      </c>
      <c r="F443">
        <v>33.9</v>
      </c>
      <c r="G443">
        <v>44.9</v>
      </c>
      <c r="H443">
        <v>44.7</v>
      </c>
      <c r="I443">
        <v>23.8</v>
      </c>
      <c r="J443">
        <v>10.5</v>
      </c>
      <c r="K443">
        <v>12.5</v>
      </c>
      <c r="L443">
        <v>6.2</v>
      </c>
      <c r="M443">
        <v>47.3</v>
      </c>
      <c r="N443">
        <v>0.94</v>
      </c>
      <c r="O443">
        <v>27.4</v>
      </c>
      <c r="P443"/>
      <c r="Q443"/>
      <c r="R443"/>
    </row>
    <row r="444" spans="1:18" x14ac:dyDescent="0.25">
      <c r="A444" s="34" t="s">
        <v>126</v>
      </c>
      <c r="B444" s="10">
        <v>45872</v>
      </c>
      <c r="C444" t="s">
        <v>117</v>
      </c>
      <c r="D444" t="s">
        <v>118</v>
      </c>
      <c r="E444" t="s">
        <v>119</v>
      </c>
      <c r="F444">
        <v>31.7</v>
      </c>
      <c r="G444">
        <v>44.9</v>
      </c>
      <c r="H444">
        <v>46.4</v>
      </c>
      <c r="I444">
        <v>21.8</v>
      </c>
      <c r="J444">
        <v>11.2</v>
      </c>
      <c r="K444">
        <v>11.7</v>
      </c>
      <c r="L444">
        <v>6.5</v>
      </c>
      <c r="M444">
        <v>40</v>
      </c>
      <c r="N444">
        <v>1.1599999999999999</v>
      </c>
      <c r="O444">
        <v>25.5</v>
      </c>
      <c r="P444"/>
      <c r="Q444"/>
      <c r="R444"/>
    </row>
    <row r="445" spans="1:18" x14ac:dyDescent="0.25">
      <c r="A445" s="34" t="s">
        <v>126</v>
      </c>
      <c r="B445" s="10">
        <v>45872</v>
      </c>
      <c r="C445" t="s">
        <v>117</v>
      </c>
      <c r="D445" t="s">
        <v>118</v>
      </c>
      <c r="E445" t="s">
        <v>119</v>
      </c>
      <c r="F445">
        <v>8.8000000000000007</v>
      </c>
      <c r="G445">
        <v>39.4</v>
      </c>
      <c r="H445">
        <v>43.6</v>
      </c>
      <c r="I445">
        <v>7.1</v>
      </c>
      <c r="J445">
        <v>32.700000000000003</v>
      </c>
      <c r="K445">
        <v>1.3</v>
      </c>
      <c r="L445">
        <v>4.7</v>
      </c>
      <c r="M445">
        <v>46.8</v>
      </c>
      <c r="N445">
        <v>0.93</v>
      </c>
      <c r="O445">
        <v>7.6</v>
      </c>
      <c r="P445"/>
      <c r="Q445"/>
      <c r="R445"/>
    </row>
    <row r="446" spans="1:18" x14ac:dyDescent="0.25">
      <c r="A446" s="34" t="s">
        <v>126</v>
      </c>
      <c r="B446" s="10">
        <v>45872</v>
      </c>
      <c r="C446" t="s">
        <v>117</v>
      </c>
      <c r="D446" t="s">
        <v>118</v>
      </c>
      <c r="E446" t="s">
        <v>119</v>
      </c>
      <c r="F446">
        <v>6.6</v>
      </c>
      <c r="G446">
        <v>63.5</v>
      </c>
      <c r="H446">
        <v>55.3</v>
      </c>
      <c r="I446">
        <v>2.8</v>
      </c>
      <c r="J446">
        <v>14.6</v>
      </c>
      <c r="K446">
        <v>0.4</v>
      </c>
      <c r="L446">
        <v>2</v>
      </c>
      <c r="M446">
        <v>45.7</v>
      </c>
      <c r="N446">
        <v>1.21</v>
      </c>
      <c r="O446">
        <v>3</v>
      </c>
      <c r="P446"/>
      <c r="Q446"/>
      <c r="R446"/>
    </row>
    <row r="447" spans="1:18" x14ac:dyDescent="0.25">
      <c r="A447" s="34" t="s">
        <v>126</v>
      </c>
      <c r="B447" s="10">
        <v>45872</v>
      </c>
      <c r="C447" t="s">
        <v>117</v>
      </c>
      <c r="D447" t="s">
        <v>118</v>
      </c>
      <c r="E447" t="s">
        <v>119</v>
      </c>
      <c r="F447">
        <v>26.3</v>
      </c>
      <c r="G447">
        <v>44.9</v>
      </c>
      <c r="H447">
        <v>49.1</v>
      </c>
      <c r="I447">
        <v>14.6</v>
      </c>
      <c r="J447">
        <v>25.8</v>
      </c>
      <c r="K447">
        <v>6.6</v>
      </c>
      <c r="L447">
        <v>11.9</v>
      </c>
      <c r="M447">
        <v>40.700000000000003</v>
      </c>
      <c r="N447">
        <v>1.21</v>
      </c>
      <c r="O447">
        <v>17.100000000000001</v>
      </c>
      <c r="P447"/>
      <c r="Q447"/>
      <c r="R447"/>
    </row>
    <row r="448" spans="1:18" x14ac:dyDescent="0.25">
      <c r="A448" s="34" t="s">
        <v>126</v>
      </c>
      <c r="B448" s="10">
        <v>45872</v>
      </c>
      <c r="C448" t="s">
        <v>117</v>
      </c>
      <c r="D448" t="s">
        <v>118</v>
      </c>
      <c r="E448" t="s">
        <v>119</v>
      </c>
      <c r="F448">
        <v>44.9</v>
      </c>
      <c r="G448">
        <v>51.4</v>
      </c>
      <c r="H448">
        <v>49.3</v>
      </c>
      <c r="I448">
        <v>33.200000000000003</v>
      </c>
      <c r="J448">
        <v>1.4</v>
      </c>
      <c r="K448">
        <v>26.9</v>
      </c>
      <c r="L448">
        <v>3.1</v>
      </c>
      <c r="M448">
        <v>50.6</v>
      </c>
      <c r="N448">
        <v>0.98</v>
      </c>
      <c r="O448">
        <v>39.5</v>
      </c>
      <c r="P448"/>
      <c r="Q448"/>
      <c r="R448"/>
    </row>
    <row r="449" spans="1:18" x14ac:dyDescent="0.25">
      <c r="A449" s="34" t="s">
        <v>126</v>
      </c>
      <c r="B449" s="10">
        <v>45872</v>
      </c>
      <c r="C449" t="s">
        <v>97</v>
      </c>
      <c r="D449" t="s">
        <v>98</v>
      </c>
      <c r="E449" t="s">
        <v>99</v>
      </c>
      <c r="F449">
        <v>63.5</v>
      </c>
      <c r="G449">
        <v>66.7</v>
      </c>
      <c r="H449">
        <v>60.5</v>
      </c>
      <c r="I449">
        <v>49.7</v>
      </c>
      <c r="J449">
        <v>2.5</v>
      </c>
      <c r="K449">
        <v>70.3</v>
      </c>
      <c r="L449">
        <v>3.8</v>
      </c>
      <c r="M449">
        <v>77.400000000000006</v>
      </c>
      <c r="N449">
        <v>0.78</v>
      </c>
      <c r="O449">
        <v>60.2</v>
      </c>
      <c r="P449"/>
      <c r="Q449"/>
      <c r="R449"/>
    </row>
    <row r="450" spans="1:18" x14ac:dyDescent="0.25">
      <c r="A450" s="34" t="s">
        <v>126</v>
      </c>
      <c r="B450" s="10">
        <v>45872</v>
      </c>
      <c r="C450" t="s">
        <v>97</v>
      </c>
      <c r="D450" t="s">
        <v>98</v>
      </c>
      <c r="E450" t="s">
        <v>99</v>
      </c>
      <c r="F450">
        <v>71.099999999999994</v>
      </c>
      <c r="G450">
        <v>73.3</v>
      </c>
      <c r="H450">
        <v>66.2</v>
      </c>
      <c r="I450">
        <v>47.8</v>
      </c>
      <c r="J450">
        <v>-3.2</v>
      </c>
      <c r="K450">
        <v>80.2</v>
      </c>
      <c r="L450">
        <v>-3.8</v>
      </c>
      <c r="M450">
        <v>80.7</v>
      </c>
      <c r="N450">
        <v>0.82</v>
      </c>
      <c r="O450">
        <v>60.3</v>
      </c>
      <c r="P450"/>
      <c r="Q450"/>
      <c r="R450"/>
    </row>
    <row r="451" spans="1:18" x14ac:dyDescent="0.25">
      <c r="A451" s="34" t="s">
        <v>126</v>
      </c>
      <c r="B451" s="10">
        <v>45872</v>
      </c>
      <c r="C451" t="s">
        <v>100</v>
      </c>
      <c r="D451" t="s">
        <v>98</v>
      </c>
      <c r="E451" t="s">
        <v>99</v>
      </c>
      <c r="F451">
        <v>94.1</v>
      </c>
      <c r="G451">
        <v>96.3</v>
      </c>
      <c r="H451">
        <v>75.400000000000006</v>
      </c>
      <c r="I451">
        <v>43.1</v>
      </c>
      <c r="J451">
        <v>-11.1</v>
      </c>
      <c r="K451">
        <v>92.1</v>
      </c>
      <c r="L451">
        <v>-18.3</v>
      </c>
      <c r="M451">
        <v>81.2</v>
      </c>
      <c r="N451">
        <v>0.93</v>
      </c>
      <c r="O451">
        <v>58.8</v>
      </c>
      <c r="P451"/>
      <c r="Q451"/>
      <c r="R451"/>
    </row>
    <row r="452" spans="1:18" x14ac:dyDescent="0.25">
      <c r="A452" s="34" t="s">
        <v>126</v>
      </c>
      <c r="B452" s="10">
        <v>45872</v>
      </c>
      <c r="C452" t="s">
        <v>100</v>
      </c>
      <c r="D452" t="s">
        <v>98</v>
      </c>
      <c r="E452" t="s">
        <v>99</v>
      </c>
      <c r="F452">
        <v>86.4</v>
      </c>
      <c r="G452">
        <v>90.8</v>
      </c>
      <c r="H452">
        <v>72.8</v>
      </c>
      <c r="I452">
        <v>40.799999999999997</v>
      </c>
      <c r="J452">
        <v>-8.9</v>
      </c>
      <c r="K452">
        <v>80.8</v>
      </c>
      <c r="L452">
        <v>-15.5</v>
      </c>
      <c r="M452">
        <v>78.5</v>
      </c>
      <c r="N452">
        <v>0.93</v>
      </c>
      <c r="O452">
        <v>55.5</v>
      </c>
      <c r="P452"/>
      <c r="Q452"/>
      <c r="R452"/>
    </row>
    <row r="453" spans="1:18" x14ac:dyDescent="0.25">
      <c r="A453" s="34" t="s">
        <v>126</v>
      </c>
      <c r="B453" s="10">
        <v>45872</v>
      </c>
      <c r="C453" t="s">
        <v>100</v>
      </c>
      <c r="D453" t="s">
        <v>98</v>
      </c>
      <c r="E453" t="s">
        <v>99</v>
      </c>
      <c r="F453">
        <v>90.8</v>
      </c>
      <c r="G453">
        <v>94.1</v>
      </c>
      <c r="H453">
        <v>76.400000000000006</v>
      </c>
      <c r="I453">
        <v>44.2</v>
      </c>
      <c r="J453">
        <v>-8.1999999999999993</v>
      </c>
      <c r="K453">
        <v>97</v>
      </c>
      <c r="L453">
        <v>-13.1</v>
      </c>
      <c r="M453">
        <v>82.8</v>
      </c>
      <c r="N453">
        <v>0.92</v>
      </c>
      <c r="O453">
        <v>60.1</v>
      </c>
      <c r="P453"/>
      <c r="Q453"/>
      <c r="R453"/>
    </row>
    <row r="454" spans="1:18" x14ac:dyDescent="0.25">
      <c r="A454" s="34" t="s">
        <v>126</v>
      </c>
      <c r="B454" s="10">
        <v>45872</v>
      </c>
      <c r="C454" t="s">
        <v>100</v>
      </c>
      <c r="D454" t="s">
        <v>98</v>
      </c>
      <c r="E454" t="s">
        <v>99</v>
      </c>
      <c r="F454">
        <v>91.9</v>
      </c>
      <c r="G454">
        <v>94.1</v>
      </c>
      <c r="H454">
        <v>77.3</v>
      </c>
      <c r="I454">
        <v>42.2</v>
      </c>
      <c r="J454">
        <v>-10.1</v>
      </c>
      <c r="K454">
        <v>94.7</v>
      </c>
      <c r="L454">
        <v>-20.9</v>
      </c>
      <c r="M454">
        <v>82.4</v>
      </c>
      <c r="N454">
        <v>0.94</v>
      </c>
      <c r="O454">
        <v>58.5</v>
      </c>
      <c r="P454"/>
      <c r="Q454"/>
      <c r="R454"/>
    </row>
    <row r="455" spans="1:18" x14ac:dyDescent="0.25">
      <c r="A455" s="34" t="s">
        <v>126</v>
      </c>
      <c r="B455" s="10">
        <v>45872</v>
      </c>
      <c r="C455" t="s">
        <v>101</v>
      </c>
      <c r="D455" t="s">
        <v>102</v>
      </c>
      <c r="E455" t="s">
        <v>103</v>
      </c>
      <c r="F455">
        <v>121.4</v>
      </c>
      <c r="G455">
        <v>124.7</v>
      </c>
      <c r="H455">
        <v>90</v>
      </c>
      <c r="I455">
        <v>33.299999999999997</v>
      </c>
      <c r="J455">
        <v>-5</v>
      </c>
      <c r="K455">
        <v>99.1</v>
      </c>
      <c r="L455">
        <v>-14.4</v>
      </c>
      <c r="M455">
        <v>81.900000000000006</v>
      </c>
      <c r="N455">
        <v>1.1000000000000001</v>
      </c>
      <c r="O455">
        <v>54.1</v>
      </c>
      <c r="P455"/>
      <c r="Q455"/>
      <c r="R455"/>
    </row>
    <row r="456" spans="1:18" x14ac:dyDescent="0.25">
      <c r="A456" s="34" t="s">
        <v>126</v>
      </c>
      <c r="B456" s="10">
        <v>45872</v>
      </c>
      <c r="C456" t="s">
        <v>101</v>
      </c>
      <c r="D456" t="s">
        <v>102</v>
      </c>
      <c r="E456" t="s">
        <v>103</v>
      </c>
      <c r="F456">
        <v>100.6</v>
      </c>
      <c r="G456">
        <v>102.8</v>
      </c>
      <c r="H456">
        <v>80.3</v>
      </c>
      <c r="I456">
        <v>37.200000000000003</v>
      </c>
      <c r="J456">
        <v>0.7</v>
      </c>
      <c r="K456">
        <v>88.6</v>
      </c>
      <c r="L456">
        <v>2.9</v>
      </c>
      <c r="M456">
        <v>82.5</v>
      </c>
      <c r="N456">
        <v>0.97</v>
      </c>
      <c r="O456">
        <v>54.6</v>
      </c>
      <c r="P456"/>
      <c r="Q456"/>
      <c r="R456"/>
    </row>
    <row r="457" spans="1:18" x14ac:dyDescent="0.25">
      <c r="A457" s="34" t="s">
        <v>126</v>
      </c>
      <c r="B457" s="10">
        <v>45872</v>
      </c>
      <c r="C457" t="s">
        <v>101</v>
      </c>
      <c r="D457" t="s">
        <v>102</v>
      </c>
      <c r="E457" t="s">
        <v>103</v>
      </c>
      <c r="F457">
        <v>113.8</v>
      </c>
      <c r="G457">
        <v>119.2</v>
      </c>
      <c r="H457">
        <v>87.8</v>
      </c>
      <c r="I457">
        <v>33.5</v>
      </c>
      <c r="J457">
        <v>-7.9</v>
      </c>
      <c r="K457">
        <v>94.6</v>
      </c>
      <c r="L457">
        <v>-21.7</v>
      </c>
      <c r="M457">
        <v>82.6</v>
      </c>
      <c r="N457">
        <v>1.06</v>
      </c>
      <c r="O457">
        <v>53.5</v>
      </c>
      <c r="P457"/>
      <c r="Q457"/>
      <c r="R457"/>
    </row>
    <row r="458" spans="1:18" x14ac:dyDescent="0.25">
      <c r="A458" s="34" t="s">
        <v>126</v>
      </c>
      <c r="B458" s="10">
        <v>45872</v>
      </c>
      <c r="C458" t="s">
        <v>101</v>
      </c>
      <c r="D458" t="s">
        <v>102</v>
      </c>
      <c r="E458" t="s">
        <v>103</v>
      </c>
      <c r="F458">
        <v>126.9</v>
      </c>
      <c r="G458">
        <v>132.4</v>
      </c>
      <c r="H458">
        <v>92</v>
      </c>
      <c r="I458">
        <v>36.1</v>
      </c>
      <c r="J458">
        <v>-7.9</v>
      </c>
      <c r="K458">
        <v>112.8</v>
      </c>
      <c r="L458">
        <v>-21.7</v>
      </c>
      <c r="M458">
        <v>81.400000000000006</v>
      </c>
      <c r="N458">
        <v>1.1299999999999999</v>
      </c>
      <c r="O458">
        <v>57.2</v>
      </c>
      <c r="P458"/>
      <c r="Q458"/>
      <c r="R458"/>
    </row>
    <row r="459" spans="1:18" x14ac:dyDescent="0.25">
      <c r="A459" s="34" t="s">
        <v>126</v>
      </c>
      <c r="B459" s="10">
        <v>45872</v>
      </c>
      <c r="C459" t="s">
        <v>101</v>
      </c>
      <c r="D459" t="s">
        <v>102</v>
      </c>
      <c r="E459" t="s">
        <v>103</v>
      </c>
      <c r="F459">
        <v>106.1</v>
      </c>
      <c r="G459">
        <v>108.3</v>
      </c>
      <c r="H459">
        <v>87.3</v>
      </c>
      <c r="I459">
        <v>41.4</v>
      </c>
      <c r="J459">
        <v>-0.2</v>
      </c>
      <c r="K459">
        <v>117.5</v>
      </c>
      <c r="L459">
        <v>-0.4</v>
      </c>
      <c r="M459">
        <v>82.5</v>
      </c>
      <c r="N459">
        <v>1.06</v>
      </c>
      <c r="O459">
        <v>60.9</v>
      </c>
      <c r="P459"/>
      <c r="Q459"/>
      <c r="R459"/>
    </row>
    <row r="460" spans="1:18" x14ac:dyDescent="0.25">
      <c r="A460" s="34" t="s">
        <v>126</v>
      </c>
      <c r="B460" s="10">
        <v>45872</v>
      </c>
      <c r="C460" t="s">
        <v>104</v>
      </c>
      <c r="D460" t="s">
        <v>102</v>
      </c>
      <c r="E460" t="s">
        <v>103</v>
      </c>
      <c r="F460">
        <v>133.5</v>
      </c>
      <c r="G460">
        <v>138.9</v>
      </c>
      <c r="H460">
        <v>94.2</v>
      </c>
      <c r="I460">
        <v>30.4</v>
      </c>
      <c r="J460">
        <v>-6.9</v>
      </c>
      <c r="K460">
        <v>98.7</v>
      </c>
      <c r="L460">
        <v>-20.3</v>
      </c>
      <c r="M460">
        <v>81.7</v>
      </c>
      <c r="N460">
        <v>1.1499999999999999</v>
      </c>
      <c r="O460">
        <v>52.5</v>
      </c>
      <c r="P460"/>
      <c r="Q460"/>
      <c r="R460"/>
    </row>
    <row r="461" spans="1:18" x14ac:dyDescent="0.25">
      <c r="A461" s="34" t="s">
        <v>126</v>
      </c>
      <c r="B461" s="10">
        <v>45872</v>
      </c>
      <c r="C461" t="s">
        <v>104</v>
      </c>
      <c r="D461" t="s">
        <v>102</v>
      </c>
      <c r="E461" t="s">
        <v>103</v>
      </c>
      <c r="F461">
        <v>119.2</v>
      </c>
      <c r="G461">
        <v>126.9</v>
      </c>
      <c r="H461">
        <v>91.5</v>
      </c>
      <c r="I461">
        <v>22.7</v>
      </c>
      <c r="J461">
        <v>-3.4</v>
      </c>
      <c r="K461">
        <v>66</v>
      </c>
      <c r="L461">
        <v>-4.5</v>
      </c>
      <c r="M461">
        <v>80.5</v>
      </c>
      <c r="N461">
        <v>1.1399999999999999</v>
      </c>
      <c r="O461">
        <v>43.7</v>
      </c>
      <c r="P461"/>
      <c r="Q461"/>
      <c r="R461"/>
    </row>
    <row r="462" spans="1:18" x14ac:dyDescent="0.25">
      <c r="A462" s="34" t="s">
        <v>126</v>
      </c>
      <c r="B462" s="10">
        <v>45872</v>
      </c>
      <c r="C462" t="s">
        <v>104</v>
      </c>
      <c r="D462" t="s">
        <v>102</v>
      </c>
      <c r="E462" t="s">
        <v>103</v>
      </c>
      <c r="F462">
        <v>140</v>
      </c>
      <c r="G462">
        <v>143.30000000000001</v>
      </c>
      <c r="H462">
        <v>97.9</v>
      </c>
      <c r="I462">
        <v>32.5</v>
      </c>
      <c r="J462">
        <v>-5.7</v>
      </c>
      <c r="K462">
        <v>114.7</v>
      </c>
      <c r="L462">
        <v>-18.5</v>
      </c>
      <c r="M462">
        <v>86.4</v>
      </c>
      <c r="N462">
        <v>1.1299999999999999</v>
      </c>
      <c r="O462">
        <v>55.5</v>
      </c>
      <c r="P462"/>
      <c r="Q462"/>
      <c r="R462"/>
    </row>
    <row r="463" spans="1:18" x14ac:dyDescent="0.25">
      <c r="A463" s="34" t="s">
        <v>126</v>
      </c>
      <c r="B463" s="10">
        <v>45872</v>
      </c>
      <c r="C463" t="s">
        <v>105</v>
      </c>
      <c r="D463" t="s">
        <v>102</v>
      </c>
      <c r="E463" t="s">
        <v>106</v>
      </c>
      <c r="F463">
        <v>143.30000000000001</v>
      </c>
      <c r="G463">
        <v>146.6</v>
      </c>
      <c r="H463">
        <v>104.2</v>
      </c>
      <c r="I463">
        <v>28</v>
      </c>
      <c r="J463">
        <v>-4.5</v>
      </c>
      <c r="K463">
        <v>111.9</v>
      </c>
      <c r="L463">
        <v>-8.8000000000000007</v>
      </c>
      <c r="M463">
        <v>84.1</v>
      </c>
      <c r="N463">
        <v>1.24</v>
      </c>
      <c r="O463">
        <v>53.2</v>
      </c>
      <c r="P463"/>
      <c r="Q463"/>
      <c r="R463"/>
    </row>
    <row r="464" spans="1:18" x14ac:dyDescent="0.25">
      <c r="A464" s="34" t="s">
        <v>126</v>
      </c>
      <c r="B464" s="10">
        <v>45872</v>
      </c>
      <c r="C464" t="s">
        <v>105</v>
      </c>
      <c r="D464" t="s">
        <v>102</v>
      </c>
      <c r="E464" t="s">
        <v>106</v>
      </c>
      <c r="F464">
        <v>142.19999999999999</v>
      </c>
      <c r="G464">
        <v>146.6</v>
      </c>
      <c r="H464">
        <v>101.6</v>
      </c>
      <c r="I464">
        <v>27.8</v>
      </c>
      <c r="J464">
        <v>-2.8</v>
      </c>
      <c r="K464">
        <v>105.6</v>
      </c>
      <c r="L464">
        <v>-3.1</v>
      </c>
      <c r="M464">
        <v>84.6</v>
      </c>
      <c r="N464">
        <v>1.2</v>
      </c>
      <c r="O464">
        <v>52.3</v>
      </c>
      <c r="P464"/>
      <c r="Q464"/>
      <c r="R464"/>
    </row>
    <row r="465" spans="1:18" x14ac:dyDescent="0.25">
      <c r="A465" s="34" t="s">
        <v>126</v>
      </c>
      <c r="B465" s="10">
        <v>45872</v>
      </c>
      <c r="C465" t="s">
        <v>105</v>
      </c>
      <c r="D465" t="s">
        <v>102</v>
      </c>
      <c r="E465" t="s">
        <v>106</v>
      </c>
      <c r="F465">
        <v>140</v>
      </c>
      <c r="G465">
        <v>146.6</v>
      </c>
      <c r="H465">
        <v>100.8</v>
      </c>
      <c r="I465">
        <v>24.3</v>
      </c>
      <c r="J465">
        <v>-0.9</v>
      </c>
      <c r="K465">
        <v>89.7</v>
      </c>
      <c r="L465">
        <v>6.7</v>
      </c>
      <c r="M465">
        <v>85.2</v>
      </c>
      <c r="N465">
        <v>1.18</v>
      </c>
      <c r="O465">
        <v>48.8</v>
      </c>
      <c r="P465"/>
      <c r="Q465"/>
      <c r="R465"/>
    </row>
    <row r="466" spans="1:18" x14ac:dyDescent="0.25">
      <c r="A466" s="34" t="s">
        <v>126</v>
      </c>
      <c r="B466" s="10">
        <v>45872</v>
      </c>
      <c r="C466" t="s">
        <v>105</v>
      </c>
      <c r="D466" t="s">
        <v>102</v>
      </c>
      <c r="E466" t="s">
        <v>106</v>
      </c>
      <c r="F466">
        <v>134.6</v>
      </c>
      <c r="G466">
        <v>142.19999999999999</v>
      </c>
      <c r="H466">
        <v>100.2</v>
      </c>
      <c r="I466">
        <v>18.7</v>
      </c>
      <c r="J466">
        <v>-6.5</v>
      </c>
      <c r="K466">
        <v>66.2</v>
      </c>
      <c r="L466">
        <v>-2.8</v>
      </c>
      <c r="M466">
        <v>83</v>
      </c>
      <c r="N466">
        <v>1.21</v>
      </c>
      <c r="O466">
        <v>41.8</v>
      </c>
      <c r="P466"/>
      <c r="Q466"/>
      <c r="R466"/>
    </row>
    <row r="467" spans="1:18" x14ac:dyDescent="0.25">
      <c r="A467" s="34" t="s">
        <v>126</v>
      </c>
      <c r="B467" s="10">
        <v>45872</v>
      </c>
      <c r="C467" t="s">
        <v>107</v>
      </c>
      <c r="D467" t="s">
        <v>102</v>
      </c>
      <c r="E467" t="s">
        <v>106</v>
      </c>
      <c r="F467">
        <v>136.80000000000001</v>
      </c>
      <c r="G467">
        <v>144.4</v>
      </c>
      <c r="H467">
        <v>100.6</v>
      </c>
      <c r="I467">
        <v>19.7</v>
      </c>
      <c r="J467">
        <v>-7.6</v>
      </c>
      <c r="K467">
        <v>70.599999999999994</v>
      </c>
      <c r="L467">
        <v>-21.9</v>
      </c>
      <c r="M467">
        <v>83.5</v>
      </c>
      <c r="N467">
        <v>1.2</v>
      </c>
      <c r="O467">
        <v>42.9</v>
      </c>
      <c r="P467"/>
      <c r="Q467"/>
      <c r="R467"/>
    </row>
    <row r="468" spans="1:18" x14ac:dyDescent="0.25">
      <c r="A468" s="34" t="s">
        <v>126</v>
      </c>
      <c r="B468" s="10">
        <v>45872</v>
      </c>
      <c r="C468" t="s">
        <v>107</v>
      </c>
      <c r="D468" t="s">
        <v>102</v>
      </c>
      <c r="E468" t="s">
        <v>106</v>
      </c>
      <c r="F468">
        <v>153.19999999999999</v>
      </c>
      <c r="G468">
        <v>158.6</v>
      </c>
      <c r="H468">
        <v>107.7</v>
      </c>
      <c r="I468">
        <v>22.7</v>
      </c>
      <c r="J468">
        <v>-2.7</v>
      </c>
      <c r="K468">
        <v>96.8</v>
      </c>
      <c r="L468">
        <v>4.3</v>
      </c>
      <c r="M468">
        <v>85.7</v>
      </c>
      <c r="N468">
        <v>1.26</v>
      </c>
      <c r="O468">
        <v>49</v>
      </c>
      <c r="P468"/>
      <c r="Q468"/>
      <c r="R468"/>
    </row>
    <row r="469" spans="1:18" x14ac:dyDescent="0.25">
      <c r="A469" s="34" t="s">
        <v>126</v>
      </c>
      <c r="B469" s="10">
        <v>45872</v>
      </c>
      <c r="C469" t="s">
        <v>107</v>
      </c>
      <c r="D469" t="s">
        <v>102</v>
      </c>
      <c r="E469" t="s">
        <v>106</v>
      </c>
      <c r="F469">
        <v>154.30000000000001</v>
      </c>
      <c r="G469">
        <v>161.9</v>
      </c>
      <c r="H469">
        <v>110.9</v>
      </c>
      <c r="I469">
        <v>21.9</v>
      </c>
      <c r="J469">
        <v>-4.0999999999999996</v>
      </c>
      <c r="K469">
        <v>99.7</v>
      </c>
      <c r="L469">
        <v>-3.4</v>
      </c>
      <c r="M469">
        <v>86.3</v>
      </c>
      <c r="N469">
        <v>1.28</v>
      </c>
      <c r="O469">
        <v>49.1</v>
      </c>
      <c r="P469"/>
      <c r="Q469"/>
      <c r="R469"/>
    </row>
    <row r="470" spans="1:18" x14ac:dyDescent="0.25">
      <c r="A470" s="34" t="s">
        <v>126</v>
      </c>
      <c r="B470" s="10">
        <v>45872</v>
      </c>
      <c r="C470" t="s">
        <v>107</v>
      </c>
      <c r="D470" t="s">
        <v>102</v>
      </c>
      <c r="E470" t="s">
        <v>106</v>
      </c>
      <c r="F470">
        <v>164.1</v>
      </c>
      <c r="G470">
        <v>167.4</v>
      </c>
      <c r="H470">
        <v>114.3</v>
      </c>
      <c r="I470">
        <v>20.2</v>
      </c>
      <c r="J470">
        <v>-9.5</v>
      </c>
      <c r="K470">
        <v>98.8</v>
      </c>
      <c r="L470">
        <v>-31.7</v>
      </c>
      <c r="M470">
        <v>87.4</v>
      </c>
      <c r="N470">
        <v>1.31</v>
      </c>
      <c r="O470">
        <v>48.5</v>
      </c>
      <c r="P470"/>
      <c r="Q470"/>
      <c r="R470"/>
    </row>
    <row r="471" spans="1:18" x14ac:dyDescent="0.25">
      <c r="A471" s="34" t="s">
        <v>126</v>
      </c>
      <c r="B471" s="10">
        <v>45872</v>
      </c>
      <c r="C471" t="s">
        <v>107</v>
      </c>
      <c r="D471" t="s">
        <v>102</v>
      </c>
      <c r="E471" t="s">
        <v>106</v>
      </c>
      <c r="F471">
        <v>155.30000000000001</v>
      </c>
      <c r="G471">
        <v>158.6</v>
      </c>
      <c r="H471">
        <v>107.2</v>
      </c>
      <c r="I471">
        <v>27.6</v>
      </c>
      <c r="J471">
        <v>-3.5</v>
      </c>
      <c r="K471">
        <v>117.2</v>
      </c>
      <c r="L471">
        <v>4.0999999999999996</v>
      </c>
      <c r="M471">
        <v>85.2</v>
      </c>
      <c r="N471">
        <v>1.26</v>
      </c>
      <c r="O471">
        <v>53.6</v>
      </c>
      <c r="P471"/>
      <c r="Q471"/>
      <c r="R471"/>
    </row>
    <row r="472" spans="1:18" x14ac:dyDescent="0.25">
      <c r="A472" s="34" t="s">
        <v>126</v>
      </c>
      <c r="B472" s="10">
        <v>45872</v>
      </c>
      <c r="C472" t="s">
        <v>107</v>
      </c>
      <c r="D472" t="s">
        <v>102</v>
      </c>
      <c r="E472" t="s">
        <v>106</v>
      </c>
      <c r="F472">
        <v>141.1</v>
      </c>
      <c r="G472">
        <v>148.80000000000001</v>
      </c>
      <c r="H472">
        <v>100.3</v>
      </c>
      <c r="I472">
        <v>16.8</v>
      </c>
      <c r="J472">
        <v>-10.8</v>
      </c>
      <c r="K472">
        <v>58.5</v>
      </c>
      <c r="L472">
        <v>-27.5</v>
      </c>
      <c r="M472">
        <v>86.8</v>
      </c>
      <c r="N472">
        <v>1.1599999999999999</v>
      </c>
      <c r="O472">
        <v>38.6</v>
      </c>
      <c r="P472"/>
      <c r="Q472"/>
      <c r="R472"/>
    </row>
    <row r="473" spans="1:18" x14ac:dyDescent="0.25">
      <c r="A473" s="34" t="s">
        <v>126</v>
      </c>
      <c r="B473" s="10">
        <v>45872</v>
      </c>
      <c r="C473" t="s">
        <v>107</v>
      </c>
      <c r="D473" t="s">
        <v>102</v>
      </c>
      <c r="E473" t="s">
        <v>106</v>
      </c>
      <c r="F473">
        <v>161.9</v>
      </c>
      <c r="G473">
        <v>167.4</v>
      </c>
      <c r="H473">
        <v>112</v>
      </c>
      <c r="I473">
        <v>19.600000000000001</v>
      </c>
      <c r="J473">
        <v>-8.1999999999999993</v>
      </c>
      <c r="K473">
        <v>91.4</v>
      </c>
      <c r="L473">
        <v>-19</v>
      </c>
      <c r="M473">
        <v>86.3</v>
      </c>
      <c r="N473">
        <v>1.3</v>
      </c>
      <c r="O473">
        <v>47.1</v>
      </c>
      <c r="P473"/>
      <c r="Q473"/>
      <c r="R473"/>
    </row>
    <row r="474" spans="1:18" x14ac:dyDescent="0.25">
      <c r="A474" s="34" t="s">
        <v>126</v>
      </c>
      <c r="B474" s="10">
        <v>45872</v>
      </c>
      <c r="C474" t="s">
        <v>107</v>
      </c>
      <c r="D474" t="s">
        <v>102</v>
      </c>
      <c r="E474" t="s">
        <v>106</v>
      </c>
      <c r="F474">
        <v>170.7</v>
      </c>
      <c r="G474">
        <v>177.2</v>
      </c>
      <c r="H474">
        <v>111</v>
      </c>
      <c r="I474">
        <v>23.9</v>
      </c>
      <c r="J474">
        <v>-11.1</v>
      </c>
      <c r="K474">
        <v>109.5</v>
      </c>
      <c r="L474">
        <v>-17.2</v>
      </c>
      <c r="M474">
        <v>85.4</v>
      </c>
      <c r="N474">
        <v>1.3</v>
      </c>
      <c r="O474">
        <v>51.3</v>
      </c>
      <c r="P474"/>
      <c r="Q474"/>
      <c r="R474"/>
    </row>
    <row r="475" spans="1:18" x14ac:dyDescent="0.25">
      <c r="A475" s="34" t="s">
        <v>126</v>
      </c>
      <c r="B475" s="10">
        <v>45872</v>
      </c>
      <c r="C475" t="s">
        <v>108</v>
      </c>
      <c r="D475" t="s">
        <v>102</v>
      </c>
      <c r="E475" t="s">
        <v>106</v>
      </c>
      <c r="F475">
        <v>172.9</v>
      </c>
      <c r="G475">
        <v>179.4</v>
      </c>
      <c r="H475">
        <v>118.3</v>
      </c>
      <c r="I475">
        <v>18</v>
      </c>
      <c r="J475">
        <v>-6.7</v>
      </c>
      <c r="K475">
        <v>95</v>
      </c>
      <c r="L475">
        <v>-7.1</v>
      </c>
      <c r="M475">
        <v>87.9</v>
      </c>
      <c r="N475">
        <v>1.35</v>
      </c>
      <c r="O475">
        <v>46.8</v>
      </c>
      <c r="P475"/>
      <c r="Q475"/>
      <c r="R475"/>
    </row>
    <row r="476" spans="1:18" x14ac:dyDescent="0.25">
      <c r="A476" s="34" t="s">
        <v>126</v>
      </c>
      <c r="B476" s="10">
        <v>45872</v>
      </c>
      <c r="C476" t="s">
        <v>108</v>
      </c>
      <c r="D476" t="s">
        <v>102</v>
      </c>
      <c r="E476" t="s">
        <v>106</v>
      </c>
      <c r="F476">
        <v>159.69999999999999</v>
      </c>
      <c r="G476">
        <v>165.2</v>
      </c>
      <c r="H476">
        <v>112.6</v>
      </c>
      <c r="I476">
        <v>21.2</v>
      </c>
      <c r="J476">
        <v>-4.3</v>
      </c>
      <c r="K476">
        <v>99.6</v>
      </c>
      <c r="L476">
        <v>8.1</v>
      </c>
      <c r="M476">
        <v>86.2</v>
      </c>
      <c r="N476">
        <v>1.31</v>
      </c>
      <c r="O476">
        <v>48.7</v>
      </c>
      <c r="P476"/>
      <c r="Q476"/>
      <c r="R476"/>
    </row>
    <row r="477" spans="1:18" x14ac:dyDescent="0.25">
      <c r="A477" s="34" t="s">
        <v>126</v>
      </c>
      <c r="B477" s="10">
        <v>45872</v>
      </c>
      <c r="C477" t="s">
        <v>108</v>
      </c>
      <c r="D477" t="s">
        <v>102</v>
      </c>
      <c r="E477" t="s">
        <v>106</v>
      </c>
      <c r="F477">
        <v>163</v>
      </c>
      <c r="G477">
        <v>170.7</v>
      </c>
      <c r="H477">
        <v>111.8</v>
      </c>
      <c r="I477">
        <v>18.100000000000001</v>
      </c>
      <c r="J477">
        <v>-2.6</v>
      </c>
      <c r="K477">
        <v>83.4</v>
      </c>
      <c r="L477">
        <v>5.4</v>
      </c>
      <c r="M477">
        <v>88.4</v>
      </c>
      <c r="N477">
        <v>1.26</v>
      </c>
      <c r="O477">
        <v>45</v>
      </c>
      <c r="P477"/>
      <c r="Q477"/>
      <c r="R477"/>
    </row>
    <row r="478" spans="1:18" x14ac:dyDescent="0.25">
      <c r="A478" s="34" t="s">
        <v>126</v>
      </c>
      <c r="B478" s="10">
        <v>45872</v>
      </c>
      <c r="C478" t="s">
        <v>108</v>
      </c>
      <c r="D478" t="s">
        <v>102</v>
      </c>
      <c r="E478" t="s">
        <v>106</v>
      </c>
      <c r="F478">
        <v>158.6</v>
      </c>
      <c r="G478">
        <v>165.2</v>
      </c>
      <c r="H478">
        <v>111.7</v>
      </c>
      <c r="I478">
        <v>20.7</v>
      </c>
      <c r="J478">
        <v>-3.4</v>
      </c>
      <c r="K478">
        <v>95.6</v>
      </c>
      <c r="L478">
        <v>13.2</v>
      </c>
      <c r="M478">
        <v>85.7</v>
      </c>
      <c r="N478">
        <v>1.3</v>
      </c>
      <c r="O478">
        <v>47.9</v>
      </c>
      <c r="P478"/>
      <c r="Q478"/>
      <c r="R478"/>
    </row>
    <row r="479" spans="1:18" x14ac:dyDescent="0.25">
      <c r="A479" s="34" t="s">
        <v>126</v>
      </c>
      <c r="B479" s="10">
        <v>45872</v>
      </c>
      <c r="C479" t="s">
        <v>108</v>
      </c>
      <c r="D479" t="s">
        <v>102</v>
      </c>
      <c r="E479" t="s">
        <v>106</v>
      </c>
      <c r="F479">
        <v>145.5</v>
      </c>
      <c r="G479">
        <v>152.1</v>
      </c>
      <c r="H479">
        <v>103.7</v>
      </c>
      <c r="I479">
        <v>19.3</v>
      </c>
      <c r="J479">
        <v>-8.6</v>
      </c>
      <c r="K479">
        <v>74.2</v>
      </c>
      <c r="L479">
        <v>-9.5</v>
      </c>
      <c r="M479">
        <v>87.4</v>
      </c>
      <c r="N479">
        <v>1.19</v>
      </c>
      <c r="O479">
        <v>43.3</v>
      </c>
      <c r="P479"/>
      <c r="Q479"/>
      <c r="R479"/>
    </row>
    <row r="480" spans="1:18" x14ac:dyDescent="0.25">
      <c r="A480" s="34" t="s">
        <v>126</v>
      </c>
      <c r="B480" s="10">
        <v>45872</v>
      </c>
      <c r="C480" t="s">
        <v>108</v>
      </c>
      <c r="D480" t="s">
        <v>102</v>
      </c>
      <c r="E480" t="s">
        <v>106</v>
      </c>
      <c r="F480">
        <v>155.30000000000001</v>
      </c>
      <c r="G480">
        <v>161.9</v>
      </c>
      <c r="H480">
        <v>109</v>
      </c>
      <c r="I480">
        <v>22.2</v>
      </c>
      <c r="J480">
        <v>-1.2</v>
      </c>
      <c r="K480">
        <v>97.2</v>
      </c>
      <c r="L480">
        <v>20.6</v>
      </c>
      <c r="M480">
        <v>87.3</v>
      </c>
      <c r="N480">
        <v>1.25</v>
      </c>
      <c r="O480">
        <v>48.7</v>
      </c>
      <c r="P480"/>
      <c r="Q480"/>
      <c r="R480"/>
    </row>
    <row r="481" spans="1:18" x14ac:dyDescent="0.25">
      <c r="A481" s="34" t="s">
        <v>126</v>
      </c>
      <c r="B481" s="10">
        <v>45872</v>
      </c>
      <c r="C481" t="s">
        <v>108</v>
      </c>
      <c r="D481" t="s">
        <v>102</v>
      </c>
      <c r="E481" t="s">
        <v>106</v>
      </c>
      <c r="F481">
        <v>154.30000000000001</v>
      </c>
      <c r="G481">
        <v>156.4</v>
      </c>
      <c r="H481">
        <v>110.5</v>
      </c>
      <c r="I481">
        <v>14.8</v>
      </c>
      <c r="J481">
        <v>-13.1</v>
      </c>
      <c r="K481">
        <v>65.5</v>
      </c>
      <c r="L481">
        <v>-34.799999999999997</v>
      </c>
      <c r="M481">
        <v>84.6</v>
      </c>
      <c r="N481">
        <v>1.31</v>
      </c>
      <c r="O481">
        <v>39.5</v>
      </c>
      <c r="P481"/>
      <c r="Q481"/>
      <c r="R481"/>
    </row>
    <row r="482" spans="1:18" x14ac:dyDescent="0.25">
      <c r="A482" s="34" t="s">
        <v>126</v>
      </c>
      <c r="B482" s="10">
        <v>45872</v>
      </c>
      <c r="C482" t="s">
        <v>109</v>
      </c>
      <c r="D482" t="s">
        <v>102</v>
      </c>
      <c r="E482" t="s">
        <v>106</v>
      </c>
      <c r="F482">
        <v>149.9</v>
      </c>
      <c r="G482">
        <v>159.69999999999999</v>
      </c>
      <c r="H482">
        <v>110.7</v>
      </c>
      <c r="I482">
        <v>15.1</v>
      </c>
      <c r="J482">
        <v>-6.7</v>
      </c>
      <c r="K482">
        <v>66.5</v>
      </c>
      <c r="L482">
        <v>6.5</v>
      </c>
      <c r="M482">
        <v>85.2</v>
      </c>
      <c r="N482">
        <v>1.3</v>
      </c>
      <c r="O482">
        <v>39.4</v>
      </c>
      <c r="P482"/>
      <c r="Q482"/>
      <c r="R482"/>
    </row>
    <row r="483" spans="1:18" x14ac:dyDescent="0.25">
      <c r="A483" s="34" t="s">
        <v>126</v>
      </c>
      <c r="B483" s="10">
        <v>45872</v>
      </c>
      <c r="C483" t="s">
        <v>109</v>
      </c>
      <c r="D483" t="s">
        <v>102</v>
      </c>
      <c r="E483" t="s">
        <v>106</v>
      </c>
      <c r="F483">
        <v>155.30000000000001</v>
      </c>
      <c r="G483">
        <v>164.1</v>
      </c>
      <c r="H483">
        <v>114.4</v>
      </c>
      <c r="I483">
        <v>12.6</v>
      </c>
      <c r="J483">
        <v>-9.6</v>
      </c>
      <c r="K483">
        <v>60</v>
      </c>
      <c r="L483">
        <v>-6.2</v>
      </c>
      <c r="M483">
        <v>85.2</v>
      </c>
      <c r="N483">
        <v>1.34</v>
      </c>
      <c r="O483">
        <v>36.799999999999997</v>
      </c>
      <c r="P483"/>
      <c r="Q483"/>
      <c r="R483"/>
    </row>
    <row r="484" spans="1:18" x14ac:dyDescent="0.25">
      <c r="A484" s="34" t="s">
        <v>126</v>
      </c>
      <c r="B484" s="10">
        <v>45872</v>
      </c>
      <c r="C484" t="s">
        <v>109</v>
      </c>
      <c r="D484" t="s">
        <v>102</v>
      </c>
      <c r="E484" t="s">
        <v>106</v>
      </c>
      <c r="F484">
        <v>176.1</v>
      </c>
      <c r="G484">
        <v>183.8</v>
      </c>
      <c r="H484">
        <v>119.6</v>
      </c>
      <c r="I484">
        <v>16.7</v>
      </c>
      <c r="J484">
        <v>-7.9</v>
      </c>
      <c r="K484">
        <v>90.3</v>
      </c>
      <c r="L484">
        <v>-8.4</v>
      </c>
      <c r="M484">
        <v>86.3</v>
      </c>
      <c r="N484">
        <v>1.38</v>
      </c>
      <c r="O484">
        <v>45</v>
      </c>
      <c r="P484"/>
      <c r="Q484"/>
      <c r="R484"/>
    </row>
    <row r="485" spans="1:18" x14ac:dyDescent="0.25">
      <c r="A485" s="34" t="s">
        <v>126</v>
      </c>
      <c r="B485" s="10">
        <v>45872</v>
      </c>
      <c r="C485" t="s">
        <v>109</v>
      </c>
      <c r="D485" t="s">
        <v>102</v>
      </c>
      <c r="E485" t="s">
        <v>106</v>
      </c>
      <c r="F485">
        <v>172.9</v>
      </c>
      <c r="G485">
        <v>180.5</v>
      </c>
      <c r="H485">
        <v>120.2</v>
      </c>
      <c r="I485">
        <v>14.3</v>
      </c>
      <c r="J485">
        <v>-7</v>
      </c>
      <c r="K485">
        <v>78.3</v>
      </c>
      <c r="L485">
        <v>-0.9</v>
      </c>
      <c r="M485">
        <v>87.4</v>
      </c>
      <c r="N485">
        <v>1.38</v>
      </c>
      <c r="O485">
        <v>41.8</v>
      </c>
      <c r="P485"/>
      <c r="Q485"/>
      <c r="R485"/>
    </row>
    <row r="486" spans="1:18" x14ac:dyDescent="0.25">
      <c r="A486" s="34" t="s">
        <v>126</v>
      </c>
      <c r="B486" s="10">
        <v>45872</v>
      </c>
      <c r="C486" t="s">
        <v>109</v>
      </c>
      <c r="D486" t="s">
        <v>102</v>
      </c>
      <c r="E486" t="s">
        <v>106</v>
      </c>
      <c r="F486">
        <v>147.69999999999999</v>
      </c>
      <c r="G486">
        <v>160.80000000000001</v>
      </c>
      <c r="H486">
        <v>114.3</v>
      </c>
      <c r="I486">
        <v>7.2</v>
      </c>
      <c r="J486">
        <v>-4.5</v>
      </c>
      <c r="K486">
        <v>33.299999999999997</v>
      </c>
      <c r="L486">
        <v>-11.6</v>
      </c>
      <c r="M486">
        <v>85.8</v>
      </c>
      <c r="N486">
        <v>1.33</v>
      </c>
      <c r="O486">
        <v>25.6</v>
      </c>
      <c r="P486"/>
      <c r="Q486"/>
      <c r="R486"/>
    </row>
    <row r="487" spans="1:18" x14ac:dyDescent="0.25">
      <c r="A487" s="34" t="s">
        <v>126</v>
      </c>
      <c r="B487" s="10">
        <v>45872</v>
      </c>
      <c r="C487" t="s">
        <v>109</v>
      </c>
      <c r="D487" t="s">
        <v>102</v>
      </c>
      <c r="E487" t="s">
        <v>106</v>
      </c>
      <c r="F487">
        <v>159.69999999999999</v>
      </c>
      <c r="G487">
        <v>169.6</v>
      </c>
      <c r="H487">
        <v>116.5</v>
      </c>
      <c r="I487">
        <v>11.5</v>
      </c>
      <c r="J487">
        <v>-8</v>
      </c>
      <c r="K487">
        <v>57.9</v>
      </c>
      <c r="L487">
        <v>-10.8</v>
      </c>
      <c r="M487">
        <v>84.7</v>
      </c>
      <c r="N487">
        <v>1.38</v>
      </c>
      <c r="O487">
        <v>35.799999999999997</v>
      </c>
      <c r="P487"/>
      <c r="Q487"/>
      <c r="R487"/>
    </row>
    <row r="488" spans="1:18" x14ac:dyDescent="0.25">
      <c r="A488" s="34" t="s">
        <v>126</v>
      </c>
      <c r="B488" s="10">
        <v>45872</v>
      </c>
      <c r="C488" t="s">
        <v>109</v>
      </c>
      <c r="D488" t="s">
        <v>102</v>
      </c>
      <c r="E488" t="s">
        <v>106</v>
      </c>
      <c r="F488">
        <v>151</v>
      </c>
      <c r="G488">
        <v>160.80000000000001</v>
      </c>
      <c r="H488">
        <v>110.3</v>
      </c>
      <c r="I488">
        <v>15.7</v>
      </c>
      <c r="J488">
        <v>-8.9</v>
      </c>
      <c r="K488">
        <v>68.7</v>
      </c>
      <c r="L488">
        <v>-11.2</v>
      </c>
      <c r="M488">
        <v>85.2</v>
      </c>
      <c r="N488">
        <v>1.29</v>
      </c>
      <c r="O488">
        <v>40.1</v>
      </c>
      <c r="P488"/>
      <c r="Q488"/>
      <c r="R488"/>
    </row>
    <row r="489" spans="1:18" x14ac:dyDescent="0.25">
      <c r="A489" s="34" t="s">
        <v>126</v>
      </c>
      <c r="B489" s="10">
        <v>45872</v>
      </c>
      <c r="C489" t="s">
        <v>109</v>
      </c>
      <c r="D489" t="s">
        <v>102</v>
      </c>
      <c r="E489" t="s">
        <v>106</v>
      </c>
      <c r="F489">
        <v>140</v>
      </c>
      <c r="G489">
        <v>149.9</v>
      </c>
      <c r="H489">
        <v>108.4</v>
      </c>
      <c r="I489">
        <v>15.3</v>
      </c>
      <c r="J489">
        <v>-4.9000000000000004</v>
      </c>
      <c r="K489">
        <v>63.9</v>
      </c>
      <c r="L489">
        <v>18.8</v>
      </c>
      <c r="M489">
        <v>84.7</v>
      </c>
      <c r="N489">
        <v>1.28</v>
      </c>
      <c r="O489">
        <v>38.799999999999997</v>
      </c>
      <c r="P489"/>
      <c r="Q489"/>
      <c r="R489"/>
    </row>
    <row r="490" spans="1:18" x14ac:dyDescent="0.25">
      <c r="A490" s="34" t="s">
        <v>126</v>
      </c>
      <c r="B490" s="10">
        <v>45872</v>
      </c>
      <c r="C490" t="s">
        <v>109</v>
      </c>
      <c r="D490" t="s">
        <v>102</v>
      </c>
      <c r="E490" t="s">
        <v>106</v>
      </c>
      <c r="F490">
        <v>159.69999999999999</v>
      </c>
      <c r="G490">
        <v>167.4</v>
      </c>
      <c r="H490">
        <v>112.8</v>
      </c>
      <c r="I490">
        <v>17.5</v>
      </c>
      <c r="J490">
        <v>-7</v>
      </c>
      <c r="K490">
        <v>81.8</v>
      </c>
      <c r="L490">
        <v>3.6</v>
      </c>
      <c r="M490">
        <v>85.3</v>
      </c>
      <c r="N490">
        <v>1.32</v>
      </c>
      <c r="O490">
        <v>43.6</v>
      </c>
      <c r="P490"/>
      <c r="Q490"/>
      <c r="R490"/>
    </row>
    <row r="491" spans="1:18" x14ac:dyDescent="0.25">
      <c r="A491" s="34" t="s">
        <v>126</v>
      </c>
      <c r="B491" s="10">
        <v>45872</v>
      </c>
      <c r="C491" t="s">
        <v>109</v>
      </c>
      <c r="D491" t="s">
        <v>102</v>
      </c>
      <c r="E491" t="s">
        <v>106</v>
      </c>
      <c r="F491">
        <v>165.2</v>
      </c>
      <c r="G491">
        <v>175</v>
      </c>
      <c r="H491">
        <v>114.8</v>
      </c>
      <c r="I491">
        <v>13.9</v>
      </c>
      <c r="J491">
        <v>-8.1999999999999993</v>
      </c>
      <c r="K491">
        <v>67.2</v>
      </c>
      <c r="L491">
        <v>-12.4</v>
      </c>
      <c r="M491">
        <v>86.9</v>
      </c>
      <c r="N491">
        <v>1.32</v>
      </c>
      <c r="O491">
        <v>39.1</v>
      </c>
      <c r="P491"/>
      <c r="Q491"/>
      <c r="R491"/>
    </row>
    <row r="492" spans="1:18" x14ac:dyDescent="0.25">
      <c r="A492" s="34" t="s">
        <v>126</v>
      </c>
      <c r="B492" s="10">
        <v>45872</v>
      </c>
      <c r="C492" t="s">
        <v>109</v>
      </c>
      <c r="D492" t="s">
        <v>102</v>
      </c>
      <c r="E492" t="s">
        <v>106</v>
      </c>
      <c r="F492">
        <v>148.80000000000001</v>
      </c>
      <c r="G492">
        <v>157.5</v>
      </c>
      <c r="H492">
        <v>107.8</v>
      </c>
      <c r="I492">
        <v>16.7</v>
      </c>
      <c r="J492">
        <v>-7</v>
      </c>
      <c r="K492">
        <v>69.2</v>
      </c>
      <c r="L492">
        <v>1.6</v>
      </c>
      <c r="M492">
        <v>85.6</v>
      </c>
      <c r="N492">
        <v>1.26</v>
      </c>
      <c r="O492">
        <v>40.700000000000003</v>
      </c>
      <c r="P492"/>
      <c r="Q492"/>
      <c r="R492"/>
    </row>
    <row r="493" spans="1:18" x14ac:dyDescent="0.25">
      <c r="A493" s="34" t="s">
        <v>126</v>
      </c>
      <c r="B493" s="10">
        <v>45872</v>
      </c>
      <c r="C493" t="s">
        <v>109</v>
      </c>
      <c r="D493" t="s">
        <v>102</v>
      </c>
      <c r="E493" t="s">
        <v>106</v>
      </c>
      <c r="F493">
        <v>153.19999999999999</v>
      </c>
      <c r="G493">
        <v>165.2</v>
      </c>
      <c r="H493">
        <v>114.6</v>
      </c>
      <c r="I493">
        <v>10.7</v>
      </c>
      <c r="J493">
        <v>-9.5</v>
      </c>
      <c r="K493">
        <v>51</v>
      </c>
      <c r="L493">
        <v>-10.1</v>
      </c>
      <c r="M493">
        <v>84.5</v>
      </c>
      <c r="N493">
        <v>1.36</v>
      </c>
      <c r="O493">
        <v>33.4</v>
      </c>
      <c r="P493"/>
      <c r="Q493"/>
      <c r="R493"/>
    </row>
    <row r="494" spans="1:18" x14ac:dyDescent="0.25">
      <c r="A494" s="34" t="s">
        <v>126</v>
      </c>
      <c r="B494" s="10">
        <v>45872</v>
      </c>
      <c r="C494" t="s">
        <v>109</v>
      </c>
      <c r="D494" t="s">
        <v>102</v>
      </c>
      <c r="E494" t="s">
        <v>106</v>
      </c>
      <c r="F494">
        <v>134.6</v>
      </c>
      <c r="G494">
        <v>148.80000000000001</v>
      </c>
      <c r="H494">
        <v>104.3</v>
      </c>
      <c r="I494">
        <v>10.3</v>
      </c>
      <c r="J494">
        <v>-14</v>
      </c>
      <c r="K494">
        <v>36.200000000000003</v>
      </c>
      <c r="L494">
        <v>-26</v>
      </c>
      <c r="M494">
        <v>82.9</v>
      </c>
      <c r="N494">
        <v>1.26</v>
      </c>
      <c r="O494">
        <v>28</v>
      </c>
      <c r="P494"/>
      <c r="Q494"/>
      <c r="R494"/>
    </row>
    <row r="495" spans="1:18" x14ac:dyDescent="0.25">
      <c r="A495" s="34" t="s">
        <v>126</v>
      </c>
      <c r="B495" s="10">
        <v>45872</v>
      </c>
      <c r="C495" t="s">
        <v>110</v>
      </c>
      <c r="D495" t="s">
        <v>102</v>
      </c>
      <c r="E495" t="s">
        <v>106</v>
      </c>
      <c r="F495">
        <v>131.30000000000001</v>
      </c>
      <c r="G495">
        <v>146.6</v>
      </c>
      <c r="H495">
        <v>110.6</v>
      </c>
      <c r="I495">
        <v>9.5</v>
      </c>
      <c r="J495">
        <v>-7.3</v>
      </c>
      <c r="K495">
        <v>39.200000000000003</v>
      </c>
      <c r="L495">
        <v>6</v>
      </c>
      <c r="M495">
        <v>88</v>
      </c>
      <c r="N495">
        <v>1.26</v>
      </c>
      <c r="O495">
        <v>28.5</v>
      </c>
      <c r="P495"/>
      <c r="Q495"/>
      <c r="R495"/>
    </row>
    <row r="496" spans="1:18" x14ac:dyDescent="0.25">
      <c r="A496" s="34" t="s">
        <v>126</v>
      </c>
      <c r="B496" s="10">
        <v>45872</v>
      </c>
      <c r="C496" t="s">
        <v>110</v>
      </c>
      <c r="D496" t="s">
        <v>102</v>
      </c>
      <c r="E496" t="s">
        <v>106</v>
      </c>
      <c r="F496">
        <v>132.4</v>
      </c>
      <c r="G496">
        <v>146.6</v>
      </c>
      <c r="H496">
        <v>102</v>
      </c>
      <c r="I496">
        <v>12.5</v>
      </c>
      <c r="J496">
        <v>-12.5</v>
      </c>
      <c r="K496">
        <v>41.6</v>
      </c>
      <c r="L496">
        <v>-15.3</v>
      </c>
      <c r="M496">
        <v>83.6</v>
      </c>
      <c r="N496">
        <v>1.22</v>
      </c>
      <c r="O496">
        <v>30.4</v>
      </c>
      <c r="P496"/>
      <c r="Q496"/>
      <c r="R496"/>
    </row>
    <row r="497" spans="1:18" x14ac:dyDescent="0.25">
      <c r="A497" s="34" t="s">
        <v>126</v>
      </c>
      <c r="B497" s="10">
        <v>45872</v>
      </c>
      <c r="C497" t="s">
        <v>112</v>
      </c>
      <c r="D497" t="s">
        <v>102</v>
      </c>
      <c r="E497" t="s">
        <v>113</v>
      </c>
      <c r="F497">
        <v>152.1</v>
      </c>
      <c r="G497">
        <v>172.9</v>
      </c>
      <c r="H497">
        <v>133.69999999999999</v>
      </c>
      <c r="I497">
        <v>1.1000000000000001</v>
      </c>
      <c r="J497">
        <v>-8.4</v>
      </c>
      <c r="K497">
        <v>17.2</v>
      </c>
      <c r="L497">
        <v>-1.6</v>
      </c>
      <c r="M497">
        <v>92.8</v>
      </c>
      <c r="N497">
        <v>1.44</v>
      </c>
      <c r="O497">
        <v>15</v>
      </c>
      <c r="P497"/>
      <c r="Q497"/>
      <c r="R497"/>
    </row>
    <row r="498" spans="1:18" x14ac:dyDescent="0.25">
      <c r="A498" s="34" t="s">
        <v>126</v>
      </c>
      <c r="B498" s="10">
        <v>45872</v>
      </c>
      <c r="C498" t="s">
        <v>112</v>
      </c>
      <c r="D498" t="s">
        <v>102</v>
      </c>
      <c r="E498" t="s">
        <v>113</v>
      </c>
      <c r="F498">
        <v>175</v>
      </c>
      <c r="G498">
        <v>176.1</v>
      </c>
      <c r="H498">
        <v>134.1</v>
      </c>
      <c r="I498">
        <v>2.9</v>
      </c>
      <c r="J498">
        <v>-16.5</v>
      </c>
      <c r="K498">
        <v>27.6</v>
      </c>
      <c r="L498">
        <v>-41.3</v>
      </c>
      <c r="M498">
        <v>91.8</v>
      </c>
      <c r="N498">
        <v>1.46</v>
      </c>
      <c r="O498">
        <v>20.8</v>
      </c>
      <c r="P498"/>
      <c r="Q498"/>
      <c r="R498"/>
    </row>
    <row r="499" spans="1:18" x14ac:dyDescent="0.25">
      <c r="A499" s="34" t="s">
        <v>126</v>
      </c>
      <c r="B499" s="10">
        <v>45872</v>
      </c>
      <c r="C499" t="s">
        <v>112</v>
      </c>
      <c r="D499" t="s">
        <v>102</v>
      </c>
      <c r="E499" t="s">
        <v>113</v>
      </c>
      <c r="F499">
        <v>182.7</v>
      </c>
      <c r="G499">
        <v>192.5</v>
      </c>
      <c r="H499">
        <v>131.9</v>
      </c>
      <c r="I499">
        <v>6.2</v>
      </c>
      <c r="J499">
        <v>-11.2</v>
      </c>
      <c r="K499">
        <v>43.9</v>
      </c>
      <c r="L499">
        <v>-20</v>
      </c>
      <c r="M499">
        <v>92.9</v>
      </c>
      <c r="N499">
        <v>1.42</v>
      </c>
      <c r="O499">
        <v>28.1</v>
      </c>
      <c r="P499"/>
      <c r="Q499"/>
      <c r="R499"/>
    </row>
    <row r="500" spans="1:18" x14ac:dyDescent="0.25">
      <c r="A500" s="34" t="s">
        <v>126</v>
      </c>
      <c r="B500" s="10">
        <v>45872</v>
      </c>
      <c r="C500" t="s">
        <v>112</v>
      </c>
      <c r="D500" t="s">
        <v>102</v>
      </c>
      <c r="E500" t="s">
        <v>113</v>
      </c>
      <c r="F500">
        <v>170.7</v>
      </c>
      <c r="G500">
        <v>176.1</v>
      </c>
      <c r="H500">
        <v>121</v>
      </c>
      <c r="I500">
        <v>9.6999999999999993</v>
      </c>
      <c r="J500">
        <v>-12.1</v>
      </c>
      <c r="K500">
        <v>51.8</v>
      </c>
      <c r="L500">
        <v>-36</v>
      </c>
      <c r="M500">
        <v>87.1</v>
      </c>
      <c r="N500">
        <v>1.39</v>
      </c>
      <c r="O500">
        <v>32.299999999999997</v>
      </c>
      <c r="P500"/>
      <c r="Q500"/>
      <c r="R500"/>
    </row>
    <row r="501" spans="1:18" x14ac:dyDescent="0.25">
      <c r="A501" s="34" t="s">
        <v>126</v>
      </c>
      <c r="B501" s="10">
        <v>45872</v>
      </c>
      <c r="C501" t="s">
        <v>112</v>
      </c>
      <c r="D501" t="s">
        <v>102</v>
      </c>
      <c r="E501" t="s">
        <v>113</v>
      </c>
      <c r="F501">
        <v>171.8</v>
      </c>
      <c r="G501">
        <v>187.1</v>
      </c>
      <c r="H501">
        <v>130.6</v>
      </c>
      <c r="I501">
        <v>2.2999999999999998</v>
      </c>
      <c r="J501">
        <v>-13</v>
      </c>
      <c r="K501">
        <v>21.3</v>
      </c>
      <c r="L501">
        <v>-29.7</v>
      </c>
      <c r="M501">
        <v>91.4</v>
      </c>
      <c r="N501">
        <v>1.43</v>
      </c>
      <c r="O501">
        <v>17.600000000000001</v>
      </c>
      <c r="P501"/>
      <c r="Q501"/>
      <c r="R501"/>
    </row>
    <row r="502" spans="1:18" x14ac:dyDescent="0.25">
      <c r="A502" s="34" t="s">
        <v>126</v>
      </c>
      <c r="B502" s="10">
        <v>45872</v>
      </c>
      <c r="C502" t="s">
        <v>112</v>
      </c>
      <c r="D502" t="s">
        <v>102</v>
      </c>
      <c r="E502" t="s">
        <v>113</v>
      </c>
      <c r="F502">
        <v>160.80000000000001</v>
      </c>
      <c r="G502">
        <v>172.9</v>
      </c>
      <c r="H502">
        <v>124.2</v>
      </c>
      <c r="I502">
        <v>7.3</v>
      </c>
      <c r="J502">
        <v>-12.4</v>
      </c>
      <c r="K502">
        <v>42.6</v>
      </c>
      <c r="L502">
        <v>-10.1</v>
      </c>
      <c r="M502">
        <v>88.7</v>
      </c>
      <c r="N502">
        <v>1.4</v>
      </c>
      <c r="O502">
        <v>28.4</v>
      </c>
      <c r="P502"/>
      <c r="Q502"/>
      <c r="R502"/>
    </row>
    <row r="503" spans="1:18" x14ac:dyDescent="0.25">
      <c r="A503" s="34" t="s">
        <v>126</v>
      </c>
      <c r="B503" s="10">
        <v>45872</v>
      </c>
      <c r="C503" t="s">
        <v>112</v>
      </c>
      <c r="D503" t="s">
        <v>102</v>
      </c>
      <c r="E503" t="s">
        <v>113</v>
      </c>
      <c r="F503">
        <v>176.1</v>
      </c>
      <c r="G503">
        <v>188.2</v>
      </c>
      <c r="H503">
        <v>128.6</v>
      </c>
      <c r="I503">
        <v>7</v>
      </c>
      <c r="J503">
        <v>-13.9</v>
      </c>
      <c r="K503">
        <v>46.5</v>
      </c>
      <c r="L503">
        <v>-25.2</v>
      </c>
      <c r="M503">
        <v>92.5</v>
      </c>
      <c r="N503">
        <v>1.39</v>
      </c>
      <c r="O503">
        <v>29.7</v>
      </c>
      <c r="P503"/>
      <c r="Q503"/>
      <c r="R503"/>
    </row>
    <row r="504" spans="1:18" x14ac:dyDescent="0.25">
      <c r="A504" s="34" t="s">
        <v>126</v>
      </c>
      <c r="B504" s="10">
        <v>45872</v>
      </c>
      <c r="C504" t="s">
        <v>114</v>
      </c>
      <c r="D504" t="s">
        <v>102</v>
      </c>
      <c r="E504" t="s">
        <v>115</v>
      </c>
      <c r="F504">
        <v>176.1</v>
      </c>
      <c r="G504">
        <v>195.8</v>
      </c>
      <c r="H504">
        <v>135.80000000000001</v>
      </c>
      <c r="I504">
        <v>4</v>
      </c>
      <c r="J504">
        <v>-13</v>
      </c>
      <c r="K504">
        <v>31.5</v>
      </c>
      <c r="L504">
        <v>-10.9</v>
      </c>
      <c r="M504">
        <v>94.4</v>
      </c>
      <c r="N504">
        <v>1.44</v>
      </c>
      <c r="O504">
        <v>21.7</v>
      </c>
      <c r="P504"/>
      <c r="Q504"/>
      <c r="R504"/>
    </row>
    <row r="505" spans="1:18" x14ac:dyDescent="0.25">
      <c r="A505" s="34" t="s">
        <v>126</v>
      </c>
      <c r="B505" s="10">
        <v>45872</v>
      </c>
      <c r="C505" t="s">
        <v>114</v>
      </c>
      <c r="D505" t="s">
        <v>102</v>
      </c>
      <c r="E505" t="s">
        <v>115</v>
      </c>
      <c r="F505">
        <v>164.1</v>
      </c>
      <c r="G505">
        <v>178.3</v>
      </c>
      <c r="H505">
        <v>137.30000000000001</v>
      </c>
      <c r="I505">
        <v>7.1</v>
      </c>
      <c r="J505">
        <v>-14.7</v>
      </c>
      <c r="K505">
        <v>52.9</v>
      </c>
      <c r="L505">
        <v>5.0999999999999996</v>
      </c>
      <c r="M505">
        <v>93.9</v>
      </c>
      <c r="N505">
        <v>1.46</v>
      </c>
      <c r="O505">
        <v>30.2</v>
      </c>
      <c r="P505"/>
      <c r="Q505"/>
      <c r="R505"/>
    </row>
    <row r="506" spans="1:18" x14ac:dyDescent="0.25">
      <c r="A506" s="34" t="s">
        <v>126</v>
      </c>
      <c r="B506" s="10">
        <v>45872</v>
      </c>
      <c r="C506" t="s">
        <v>114</v>
      </c>
      <c r="D506" t="s">
        <v>102</v>
      </c>
      <c r="E506" t="s">
        <v>115</v>
      </c>
      <c r="F506">
        <v>186</v>
      </c>
      <c r="G506">
        <v>195.8</v>
      </c>
      <c r="H506">
        <v>130.4</v>
      </c>
      <c r="I506">
        <v>11.2</v>
      </c>
      <c r="J506">
        <v>-5.5</v>
      </c>
      <c r="K506">
        <v>69.599999999999994</v>
      </c>
      <c r="L506">
        <v>15.6</v>
      </c>
      <c r="M506">
        <v>93.5</v>
      </c>
      <c r="N506">
        <v>1.39</v>
      </c>
      <c r="O506">
        <v>36.1</v>
      </c>
      <c r="P506"/>
      <c r="Q506"/>
      <c r="R506"/>
    </row>
    <row r="507" spans="1:18" x14ac:dyDescent="0.25">
      <c r="A507" s="34" t="s">
        <v>126</v>
      </c>
      <c r="B507" s="10">
        <v>45872</v>
      </c>
      <c r="C507" t="s">
        <v>114</v>
      </c>
      <c r="D507" t="s">
        <v>102</v>
      </c>
      <c r="E507" t="s">
        <v>115</v>
      </c>
      <c r="F507">
        <v>203.5</v>
      </c>
      <c r="G507">
        <v>212.2</v>
      </c>
      <c r="H507">
        <v>141.19999999999999</v>
      </c>
      <c r="I507">
        <v>8.4</v>
      </c>
      <c r="J507">
        <v>-12.3</v>
      </c>
      <c r="K507">
        <v>65.900000000000006</v>
      </c>
      <c r="L507">
        <v>-12.2</v>
      </c>
      <c r="M507">
        <v>97.5</v>
      </c>
      <c r="N507">
        <v>1.45</v>
      </c>
      <c r="O507">
        <v>34</v>
      </c>
      <c r="P507"/>
      <c r="Q507"/>
      <c r="R507"/>
    </row>
    <row r="508" spans="1:18" x14ac:dyDescent="0.25">
      <c r="A508" s="34" t="s">
        <v>126</v>
      </c>
      <c r="B508" s="10">
        <v>45872</v>
      </c>
      <c r="C508" t="s">
        <v>114</v>
      </c>
      <c r="D508" t="s">
        <v>102</v>
      </c>
      <c r="E508" t="s">
        <v>115</v>
      </c>
      <c r="F508">
        <v>199.1</v>
      </c>
      <c r="G508">
        <v>210</v>
      </c>
      <c r="H508">
        <v>137.19999999999999</v>
      </c>
      <c r="I508">
        <v>8.5</v>
      </c>
      <c r="J508">
        <v>-9.4</v>
      </c>
      <c r="K508">
        <v>61.2</v>
      </c>
      <c r="L508">
        <v>-7</v>
      </c>
      <c r="M508">
        <v>95.8</v>
      </c>
      <c r="N508">
        <v>1.43</v>
      </c>
      <c r="O508">
        <v>32.700000000000003</v>
      </c>
      <c r="P508"/>
      <c r="Q508"/>
      <c r="R508"/>
    </row>
    <row r="509" spans="1:18" x14ac:dyDescent="0.25">
      <c r="A509" s="34" t="s">
        <v>126</v>
      </c>
      <c r="B509" s="10">
        <v>45872</v>
      </c>
      <c r="C509" t="s">
        <v>114</v>
      </c>
      <c r="D509" t="s">
        <v>102</v>
      </c>
      <c r="E509" t="s">
        <v>115</v>
      </c>
      <c r="F509">
        <v>202.4</v>
      </c>
      <c r="G509">
        <v>218.8</v>
      </c>
      <c r="H509">
        <v>142.30000000000001</v>
      </c>
      <c r="I509">
        <v>5.7</v>
      </c>
      <c r="J509">
        <v>-15.3</v>
      </c>
      <c r="K509">
        <v>48.7</v>
      </c>
      <c r="L509">
        <v>-51.8</v>
      </c>
      <c r="M509">
        <v>97.4</v>
      </c>
      <c r="N509">
        <v>1.46</v>
      </c>
      <c r="O509">
        <v>28.3</v>
      </c>
      <c r="P509"/>
      <c r="Q509"/>
      <c r="R509"/>
    </row>
    <row r="510" spans="1:18" x14ac:dyDescent="0.25">
      <c r="A510" s="34" t="s">
        <v>126</v>
      </c>
      <c r="B510" s="10">
        <v>45872</v>
      </c>
      <c r="C510" t="s">
        <v>116</v>
      </c>
      <c r="D510" t="s">
        <v>102</v>
      </c>
      <c r="E510" t="s">
        <v>115</v>
      </c>
      <c r="F510">
        <v>209</v>
      </c>
      <c r="G510">
        <v>217.7</v>
      </c>
      <c r="H510">
        <v>143.30000000000001</v>
      </c>
      <c r="I510">
        <v>8.1999999999999993</v>
      </c>
      <c r="J510">
        <v>-11.7</v>
      </c>
      <c r="K510">
        <v>60.1</v>
      </c>
      <c r="L510">
        <v>-5.5</v>
      </c>
      <c r="M510">
        <v>102.5</v>
      </c>
      <c r="N510">
        <v>1.4</v>
      </c>
      <c r="O510">
        <v>30.7</v>
      </c>
      <c r="P510"/>
      <c r="Q510"/>
      <c r="R510"/>
    </row>
    <row r="511" spans="1:18" x14ac:dyDescent="0.25">
      <c r="A511" s="34" t="s">
        <v>126</v>
      </c>
      <c r="B511" s="10">
        <v>45872</v>
      </c>
      <c r="C511" t="s">
        <v>116</v>
      </c>
      <c r="D511" t="s">
        <v>102</v>
      </c>
      <c r="E511" t="s">
        <v>115</v>
      </c>
      <c r="F511">
        <v>211.1</v>
      </c>
      <c r="G511">
        <v>226.5</v>
      </c>
      <c r="H511">
        <v>141.1</v>
      </c>
      <c r="I511">
        <v>7.6</v>
      </c>
      <c r="J511">
        <v>-11.7</v>
      </c>
      <c r="K511">
        <v>53.6</v>
      </c>
      <c r="L511">
        <v>-30.6</v>
      </c>
      <c r="M511">
        <v>99.8</v>
      </c>
      <c r="N511">
        <v>1.41</v>
      </c>
      <c r="O511">
        <v>28.7</v>
      </c>
      <c r="P511"/>
      <c r="Q511"/>
      <c r="R511"/>
    </row>
    <row r="512" spans="1:18" x14ac:dyDescent="0.25">
      <c r="A512" s="34" t="s">
        <v>126</v>
      </c>
      <c r="B512" s="10">
        <v>45872</v>
      </c>
      <c r="C512" t="s">
        <v>116</v>
      </c>
      <c r="D512" t="s">
        <v>102</v>
      </c>
      <c r="E512" t="s">
        <v>115</v>
      </c>
      <c r="F512">
        <v>206.8</v>
      </c>
      <c r="G512">
        <v>219.9</v>
      </c>
      <c r="H512">
        <v>142.4</v>
      </c>
      <c r="I512">
        <v>7.4</v>
      </c>
      <c r="J512">
        <v>-11.9</v>
      </c>
      <c r="K512">
        <v>52.7</v>
      </c>
      <c r="L512">
        <v>-8.9</v>
      </c>
      <c r="M512">
        <v>99.8</v>
      </c>
      <c r="N512">
        <v>1.43</v>
      </c>
      <c r="O512">
        <v>28.1</v>
      </c>
      <c r="P512"/>
      <c r="Q512"/>
      <c r="R512"/>
    </row>
    <row r="513" spans="1:18" x14ac:dyDescent="0.25">
      <c r="A513" s="34" t="s">
        <v>126</v>
      </c>
      <c r="B513" s="10">
        <v>45872</v>
      </c>
      <c r="C513" t="s">
        <v>116</v>
      </c>
      <c r="D513" t="s">
        <v>102</v>
      </c>
      <c r="E513" t="s">
        <v>115</v>
      </c>
      <c r="F513">
        <v>215.5</v>
      </c>
      <c r="G513">
        <v>231.9</v>
      </c>
      <c r="H513">
        <v>143.19999999999999</v>
      </c>
      <c r="I513">
        <v>8.6</v>
      </c>
      <c r="J513">
        <v>-12.5</v>
      </c>
      <c r="K513">
        <v>62.1</v>
      </c>
      <c r="L513">
        <v>-21.7</v>
      </c>
      <c r="M513">
        <v>101.9</v>
      </c>
      <c r="N513">
        <v>1.41</v>
      </c>
      <c r="O513">
        <v>31.2</v>
      </c>
      <c r="P513"/>
      <c r="Q513"/>
      <c r="R513"/>
    </row>
    <row r="514" spans="1:18" x14ac:dyDescent="0.25">
      <c r="A514" s="34" t="s">
        <v>126</v>
      </c>
      <c r="B514" s="10">
        <v>45872</v>
      </c>
      <c r="C514" t="s">
        <v>116</v>
      </c>
      <c r="D514" t="s">
        <v>102</v>
      </c>
      <c r="E514" t="s">
        <v>115</v>
      </c>
      <c r="F514">
        <v>183.8</v>
      </c>
      <c r="G514">
        <v>205.7</v>
      </c>
      <c r="H514">
        <v>148.9</v>
      </c>
      <c r="I514">
        <v>1.5</v>
      </c>
      <c r="J514">
        <v>-18.3</v>
      </c>
      <c r="K514">
        <v>22.1</v>
      </c>
      <c r="L514">
        <v>-51.8</v>
      </c>
      <c r="M514">
        <v>102.5</v>
      </c>
      <c r="N514">
        <v>1.45</v>
      </c>
      <c r="O514">
        <v>15.8</v>
      </c>
      <c r="P514"/>
      <c r="Q514"/>
      <c r="R514"/>
    </row>
    <row r="515" spans="1:18" x14ac:dyDescent="0.25">
      <c r="A515" s="34" t="s">
        <v>126</v>
      </c>
      <c r="B515" s="10">
        <v>45872</v>
      </c>
      <c r="C515" t="s">
        <v>116</v>
      </c>
      <c r="D515" t="s">
        <v>102</v>
      </c>
      <c r="E515" t="s">
        <v>115</v>
      </c>
      <c r="F515">
        <v>221</v>
      </c>
      <c r="G515">
        <v>234.1</v>
      </c>
      <c r="H515">
        <v>147.4</v>
      </c>
      <c r="I515">
        <v>6.5</v>
      </c>
      <c r="J515">
        <v>-14.1</v>
      </c>
      <c r="K515">
        <v>51.9</v>
      </c>
      <c r="L515">
        <v>-28.8</v>
      </c>
      <c r="M515">
        <v>103.5</v>
      </c>
      <c r="N515">
        <v>1.42</v>
      </c>
      <c r="O515">
        <v>27.6</v>
      </c>
      <c r="P515"/>
      <c r="Q515"/>
      <c r="R515"/>
    </row>
    <row r="516" spans="1:18" x14ac:dyDescent="0.25">
      <c r="A516" s="34" t="s">
        <v>126</v>
      </c>
      <c r="B516" s="10">
        <v>45872</v>
      </c>
      <c r="C516" t="s">
        <v>116</v>
      </c>
      <c r="D516" t="s">
        <v>102</v>
      </c>
      <c r="E516" t="s">
        <v>115</v>
      </c>
      <c r="F516">
        <v>219.9</v>
      </c>
      <c r="G516">
        <v>233</v>
      </c>
      <c r="H516">
        <v>145.69999999999999</v>
      </c>
      <c r="I516">
        <v>8.6</v>
      </c>
      <c r="J516">
        <v>-13.6</v>
      </c>
      <c r="K516">
        <v>65.2</v>
      </c>
      <c r="L516">
        <v>-24.2</v>
      </c>
      <c r="M516">
        <v>103</v>
      </c>
      <c r="N516">
        <v>1.41</v>
      </c>
      <c r="O516">
        <v>31.9</v>
      </c>
      <c r="P516"/>
      <c r="Q516"/>
      <c r="R516"/>
    </row>
    <row r="517" spans="1:18" x14ac:dyDescent="0.25">
      <c r="A517" s="34" t="s">
        <v>126</v>
      </c>
      <c r="B517" s="10">
        <v>45872</v>
      </c>
      <c r="C517" t="s">
        <v>116</v>
      </c>
      <c r="D517" t="s">
        <v>102</v>
      </c>
      <c r="E517" t="s">
        <v>115</v>
      </c>
      <c r="F517">
        <v>217.7</v>
      </c>
      <c r="G517">
        <v>229.7</v>
      </c>
      <c r="H517">
        <v>143.9</v>
      </c>
      <c r="I517">
        <v>8</v>
      </c>
      <c r="J517">
        <v>-12</v>
      </c>
      <c r="K517">
        <v>57.7</v>
      </c>
      <c r="L517">
        <v>-18.100000000000001</v>
      </c>
      <c r="M517">
        <v>99.7</v>
      </c>
      <c r="N517">
        <v>1.44</v>
      </c>
      <c r="O517">
        <v>29.5</v>
      </c>
      <c r="P517"/>
      <c r="Q517"/>
      <c r="R517"/>
    </row>
    <row r="518" spans="1:18" x14ac:dyDescent="0.25">
      <c r="A518" s="34" t="s">
        <v>126</v>
      </c>
      <c r="B518" s="10">
        <v>45872</v>
      </c>
      <c r="C518" t="s">
        <v>116</v>
      </c>
      <c r="D518" t="s">
        <v>102</v>
      </c>
      <c r="E518" t="s">
        <v>115</v>
      </c>
      <c r="F518">
        <v>198</v>
      </c>
      <c r="G518">
        <v>212.2</v>
      </c>
      <c r="H518">
        <v>139.9</v>
      </c>
      <c r="I518">
        <v>7</v>
      </c>
      <c r="J518">
        <v>-11.8</v>
      </c>
      <c r="K518">
        <v>48.9</v>
      </c>
      <c r="L518">
        <v>-9.5</v>
      </c>
      <c r="M518">
        <v>99.2</v>
      </c>
      <c r="N518">
        <v>1.41</v>
      </c>
      <c r="O518">
        <v>27.2</v>
      </c>
      <c r="P518"/>
      <c r="Q518"/>
      <c r="R518"/>
    </row>
    <row r="519" spans="1:18" x14ac:dyDescent="0.25">
      <c r="A519" s="34" t="s">
        <v>126</v>
      </c>
      <c r="B519" s="10">
        <v>45872</v>
      </c>
      <c r="C519" t="s">
        <v>116</v>
      </c>
      <c r="D519" t="s">
        <v>102</v>
      </c>
      <c r="E519" t="s">
        <v>115</v>
      </c>
      <c r="F519">
        <v>212.2</v>
      </c>
      <c r="G519">
        <v>222.1</v>
      </c>
      <c r="H519">
        <v>142.80000000000001</v>
      </c>
      <c r="I519">
        <v>10</v>
      </c>
      <c r="J519">
        <v>-12.2</v>
      </c>
      <c r="K519">
        <v>71.2</v>
      </c>
      <c r="L519">
        <v>-7.4</v>
      </c>
      <c r="M519">
        <v>101.3</v>
      </c>
      <c r="N519">
        <v>1.41</v>
      </c>
      <c r="O519">
        <v>33.9</v>
      </c>
      <c r="P519"/>
      <c r="Q519"/>
      <c r="R519"/>
    </row>
    <row r="520" spans="1:18" x14ac:dyDescent="0.25">
      <c r="A520" s="34" t="s">
        <v>126</v>
      </c>
      <c r="B520" s="10">
        <v>45872</v>
      </c>
      <c r="C520" t="s">
        <v>116</v>
      </c>
      <c r="D520" t="s">
        <v>102</v>
      </c>
      <c r="E520" t="s">
        <v>115</v>
      </c>
      <c r="F520">
        <v>213.3</v>
      </c>
      <c r="G520">
        <v>224.3</v>
      </c>
      <c r="H520">
        <v>150.4</v>
      </c>
      <c r="I520">
        <v>7.4</v>
      </c>
      <c r="J520">
        <v>-14.7</v>
      </c>
      <c r="K520">
        <v>61.4</v>
      </c>
      <c r="L520">
        <v>-4.4000000000000004</v>
      </c>
      <c r="M520">
        <v>105.1</v>
      </c>
      <c r="N520">
        <v>1.43</v>
      </c>
      <c r="O520">
        <v>30.4</v>
      </c>
      <c r="P520"/>
      <c r="Q520"/>
      <c r="R520"/>
    </row>
    <row r="521" spans="1:18" x14ac:dyDescent="0.25">
      <c r="A521" s="34" t="s">
        <v>126</v>
      </c>
      <c r="B521" s="10">
        <v>45872</v>
      </c>
      <c r="C521" t="s">
        <v>116</v>
      </c>
      <c r="D521" t="s">
        <v>102</v>
      </c>
      <c r="E521" t="s">
        <v>115</v>
      </c>
      <c r="F521">
        <v>210</v>
      </c>
      <c r="G521">
        <v>224.3</v>
      </c>
      <c r="H521">
        <v>142.6</v>
      </c>
      <c r="I521">
        <v>10.199999999999999</v>
      </c>
      <c r="J521">
        <v>-10.5</v>
      </c>
      <c r="K521">
        <v>71.8</v>
      </c>
      <c r="L521">
        <v>-1.7</v>
      </c>
      <c r="M521">
        <v>101.8</v>
      </c>
      <c r="N521">
        <v>1.4</v>
      </c>
      <c r="O521">
        <v>34</v>
      </c>
      <c r="P521"/>
      <c r="Q521"/>
      <c r="R521"/>
    </row>
    <row r="522" spans="1:18" x14ac:dyDescent="0.25">
      <c r="A522" s="34" t="s">
        <v>126</v>
      </c>
      <c r="B522" s="10">
        <v>45872</v>
      </c>
      <c r="C522" t="s">
        <v>116</v>
      </c>
      <c r="D522" t="s">
        <v>102</v>
      </c>
      <c r="E522" t="s">
        <v>115</v>
      </c>
      <c r="F522">
        <v>221</v>
      </c>
      <c r="G522">
        <v>236.3</v>
      </c>
      <c r="H522">
        <v>144.5</v>
      </c>
      <c r="I522">
        <v>9.3000000000000007</v>
      </c>
      <c r="J522">
        <v>-13.7</v>
      </c>
      <c r="K522">
        <v>69.400000000000006</v>
      </c>
      <c r="L522">
        <v>-21.7</v>
      </c>
      <c r="M522">
        <v>102.9</v>
      </c>
      <c r="N522">
        <v>1.4</v>
      </c>
      <c r="O522">
        <v>33.4</v>
      </c>
      <c r="P522"/>
      <c r="Q522"/>
      <c r="R522"/>
    </row>
    <row r="523" spans="1:18" x14ac:dyDescent="0.25">
      <c r="A523" s="34" t="s">
        <v>126</v>
      </c>
      <c r="B523" s="10">
        <v>45872</v>
      </c>
      <c r="C523" t="s">
        <v>116</v>
      </c>
      <c r="D523" t="s">
        <v>102</v>
      </c>
      <c r="E523" t="s">
        <v>115</v>
      </c>
      <c r="F523">
        <v>217.7</v>
      </c>
      <c r="G523">
        <v>228.6</v>
      </c>
      <c r="H523">
        <v>146.19999999999999</v>
      </c>
      <c r="I523">
        <v>7.7</v>
      </c>
      <c r="J523">
        <v>-12.6</v>
      </c>
      <c r="K523">
        <v>58.2</v>
      </c>
      <c r="L523">
        <v>-16.5</v>
      </c>
      <c r="M523">
        <v>101.3</v>
      </c>
      <c r="N523">
        <v>1.44</v>
      </c>
      <c r="O523">
        <v>29.5</v>
      </c>
      <c r="P523"/>
      <c r="Q523"/>
      <c r="R523"/>
    </row>
    <row r="524" spans="1:18" x14ac:dyDescent="0.25">
      <c r="A524" s="34" t="s">
        <v>126</v>
      </c>
      <c r="B524" s="10">
        <v>45872</v>
      </c>
      <c r="C524" t="s">
        <v>116</v>
      </c>
      <c r="D524" t="s">
        <v>102</v>
      </c>
      <c r="E524" t="s">
        <v>115</v>
      </c>
      <c r="F524">
        <v>217.7</v>
      </c>
      <c r="G524">
        <v>228.6</v>
      </c>
      <c r="H524">
        <v>146.69999999999999</v>
      </c>
      <c r="I524">
        <v>8.6999999999999993</v>
      </c>
      <c r="J524">
        <v>-11.9</v>
      </c>
      <c r="K524">
        <v>66.2</v>
      </c>
      <c r="L524">
        <v>-12.8</v>
      </c>
      <c r="M524">
        <v>102.9</v>
      </c>
      <c r="N524">
        <v>1.43</v>
      </c>
      <c r="O524">
        <v>32</v>
      </c>
      <c r="P524"/>
      <c r="Q524"/>
      <c r="R524"/>
    </row>
    <row r="525" spans="1:18" x14ac:dyDescent="0.25">
      <c r="A525" s="34" t="s">
        <v>126</v>
      </c>
      <c r="B525" s="10">
        <v>45872</v>
      </c>
      <c r="C525" t="s">
        <v>116</v>
      </c>
      <c r="D525" t="s">
        <v>102</v>
      </c>
      <c r="E525" t="s">
        <v>115</v>
      </c>
      <c r="F525">
        <v>203.5</v>
      </c>
      <c r="G525">
        <v>211.1</v>
      </c>
      <c r="H525">
        <v>137</v>
      </c>
      <c r="I525">
        <v>13</v>
      </c>
      <c r="J525">
        <v>-8.3000000000000007</v>
      </c>
      <c r="K525">
        <v>85.1</v>
      </c>
      <c r="L525">
        <v>-3.6</v>
      </c>
      <c r="M525">
        <v>100.7</v>
      </c>
      <c r="N525">
        <v>1.36</v>
      </c>
      <c r="O525">
        <v>38.299999999999997</v>
      </c>
      <c r="P525"/>
      <c r="Q525"/>
      <c r="R525"/>
    </row>
    <row r="526" spans="1:18" x14ac:dyDescent="0.25">
      <c r="A526" s="34" t="s">
        <v>126</v>
      </c>
      <c r="B526" s="10">
        <v>45872</v>
      </c>
      <c r="C526" t="s">
        <v>116</v>
      </c>
      <c r="D526" t="s">
        <v>102</v>
      </c>
      <c r="E526" t="s">
        <v>115</v>
      </c>
      <c r="F526">
        <v>213.3</v>
      </c>
      <c r="G526">
        <v>226.5</v>
      </c>
      <c r="H526">
        <v>145.5</v>
      </c>
      <c r="I526">
        <v>5.6</v>
      </c>
      <c r="J526">
        <v>-15.6</v>
      </c>
      <c r="K526">
        <v>43.9</v>
      </c>
      <c r="L526">
        <v>-42.8</v>
      </c>
      <c r="M526">
        <v>100.7</v>
      </c>
      <c r="N526">
        <v>1.45</v>
      </c>
      <c r="O526">
        <v>24.9</v>
      </c>
      <c r="P526"/>
      <c r="Q526"/>
      <c r="R526"/>
    </row>
    <row r="527" spans="1:18" x14ac:dyDescent="0.25">
      <c r="A527" s="34" t="s">
        <v>126</v>
      </c>
      <c r="B527" s="10">
        <v>45872</v>
      </c>
      <c r="C527" t="s">
        <v>116</v>
      </c>
      <c r="D527" t="s">
        <v>102</v>
      </c>
      <c r="E527" t="s">
        <v>115</v>
      </c>
      <c r="F527">
        <v>214.4</v>
      </c>
      <c r="G527">
        <v>224.3</v>
      </c>
      <c r="H527">
        <v>144.5</v>
      </c>
      <c r="I527">
        <v>8.5</v>
      </c>
      <c r="J527">
        <v>-11.2</v>
      </c>
      <c r="K527">
        <v>62.3</v>
      </c>
      <c r="L527">
        <v>-5.4</v>
      </c>
      <c r="M527">
        <v>102.3</v>
      </c>
      <c r="N527">
        <v>1.41</v>
      </c>
      <c r="O527">
        <v>31.1</v>
      </c>
      <c r="P527"/>
      <c r="Q527"/>
      <c r="R527"/>
    </row>
    <row r="528" spans="1:18" x14ac:dyDescent="0.25">
      <c r="A528" s="34" t="s">
        <v>126</v>
      </c>
      <c r="B528" s="10">
        <v>45872</v>
      </c>
      <c r="C528" t="s">
        <v>116</v>
      </c>
      <c r="D528" t="s">
        <v>102</v>
      </c>
      <c r="E528" t="s">
        <v>115</v>
      </c>
      <c r="F528">
        <v>217.7</v>
      </c>
      <c r="G528">
        <v>225.4</v>
      </c>
      <c r="H528">
        <v>143.80000000000001</v>
      </c>
      <c r="I528">
        <v>13.4</v>
      </c>
      <c r="J528">
        <v>-7.3</v>
      </c>
      <c r="K528">
        <v>95.9</v>
      </c>
      <c r="L528">
        <v>18.2</v>
      </c>
      <c r="M528">
        <v>103.4</v>
      </c>
      <c r="N528">
        <v>1.39</v>
      </c>
      <c r="O528">
        <v>39.799999999999997</v>
      </c>
      <c r="P528"/>
      <c r="Q528"/>
      <c r="R528"/>
    </row>
    <row r="529" spans="1:18" x14ac:dyDescent="0.25">
      <c r="A529" s="34" t="s">
        <v>126</v>
      </c>
      <c r="B529" s="10">
        <v>45872</v>
      </c>
      <c r="C529" t="s">
        <v>116</v>
      </c>
      <c r="D529" t="s">
        <v>102</v>
      </c>
      <c r="E529" t="s">
        <v>115</v>
      </c>
      <c r="F529">
        <v>205.7</v>
      </c>
      <c r="G529">
        <v>215.5</v>
      </c>
      <c r="H529">
        <v>142.4</v>
      </c>
      <c r="I529">
        <v>9.6</v>
      </c>
      <c r="J529">
        <v>-9.5</v>
      </c>
      <c r="K529">
        <v>69</v>
      </c>
      <c r="L529">
        <v>9.1</v>
      </c>
      <c r="M529">
        <v>102.9</v>
      </c>
      <c r="N529">
        <v>1.38</v>
      </c>
      <c r="O529">
        <v>33.5</v>
      </c>
      <c r="P529"/>
      <c r="Q529"/>
      <c r="R529"/>
    </row>
    <row r="530" spans="1:18" x14ac:dyDescent="0.25">
      <c r="A530" s="34" t="s">
        <v>126</v>
      </c>
      <c r="B530" s="10">
        <v>45874</v>
      </c>
      <c r="C530" s="6" t="s">
        <v>97</v>
      </c>
      <c r="D530" s="6" t="s">
        <v>98</v>
      </c>
      <c r="E530" s="6" t="s">
        <v>99</v>
      </c>
      <c r="F530" s="6">
        <v>74.400000000000006</v>
      </c>
      <c r="G530" s="6">
        <v>78.8</v>
      </c>
      <c r="H530" s="6">
        <v>63.8</v>
      </c>
      <c r="I530" s="6">
        <v>39.200000000000003</v>
      </c>
      <c r="J530" s="6">
        <v>-14.1</v>
      </c>
      <c r="K530" s="6">
        <v>58.9</v>
      </c>
      <c r="L530" s="6">
        <v>-19.100000000000001</v>
      </c>
      <c r="M530" s="6">
        <v>77.3</v>
      </c>
      <c r="N530" s="6">
        <v>0.83</v>
      </c>
      <c r="O530" s="6">
        <v>51.2</v>
      </c>
    </row>
    <row r="531" spans="1:18" x14ac:dyDescent="0.25">
      <c r="A531" s="34" t="s">
        <v>126</v>
      </c>
      <c r="B531" s="10">
        <v>45874</v>
      </c>
      <c r="C531" s="6" t="s">
        <v>97</v>
      </c>
      <c r="D531" s="6" t="s">
        <v>98</v>
      </c>
      <c r="E531" s="6" t="s">
        <v>99</v>
      </c>
      <c r="F531" s="6">
        <v>98.5</v>
      </c>
      <c r="G531" s="6">
        <v>109.4</v>
      </c>
      <c r="H531" s="6">
        <v>81.599999999999994</v>
      </c>
      <c r="I531" s="6">
        <v>19.399999999999999</v>
      </c>
      <c r="J531" s="6">
        <v>-15.1</v>
      </c>
      <c r="K531" s="6">
        <v>40.799999999999997</v>
      </c>
      <c r="L531" s="6">
        <v>-23.6</v>
      </c>
      <c r="M531" s="6">
        <v>77.3</v>
      </c>
      <c r="N531" s="6">
        <v>1.06</v>
      </c>
      <c r="O531" s="6">
        <v>35.1</v>
      </c>
    </row>
    <row r="532" spans="1:18" x14ac:dyDescent="0.25">
      <c r="A532" s="34" t="s">
        <v>126</v>
      </c>
      <c r="B532" s="10">
        <v>45874</v>
      </c>
      <c r="C532" s="6" t="s">
        <v>97</v>
      </c>
      <c r="D532" s="6" t="s">
        <v>98</v>
      </c>
      <c r="E532" s="6" t="s">
        <v>99</v>
      </c>
      <c r="F532" s="6">
        <v>53.6</v>
      </c>
      <c r="G532" s="6">
        <v>55.8</v>
      </c>
      <c r="H532" s="6">
        <v>53.3</v>
      </c>
      <c r="I532" s="6">
        <v>42.2</v>
      </c>
      <c r="J532" s="6">
        <v>-17.5</v>
      </c>
      <c r="K532" s="6">
        <v>45.1</v>
      </c>
      <c r="L532" s="6">
        <v>-17.8</v>
      </c>
      <c r="M532" s="6">
        <v>61.7</v>
      </c>
      <c r="N532" s="6">
        <v>0.86</v>
      </c>
      <c r="O532" s="6">
        <v>50.8</v>
      </c>
    </row>
    <row r="533" spans="1:18" x14ac:dyDescent="0.25">
      <c r="A533" s="34" t="s">
        <v>126</v>
      </c>
      <c r="B533" s="10">
        <v>45874</v>
      </c>
      <c r="C533" s="6" t="s">
        <v>97</v>
      </c>
      <c r="D533" s="6" t="s">
        <v>98</v>
      </c>
      <c r="E533" s="6" t="s">
        <v>99</v>
      </c>
      <c r="F533" s="6">
        <v>40.5</v>
      </c>
      <c r="G533" s="6">
        <v>42.7</v>
      </c>
      <c r="H533" s="6">
        <v>47.9</v>
      </c>
      <c r="I533" s="6">
        <v>45.8</v>
      </c>
      <c r="J533" s="6">
        <v>-15</v>
      </c>
      <c r="K533" s="6">
        <v>40.4</v>
      </c>
      <c r="L533" s="6">
        <v>-12.1</v>
      </c>
      <c r="M533" s="6">
        <v>55.8</v>
      </c>
      <c r="N533" s="6">
        <v>0.86</v>
      </c>
      <c r="O533" s="6">
        <v>52.9</v>
      </c>
    </row>
    <row r="534" spans="1:18" x14ac:dyDescent="0.25">
      <c r="A534" s="34" t="s">
        <v>126</v>
      </c>
      <c r="B534" s="10">
        <v>45874</v>
      </c>
      <c r="C534" s="6" t="s">
        <v>97</v>
      </c>
      <c r="D534" s="6" t="s">
        <v>98</v>
      </c>
      <c r="E534" s="6" t="s">
        <v>99</v>
      </c>
      <c r="F534" s="6">
        <v>55.8</v>
      </c>
      <c r="G534" s="6">
        <v>60.2</v>
      </c>
      <c r="H534" s="6">
        <v>54.5</v>
      </c>
      <c r="I534" s="6">
        <v>37.700000000000003</v>
      </c>
      <c r="J534" s="6">
        <v>-14.1</v>
      </c>
      <c r="K534" s="6">
        <v>40.4</v>
      </c>
      <c r="L534" s="6">
        <v>-13.7</v>
      </c>
      <c r="M534" s="6">
        <v>61.3</v>
      </c>
      <c r="N534" s="6">
        <v>0.89</v>
      </c>
      <c r="O534" s="6">
        <v>46.4</v>
      </c>
    </row>
    <row r="535" spans="1:18" x14ac:dyDescent="0.25">
      <c r="A535" s="34" t="s">
        <v>126</v>
      </c>
      <c r="B535" s="10">
        <v>45874</v>
      </c>
      <c r="C535" s="6" t="s">
        <v>97</v>
      </c>
      <c r="D535" s="6" t="s">
        <v>98</v>
      </c>
      <c r="E535" s="6" t="s">
        <v>99</v>
      </c>
      <c r="F535" s="6">
        <v>39.4</v>
      </c>
      <c r="G535" s="6">
        <v>43.8</v>
      </c>
      <c r="H535" s="6">
        <v>45.6</v>
      </c>
      <c r="I535" s="6">
        <v>45.5</v>
      </c>
      <c r="J535" s="6">
        <v>-12.3</v>
      </c>
      <c r="K535" s="6">
        <v>36.4</v>
      </c>
      <c r="L535" s="6">
        <v>-10.199999999999999</v>
      </c>
      <c r="M535" s="6">
        <v>48.6</v>
      </c>
      <c r="N535" s="6">
        <v>0.94</v>
      </c>
      <c r="O535" s="6">
        <v>51.8</v>
      </c>
    </row>
    <row r="536" spans="1:18" x14ac:dyDescent="0.25">
      <c r="A536" s="34" t="s">
        <v>126</v>
      </c>
      <c r="B536" s="10">
        <v>45874</v>
      </c>
      <c r="C536" s="6" t="s">
        <v>101</v>
      </c>
      <c r="D536" s="6" t="s">
        <v>102</v>
      </c>
      <c r="E536" s="6" t="s">
        <v>103</v>
      </c>
      <c r="F536" s="6">
        <v>95.2</v>
      </c>
      <c r="G536" s="6">
        <v>99.6</v>
      </c>
      <c r="H536" s="6">
        <v>74.400000000000006</v>
      </c>
      <c r="I536" s="6">
        <v>35.299999999999997</v>
      </c>
      <c r="J536" s="6">
        <v>1.9</v>
      </c>
      <c r="K536" s="6">
        <v>71.2</v>
      </c>
      <c r="L536" s="6">
        <v>12.3</v>
      </c>
      <c r="M536" s="6">
        <v>81.099999999999994</v>
      </c>
      <c r="N536" s="6">
        <v>0.92</v>
      </c>
      <c r="O536" s="6">
        <v>50.9</v>
      </c>
    </row>
    <row r="537" spans="1:18" x14ac:dyDescent="0.25">
      <c r="A537" s="34" t="s">
        <v>126</v>
      </c>
      <c r="B537" s="10">
        <v>45874</v>
      </c>
      <c r="C537" s="6" t="s">
        <v>101</v>
      </c>
      <c r="D537" s="6" t="s">
        <v>102</v>
      </c>
      <c r="E537" s="6" t="s">
        <v>103</v>
      </c>
      <c r="F537" s="6">
        <v>119.2</v>
      </c>
      <c r="G537" s="6">
        <v>122.5</v>
      </c>
      <c r="H537" s="6">
        <v>90.4</v>
      </c>
      <c r="I537" s="6">
        <v>32.700000000000003</v>
      </c>
      <c r="J537" s="6">
        <v>-18.899999999999999</v>
      </c>
      <c r="K537" s="6">
        <v>98</v>
      </c>
      <c r="L537" s="6">
        <v>-45.7</v>
      </c>
      <c r="M537" s="6">
        <v>79.400000000000006</v>
      </c>
      <c r="N537" s="6">
        <v>1.1399999999999999</v>
      </c>
      <c r="O537" s="6">
        <v>53.9</v>
      </c>
    </row>
    <row r="538" spans="1:18" x14ac:dyDescent="0.25">
      <c r="A538" s="34" t="s">
        <v>126</v>
      </c>
      <c r="B538" s="10">
        <v>45874</v>
      </c>
      <c r="C538" s="6" t="s">
        <v>101</v>
      </c>
      <c r="D538" s="6" t="s">
        <v>102</v>
      </c>
      <c r="E538" s="6" t="s">
        <v>103</v>
      </c>
      <c r="F538" s="6">
        <v>105</v>
      </c>
      <c r="G538" s="6">
        <v>107.2</v>
      </c>
      <c r="H538" s="6">
        <v>82.9</v>
      </c>
      <c r="I538" s="6">
        <v>37</v>
      </c>
      <c r="J538" s="6">
        <v>-13.7</v>
      </c>
      <c r="K538" s="6">
        <v>93.9</v>
      </c>
      <c r="L538" s="6">
        <v>-28.1</v>
      </c>
      <c r="M538" s="6">
        <v>78.8</v>
      </c>
      <c r="N538" s="6">
        <v>1.05</v>
      </c>
      <c r="O538" s="6">
        <v>55.1</v>
      </c>
    </row>
    <row r="539" spans="1:18" x14ac:dyDescent="0.25">
      <c r="A539" s="34" t="s">
        <v>126</v>
      </c>
      <c r="B539" s="10">
        <v>45874</v>
      </c>
      <c r="C539" s="6" t="s">
        <v>101</v>
      </c>
      <c r="D539" s="6" t="s">
        <v>102</v>
      </c>
      <c r="E539" s="6" t="s">
        <v>103</v>
      </c>
      <c r="F539" s="6">
        <v>112.7</v>
      </c>
      <c r="G539" s="6">
        <v>122.5</v>
      </c>
      <c r="H539" s="6">
        <v>87.9</v>
      </c>
      <c r="I539" s="6">
        <v>21.6</v>
      </c>
      <c r="J539" s="6">
        <v>-14.9</v>
      </c>
      <c r="K539" s="6">
        <v>56.6</v>
      </c>
      <c r="L539" s="6">
        <v>-34.9</v>
      </c>
      <c r="M539" s="6">
        <v>79.3</v>
      </c>
      <c r="N539" s="6">
        <v>1.1100000000000001</v>
      </c>
      <c r="O539" s="6">
        <v>40.9</v>
      </c>
    </row>
    <row r="540" spans="1:18" x14ac:dyDescent="0.25">
      <c r="A540" s="34" t="s">
        <v>126</v>
      </c>
      <c r="B540" s="10">
        <v>45874</v>
      </c>
      <c r="C540" s="6" t="s">
        <v>101</v>
      </c>
      <c r="D540" s="6" t="s">
        <v>102</v>
      </c>
      <c r="E540" s="6" t="s">
        <v>103</v>
      </c>
      <c r="F540" s="6">
        <v>101.7</v>
      </c>
      <c r="G540" s="6">
        <v>105</v>
      </c>
      <c r="H540" s="6">
        <v>80.900000000000006</v>
      </c>
      <c r="I540" s="6">
        <v>30.4</v>
      </c>
      <c r="J540" s="6">
        <v>-17.399999999999999</v>
      </c>
      <c r="K540" s="6">
        <v>71</v>
      </c>
      <c r="L540" s="6">
        <v>-36.1</v>
      </c>
      <c r="M540" s="6">
        <v>78.2</v>
      </c>
      <c r="N540" s="6">
        <v>1.03</v>
      </c>
      <c r="O540" s="6">
        <v>48.3</v>
      </c>
    </row>
    <row r="541" spans="1:18" x14ac:dyDescent="0.25">
      <c r="A541" s="34" t="s">
        <v>126</v>
      </c>
      <c r="B541" s="10">
        <v>45874</v>
      </c>
      <c r="C541" s="6" t="s">
        <v>101</v>
      </c>
      <c r="D541" s="6" t="s">
        <v>102</v>
      </c>
      <c r="E541" s="6" t="s">
        <v>103</v>
      </c>
      <c r="F541" s="6">
        <v>106.1</v>
      </c>
      <c r="G541" s="6">
        <v>111.6</v>
      </c>
      <c r="H541" s="6">
        <v>82.3</v>
      </c>
      <c r="I541" s="6">
        <v>31.1</v>
      </c>
      <c r="J541" s="6">
        <v>-11</v>
      </c>
      <c r="K541" s="6">
        <v>75.7</v>
      </c>
      <c r="L541" s="6">
        <v>-22.8</v>
      </c>
      <c r="M541" s="6">
        <v>77.599999999999994</v>
      </c>
      <c r="N541" s="6">
        <v>1.06</v>
      </c>
      <c r="O541" s="6">
        <v>49.4</v>
      </c>
    </row>
    <row r="542" spans="1:18" x14ac:dyDescent="0.25">
      <c r="A542" s="34" t="s">
        <v>126</v>
      </c>
      <c r="B542" s="10">
        <v>45874</v>
      </c>
      <c r="C542" s="6" t="s">
        <v>101</v>
      </c>
      <c r="D542" s="6" t="s">
        <v>102</v>
      </c>
      <c r="E542" s="6" t="s">
        <v>103</v>
      </c>
      <c r="F542" s="6">
        <v>114.9</v>
      </c>
      <c r="G542" s="6">
        <v>121.4</v>
      </c>
      <c r="H542" s="6">
        <v>86.7</v>
      </c>
      <c r="I542" s="6">
        <v>24</v>
      </c>
      <c r="J542" s="6">
        <v>-13.3</v>
      </c>
      <c r="K542" s="6">
        <v>62.2</v>
      </c>
      <c r="L542" s="6">
        <v>-26.2</v>
      </c>
      <c r="M542" s="6">
        <v>80.400000000000006</v>
      </c>
      <c r="N542" s="6">
        <v>1.08</v>
      </c>
      <c r="O542" s="6">
        <v>43.5</v>
      </c>
    </row>
    <row r="543" spans="1:18" x14ac:dyDescent="0.25">
      <c r="A543" s="34" t="s">
        <v>126</v>
      </c>
      <c r="B543" s="10">
        <v>45874</v>
      </c>
      <c r="C543" s="6" t="s">
        <v>107</v>
      </c>
      <c r="D543" s="6" t="s">
        <v>102</v>
      </c>
      <c r="E543" s="6" t="s">
        <v>106</v>
      </c>
      <c r="F543" s="6">
        <v>155.30000000000001</v>
      </c>
      <c r="G543" s="6">
        <v>163</v>
      </c>
      <c r="H543" s="6">
        <v>107.8</v>
      </c>
      <c r="I543" s="6">
        <v>17</v>
      </c>
      <c r="J543" s="6">
        <v>-9.1</v>
      </c>
      <c r="K543" s="6">
        <v>71.5</v>
      </c>
      <c r="L543" s="6">
        <v>-16.100000000000001</v>
      </c>
      <c r="M543" s="6">
        <v>84.8</v>
      </c>
      <c r="N543" s="6">
        <v>1.27</v>
      </c>
      <c r="O543" s="6">
        <v>42</v>
      </c>
    </row>
    <row r="544" spans="1:18" x14ac:dyDescent="0.25">
      <c r="A544" s="34" t="s">
        <v>126</v>
      </c>
      <c r="B544" s="10">
        <v>45874</v>
      </c>
      <c r="C544" s="6" t="s">
        <v>107</v>
      </c>
      <c r="D544" s="6" t="s">
        <v>102</v>
      </c>
      <c r="E544" s="6" t="s">
        <v>106</v>
      </c>
      <c r="F544" s="6">
        <v>146.6</v>
      </c>
      <c r="G544" s="6">
        <v>154.30000000000001</v>
      </c>
      <c r="H544" s="6">
        <v>104.7</v>
      </c>
      <c r="I544" s="6">
        <v>16.7</v>
      </c>
      <c r="J544" s="6">
        <v>-8.1999999999999993</v>
      </c>
      <c r="K544" s="6">
        <v>65</v>
      </c>
      <c r="L544" s="6">
        <v>-9</v>
      </c>
      <c r="M544" s="6">
        <v>85.9</v>
      </c>
      <c r="N544" s="6">
        <v>1.22</v>
      </c>
      <c r="O544" s="6">
        <v>40.4</v>
      </c>
    </row>
    <row r="545" spans="1:15" x14ac:dyDescent="0.25">
      <c r="A545" s="34" t="s">
        <v>126</v>
      </c>
      <c r="B545" s="10">
        <v>45874</v>
      </c>
      <c r="C545" s="6" t="s">
        <v>107</v>
      </c>
      <c r="D545" s="6" t="s">
        <v>102</v>
      </c>
      <c r="E545" s="6" t="s">
        <v>106</v>
      </c>
      <c r="F545" s="6">
        <v>158.6</v>
      </c>
      <c r="G545" s="6">
        <v>161.9</v>
      </c>
      <c r="H545" s="6">
        <v>112.5</v>
      </c>
      <c r="I545" s="6">
        <v>18.399999999999999</v>
      </c>
      <c r="J545" s="6">
        <v>-13.7</v>
      </c>
      <c r="K545" s="6">
        <v>86.5</v>
      </c>
      <c r="L545" s="6">
        <v>-34.799999999999997</v>
      </c>
      <c r="M545" s="6">
        <v>87.6</v>
      </c>
      <c r="N545" s="6">
        <v>1.28</v>
      </c>
      <c r="O545" s="6">
        <v>45.9</v>
      </c>
    </row>
    <row r="546" spans="1:15" x14ac:dyDescent="0.25">
      <c r="A546" s="34" t="s">
        <v>126</v>
      </c>
      <c r="B546" s="10">
        <v>45874</v>
      </c>
      <c r="C546" s="6" t="s">
        <v>107</v>
      </c>
      <c r="D546" s="6" t="s">
        <v>102</v>
      </c>
      <c r="E546" s="6" t="s">
        <v>106</v>
      </c>
      <c r="F546" s="6">
        <v>152.1</v>
      </c>
      <c r="G546" s="6">
        <v>154.30000000000001</v>
      </c>
      <c r="H546" s="6">
        <v>105.6</v>
      </c>
      <c r="I546" s="6">
        <v>28.3</v>
      </c>
      <c r="J546" s="6">
        <v>-8.3000000000000007</v>
      </c>
      <c r="K546" s="6">
        <v>116.7</v>
      </c>
      <c r="L546" s="6">
        <v>-19.8</v>
      </c>
      <c r="M546" s="6">
        <v>85.4</v>
      </c>
      <c r="N546" s="6">
        <v>1.24</v>
      </c>
      <c r="O546" s="6">
        <v>54</v>
      </c>
    </row>
    <row r="547" spans="1:15" x14ac:dyDescent="0.25">
      <c r="A547" s="34" t="s">
        <v>126</v>
      </c>
      <c r="B547" s="10">
        <v>45874</v>
      </c>
      <c r="C547" s="6" t="s">
        <v>107</v>
      </c>
      <c r="D547" s="6" t="s">
        <v>102</v>
      </c>
      <c r="E547" s="6" t="s">
        <v>106</v>
      </c>
      <c r="F547" s="6">
        <v>152.1</v>
      </c>
      <c r="G547" s="6">
        <v>157.5</v>
      </c>
      <c r="H547" s="6">
        <v>105.3</v>
      </c>
      <c r="I547" s="6">
        <v>26.5</v>
      </c>
      <c r="J547" s="6">
        <v>-10.7</v>
      </c>
      <c r="K547" s="6">
        <v>108.3</v>
      </c>
      <c r="L547" s="6">
        <v>-11.2</v>
      </c>
      <c r="M547" s="6">
        <v>84.8</v>
      </c>
      <c r="N547" s="6">
        <v>1.24</v>
      </c>
      <c r="O547" s="6">
        <v>52.1</v>
      </c>
    </row>
    <row r="548" spans="1:15" x14ac:dyDescent="0.25">
      <c r="A548" s="34" t="s">
        <v>126</v>
      </c>
      <c r="B548" s="10">
        <v>45874</v>
      </c>
      <c r="C548" s="6" t="s">
        <v>108</v>
      </c>
      <c r="D548" s="6" t="s">
        <v>102</v>
      </c>
      <c r="E548" s="6" t="s">
        <v>106</v>
      </c>
      <c r="F548" s="6">
        <v>149.9</v>
      </c>
      <c r="G548" s="6">
        <v>158.6</v>
      </c>
      <c r="H548" s="6">
        <v>111</v>
      </c>
      <c r="I548" s="6">
        <v>13.5</v>
      </c>
      <c r="J548" s="6">
        <v>-10.3</v>
      </c>
      <c r="K548" s="6">
        <v>60.1</v>
      </c>
      <c r="L548" s="6">
        <v>-6.5</v>
      </c>
      <c r="M548" s="6">
        <v>86.4</v>
      </c>
      <c r="N548" s="6">
        <v>1.28</v>
      </c>
      <c r="O548" s="6">
        <v>37.6</v>
      </c>
    </row>
    <row r="549" spans="1:15" x14ac:dyDescent="0.25">
      <c r="A549" s="34" t="s">
        <v>126</v>
      </c>
      <c r="B549" s="10">
        <v>45874</v>
      </c>
      <c r="C549" s="6" t="s">
        <v>108</v>
      </c>
      <c r="D549" s="6" t="s">
        <v>102</v>
      </c>
      <c r="E549" s="6" t="s">
        <v>106</v>
      </c>
      <c r="F549" s="6">
        <v>170.7</v>
      </c>
      <c r="G549" s="6">
        <v>177.2</v>
      </c>
      <c r="H549" s="6">
        <v>117.8</v>
      </c>
      <c r="I549" s="6">
        <v>18.600000000000001</v>
      </c>
      <c r="J549" s="6">
        <v>-11.7</v>
      </c>
      <c r="K549" s="6">
        <v>97.6</v>
      </c>
      <c r="L549" s="6">
        <v>-17.8</v>
      </c>
      <c r="M549" s="6">
        <v>85.9</v>
      </c>
      <c r="N549" s="6">
        <v>1.37</v>
      </c>
      <c r="O549" s="6">
        <v>47.5</v>
      </c>
    </row>
    <row r="550" spans="1:15" x14ac:dyDescent="0.25">
      <c r="A550" s="34" t="s">
        <v>126</v>
      </c>
      <c r="B550" s="10">
        <v>45874</v>
      </c>
      <c r="C550" s="6" t="s">
        <v>108</v>
      </c>
      <c r="D550" s="6" t="s">
        <v>102</v>
      </c>
      <c r="E550" s="6" t="s">
        <v>106</v>
      </c>
      <c r="F550" s="6">
        <v>170.7</v>
      </c>
      <c r="G550" s="6">
        <v>171.8</v>
      </c>
      <c r="H550" s="6">
        <v>118.1</v>
      </c>
      <c r="I550" s="6">
        <v>14</v>
      </c>
      <c r="J550" s="6">
        <v>-15</v>
      </c>
      <c r="K550" s="6">
        <v>74.2</v>
      </c>
      <c r="L550" s="6">
        <v>-45.4</v>
      </c>
      <c r="M550" s="6">
        <v>87</v>
      </c>
      <c r="N550" s="6">
        <v>1.36</v>
      </c>
      <c r="O550" s="6">
        <v>41.3</v>
      </c>
    </row>
    <row r="551" spans="1:15" x14ac:dyDescent="0.25">
      <c r="A551" s="34" t="s">
        <v>126</v>
      </c>
      <c r="B551" s="10">
        <v>45874</v>
      </c>
      <c r="C551" s="6" t="s">
        <v>108</v>
      </c>
      <c r="D551" s="6" t="s">
        <v>102</v>
      </c>
      <c r="E551" s="6" t="s">
        <v>106</v>
      </c>
      <c r="F551" s="6">
        <v>156.4</v>
      </c>
      <c r="G551" s="6">
        <v>161.9</v>
      </c>
      <c r="H551" s="6">
        <v>113.2</v>
      </c>
      <c r="I551" s="6">
        <v>15.2</v>
      </c>
      <c r="J551" s="6">
        <v>-11.4</v>
      </c>
      <c r="K551" s="6">
        <v>71.8</v>
      </c>
      <c r="L551" s="6">
        <v>-17.100000000000001</v>
      </c>
      <c r="M551" s="6">
        <v>85.8</v>
      </c>
      <c r="N551" s="6">
        <v>1.32</v>
      </c>
      <c r="O551" s="6">
        <v>41.2</v>
      </c>
    </row>
    <row r="552" spans="1:15" x14ac:dyDescent="0.25">
      <c r="A552" s="34" t="s">
        <v>126</v>
      </c>
      <c r="B552" s="10">
        <v>45874</v>
      </c>
      <c r="C552" s="6" t="s">
        <v>108</v>
      </c>
      <c r="D552" s="6" t="s">
        <v>102</v>
      </c>
      <c r="E552" s="6" t="s">
        <v>106</v>
      </c>
      <c r="F552" s="6">
        <v>161.9</v>
      </c>
      <c r="G552" s="6">
        <v>163</v>
      </c>
      <c r="H552" s="6">
        <v>113.8</v>
      </c>
      <c r="I552" s="6">
        <v>18.100000000000001</v>
      </c>
      <c r="J552" s="6">
        <v>-12.8</v>
      </c>
      <c r="K552" s="6">
        <v>87.4</v>
      </c>
      <c r="L552" s="6">
        <v>-36</v>
      </c>
      <c r="M552" s="6">
        <v>87.5</v>
      </c>
      <c r="N552" s="6">
        <v>1.3</v>
      </c>
      <c r="O552" s="6">
        <v>45.7</v>
      </c>
    </row>
    <row r="553" spans="1:15" x14ac:dyDescent="0.25">
      <c r="A553" s="34" t="s">
        <v>126</v>
      </c>
      <c r="B553" s="10">
        <v>45874</v>
      </c>
      <c r="C553" s="6" t="s">
        <v>109</v>
      </c>
      <c r="D553" s="6" t="s">
        <v>102</v>
      </c>
      <c r="E553" s="6" t="s">
        <v>106</v>
      </c>
      <c r="F553" s="6">
        <v>176.1</v>
      </c>
      <c r="G553" s="6">
        <v>177.2</v>
      </c>
      <c r="H553" s="6">
        <v>123.1</v>
      </c>
      <c r="I553" s="6">
        <v>13.5</v>
      </c>
      <c r="J553" s="6">
        <v>-14.6</v>
      </c>
      <c r="K553" s="6">
        <v>79.5</v>
      </c>
      <c r="L553" s="6">
        <v>-52.6</v>
      </c>
      <c r="M553" s="6">
        <v>89.5</v>
      </c>
      <c r="N553" s="6">
        <v>1.38</v>
      </c>
      <c r="O553" s="6">
        <v>42</v>
      </c>
    </row>
    <row r="554" spans="1:15" x14ac:dyDescent="0.25">
      <c r="A554" s="34" t="s">
        <v>126</v>
      </c>
      <c r="B554" s="10">
        <v>45874</v>
      </c>
      <c r="C554" s="6" t="s">
        <v>109</v>
      </c>
      <c r="D554" s="6" t="s">
        <v>102</v>
      </c>
      <c r="E554" s="6" t="s">
        <v>106</v>
      </c>
      <c r="F554" s="6">
        <v>149.9</v>
      </c>
      <c r="G554" s="6">
        <v>159.69999999999999</v>
      </c>
      <c r="H554" s="6">
        <v>114.2</v>
      </c>
      <c r="I554" s="6">
        <v>13.2</v>
      </c>
      <c r="J554" s="6">
        <v>-6.7</v>
      </c>
      <c r="K554" s="6">
        <v>63.1</v>
      </c>
      <c r="L554" s="6">
        <v>15.1</v>
      </c>
      <c r="M554" s="6">
        <v>86.4</v>
      </c>
      <c r="N554" s="6">
        <v>1.32</v>
      </c>
      <c r="O554" s="6">
        <v>37.9</v>
      </c>
    </row>
    <row r="555" spans="1:15" x14ac:dyDescent="0.25">
      <c r="A555" s="34" t="s">
        <v>126</v>
      </c>
      <c r="B555" s="10">
        <v>45874</v>
      </c>
      <c r="C555" s="6" t="s">
        <v>109</v>
      </c>
      <c r="D555" s="6" t="s">
        <v>102</v>
      </c>
      <c r="E555" s="6" t="s">
        <v>106</v>
      </c>
      <c r="F555" s="6">
        <v>170.7</v>
      </c>
      <c r="G555" s="6">
        <v>179.4</v>
      </c>
      <c r="H555" s="6">
        <v>117.7</v>
      </c>
      <c r="I555" s="6">
        <v>13.7</v>
      </c>
      <c r="J555" s="6">
        <v>-14.2</v>
      </c>
      <c r="K555" s="6">
        <v>71</v>
      </c>
      <c r="L555" s="6">
        <v>-31.3</v>
      </c>
      <c r="M555" s="6">
        <v>85.3</v>
      </c>
      <c r="N555" s="6">
        <v>1.38</v>
      </c>
      <c r="O555" s="6">
        <v>40</v>
      </c>
    </row>
    <row r="556" spans="1:15" x14ac:dyDescent="0.25">
      <c r="A556" s="34" t="s">
        <v>126</v>
      </c>
      <c r="B556" s="10">
        <v>45874</v>
      </c>
      <c r="C556" s="6" t="s">
        <v>109</v>
      </c>
      <c r="D556" s="6" t="s">
        <v>102</v>
      </c>
      <c r="E556" s="6" t="s">
        <v>106</v>
      </c>
      <c r="F556" s="6">
        <v>176.1</v>
      </c>
      <c r="G556" s="6">
        <v>177.2</v>
      </c>
      <c r="H556" s="6">
        <v>122.4</v>
      </c>
      <c r="I556" s="6">
        <v>11.2</v>
      </c>
      <c r="J556" s="6">
        <v>-16.7</v>
      </c>
      <c r="K556" s="6">
        <v>65.5</v>
      </c>
      <c r="L556" s="6">
        <v>-47</v>
      </c>
      <c r="M556" s="6">
        <v>87.5</v>
      </c>
      <c r="N556" s="6">
        <v>1.4</v>
      </c>
      <c r="O556" s="6">
        <v>37.9</v>
      </c>
    </row>
    <row r="557" spans="1:15" x14ac:dyDescent="0.25">
      <c r="A557" s="34" t="s">
        <v>126</v>
      </c>
      <c r="B557" s="10">
        <v>45874</v>
      </c>
      <c r="C557" s="6" t="s">
        <v>109</v>
      </c>
      <c r="D557" s="6" t="s">
        <v>102</v>
      </c>
      <c r="E557" s="6" t="s">
        <v>106</v>
      </c>
      <c r="F557" s="6">
        <v>170.7</v>
      </c>
      <c r="G557" s="6">
        <v>177.2</v>
      </c>
      <c r="H557" s="6">
        <v>120.3</v>
      </c>
      <c r="I557" s="6">
        <v>14.6</v>
      </c>
      <c r="J557" s="6">
        <v>-12.5</v>
      </c>
      <c r="K557" s="6">
        <v>80.3</v>
      </c>
      <c r="L557" s="6">
        <v>-25.2</v>
      </c>
      <c r="M557" s="6">
        <v>88</v>
      </c>
      <c r="N557" s="6">
        <v>1.37</v>
      </c>
      <c r="O557" s="6">
        <v>42.4</v>
      </c>
    </row>
    <row r="558" spans="1:15" x14ac:dyDescent="0.25">
      <c r="A558" s="34" t="s">
        <v>126</v>
      </c>
      <c r="B558" s="10">
        <v>45874</v>
      </c>
      <c r="C558" s="6" t="s">
        <v>109</v>
      </c>
      <c r="D558" s="6" t="s">
        <v>102</v>
      </c>
      <c r="E558" s="6" t="s">
        <v>106</v>
      </c>
      <c r="F558" s="6">
        <v>177.2</v>
      </c>
      <c r="G558" s="6">
        <v>182.7</v>
      </c>
      <c r="H558" s="6">
        <v>123.4</v>
      </c>
      <c r="I558" s="6">
        <v>14</v>
      </c>
      <c r="J558" s="6">
        <v>-12.2</v>
      </c>
      <c r="K558" s="6">
        <v>82.6</v>
      </c>
      <c r="L558" s="6">
        <v>-33.700000000000003</v>
      </c>
      <c r="M558" s="6">
        <v>86.4</v>
      </c>
      <c r="N558" s="6">
        <v>1.43</v>
      </c>
      <c r="O558" s="6">
        <v>42.6</v>
      </c>
    </row>
    <row r="559" spans="1:15" x14ac:dyDescent="0.25">
      <c r="A559" s="34" t="s">
        <v>126</v>
      </c>
      <c r="B559" s="10">
        <v>45874</v>
      </c>
      <c r="C559" s="6" t="s">
        <v>109</v>
      </c>
      <c r="D559" s="6" t="s">
        <v>102</v>
      </c>
      <c r="E559" s="6" t="s">
        <v>106</v>
      </c>
      <c r="F559" s="6">
        <v>157.5</v>
      </c>
      <c r="G559" s="6">
        <v>170.7</v>
      </c>
      <c r="H559" s="6">
        <v>121.1</v>
      </c>
      <c r="I559" s="6">
        <v>7.3</v>
      </c>
      <c r="J559" s="6">
        <v>-10.1</v>
      </c>
      <c r="K559" s="6">
        <v>41.8</v>
      </c>
      <c r="L559" s="6">
        <v>-6.8</v>
      </c>
      <c r="M559" s="6">
        <v>89.1</v>
      </c>
      <c r="N559" s="6">
        <v>1.36</v>
      </c>
      <c r="O559" s="6">
        <v>29.2</v>
      </c>
    </row>
    <row r="560" spans="1:15" x14ac:dyDescent="0.25">
      <c r="A560" s="34" t="s">
        <v>126</v>
      </c>
      <c r="B560" s="10">
        <v>45874</v>
      </c>
      <c r="C560" s="6" t="s">
        <v>109</v>
      </c>
      <c r="D560" s="6" t="s">
        <v>102</v>
      </c>
      <c r="E560" s="6" t="s">
        <v>106</v>
      </c>
      <c r="F560" s="6">
        <v>175</v>
      </c>
      <c r="G560" s="6">
        <v>176.1</v>
      </c>
      <c r="H560" s="6">
        <v>122</v>
      </c>
      <c r="I560" s="6">
        <v>10.6</v>
      </c>
      <c r="J560" s="6">
        <v>-16.600000000000001</v>
      </c>
      <c r="K560" s="6">
        <v>61.8</v>
      </c>
      <c r="L560" s="6">
        <v>-50.9</v>
      </c>
      <c r="M560" s="6">
        <v>86.4</v>
      </c>
      <c r="N560" s="6">
        <v>1.41</v>
      </c>
      <c r="O560" s="6">
        <v>36.700000000000003</v>
      </c>
    </row>
    <row r="561" spans="1:15" x14ac:dyDescent="0.25">
      <c r="A561" s="34" t="s">
        <v>126</v>
      </c>
      <c r="B561" s="10">
        <v>45874</v>
      </c>
      <c r="C561" s="6" t="s">
        <v>109</v>
      </c>
      <c r="D561" s="6" t="s">
        <v>102</v>
      </c>
      <c r="E561" s="6" t="s">
        <v>106</v>
      </c>
      <c r="F561" s="6">
        <v>161.9</v>
      </c>
      <c r="G561" s="6">
        <v>164.1</v>
      </c>
      <c r="H561" s="6">
        <v>119.8</v>
      </c>
      <c r="I561" s="6">
        <v>6.7</v>
      </c>
      <c r="J561" s="6">
        <v>-18.899999999999999</v>
      </c>
      <c r="K561" s="6">
        <v>38.299999999999997</v>
      </c>
      <c r="L561" s="6">
        <v>-50.8</v>
      </c>
      <c r="M561" s="6">
        <v>86.4</v>
      </c>
      <c r="N561" s="6">
        <v>1.39</v>
      </c>
      <c r="O561" s="6">
        <v>27.9</v>
      </c>
    </row>
    <row r="562" spans="1:15" x14ac:dyDescent="0.25">
      <c r="A562" s="34" t="s">
        <v>126</v>
      </c>
      <c r="B562" s="10">
        <v>45874</v>
      </c>
      <c r="C562" s="6" t="s">
        <v>109</v>
      </c>
      <c r="D562" s="6" t="s">
        <v>102</v>
      </c>
      <c r="E562" s="6" t="s">
        <v>106</v>
      </c>
      <c r="F562" s="6">
        <v>159.69999999999999</v>
      </c>
      <c r="G562" s="6">
        <v>166.3</v>
      </c>
      <c r="H562" s="6">
        <v>114.4</v>
      </c>
      <c r="I562" s="6">
        <v>15.8</v>
      </c>
      <c r="J562" s="6">
        <v>-8.3000000000000007</v>
      </c>
      <c r="K562" s="6">
        <v>76.099999999999994</v>
      </c>
      <c r="L562" s="6">
        <v>-7</v>
      </c>
      <c r="M562" s="6">
        <v>85.8</v>
      </c>
      <c r="N562" s="6">
        <v>1.33</v>
      </c>
      <c r="O562" s="6">
        <v>41.8</v>
      </c>
    </row>
    <row r="563" spans="1:15" x14ac:dyDescent="0.25">
      <c r="A563" s="34" t="s">
        <v>126</v>
      </c>
      <c r="B563" s="10">
        <v>45874</v>
      </c>
      <c r="C563" s="6" t="s">
        <v>110</v>
      </c>
      <c r="D563" s="6" t="s">
        <v>102</v>
      </c>
      <c r="E563" s="6" t="s">
        <v>106</v>
      </c>
      <c r="F563" s="6">
        <v>161.9</v>
      </c>
      <c r="G563" s="6">
        <v>169.6</v>
      </c>
      <c r="H563" s="6">
        <v>117.4</v>
      </c>
      <c r="I563" s="6">
        <v>13.8</v>
      </c>
      <c r="J563" s="6">
        <v>-9.8000000000000007</v>
      </c>
      <c r="K563" s="6">
        <v>70.5</v>
      </c>
      <c r="L563" s="6">
        <v>-4.7</v>
      </c>
      <c r="M563" s="6">
        <v>86.8</v>
      </c>
      <c r="N563" s="6">
        <v>1.35</v>
      </c>
      <c r="O563" s="6">
        <v>39.700000000000003</v>
      </c>
    </row>
    <row r="564" spans="1:15" x14ac:dyDescent="0.25">
      <c r="A564" s="34" t="s">
        <v>126</v>
      </c>
      <c r="B564" s="10">
        <v>45874</v>
      </c>
      <c r="C564" s="6" t="s">
        <v>110</v>
      </c>
      <c r="D564" s="6" t="s">
        <v>102</v>
      </c>
      <c r="E564" s="6" t="s">
        <v>106</v>
      </c>
      <c r="F564" s="6">
        <v>153.19999999999999</v>
      </c>
      <c r="G564" s="6">
        <v>169.6</v>
      </c>
      <c r="H564" s="6">
        <v>123.8</v>
      </c>
      <c r="I564" s="6">
        <v>3.5</v>
      </c>
      <c r="J564" s="6">
        <v>-9.6999999999999993</v>
      </c>
      <c r="K564" s="6">
        <v>24.5</v>
      </c>
      <c r="L564" s="6">
        <v>-18.100000000000001</v>
      </c>
      <c r="M564" s="6">
        <v>89.1</v>
      </c>
      <c r="N564" s="6">
        <v>1.39</v>
      </c>
      <c r="O564" s="6">
        <v>20.3</v>
      </c>
    </row>
    <row r="565" spans="1:15" x14ac:dyDescent="0.25">
      <c r="A565" s="34" t="s">
        <v>126</v>
      </c>
      <c r="B565" s="10">
        <v>45874</v>
      </c>
      <c r="C565" s="6" t="s">
        <v>110</v>
      </c>
      <c r="D565" s="6" t="s">
        <v>102</v>
      </c>
      <c r="E565" s="6" t="s">
        <v>106</v>
      </c>
      <c r="F565" s="6">
        <v>171.8</v>
      </c>
      <c r="G565" s="6">
        <v>182.7</v>
      </c>
      <c r="H565" s="6">
        <v>121</v>
      </c>
      <c r="I565" s="6">
        <v>10.8</v>
      </c>
      <c r="J565" s="6">
        <v>-11.8</v>
      </c>
      <c r="K565" s="6">
        <v>60.3</v>
      </c>
      <c r="L565" s="6">
        <v>-16.899999999999999</v>
      </c>
      <c r="M565" s="6">
        <v>86.8</v>
      </c>
      <c r="N565" s="6">
        <v>1.39</v>
      </c>
      <c r="O565" s="6">
        <v>36.1</v>
      </c>
    </row>
    <row r="566" spans="1:15" x14ac:dyDescent="0.25">
      <c r="A566" s="34" t="s">
        <v>126</v>
      </c>
      <c r="B566" s="10">
        <v>45874</v>
      </c>
      <c r="C566" s="6" t="s">
        <v>110</v>
      </c>
      <c r="D566" s="6" t="s">
        <v>102</v>
      </c>
      <c r="E566" s="6" t="s">
        <v>106</v>
      </c>
      <c r="F566" s="6">
        <v>172.9</v>
      </c>
      <c r="G566" s="6">
        <v>181.6</v>
      </c>
      <c r="H566" s="6">
        <v>118.4</v>
      </c>
      <c r="I566" s="6">
        <v>14.6</v>
      </c>
      <c r="J566" s="6">
        <v>-12.6</v>
      </c>
      <c r="K566" s="6">
        <v>76.8</v>
      </c>
      <c r="L566" s="6">
        <v>-27.9</v>
      </c>
      <c r="M566" s="6">
        <v>86.2</v>
      </c>
      <c r="N566" s="6">
        <v>1.37</v>
      </c>
      <c r="O566" s="6">
        <v>41.4</v>
      </c>
    </row>
    <row r="567" spans="1:15" x14ac:dyDescent="0.25">
      <c r="A567" s="34" t="s">
        <v>126</v>
      </c>
      <c r="B567" s="10">
        <v>45874</v>
      </c>
      <c r="C567" s="6" t="s">
        <v>110</v>
      </c>
      <c r="D567" s="6" t="s">
        <v>102</v>
      </c>
      <c r="E567" s="6" t="s">
        <v>106</v>
      </c>
      <c r="F567" s="6">
        <v>169.6</v>
      </c>
      <c r="G567" s="6">
        <v>177.2</v>
      </c>
      <c r="H567" s="6">
        <v>118.7</v>
      </c>
      <c r="I567" s="6">
        <v>13.7</v>
      </c>
      <c r="J567" s="6">
        <v>-12</v>
      </c>
      <c r="K567" s="6">
        <v>72.400000000000006</v>
      </c>
      <c r="L567" s="6">
        <v>-27.5</v>
      </c>
      <c r="M567" s="6">
        <v>87.3</v>
      </c>
      <c r="N567" s="6">
        <v>1.36</v>
      </c>
      <c r="O567" s="6">
        <v>40.1</v>
      </c>
    </row>
    <row r="568" spans="1:15" x14ac:dyDescent="0.25">
      <c r="A568" s="34" t="s">
        <v>126</v>
      </c>
      <c r="B568" s="10">
        <v>45874</v>
      </c>
      <c r="C568" s="6" t="s">
        <v>110</v>
      </c>
      <c r="D568" s="6" t="s">
        <v>102</v>
      </c>
      <c r="E568" s="6" t="s">
        <v>106</v>
      </c>
      <c r="F568" s="6">
        <v>171.8</v>
      </c>
      <c r="G568" s="6">
        <v>181.6</v>
      </c>
      <c r="H568" s="6">
        <v>121.3</v>
      </c>
      <c r="I568" s="6">
        <v>11.6</v>
      </c>
      <c r="J568" s="6">
        <v>-10.199999999999999</v>
      </c>
      <c r="K568" s="6">
        <v>65</v>
      </c>
      <c r="L568" s="6">
        <v>-10.7</v>
      </c>
      <c r="M568" s="6">
        <v>87.9</v>
      </c>
      <c r="N568" s="6">
        <v>1.38</v>
      </c>
      <c r="O568" s="6">
        <v>37.700000000000003</v>
      </c>
    </row>
    <row r="569" spans="1:15" x14ac:dyDescent="0.25">
      <c r="A569" s="34" t="s">
        <v>126</v>
      </c>
      <c r="B569" s="10">
        <v>45874</v>
      </c>
      <c r="C569" s="6" t="s">
        <v>110</v>
      </c>
      <c r="D569" s="6" t="s">
        <v>102</v>
      </c>
      <c r="E569" s="6" t="s">
        <v>106</v>
      </c>
      <c r="F569" s="6">
        <v>146.6</v>
      </c>
      <c r="G569" s="6">
        <v>148.80000000000001</v>
      </c>
      <c r="H569" s="6">
        <v>111.6</v>
      </c>
      <c r="I569" s="6">
        <v>8.4</v>
      </c>
      <c r="J569" s="6">
        <v>-13.3</v>
      </c>
      <c r="K569" s="6">
        <v>35.6</v>
      </c>
      <c r="L569" s="6">
        <v>-33.6</v>
      </c>
      <c r="M569" s="6">
        <v>85.7</v>
      </c>
      <c r="N569" s="6">
        <v>1.3</v>
      </c>
      <c r="O569" s="6">
        <v>26.9</v>
      </c>
    </row>
    <row r="570" spans="1:15" x14ac:dyDescent="0.25">
      <c r="A570" s="34" t="s">
        <v>126</v>
      </c>
      <c r="B570" s="10">
        <v>45874</v>
      </c>
      <c r="C570" s="6" t="s">
        <v>110</v>
      </c>
      <c r="D570" s="6" t="s">
        <v>102</v>
      </c>
      <c r="E570" s="6" t="s">
        <v>106</v>
      </c>
      <c r="F570" s="6">
        <v>164.1</v>
      </c>
      <c r="G570" s="6">
        <v>170.7</v>
      </c>
      <c r="H570" s="6">
        <v>116.1</v>
      </c>
      <c r="I570" s="6">
        <v>14.2</v>
      </c>
      <c r="J570" s="6">
        <v>-10.1</v>
      </c>
      <c r="K570" s="6">
        <v>70.7</v>
      </c>
      <c r="L570" s="6">
        <v>-13.6</v>
      </c>
      <c r="M570" s="6">
        <v>88.6</v>
      </c>
      <c r="N570" s="6">
        <v>1.31</v>
      </c>
      <c r="O570" s="6">
        <v>39.9</v>
      </c>
    </row>
    <row r="571" spans="1:15" x14ac:dyDescent="0.25">
      <c r="A571" s="34" t="s">
        <v>126</v>
      </c>
      <c r="B571" s="10">
        <v>45874</v>
      </c>
      <c r="C571" s="6" t="s">
        <v>110</v>
      </c>
      <c r="D571" s="6" t="s">
        <v>102</v>
      </c>
      <c r="E571" s="6" t="s">
        <v>106</v>
      </c>
      <c r="F571" s="6">
        <v>168.5</v>
      </c>
      <c r="G571" s="6">
        <v>177.2</v>
      </c>
      <c r="H571" s="6">
        <v>119.3</v>
      </c>
      <c r="I571" s="6">
        <v>12.8</v>
      </c>
      <c r="J571" s="6">
        <v>-13.7</v>
      </c>
      <c r="K571" s="6">
        <v>68.5</v>
      </c>
      <c r="L571" s="6">
        <v>-23.5</v>
      </c>
      <c r="M571" s="6">
        <v>85.7</v>
      </c>
      <c r="N571" s="6">
        <v>1.39</v>
      </c>
      <c r="O571" s="6">
        <v>38.9</v>
      </c>
    </row>
    <row r="572" spans="1:15" x14ac:dyDescent="0.25">
      <c r="A572" s="34" t="s">
        <v>126</v>
      </c>
      <c r="B572" s="10">
        <v>45874</v>
      </c>
      <c r="C572" s="6" t="s">
        <v>110</v>
      </c>
      <c r="D572" s="6" t="s">
        <v>102</v>
      </c>
      <c r="E572" s="6" t="s">
        <v>106</v>
      </c>
      <c r="F572" s="6">
        <v>180.5</v>
      </c>
      <c r="G572" s="6">
        <v>178.3</v>
      </c>
      <c r="H572" s="6">
        <v>126.9</v>
      </c>
      <c r="I572" s="6">
        <v>9.9</v>
      </c>
      <c r="J572" s="6">
        <v>-15.5</v>
      </c>
      <c r="K572" s="6">
        <v>63</v>
      </c>
      <c r="L572" s="6">
        <v>-51.1</v>
      </c>
      <c r="M572" s="6">
        <v>87.2</v>
      </c>
      <c r="N572" s="6">
        <v>1.45</v>
      </c>
      <c r="O572" s="6">
        <v>36.200000000000003</v>
      </c>
    </row>
    <row r="573" spans="1:15" x14ac:dyDescent="0.25">
      <c r="A573" s="34" t="s">
        <v>126</v>
      </c>
      <c r="B573" s="10">
        <v>45874</v>
      </c>
      <c r="C573" s="6" t="s">
        <v>112</v>
      </c>
      <c r="D573" s="6" t="s">
        <v>102</v>
      </c>
      <c r="E573" s="6" t="s">
        <v>113</v>
      </c>
      <c r="F573" s="6">
        <v>175</v>
      </c>
      <c r="G573" s="6">
        <v>189.3</v>
      </c>
      <c r="H573" s="6">
        <v>135.69999999999999</v>
      </c>
      <c r="I573" s="6">
        <v>3.5</v>
      </c>
      <c r="J573" s="6">
        <v>-11.2</v>
      </c>
      <c r="K573" s="6">
        <v>31.1</v>
      </c>
      <c r="L573" s="6">
        <v>-10.4</v>
      </c>
      <c r="M573" s="6">
        <v>93.3</v>
      </c>
      <c r="N573" s="6">
        <v>1.45</v>
      </c>
      <c r="O573" s="6">
        <v>22.1</v>
      </c>
    </row>
    <row r="574" spans="1:15" x14ac:dyDescent="0.25">
      <c r="A574" s="34" t="s">
        <v>126</v>
      </c>
      <c r="B574" s="10">
        <v>45874</v>
      </c>
      <c r="C574" s="6" t="s">
        <v>112</v>
      </c>
      <c r="D574" s="6" t="s">
        <v>102</v>
      </c>
      <c r="E574" s="6" t="s">
        <v>113</v>
      </c>
      <c r="F574" s="6">
        <v>200.2</v>
      </c>
      <c r="G574" s="6">
        <v>210</v>
      </c>
      <c r="H574" s="6">
        <v>136.19999999999999</v>
      </c>
      <c r="I574" s="6">
        <v>11.3</v>
      </c>
      <c r="J574" s="6">
        <v>-10.9</v>
      </c>
      <c r="K574" s="6">
        <v>82.3</v>
      </c>
      <c r="L574" s="6">
        <v>-13.6</v>
      </c>
      <c r="M574" s="6">
        <v>92.7</v>
      </c>
      <c r="N574" s="6">
        <v>1.47</v>
      </c>
      <c r="O574" s="6">
        <v>39.700000000000003</v>
      </c>
    </row>
    <row r="575" spans="1:15" x14ac:dyDescent="0.25">
      <c r="A575" s="34" t="s">
        <v>126</v>
      </c>
      <c r="B575" s="10">
        <v>45874</v>
      </c>
      <c r="C575" s="6" t="s">
        <v>112</v>
      </c>
      <c r="D575" s="6" t="s">
        <v>102</v>
      </c>
      <c r="E575" s="6" t="s">
        <v>113</v>
      </c>
      <c r="F575" s="6">
        <v>167.4</v>
      </c>
      <c r="G575" s="6">
        <v>184.9</v>
      </c>
      <c r="H575" s="6">
        <v>135.30000000000001</v>
      </c>
      <c r="I575" s="6">
        <v>2</v>
      </c>
      <c r="J575" s="6">
        <v>-16.3</v>
      </c>
      <c r="K575" s="6">
        <v>23.9</v>
      </c>
      <c r="L575" s="6">
        <v>-31.2</v>
      </c>
      <c r="M575" s="6">
        <v>93.8</v>
      </c>
      <c r="N575" s="6">
        <v>1.44</v>
      </c>
      <c r="O575" s="6">
        <v>18.899999999999999</v>
      </c>
    </row>
    <row r="576" spans="1:15" x14ac:dyDescent="0.25">
      <c r="A576" s="34" t="s">
        <v>126</v>
      </c>
      <c r="B576" s="10">
        <v>45874</v>
      </c>
      <c r="C576" s="6" t="s">
        <v>112</v>
      </c>
      <c r="D576" s="6" t="s">
        <v>102</v>
      </c>
      <c r="E576" s="6" t="s">
        <v>113</v>
      </c>
      <c r="F576" s="6">
        <v>177.2</v>
      </c>
      <c r="G576" s="6">
        <v>188.2</v>
      </c>
      <c r="H576" s="6">
        <v>132.4</v>
      </c>
      <c r="I576" s="6">
        <v>4</v>
      </c>
      <c r="J576" s="6">
        <v>-10.7</v>
      </c>
      <c r="K576" s="6">
        <v>31.4</v>
      </c>
      <c r="L576" s="6">
        <v>-38.5</v>
      </c>
      <c r="M576" s="6">
        <v>91.6</v>
      </c>
      <c r="N576" s="6">
        <v>1.45</v>
      </c>
      <c r="O576" s="6">
        <v>22.5</v>
      </c>
    </row>
    <row r="577" spans="1:15" x14ac:dyDescent="0.25">
      <c r="A577" s="34" t="s">
        <v>126</v>
      </c>
      <c r="B577" s="10">
        <v>45874</v>
      </c>
      <c r="C577" s="6" t="s">
        <v>112</v>
      </c>
      <c r="D577" s="6" t="s">
        <v>102</v>
      </c>
      <c r="E577" s="6" t="s">
        <v>113</v>
      </c>
      <c r="F577" s="6">
        <v>166.3</v>
      </c>
      <c r="G577" s="6">
        <v>176.1</v>
      </c>
      <c r="H577" s="6">
        <v>113.5</v>
      </c>
      <c r="I577" s="6">
        <v>14.8</v>
      </c>
      <c r="J577" s="6">
        <v>-9</v>
      </c>
      <c r="K577" s="6">
        <v>67</v>
      </c>
      <c r="L577" s="6">
        <v>-24.3</v>
      </c>
      <c r="M577" s="6">
        <v>91.5</v>
      </c>
      <c r="N577" s="6">
        <v>1.24</v>
      </c>
      <c r="O577" s="6">
        <v>38.1</v>
      </c>
    </row>
    <row r="578" spans="1:15" x14ac:dyDescent="0.25">
      <c r="A578" s="34" t="s">
        <v>126</v>
      </c>
      <c r="B578" s="10">
        <v>45874</v>
      </c>
      <c r="C578" s="6" t="s">
        <v>112</v>
      </c>
      <c r="D578" s="6" t="s">
        <v>102</v>
      </c>
      <c r="E578" s="6" t="s">
        <v>113</v>
      </c>
      <c r="F578" s="6">
        <v>187.1</v>
      </c>
      <c r="G578" s="6">
        <v>202.4</v>
      </c>
      <c r="H578" s="6">
        <v>139.4</v>
      </c>
      <c r="I578" s="6">
        <v>2.9</v>
      </c>
      <c r="J578" s="6">
        <v>-15.2</v>
      </c>
      <c r="K578" s="6">
        <v>31.4</v>
      </c>
      <c r="L578" s="6">
        <v>-43.6</v>
      </c>
      <c r="M578" s="6">
        <v>94.9</v>
      </c>
      <c r="N578" s="6">
        <v>1.47</v>
      </c>
      <c r="O578" s="6">
        <v>22.3</v>
      </c>
    </row>
    <row r="579" spans="1:15" x14ac:dyDescent="0.25">
      <c r="A579" s="34" t="s">
        <v>126</v>
      </c>
      <c r="B579" s="10">
        <v>45874</v>
      </c>
      <c r="C579" s="6" t="s">
        <v>114</v>
      </c>
      <c r="D579" s="6" t="s">
        <v>102</v>
      </c>
      <c r="E579" s="6" t="s">
        <v>115</v>
      </c>
      <c r="F579" s="6">
        <v>214.4</v>
      </c>
      <c r="G579" s="6">
        <v>223.2</v>
      </c>
      <c r="H579" s="6">
        <v>147.4</v>
      </c>
      <c r="I579" s="6">
        <v>8.6</v>
      </c>
      <c r="J579" s="6">
        <v>-12.4</v>
      </c>
      <c r="K579" s="6">
        <v>74.7</v>
      </c>
      <c r="L579" s="6">
        <v>-46.3</v>
      </c>
      <c r="M579" s="6">
        <v>100</v>
      </c>
      <c r="N579" s="6">
        <v>1.47</v>
      </c>
      <c r="O579" s="6">
        <v>35.799999999999997</v>
      </c>
    </row>
    <row r="580" spans="1:15" x14ac:dyDescent="0.25">
      <c r="A580" s="34" t="s">
        <v>126</v>
      </c>
      <c r="B580" s="10">
        <v>45874</v>
      </c>
      <c r="C580" s="6" t="s">
        <v>114</v>
      </c>
      <c r="D580" s="6" t="s">
        <v>102</v>
      </c>
      <c r="E580" s="6" t="s">
        <v>115</v>
      </c>
      <c r="F580" s="6">
        <v>194.7</v>
      </c>
      <c r="G580" s="6">
        <v>203.5</v>
      </c>
      <c r="H580" s="6">
        <v>138.6</v>
      </c>
      <c r="I580" s="6">
        <v>7</v>
      </c>
      <c r="J580" s="6">
        <v>-13.5</v>
      </c>
      <c r="K580" s="6">
        <v>54.6</v>
      </c>
      <c r="L580" s="6">
        <v>-39.9</v>
      </c>
      <c r="M580" s="6">
        <v>98.1</v>
      </c>
      <c r="N580" s="6">
        <v>1.41</v>
      </c>
      <c r="O580" s="6">
        <v>30.9</v>
      </c>
    </row>
    <row r="581" spans="1:15" x14ac:dyDescent="0.25">
      <c r="A581" s="34" t="s">
        <v>126</v>
      </c>
      <c r="B581" s="10">
        <v>45874</v>
      </c>
      <c r="C581" s="6" t="s">
        <v>114</v>
      </c>
      <c r="D581" s="6" t="s">
        <v>102</v>
      </c>
      <c r="E581" s="6" t="s">
        <v>115</v>
      </c>
      <c r="F581" s="6">
        <v>191.5</v>
      </c>
      <c r="G581" s="6">
        <v>206.8</v>
      </c>
      <c r="H581" s="6">
        <v>138.69999999999999</v>
      </c>
      <c r="I581" s="6">
        <v>6.3</v>
      </c>
      <c r="J581" s="6">
        <v>-16</v>
      </c>
      <c r="K581" s="6">
        <v>49.6</v>
      </c>
      <c r="L581" s="6">
        <v>-56.4</v>
      </c>
      <c r="M581" s="6">
        <v>95.4</v>
      </c>
      <c r="N581" s="6">
        <v>1.46</v>
      </c>
      <c r="O581" s="6">
        <v>29</v>
      </c>
    </row>
    <row r="582" spans="1:15" x14ac:dyDescent="0.25">
      <c r="A582" s="34" t="s">
        <v>126</v>
      </c>
      <c r="B582" s="10">
        <v>45874</v>
      </c>
      <c r="C582" s="6" t="s">
        <v>114</v>
      </c>
      <c r="D582" s="6" t="s">
        <v>102</v>
      </c>
      <c r="E582" s="6" t="s">
        <v>115</v>
      </c>
      <c r="F582" s="6">
        <v>221</v>
      </c>
      <c r="G582" s="6">
        <v>229.7</v>
      </c>
      <c r="H582" s="6">
        <v>144.19999999999999</v>
      </c>
      <c r="I582" s="6">
        <v>11.5</v>
      </c>
      <c r="J582" s="6">
        <v>-13.1</v>
      </c>
      <c r="K582" s="6">
        <v>91.7</v>
      </c>
      <c r="L582" s="6">
        <v>-38.6</v>
      </c>
      <c r="M582" s="6">
        <v>97.6</v>
      </c>
      <c r="N582" s="6">
        <v>1.48</v>
      </c>
      <c r="O582" s="6">
        <v>40.6</v>
      </c>
    </row>
    <row r="583" spans="1:15" x14ac:dyDescent="0.25">
      <c r="A583" s="34" t="s">
        <v>126</v>
      </c>
      <c r="B583" s="10">
        <v>45874</v>
      </c>
      <c r="C583" s="6" t="s">
        <v>114</v>
      </c>
      <c r="D583" s="6" t="s">
        <v>102</v>
      </c>
      <c r="E583" s="6" t="s">
        <v>115</v>
      </c>
      <c r="F583" s="6">
        <v>218.8</v>
      </c>
      <c r="G583" s="6">
        <v>226.5</v>
      </c>
      <c r="H583" s="6">
        <v>144.9</v>
      </c>
      <c r="I583" s="6">
        <v>11</v>
      </c>
      <c r="J583" s="6">
        <v>-11.5</v>
      </c>
      <c r="K583" s="6">
        <v>88.7</v>
      </c>
      <c r="L583" s="6">
        <v>-14.1</v>
      </c>
      <c r="M583" s="6">
        <v>97.5</v>
      </c>
      <c r="N583" s="6">
        <v>1.49</v>
      </c>
      <c r="O583" s="6">
        <v>39.6</v>
      </c>
    </row>
    <row r="584" spans="1:15" x14ac:dyDescent="0.25">
      <c r="A584" s="34" t="s">
        <v>126</v>
      </c>
      <c r="B584" s="10">
        <v>45874</v>
      </c>
      <c r="C584" s="6" t="s">
        <v>116</v>
      </c>
      <c r="D584" s="6" t="s">
        <v>102</v>
      </c>
      <c r="E584" s="6" t="s">
        <v>115</v>
      </c>
      <c r="F584" s="6">
        <v>233</v>
      </c>
      <c r="G584" s="6">
        <v>240.7</v>
      </c>
      <c r="H584" s="6">
        <v>151.6</v>
      </c>
      <c r="I584" s="6">
        <v>9.1999999999999993</v>
      </c>
      <c r="J584" s="6">
        <v>-11.5</v>
      </c>
      <c r="K584" s="6">
        <v>74.599999999999994</v>
      </c>
      <c r="L584" s="6">
        <v>-21.9</v>
      </c>
      <c r="M584" s="6">
        <v>105.7</v>
      </c>
      <c r="N584" s="6">
        <v>1.43</v>
      </c>
      <c r="O584" s="6">
        <v>33.799999999999997</v>
      </c>
    </row>
    <row r="585" spans="1:15" x14ac:dyDescent="0.25">
      <c r="A585" s="34" t="s">
        <v>126</v>
      </c>
      <c r="B585" s="10">
        <v>45874</v>
      </c>
      <c r="C585" s="6" t="s">
        <v>116</v>
      </c>
      <c r="D585" s="6" t="s">
        <v>102</v>
      </c>
      <c r="E585" s="6" t="s">
        <v>115</v>
      </c>
      <c r="F585" s="6">
        <v>195.8</v>
      </c>
      <c r="G585" s="6">
        <v>204.6</v>
      </c>
      <c r="H585" s="6">
        <v>146.6</v>
      </c>
      <c r="I585" s="6">
        <v>7.2</v>
      </c>
      <c r="J585" s="6">
        <v>-15.9</v>
      </c>
      <c r="K585" s="6">
        <v>57.7</v>
      </c>
      <c r="L585" s="6">
        <v>-1.7</v>
      </c>
      <c r="M585" s="6">
        <v>103.6</v>
      </c>
      <c r="N585" s="6">
        <v>1.42</v>
      </c>
      <c r="O585" s="6">
        <v>29.8</v>
      </c>
    </row>
    <row r="586" spans="1:15" x14ac:dyDescent="0.25">
      <c r="A586" s="34" t="s">
        <v>126</v>
      </c>
      <c r="B586" s="10">
        <v>45874</v>
      </c>
      <c r="C586" s="6" t="s">
        <v>116</v>
      </c>
      <c r="D586" s="6" t="s">
        <v>102</v>
      </c>
      <c r="E586" s="6" t="s">
        <v>115</v>
      </c>
      <c r="F586" s="6">
        <v>200.2</v>
      </c>
      <c r="G586" s="6">
        <v>227.6</v>
      </c>
      <c r="H586" s="6">
        <v>149.30000000000001</v>
      </c>
      <c r="I586" s="6">
        <v>3.4</v>
      </c>
      <c r="J586" s="6">
        <v>-18</v>
      </c>
      <c r="K586" s="6">
        <v>35</v>
      </c>
      <c r="L586" s="6">
        <v>-44.1</v>
      </c>
      <c r="M586" s="6">
        <v>105.3</v>
      </c>
      <c r="N586" s="6">
        <v>1.42</v>
      </c>
      <c r="O586" s="6">
        <v>21.7</v>
      </c>
    </row>
    <row r="587" spans="1:15" x14ac:dyDescent="0.25">
      <c r="A587" s="34" t="s">
        <v>126</v>
      </c>
      <c r="B587" s="10">
        <v>45874</v>
      </c>
      <c r="C587" s="6" t="s">
        <v>116</v>
      </c>
      <c r="D587" s="6" t="s">
        <v>102</v>
      </c>
      <c r="E587" s="6" t="s">
        <v>115</v>
      </c>
      <c r="F587" s="6">
        <v>209</v>
      </c>
      <c r="G587" s="6">
        <v>218.8</v>
      </c>
      <c r="H587" s="6">
        <v>148.5</v>
      </c>
      <c r="I587" s="6">
        <v>8.1999999999999993</v>
      </c>
      <c r="J587" s="6">
        <v>-17.100000000000001</v>
      </c>
      <c r="K587" s="6">
        <v>67.8</v>
      </c>
      <c r="L587" s="6">
        <v>-16.899999999999999</v>
      </c>
      <c r="M587" s="6">
        <v>105.8</v>
      </c>
      <c r="N587" s="6">
        <v>1.4</v>
      </c>
      <c r="O587" s="6">
        <v>32.9</v>
      </c>
    </row>
    <row r="588" spans="1:15" x14ac:dyDescent="0.25">
      <c r="A588" s="34" t="s">
        <v>126</v>
      </c>
      <c r="B588" s="10">
        <v>45874</v>
      </c>
      <c r="C588" s="6" t="s">
        <v>116</v>
      </c>
      <c r="D588" s="6" t="s">
        <v>102</v>
      </c>
      <c r="E588" s="6" t="s">
        <v>115</v>
      </c>
      <c r="F588" s="6">
        <v>205.7</v>
      </c>
      <c r="G588" s="6">
        <v>217.7</v>
      </c>
      <c r="H588" s="6">
        <v>143.80000000000001</v>
      </c>
      <c r="I588" s="6">
        <v>9.5</v>
      </c>
      <c r="J588" s="6">
        <v>-12.9</v>
      </c>
      <c r="K588" s="6">
        <v>69.400000000000006</v>
      </c>
      <c r="L588" s="6">
        <v>3.7</v>
      </c>
      <c r="M588" s="6">
        <v>102</v>
      </c>
      <c r="N588" s="6">
        <v>1.41</v>
      </c>
      <c r="O588" s="6">
        <v>33.299999999999997</v>
      </c>
    </row>
    <row r="589" spans="1:15" x14ac:dyDescent="0.25">
      <c r="A589" s="34" t="s">
        <v>126</v>
      </c>
      <c r="B589" s="10">
        <v>45874</v>
      </c>
      <c r="C589" s="6" t="s">
        <v>116</v>
      </c>
      <c r="D589" s="6" t="s">
        <v>102</v>
      </c>
      <c r="E589" s="6" t="s">
        <v>115</v>
      </c>
      <c r="F589" s="6">
        <v>203.5</v>
      </c>
      <c r="G589" s="6">
        <v>215.5</v>
      </c>
      <c r="H589" s="6">
        <v>145.6</v>
      </c>
      <c r="I589" s="6">
        <v>5</v>
      </c>
      <c r="J589" s="6">
        <v>-14.3</v>
      </c>
      <c r="K589" s="6">
        <v>41.6</v>
      </c>
      <c r="L589" s="6">
        <v>-20.5</v>
      </c>
      <c r="M589" s="6">
        <v>103</v>
      </c>
      <c r="N589" s="6">
        <v>1.41</v>
      </c>
      <c r="O589" s="6">
        <v>24.3</v>
      </c>
    </row>
    <row r="590" spans="1:15" x14ac:dyDescent="0.25">
      <c r="A590" s="34" t="s">
        <v>126</v>
      </c>
      <c r="B590" s="10">
        <v>45874</v>
      </c>
      <c r="C590" s="6" t="s">
        <v>116</v>
      </c>
      <c r="D590" s="6" t="s">
        <v>102</v>
      </c>
      <c r="E590" s="6" t="s">
        <v>115</v>
      </c>
      <c r="F590" s="6">
        <v>219.9</v>
      </c>
      <c r="G590" s="6">
        <v>229.7</v>
      </c>
      <c r="H590" s="6">
        <v>145.80000000000001</v>
      </c>
      <c r="I590" s="6">
        <v>8.6999999999999993</v>
      </c>
      <c r="J590" s="6">
        <v>-15.1</v>
      </c>
      <c r="K590" s="6">
        <v>65.2</v>
      </c>
      <c r="L590" s="6">
        <v>-37.799999999999997</v>
      </c>
      <c r="M590" s="6">
        <v>99.7</v>
      </c>
      <c r="N590" s="6">
        <v>1.46</v>
      </c>
      <c r="O590" s="6">
        <v>31.8</v>
      </c>
    </row>
    <row r="591" spans="1:15" x14ac:dyDescent="0.25">
      <c r="A591" s="34" t="s">
        <v>126</v>
      </c>
      <c r="B591" s="10">
        <v>45874</v>
      </c>
      <c r="C591" s="6" t="s">
        <v>116</v>
      </c>
      <c r="D591" s="6" t="s">
        <v>102</v>
      </c>
      <c r="E591" s="6" t="s">
        <v>115</v>
      </c>
      <c r="F591" s="6">
        <v>199.1</v>
      </c>
      <c r="G591" s="6">
        <v>212.2</v>
      </c>
      <c r="H591" s="6">
        <v>138.80000000000001</v>
      </c>
      <c r="I591" s="6">
        <v>8.1</v>
      </c>
      <c r="J591" s="6">
        <v>-18.600000000000001</v>
      </c>
      <c r="K591" s="6">
        <v>56.2</v>
      </c>
      <c r="L591" s="6">
        <v>-29.1</v>
      </c>
      <c r="M591" s="6">
        <v>98.1</v>
      </c>
      <c r="N591" s="6">
        <v>1.41</v>
      </c>
      <c r="O591" s="6">
        <v>30.1</v>
      </c>
    </row>
    <row r="592" spans="1:15" x14ac:dyDescent="0.25">
      <c r="A592" s="34" t="s">
        <v>126</v>
      </c>
      <c r="B592" s="10">
        <v>45874</v>
      </c>
      <c r="C592" s="6" t="s">
        <v>116</v>
      </c>
      <c r="D592" s="6" t="s">
        <v>102</v>
      </c>
      <c r="E592" s="6" t="s">
        <v>115</v>
      </c>
      <c r="F592" s="6">
        <v>206.8</v>
      </c>
      <c r="G592" s="6">
        <v>214.4</v>
      </c>
      <c r="H592" s="6">
        <v>149.9</v>
      </c>
      <c r="I592" s="6">
        <v>9.1</v>
      </c>
      <c r="J592" s="6">
        <v>-15.4</v>
      </c>
      <c r="K592" s="6">
        <v>73.599999999999994</v>
      </c>
      <c r="L592" s="6">
        <v>-3.5</v>
      </c>
      <c r="M592" s="6">
        <v>104.1</v>
      </c>
      <c r="N592" s="6">
        <v>1.44</v>
      </c>
      <c r="O592" s="6">
        <v>34</v>
      </c>
    </row>
    <row r="593" spans="1:18" x14ac:dyDescent="0.25">
      <c r="A593" s="34" t="s">
        <v>126</v>
      </c>
      <c r="B593" s="10">
        <v>45874</v>
      </c>
      <c r="C593" s="6" t="s">
        <v>116</v>
      </c>
      <c r="D593" s="6" t="s">
        <v>102</v>
      </c>
      <c r="E593" s="6" t="s">
        <v>115</v>
      </c>
      <c r="F593" s="6">
        <v>203.5</v>
      </c>
      <c r="G593" s="6">
        <v>218.8</v>
      </c>
      <c r="H593" s="6">
        <v>143.9</v>
      </c>
      <c r="I593" s="6">
        <v>7.7</v>
      </c>
      <c r="J593" s="6">
        <v>-20.3</v>
      </c>
      <c r="K593" s="6">
        <v>60</v>
      </c>
      <c r="L593" s="6">
        <v>-33.1</v>
      </c>
      <c r="M593" s="6">
        <v>101.4</v>
      </c>
      <c r="N593" s="6">
        <v>1.42</v>
      </c>
      <c r="O593" s="6">
        <v>31.1</v>
      </c>
    </row>
    <row r="594" spans="1:18" x14ac:dyDescent="0.25">
      <c r="A594" s="34" t="s">
        <v>126</v>
      </c>
      <c r="B594" s="10">
        <v>45874</v>
      </c>
      <c r="C594" s="6" t="s">
        <v>116</v>
      </c>
      <c r="D594" s="6" t="s">
        <v>102</v>
      </c>
      <c r="E594" s="6" t="s">
        <v>115</v>
      </c>
      <c r="F594" s="6">
        <v>214.4</v>
      </c>
      <c r="G594" s="6">
        <v>226.5</v>
      </c>
      <c r="H594" s="6">
        <v>148.6</v>
      </c>
      <c r="I594" s="6">
        <v>6</v>
      </c>
      <c r="J594" s="6">
        <v>-15</v>
      </c>
      <c r="K594" s="6">
        <v>49.4</v>
      </c>
      <c r="L594" s="6">
        <v>-35.299999999999997</v>
      </c>
      <c r="M594" s="6">
        <v>103</v>
      </c>
      <c r="N594" s="6">
        <v>1.44</v>
      </c>
      <c r="O594" s="6">
        <v>26.6</v>
      </c>
    </row>
    <row r="595" spans="1:18" x14ac:dyDescent="0.25">
      <c r="A595" s="34" t="s">
        <v>126</v>
      </c>
      <c r="B595" s="10">
        <v>45874</v>
      </c>
      <c r="C595" s="6" t="s">
        <v>116</v>
      </c>
      <c r="D595" s="6" t="s">
        <v>102</v>
      </c>
      <c r="E595" s="6" t="s">
        <v>115</v>
      </c>
      <c r="F595" s="6">
        <v>196.9</v>
      </c>
      <c r="G595" s="6">
        <v>214.4</v>
      </c>
      <c r="H595" s="6">
        <v>144.1</v>
      </c>
      <c r="I595" s="6">
        <v>4</v>
      </c>
      <c r="J595" s="6">
        <v>-19.100000000000001</v>
      </c>
      <c r="K595" s="6">
        <v>35.799999999999997</v>
      </c>
      <c r="L595" s="6">
        <v>-44.8</v>
      </c>
      <c r="M595" s="6">
        <v>103</v>
      </c>
      <c r="N595" s="6">
        <v>1.4</v>
      </c>
      <c r="O595" s="6">
        <v>22.4</v>
      </c>
    </row>
    <row r="596" spans="1:18" x14ac:dyDescent="0.25">
      <c r="A596" s="34" t="s">
        <v>126</v>
      </c>
      <c r="B596" s="10">
        <v>45874</v>
      </c>
      <c r="C596" s="6" t="s">
        <v>116</v>
      </c>
      <c r="D596" s="6" t="s">
        <v>102</v>
      </c>
      <c r="E596" s="6" t="s">
        <v>115</v>
      </c>
      <c r="F596" s="6">
        <v>219.9</v>
      </c>
      <c r="G596" s="6">
        <v>235.2</v>
      </c>
      <c r="H596" s="6">
        <v>152.5</v>
      </c>
      <c r="I596" s="6">
        <v>5.5</v>
      </c>
      <c r="J596" s="6">
        <v>-14.9</v>
      </c>
      <c r="K596" s="6">
        <v>48.8</v>
      </c>
      <c r="L596" s="6">
        <v>-58.7</v>
      </c>
      <c r="M596" s="6">
        <v>104.1</v>
      </c>
      <c r="N596" s="6">
        <v>1.46</v>
      </c>
      <c r="O596" s="6">
        <v>26</v>
      </c>
    </row>
    <row r="597" spans="1:18" x14ac:dyDescent="0.25">
      <c r="A597" s="34" t="s">
        <v>126</v>
      </c>
      <c r="B597" s="10">
        <v>45874</v>
      </c>
      <c r="C597" s="6" t="s">
        <v>116</v>
      </c>
      <c r="D597" s="6" t="s">
        <v>102</v>
      </c>
      <c r="E597" s="6" t="s">
        <v>115</v>
      </c>
      <c r="F597" s="6">
        <v>202.4</v>
      </c>
      <c r="G597" s="6">
        <v>213.3</v>
      </c>
      <c r="H597" s="6">
        <v>146.69999999999999</v>
      </c>
      <c r="I597" s="6">
        <v>6.6</v>
      </c>
      <c r="J597" s="6">
        <v>-16.5</v>
      </c>
      <c r="K597" s="6">
        <v>54</v>
      </c>
      <c r="L597" s="6">
        <v>-12.9</v>
      </c>
      <c r="M597" s="6">
        <v>105.2</v>
      </c>
      <c r="N597" s="6">
        <v>1.39</v>
      </c>
      <c r="O597" s="6">
        <v>28.8</v>
      </c>
    </row>
    <row r="598" spans="1:18" x14ac:dyDescent="0.25">
      <c r="A598" s="34" t="s">
        <v>126</v>
      </c>
      <c r="B598" s="10">
        <v>45874</v>
      </c>
      <c r="C598" s="6" t="s">
        <v>116</v>
      </c>
      <c r="D598" s="6" t="s">
        <v>102</v>
      </c>
      <c r="E598" s="6" t="s">
        <v>115</v>
      </c>
      <c r="F598" s="6">
        <v>196.9</v>
      </c>
      <c r="G598" s="6">
        <v>203.5</v>
      </c>
      <c r="H598" s="6">
        <v>143.1</v>
      </c>
      <c r="I598" s="6">
        <v>11.6</v>
      </c>
      <c r="J598" s="6">
        <v>-11.7</v>
      </c>
      <c r="K598" s="6">
        <v>82.5</v>
      </c>
      <c r="L598" s="6">
        <v>14.8</v>
      </c>
      <c r="M598" s="6">
        <v>101.3</v>
      </c>
      <c r="N598" s="6">
        <v>1.41</v>
      </c>
      <c r="O598" s="6">
        <v>36.799999999999997</v>
      </c>
    </row>
    <row r="599" spans="1:18" x14ac:dyDescent="0.25">
      <c r="A599" s="34" t="s">
        <v>126</v>
      </c>
      <c r="B599" s="10">
        <v>45874</v>
      </c>
      <c r="C599" s="6" t="s">
        <v>116</v>
      </c>
      <c r="D599" s="6" t="s">
        <v>102</v>
      </c>
      <c r="E599" s="6" t="s">
        <v>115</v>
      </c>
      <c r="F599" s="6">
        <v>207.9</v>
      </c>
      <c r="G599" s="6">
        <v>216.6</v>
      </c>
      <c r="H599" s="6">
        <v>140.69999999999999</v>
      </c>
      <c r="I599" s="6">
        <v>11.1</v>
      </c>
      <c r="J599" s="6">
        <v>-14.7</v>
      </c>
      <c r="K599" s="6">
        <v>77.900000000000006</v>
      </c>
      <c r="L599" s="6">
        <v>-14.2</v>
      </c>
      <c r="M599" s="6">
        <v>101.3</v>
      </c>
      <c r="N599" s="6">
        <v>1.39</v>
      </c>
      <c r="O599" s="6">
        <v>36.299999999999997</v>
      </c>
    </row>
    <row r="600" spans="1:18" x14ac:dyDescent="0.25">
      <c r="A600" s="34" t="s">
        <v>126</v>
      </c>
      <c r="B600" s="10">
        <v>45874</v>
      </c>
      <c r="C600" s="6" t="s">
        <v>116</v>
      </c>
      <c r="D600" s="6" t="s">
        <v>102</v>
      </c>
      <c r="E600" s="6" t="s">
        <v>115</v>
      </c>
      <c r="F600" s="6">
        <v>206.8</v>
      </c>
      <c r="G600" s="6">
        <v>218.8</v>
      </c>
      <c r="H600" s="6">
        <v>148.6</v>
      </c>
      <c r="I600" s="6">
        <v>5.6</v>
      </c>
      <c r="J600" s="6">
        <v>-13.8</v>
      </c>
      <c r="K600" s="6">
        <v>44.9</v>
      </c>
      <c r="L600" s="6">
        <v>-10.4</v>
      </c>
      <c r="M600" s="6">
        <v>100.8</v>
      </c>
      <c r="N600" s="6">
        <v>1.47</v>
      </c>
      <c r="O600" s="6">
        <v>24.8</v>
      </c>
    </row>
    <row r="601" spans="1:18" x14ac:dyDescent="0.25">
      <c r="A601" s="34" t="s">
        <v>126</v>
      </c>
      <c r="B601" s="10">
        <v>45895</v>
      </c>
      <c r="C601" t="s">
        <v>100</v>
      </c>
      <c r="D601" t="s">
        <v>98</v>
      </c>
      <c r="E601" t="s">
        <v>99</v>
      </c>
      <c r="F601">
        <v>62.4</v>
      </c>
      <c r="G601">
        <v>67.8</v>
      </c>
      <c r="H601">
        <v>61.2</v>
      </c>
      <c r="I601">
        <v>42.7</v>
      </c>
      <c r="J601">
        <v>12.8</v>
      </c>
      <c r="K601">
        <v>60.2</v>
      </c>
      <c r="L601">
        <v>20.8</v>
      </c>
      <c r="M601">
        <v>71.2</v>
      </c>
      <c r="N601">
        <v>0.86</v>
      </c>
      <c r="O601">
        <v>53.5</v>
      </c>
      <c r="P601"/>
      <c r="Q601"/>
      <c r="R601"/>
    </row>
    <row r="602" spans="1:18" x14ac:dyDescent="0.25">
      <c r="A602" s="34" t="s">
        <v>126</v>
      </c>
      <c r="B602" s="10">
        <v>45895</v>
      </c>
      <c r="C602" t="s">
        <v>100</v>
      </c>
      <c r="D602" t="s">
        <v>98</v>
      </c>
      <c r="E602" t="s">
        <v>99</v>
      </c>
      <c r="F602">
        <v>96.3</v>
      </c>
      <c r="G602">
        <v>100.6</v>
      </c>
      <c r="H602">
        <v>75.3</v>
      </c>
      <c r="I602">
        <v>40.700000000000003</v>
      </c>
      <c r="J602">
        <v>-14.7</v>
      </c>
      <c r="K602">
        <v>86.3</v>
      </c>
      <c r="L602">
        <v>-28.7</v>
      </c>
      <c r="M602">
        <v>77.400000000000006</v>
      </c>
      <c r="N602">
        <v>0.97</v>
      </c>
      <c r="O602">
        <v>56.4</v>
      </c>
      <c r="P602"/>
      <c r="Q602"/>
      <c r="R602"/>
    </row>
    <row r="603" spans="1:18" x14ac:dyDescent="0.25">
      <c r="A603" s="34" t="s">
        <v>126</v>
      </c>
      <c r="B603" s="10">
        <v>45895</v>
      </c>
      <c r="C603" t="s">
        <v>100</v>
      </c>
      <c r="D603" t="s">
        <v>98</v>
      </c>
      <c r="E603" t="s">
        <v>99</v>
      </c>
      <c r="F603">
        <v>75.5</v>
      </c>
      <c r="G603">
        <v>77.7</v>
      </c>
      <c r="H603">
        <v>67.2</v>
      </c>
      <c r="I603">
        <v>45.3</v>
      </c>
      <c r="J603">
        <v>-9.3000000000000007</v>
      </c>
      <c r="K603">
        <v>77.8</v>
      </c>
      <c r="L603">
        <v>-13.4</v>
      </c>
      <c r="M603">
        <v>74.599999999999994</v>
      </c>
      <c r="N603">
        <v>0.9</v>
      </c>
      <c r="O603">
        <v>58.1</v>
      </c>
      <c r="P603"/>
      <c r="Q603"/>
      <c r="R603"/>
    </row>
    <row r="604" spans="1:18" x14ac:dyDescent="0.25">
      <c r="A604" s="34" t="s">
        <v>126</v>
      </c>
      <c r="B604" s="10">
        <v>45895</v>
      </c>
      <c r="C604" t="s">
        <v>100</v>
      </c>
      <c r="D604" t="s">
        <v>98</v>
      </c>
      <c r="E604" t="s">
        <v>99</v>
      </c>
      <c r="F604">
        <v>81</v>
      </c>
      <c r="G604">
        <v>87.5</v>
      </c>
      <c r="H604">
        <v>67.400000000000006</v>
      </c>
      <c r="I604">
        <v>33.700000000000003</v>
      </c>
      <c r="J604">
        <v>-3.2</v>
      </c>
      <c r="K604">
        <v>54.2</v>
      </c>
      <c r="L604">
        <v>-4.7</v>
      </c>
      <c r="M604">
        <v>74.599999999999994</v>
      </c>
      <c r="N604">
        <v>0.9</v>
      </c>
      <c r="O604">
        <v>46.7</v>
      </c>
      <c r="P604"/>
      <c r="Q604"/>
      <c r="R604"/>
    </row>
    <row r="605" spans="1:18" x14ac:dyDescent="0.25">
      <c r="A605" s="34" t="s">
        <v>126</v>
      </c>
      <c r="B605" s="10">
        <v>45895</v>
      </c>
      <c r="C605" t="s">
        <v>100</v>
      </c>
      <c r="D605" t="s">
        <v>98</v>
      </c>
      <c r="E605" t="s">
        <v>99</v>
      </c>
      <c r="F605">
        <v>76.599999999999994</v>
      </c>
      <c r="G605">
        <v>79.900000000000006</v>
      </c>
      <c r="H605">
        <v>69.2</v>
      </c>
      <c r="I605">
        <v>45.2</v>
      </c>
      <c r="J605">
        <v>-11</v>
      </c>
      <c r="K605">
        <v>82.3</v>
      </c>
      <c r="L605">
        <v>-13.2</v>
      </c>
      <c r="M605">
        <v>75.7</v>
      </c>
      <c r="N605">
        <v>0.91</v>
      </c>
      <c r="O605">
        <v>58.8</v>
      </c>
      <c r="P605"/>
      <c r="Q605"/>
      <c r="R605"/>
    </row>
    <row r="606" spans="1:18" x14ac:dyDescent="0.25">
      <c r="A606" s="34" t="s">
        <v>126</v>
      </c>
      <c r="B606" s="10">
        <v>45895</v>
      </c>
      <c r="C606" t="s">
        <v>100</v>
      </c>
      <c r="D606" t="s">
        <v>98</v>
      </c>
      <c r="E606" t="s">
        <v>99</v>
      </c>
      <c r="F606">
        <v>84.2</v>
      </c>
      <c r="G606">
        <v>87.5</v>
      </c>
      <c r="H606">
        <v>73.3</v>
      </c>
      <c r="I606">
        <v>45.8</v>
      </c>
      <c r="J606">
        <v>-8.6999999999999993</v>
      </c>
      <c r="K606">
        <v>93.1</v>
      </c>
      <c r="L606">
        <v>-15.5</v>
      </c>
      <c r="M606">
        <v>76.8</v>
      </c>
      <c r="N606">
        <v>0.95</v>
      </c>
      <c r="O606">
        <v>60.8</v>
      </c>
      <c r="P606"/>
      <c r="Q606"/>
      <c r="R606"/>
    </row>
    <row r="607" spans="1:18" x14ac:dyDescent="0.25">
      <c r="A607" s="34" t="s">
        <v>126</v>
      </c>
      <c r="B607" s="10">
        <v>45895</v>
      </c>
      <c r="C607" t="s">
        <v>100</v>
      </c>
      <c r="D607" t="s">
        <v>98</v>
      </c>
      <c r="E607" t="s">
        <v>99</v>
      </c>
      <c r="F607">
        <v>78.8</v>
      </c>
      <c r="G607">
        <v>81</v>
      </c>
      <c r="H607">
        <v>69.7</v>
      </c>
      <c r="I607">
        <v>43.8</v>
      </c>
      <c r="J607">
        <v>-8.5</v>
      </c>
      <c r="K607">
        <v>80.3</v>
      </c>
      <c r="L607">
        <v>-8</v>
      </c>
      <c r="M607">
        <v>77.400000000000006</v>
      </c>
      <c r="N607">
        <v>0.9</v>
      </c>
      <c r="O607">
        <v>57.4</v>
      </c>
      <c r="P607"/>
      <c r="Q607"/>
      <c r="R607"/>
    </row>
    <row r="608" spans="1:18" x14ac:dyDescent="0.25">
      <c r="A608" s="34" t="s">
        <v>126</v>
      </c>
      <c r="B608" s="10">
        <v>45895</v>
      </c>
      <c r="C608" t="s">
        <v>100</v>
      </c>
      <c r="D608" t="s">
        <v>98</v>
      </c>
      <c r="E608" t="s">
        <v>99</v>
      </c>
      <c r="F608">
        <v>66.7</v>
      </c>
      <c r="G608">
        <v>68.900000000000006</v>
      </c>
      <c r="H608">
        <v>65.8</v>
      </c>
      <c r="I608">
        <v>51.7</v>
      </c>
      <c r="J608">
        <v>-8.3000000000000007</v>
      </c>
      <c r="K608">
        <v>86.4</v>
      </c>
      <c r="L608">
        <v>-11.7</v>
      </c>
      <c r="M608">
        <v>79</v>
      </c>
      <c r="N608">
        <v>0.83</v>
      </c>
      <c r="O608">
        <v>64.5</v>
      </c>
      <c r="P608"/>
      <c r="Q608"/>
      <c r="R608"/>
    </row>
    <row r="609" spans="1:18" x14ac:dyDescent="0.25">
      <c r="A609" s="34" t="s">
        <v>126</v>
      </c>
      <c r="B609" s="10">
        <v>45895</v>
      </c>
      <c r="C609" t="s">
        <v>101</v>
      </c>
      <c r="D609" t="s">
        <v>102</v>
      </c>
      <c r="E609" t="s">
        <v>103</v>
      </c>
      <c r="F609">
        <v>119.2</v>
      </c>
      <c r="G609">
        <v>124.7</v>
      </c>
      <c r="H609">
        <v>87.5</v>
      </c>
      <c r="I609">
        <v>34.4</v>
      </c>
      <c r="J609">
        <v>-14.8</v>
      </c>
      <c r="K609">
        <v>96.6</v>
      </c>
      <c r="L609">
        <v>-36.9</v>
      </c>
      <c r="M609">
        <v>80.099999999999994</v>
      </c>
      <c r="N609">
        <v>1.0900000000000001</v>
      </c>
      <c r="O609">
        <v>54.3</v>
      </c>
      <c r="P609"/>
      <c r="Q609"/>
      <c r="R609"/>
    </row>
    <row r="610" spans="1:18" x14ac:dyDescent="0.25">
      <c r="A610" s="34" t="s">
        <v>126</v>
      </c>
      <c r="B610" s="10">
        <v>45895</v>
      </c>
      <c r="C610" t="s">
        <v>101</v>
      </c>
      <c r="D610" t="s">
        <v>102</v>
      </c>
      <c r="E610" t="s">
        <v>103</v>
      </c>
      <c r="F610">
        <v>100.6</v>
      </c>
      <c r="G610">
        <v>99.6</v>
      </c>
      <c r="H610">
        <v>84.2</v>
      </c>
      <c r="I610">
        <v>31.6</v>
      </c>
      <c r="J610">
        <v>-15.7</v>
      </c>
      <c r="K610">
        <v>81.099999999999994</v>
      </c>
      <c r="L610">
        <v>-39.700000000000003</v>
      </c>
      <c r="M610">
        <v>78.5</v>
      </c>
      <c r="N610">
        <v>1.07</v>
      </c>
      <c r="O610">
        <v>50.6</v>
      </c>
      <c r="P610"/>
      <c r="Q610"/>
      <c r="R610"/>
    </row>
    <row r="611" spans="1:18" x14ac:dyDescent="0.25">
      <c r="A611" s="34" t="s">
        <v>126</v>
      </c>
      <c r="B611" s="10">
        <v>45895</v>
      </c>
      <c r="C611" t="s">
        <v>101</v>
      </c>
      <c r="D611" t="s">
        <v>102</v>
      </c>
      <c r="E611" t="s">
        <v>103</v>
      </c>
      <c r="F611">
        <v>75.5</v>
      </c>
      <c r="G611">
        <v>85.3</v>
      </c>
      <c r="H611">
        <v>71.900000000000006</v>
      </c>
      <c r="I611">
        <v>21.3</v>
      </c>
      <c r="J611">
        <v>13.6</v>
      </c>
      <c r="K611">
        <v>33.4</v>
      </c>
      <c r="L611">
        <v>25.8</v>
      </c>
      <c r="M611">
        <v>75.099999999999994</v>
      </c>
      <c r="N611">
        <v>0.96</v>
      </c>
      <c r="O611">
        <v>33.6</v>
      </c>
      <c r="P611"/>
      <c r="Q611"/>
      <c r="R611"/>
    </row>
    <row r="612" spans="1:18" x14ac:dyDescent="0.25">
      <c r="A612" s="34" t="s">
        <v>126</v>
      </c>
      <c r="B612" s="10">
        <v>45895</v>
      </c>
      <c r="C612" t="s">
        <v>101</v>
      </c>
      <c r="D612" t="s">
        <v>102</v>
      </c>
      <c r="E612" t="s">
        <v>103</v>
      </c>
      <c r="F612">
        <v>113.8</v>
      </c>
      <c r="G612">
        <v>117.1</v>
      </c>
      <c r="H612">
        <v>85.8</v>
      </c>
      <c r="I612">
        <v>34.5</v>
      </c>
      <c r="J612">
        <v>-15.7</v>
      </c>
      <c r="K612">
        <v>93.3</v>
      </c>
      <c r="L612">
        <v>-30.2</v>
      </c>
      <c r="M612">
        <v>81.2</v>
      </c>
      <c r="N612">
        <v>1.06</v>
      </c>
      <c r="O612">
        <v>53.9</v>
      </c>
      <c r="P612"/>
      <c r="Q612"/>
      <c r="R612"/>
    </row>
    <row r="613" spans="1:18" x14ac:dyDescent="0.25">
      <c r="A613" s="34" t="s">
        <v>126</v>
      </c>
      <c r="B613" s="10">
        <v>45895</v>
      </c>
      <c r="C613" t="s">
        <v>101</v>
      </c>
      <c r="D613" t="s">
        <v>102</v>
      </c>
      <c r="E613" t="s">
        <v>103</v>
      </c>
      <c r="F613">
        <v>103.9</v>
      </c>
      <c r="G613">
        <v>108.3</v>
      </c>
      <c r="H613">
        <v>81</v>
      </c>
      <c r="I613">
        <v>40.4</v>
      </c>
      <c r="J613">
        <v>-10.1</v>
      </c>
      <c r="K613">
        <v>98.8</v>
      </c>
      <c r="L613">
        <v>-15.3</v>
      </c>
      <c r="M613">
        <v>77.400000000000006</v>
      </c>
      <c r="N613">
        <v>1.05</v>
      </c>
      <c r="O613">
        <v>57.8</v>
      </c>
      <c r="P613"/>
      <c r="Q613"/>
      <c r="R613"/>
    </row>
    <row r="614" spans="1:18" x14ac:dyDescent="0.25">
      <c r="A614" s="34" t="s">
        <v>126</v>
      </c>
      <c r="B614" s="10">
        <v>45895</v>
      </c>
      <c r="C614" t="s">
        <v>101</v>
      </c>
      <c r="D614" t="s">
        <v>102</v>
      </c>
      <c r="E614" t="s">
        <v>103</v>
      </c>
      <c r="F614">
        <v>101.7</v>
      </c>
      <c r="G614">
        <v>103.9</v>
      </c>
      <c r="H614">
        <v>81.5</v>
      </c>
      <c r="I614">
        <v>43.3</v>
      </c>
      <c r="J614">
        <v>-4.2</v>
      </c>
      <c r="K614">
        <v>107.6</v>
      </c>
      <c r="L614">
        <v>-2.6</v>
      </c>
      <c r="M614">
        <v>80.099999999999994</v>
      </c>
      <c r="N614">
        <v>1.02</v>
      </c>
      <c r="O614">
        <v>61</v>
      </c>
      <c r="P614"/>
      <c r="Q614"/>
      <c r="R614"/>
    </row>
    <row r="615" spans="1:18" x14ac:dyDescent="0.25">
      <c r="A615" s="34" t="s">
        <v>126</v>
      </c>
      <c r="B615" s="10">
        <v>45895</v>
      </c>
      <c r="C615" t="s">
        <v>101</v>
      </c>
      <c r="D615" t="s">
        <v>102</v>
      </c>
      <c r="E615" t="s">
        <v>103</v>
      </c>
      <c r="F615">
        <v>109.4</v>
      </c>
      <c r="G615">
        <v>112.7</v>
      </c>
      <c r="H615">
        <v>85.4</v>
      </c>
      <c r="I615">
        <v>35.700000000000003</v>
      </c>
      <c r="J615">
        <v>-7.7</v>
      </c>
      <c r="K615">
        <v>95.8</v>
      </c>
      <c r="L615">
        <v>-16.899999999999999</v>
      </c>
      <c r="M615">
        <v>79.599999999999994</v>
      </c>
      <c r="N615">
        <v>1.07</v>
      </c>
      <c r="O615">
        <v>54.6</v>
      </c>
      <c r="P615"/>
      <c r="Q615"/>
      <c r="R615"/>
    </row>
    <row r="616" spans="1:18" x14ac:dyDescent="0.25">
      <c r="A616" s="34" t="s">
        <v>126</v>
      </c>
      <c r="B616" s="10">
        <v>45895</v>
      </c>
      <c r="C616" t="s">
        <v>101</v>
      </c>
      <c r="D616" t="s">
        <v>102</v>
      </c>
      <c r="E616" t="s">
        <v>103</v>
      </c>
      <c r="F616">
        <v>120.3</v>
      </c>
      <c r="G616">
        <v>124.7</v>
      </c>
      <c r="H616">
        <v>87.2</v>
      </c>
      <c r="I616">
        <v>37.6</v>
      </c>
      <c r="J616">
        <v>-11.8</v>
      </c>
      <c r="K616">
        <v>105.9</v>
      </c>
      <c r="L616">
        <v>-24.2</v>
      </c>
      <c r="M616">
        <v>80.099999999999994</v>
      </c>
      <c r="N616">
        <v>1.0900000000000001</v>
      </c>
      <c r="O616">
        <v>57.1</v>
      </c>
      <c r="P616"/>
      <c r="Q616"/>
      <c r="R616"/>
    </row>
    <row r="617" spans="1:18" x14ac:dyDescent="0.25">
      <c r="A617" s="34" t="s">
        <v>126</v>
      </c>
      <c r="B617" s="10">
        <v>45895</v>
      </c>
      <c r="C617" t="s">
        <v>101</v>
      </c>
      <c r="D617" t="s">
        <v>102</v>
      </c>
      <c r="E617" t="s">
        <v>103</v>
      </c>
      <c r="F617">
        <v>101.7</v>
      </c>
      <c r="G617">
        <v>105</v>
      </c>
      <c r="H617">
        <v>79.900000000000006</v>
      </c>
      <c r="I617">
        <v>39.4</v>
      </c>
      <c r="J617">
        <v>-4.5999999999999996</v>
      </c>
      <c r="K617">
        <v>93.6</v>
      </c>
      <c r="L617">
        <v>-8.1999999999999993</v>
      </c>
      <c r="M617">
        <v>81.2</v>
      </c>
      <c r="N617">
        <v>0.98</v>
      </c>
      <c r="O617">
        <v>56.4</v>
      </c>
      <c r="P617"/>
      <c r="Q617"/>
      <c r="R617"/>
    </row>
    <row r="618" spans="1:18" x14ac:dyDescent="0.25">
      <c r="A618" s="34" t="s">
        <v>126</v>
      </c>
      <c r="B618" s="10">
        <v>45895</v>
      </c>
      <c r="C618" t="s">
        <v>101</v>
      </c>
      <c r="D618" t="s">
        <v>102</v>
      </c>
      <c r="E618" t="s">
        <v>103</v>
      </c>
      <c r="F618">
        <v>110.5</v>
      </c>
      <c r="G618">
        <v>114.9</v>
      </c>
      <c r="H618">
        <v>87</v>
      </c>
      <c r="I618">
        <v>36</v>
      </c>
      <c r="J618">
        <v>-14</v>
      </c>
      <c r="K618">
        <v>100.5</v>
      </c>
      <c r="L618">
        <v>-32.1</v>
      </c>
      <c r="M618">
        <v>80.099999999999994</v>
      </c>
      <c r="N618">
        <v>1.0900000000000001</v>
      </c>
      <c r="O618">
        <v>55.6</v>
      </c>
      <c r="P618"/>
      <c r="Q618"/>
      <c r="R618"/>
    </row>
    <row r="619" spans="1:18" x14ac:dyDescent="0.25">
      <c r="A619" s="34" t="s">
        <v>126</v>
      </c>
      <c r="B619" s="10">
        <v>45895</v>
      </c>
      <c r="C619" t="s">
        <v>101</v>
      </c>
      <c r="D619" t="s">
        <v>102</v>
      </c>
      <c r="E619" t="s">
        <v>103</v>
      </c>
      <c r="F619">
        <v>103.9</v>
      </c>
      <c r="G619">
        <v>111.6</v>
      </c>
      <c r="H619">
        <v>81.8</v>
      </c>
      <c r="I619">
        <v>33.5</v>
      </c>
      <c r="J619">
        <v>-7.4</v>
      </c>
      <c r="K619">
        <v>81.5</v>
      </c>
      <c r="L619">
        <v>-10.7</v>
      </c>
      <c r="M619">
        <v>77.900000000000006</v>
      </c>
      <c r="N619">
        <v>1.05</v>
      </c>
      <c r="O619">
        <v>51.5</v>
      </c>
      <c r="P619"/>
      <c r="Q619"/>
      <c r="R619"/>
    </row>
    <row r="620" spans="1:18" x14ac:dyDescent="0.25">
      <c r="A620" s="34" t="s">
        <v>126</v>
      </c>
      <c r="B620" s="10">
        <v>45895</v>
      </c>
      <c r="C620" t="s">
        <v>101</v>
      </c>
      <c r="D620" t="s">
        <v>102</v>
      </c>
      <c r="E620" t="s">
        <v>103</v>
      </c>
      <c r="F620">
        <v>107.2</v>
      </c>
      <c r="G620">
        <v>111.6</v>
      </c>
      <c r="H620">
        <v>81.3</v>
      </c>
      <c r="I620">
        <v>39.9</v>
      </c>
      <c r="J620">
        <v>-7.5</v>
      </c>
      <c r="K620">
        <v>98</v>
      </c>
      <c r="L620">
        <v>-14.5</v>
      </c>
      <c r="M620">
        <v>78.5</v>
      </c>
      <c r="N620">
        <v>1.04</v>
      </c>
      <c r="O620">
        <v>57.3</v>
      </c>
      <c r="P620"/>
      <c r="Q620"/>
      <c r="R620"/>
    </row>
    <row r="621" spans="1:18" x14ac:dyDescent="0.25">
      <c r="A621" s="34" t="s">
        <v>126</v>
      </c>
      <c r="B621" s="10">
        <v>45895</v>
      </c>
      <c r="C621" t="s">
        <v>101</v>
      </c>
      <c r="D621" t="s">
        <v>102</v>
      </c>
      <c r="E621" t="s">
        <v>103</v>
      </c>
      <c r="F621">
        <v>105</v>
      </c>
      <c r="G621">
        <v>108.3</v>
      </c>
      <c r="H621">
        <v>81.099999999999994</v>
      </c>
      <c r="I621">
        <v>40.200000000000003</v>
      </c>
      <c r="J621">
        <v>-8</v>
      </c>
      <c r="K621">
        <v>98.6</v>
      </c>
      <c r="L621">
        <v>-15.2</v>
      </c>
      <c r="M621">
        <v>78.5</v>
      </c>
      <c r="N621">
        <v>1.03</v>
      </c>
      <c r="O621">
        <v>57.6</v>
      </c>
      <c r="P621"/>
      <c r="Q621"/>
      <c r="R621"/>
    </row>
    <row r="622" spans="1:18" x14ac:dyDescent="0.25">
      <c r="A622" s="34" t="s">
        <v>126</v>
      </c>
      <c r="B622" s="10">
        <v>45895</v>
      </c>
      <c r="C622" t="s">
        <v>101</v>
      </c>
      <c r="D622" t="s">
        <v>102</v>
      </c>
      <c r="E622" t="s">
        <v>103</v>
      </c>
      <c r="F622">
        <v>114.9</v>
      </c>
      <c r="G622">
        <v>119.2</v>
      </c>
      <c r="H622">
        <v>84.9</v>
      </c>
      <c r="I622">
        <v>39.5</v>
      </c>
      <c r="J622">
        <v>-8.3000000000000007</v>
      </c>
      <c r="K622">
        <v>105.8</v>
      </c>
      <c r="L622">
        <v>-12.5</v>
      </c>
      <c r="M622">
        <v>78.5</v>
      </c>
      <c r="N622">
        <v>1.08</v>
      </c>
      <c r="O622">
        <v>58.2</v>
      </c>
      <c r="P622"/>
      <c r="Q622"/>
      <c r="R622"/>
    </row>
    <row r="623" spans="1:18" x14ac:dyDescent="0.25">
      <c r="A623" s="34" t="s">
        <v>126</v>
      </c>
      <c r="B623" s="10">
        <v>45895</v>
      </c>
      <c r="C623" t="s">
        <v>104</v>
      </c>
      <c r="D623" t="s">
        <v>102</v>
      </c>
      <c r="E623" t="s">
        <v>103</v>
      </c>
      <c r="F623">
        <v>131.30000000000001</v>
      </c>
      <c r="G623">
        <v>138.9</v>
      </c>
      <c r="H623">
        <v>97.1</v>
      </c>
      <c r="I623">
        <v>28.1</v>
      </c>
      <c r="J623">
        <v>-1.3</v>
      </c>
      <c r="K623">
        <v>96.7</v>
      </c>
      <c r="L623">
        <v>-10.5</v>
      </c>
      <c r="M623">
        <v>82.4</v>
      </c>
      <c r="N623">
        <v>1.18</v>
      </c>
      <c r="O623">
        <v>51.4</v>
      </c>
      <c r="P623"/>
      <c r="Q623"/>
      <c r="R623"/>
    </row>
    <row r="624" spans="1:18" x14ac:dyDescent="0.25">
      <c r="A624" s="34" t="s">
        <v>126</v>
      </c>
      <c r="B624" s="10">
        <v>45895</v>
      </c>
      <c r="C624" t="s">
        <v>104</v>
      </c>
      <c r="D624" t="s">
        <v>102</v>
      </c>
      <c r="E624" t="s">
        <v>103</v>
      </c>
      <c r="F624">
        <v>118.2</v>
      </c>
      <c r="G624">
        <v>121.4</v>
      </c>
      <c r="H624">
        <v>89.6</v>
      </c>
      <c r="I624">
        <v>37.1</v>
      </c>
      <c r="J624">
        <v>-0.3</v>
      </c>
      <c r="K624">
        <v>110.3</v>
      </c>
      <c r="L624">
        <v>3.9</v>
      </c>
      <c r="M624">
        <v>81.8</v>
      </c>
      <c r="N624">
        <v>1.1000000000000001</v>
      </c>
      <c r="O624">
        <v>57.1</v>
      </c>
      <c r="P624"/>
      <c r="Q624"/>
      <c r="R624"/>
    </row>
    <row r="625" spans="1:18" x14ac:dyDescent="0.25">
      <c r="A625" s="34" t="s">
        <v>126</v>
      </c>
      <c r="B625" s="10">
        <v>45895</v>
      </c>
      <c r="C625" t="s">
        <v>104</v>
      </c>
      <c r="D625" t="s">
        <v>102</v>
      </c>
      <c r="E625" t="s">
        <v>103</v>
      </c>
      <c r="F625">
        <v>111.6</v>
      </c>
      <c r="G625">
        <v>113.8</v>
      </c>
      <c r="H625">
        <v>92.3</v>
      </c>
      <c r="I625">
        <v>42.3</v>
      </c>
      <c r="J625">
        <v>-2</v>
      </c>
      <c r="K625">
        <v>133.19999999999999</v>
      </c>
      <c r="L625">
        <v>-4</v>
      </c>
      <c r="M625">
        <v>82.4</v>
      </c>
      <c r="N625">
        <v>1.1200000000000001</v>
      </c>
      <c r="O625">
        <v>64</v>
      </c>
      <c r="P625"/>
      <c r="Q625"/>
      <c r="R625"/>
    </row>
    <row r="626" spans="1:18" x14ac:dyDescent="0.25">
      <c r="A626" s="34" t="s">
        <v>126</v>
      </c>
      <c r="B626" s="10">
        <v>45895</v>
      </c>
      <c r="C626" t="s">
        <v>104</v>
      </c>
      <c r="D626" t="s">
        <v>102</v>
      </c>
      <c r="E626" t="s">
        <v>103</v>
      </c>
      <c r="F626">
        <v>126.9</v>
      </c>
      <c r="G626">
        <v>133.5</v>
      </c>
      <c r="H626">
        <v>91.8</v>
      </c>
      <c r="I626">
        <v>33.200000000000003</v>
      </c>
      <c r="J626">
        <v>-4.8</v>
      </c>
      <c r="K626">
        <v>102.8</v>
      </c>
      <c r="L626">
        <v>-7.4</v>
      </c>
      <c r="M626">
        <v>80.7</v>
      </c>
      <c r="N626">
        <v>1.1399999999999999</v>
      </c>
      <c r="O626">
        <v>54.3</v>
      </c>
      <c r="P626"/>
      <c r="Q626"/>
      <c r="R626"/>
    </row>
    <row r="627" spans="1:18" x14ac:dyDescent="0.25">
      <c r="A627" s="34" t="s">
        <v>126</v>
      </c>
      <c r="B627" s="10">
        <v>45895</v>
      </c>
      <c r="C627" t="s">
        <v>104</v>
      </c>
      <c r="D627" t="s">
        <v>102</v>
      </c>
      <c r="E627" t="s">
        <v>103</v>
      </c>
      <c r="F627">
        <v>130.19999999999999</v>
      </c>
      <c r="G627">
        <v>136.80000000000001</v>
      </c>
      <c r="H627">
        <v>95</v>
      </c>
      <c r="I627">
        <v>32</v>
      </c>
      <c r="J627">
        <v>-0.7</v>
      </c>
      <c r="K627">
        <v>106.2</v>
      </c>
      <c r="L627">
        <v>4.5</v>
      </c>
      <c r="M627">
        <v>82.4</v>
      </c>
      <c r="N627">
        <v>1.1499999999999999</v>
      </c>
      <c r="O627">
        <v>54.2</v>
      </c>
      <c r="P627"/>
      <c r="Q627"/>
      <c r="R627"/>
    </row>
    <row r="628" spans="1:18" x14ac:dyDescent="0.25">
      <c r="A628" s="34" t="s">
        <v>126</v>
      </c>
      <c r="B628" s="10">
        <v>45895</v>
      </c>
      <c r="C628" t="s">
        <v>104</v>
      </c>
      <c r="D628" t="s">
        <v>102</v>
      </c>
      <c r="E628" t="s">
        <v>103</v>
      </c>
      <c r="F628">
        <v>133.5</v>
      </c>
      <c r="G628">
        <v>138.9</v>
      </c>
      <c r="H628">
        <v>100.2</v>
      </c>
      <c r="I628">
        <v>26.1</v>
      </c>
      <c r="J628">
        <v>-7.6</v>
      </c>
      <c r="K628">
        <v>95.8</v>
      </c>
      <c r="L628">
        <v>-29.5</v>
      </c>
      <c r="M628">
        <v>80.7</v>
      </c>
      <c r="N628">
        <v>1.24</v>
      </c>
      <c r="O628">
        <v>50.4</v>
      </c>
      <c r="P628"/>
      <c r="Q628"/>
      <c r="R628"/>
    </row>
    <row r="629" spans="1:18" x14ac:dyDescent="0.25">
      <c r="A629" s="34" t="s">
        <v>126</v>
      </c>
      <c r="B629" s="10">
        <v>45895</v>
      </c>
      <c r="C629" t="s">
        <v>104</v>
      </c>
      <c r="D629" t="s">
        <v>102</v>
      </c>
      <c r="E629" t="s">
        <v>103</v>
      </c>
      <c r="F629">
        <v>134.6</v>
      </c>
      <c r="G629">
        <v>143.30000000000001</v>
      </c>
      <c r="H629">
        <v>95.2</v>
      </c>
      <c r="I629">
        <v>27.2</v>
      </c>
      <c r="J629">
        <v>-7.7</v>
      </c>
      <c r="K629">
        <v>89.2</v>
      </c>
      <c r="L629">
        <v>-10.7</v>
      </c>
      <c r="M629">
        <v>81.8</v>
      </c>
      <c r="N629">
        <v>1.1599999999999999</v>
      </c>
      <c r="O629">
        <v>49.7</v>
      </c>
      <c r="P629"/>
      <c r="Q629"/>
      <c r="R629"/>
    </row>
    <row r="630" spans="1:18" x14ac:dyDescent="0.25">
      <c r="A630" s="34" t="s">
        <v>126</v>
      </c>
      <c r="B630" s="10">
        <v>45895</v>
      </c>
      <c r="C630" t="s">
        <v>104</v>
      </c>
      <c r="D630" t="s">
        <v>102</v>
      </c>
      <c r="E630" t="s">
        <v>103</v>
      </c>
      <c r="F630">
        <v>129.1</v>
      </c>
      <c r="G630">
        <v>134.6</v>
      </c>
      <c r="H630">
        <v>92.9</v>
      </c>
      <c r="I630">
        <v>39.5</v>
      </c>
      <c r="J630">
        <v>0.3</v>
      </c>
      <c r="K630">
        <v>126.1</v>
      </c>
      <c r="L630">
        <v>1.9</v>
      </c>
      <c r="M630">
        <v>81.2</v>
      </c>
      <c r="N630">
        <v>1.1399999999999999</v>
      </c>
      <c r="O630">
        <v>60.8</v>
      </c>
      <c r="P630"/>
      <c r="Q630"/>
      <c r="R630"/>
    </row>
    <row r="631" spans="1:18" x14ac:dyDescent="0.25">
      <c r="A631" s="34" t="s">
        <v>126</v>
      </c>
      <c r="B631" s="10">
        <v>45895</v>
      </c>
      <c r="C631" t="s">
        <v>105</v>
      </c>
      <c r="D631" t="s">
        <v>102</v>
      </c>
      <c r="E631" t="s">
        <v>106</v>
      </c>
      <c r="F631">
        <v>154.30000000000001</v>
      </c>
      <c r="G631">
        <v>160.80000000000001</v>
      </c>
      <c r="H631">
        <v>99.8</v>
      </c>
      <c r="I631">
        <v>32.299999999999997</v>
      </c>
      <c r="J631">
        <v>-8.6</v>
      </c>
      <c r="K631">
        <v>118.6</v>
      </c>
      <c r="L631">
        <v>-18.100000000000001</v>
      </c>
      <c r="M631">
        <v>81.2</v>
      </c>
      <c r="N631">
        <v>1.23</v>
      </c>
      <c r="O631">
        <v>55.9</v>
      </c>
      <c r="P631"/>
      <c r="Q631"/>
      <c r="R631"/>
    </row>
    <row r="632" spans="1:18" x14ac:dyDescent="0.25">
      <c r="A632" s="34" t="s">
        <v>126</v>
      </c>
      <c r="B632" s="10">
        <v>45895</v>
      </c>
      <c r="C632" t="s">
        <v>105</v>
      </c>
      <c r="D632" t="s">
        <v>102</v>
      </c>
      <c r="E632" t="s">
        <v>106</v>
      </c>
      <c r="F632">
        <v>123.6</v>
      </c>
      <c r="G632">
        <v>129.1</v>
      </c>
      <c r="H632">
        <v>96</v>
      </c>
      <c r="I632">
        <v>28.1</v>
      </c>
      <c r="J632">
        <v>-7.6</v>
      </c>
      <c r="K632">
        <v>94.2</v>
      </c>
      <c r="L632">
        <v>-17.8</v>
      </c>
      <c r="M632">
        <v>81.2</v>
      </c>
      <c r="N632">
        <v>1.18</v>
      </c>
      <c r="O632">
        <v>50.8</v>
      </c>
      <c r="P632"/>
      <c r="Q632"/>
      <c r="R632"/>
    </row>
    <row r="633" spans="1:18" x14ac:dyDescent="0.25">
      <c r="A633" s="34" t="s">
        <v>126</v>
      </c>
      <c r="B633" s="10">
        <v>45895</v>
      </c>
      <c r="C633" t="s">
        <v>105</v>
      </c>
      <c r="D633" t="s">
        <v>102</v>
      </c>
      <c r="E633" t="s">
        <v>106</v>
      </c>
      <c r="F633">
        <v>124.7</v>
      </c>
      <c r="G633">
        <v>133.5</v>
      </c>
      <c r="H633">
        <v>96.7</v>
      </c>
      <c r="I633">
        <v>26.4</v>
      </c>
      <c r="J633">
        <v>-9.8000000000000007</v>
      </c>
      <c r="K633">
        <v>89.5</v>
      </c>
      <c r="L633">
        <v>-31</v>
      </c>
      <c r="M633">
        <v>80.7</v>
      </c>
      <c r="N633">
        <v>1.2</v>
      </c>
      <c r="O633">
        <v>49.3</v>
      </c>
      <c r="P633"/>
      <c r="Q633"/>
      <c r="R633"/>
    </row>
    <row r="634" spans="1:18" x14ac:dyDescent="0.25">
      <c r="A634" s="34" t="s">
        <v>126</v>
      </c>
      <c r="B634" s="10">
        <v>45895</v>
      </c>
      <c r="C634" t="s">
        <v>105</v>
      </c>
      <c r="D634" t="s">
        <v>102</v>
      </c>
      <c r="E634" t="s">
        <v>106</v>
      </c>
      <c r="F634">
        <v>101.7</v>
      </c>
      <c r="G634">
        <v>112.7</v>
      </c>
      <c r="H634">
        <v>84.9</v>
      </c>
      <c r="I634">
        <v>21.8</v>
      </c>
      <c r="J634">
        <v>-5.4</v>
      </c>
      <c r="K634">
        <v>52.1</v>
      </c>
      <c r="L634">
        <v>-20.8</v>
      </c>
      <c r="M634">
        <v>76.8</v>
      </c>
      <c r="N634">
        <v>1.1100000000000001</v>
      </c>
      <c r="O634">
        <v>39.200000000000003</v>
      </c>
      <c r="P634"/>
      <c r="Q634"/>
      <c r="R634"/>
    </row>
    <row r="635" spans="1:18" x14ac:dyDescent="0.25">
      <c r="A635" s="34" t="s">
        <v>126</v>
      </c>
      <c r="B635" s="10">
        <v>45895</v>
      </c>
      <c r="C635" t="s">
        <v>105</v>
      </c>
      <c r="D635" t="s">
        <v>102</v>
      </c>
      <c r="E635" t="s">
        <v>106</v>
      </c>
      <c r="F635">
        <v>114.9</v>
      </c>
      <c r="G635">
        <v>124.7</v>
      </c>
      <c r="H635">
        <v>89.4</v>
      </c>
      <c r="I635">
        <v>18.8</v>
      </c>
      <c r="J635">
        <v>-3.1</v>
      </c>
      <c r="K635">
        <v>49.2</v>
      </c>
      <c r="L635">
        <v>-6.3</v>
      </c>
      <c r="M635">
        <v>79.599999999999994</v>
      </c>
      <c r="N635">
        <v>1.1200000000000001</v>
      </c>
      <c r="O635">
        <v>36.799999999999997</v>
      </c>
      <c r="P635"/>
      <c r="Q635"/>
      <c r="R635"/>
    </row>
    <row r="636" spans="1:18" x14ac:dyDescent="0.25">
      <c r="A636" s="34" t="s">
        <v>126</v>
      </c>
      <c r="B636" s="10">
        <v>45895</v>
      </c>
      <c r="C636" t="s">
        <v>105</v>
      </c>
      <c r="D636" t="s">
        <v>102</v>
      </c>
      <c r="E636" t="s">
        <v>106</v>
      </c>
      <c r="F636">
        <v>116</v>
      </c>
      <c r="G636">
        <v>118.2</v>
      </c>
      <c r="H636">
        <v>97.6</v>
      </c>
      <c r="I636">
        <v>42.2</v>
      </c>
      <c r="J636">
        <v>2.7</v>
      </c>
      <c r="K636">
        <v>147.6</v>
      </c>
      <c r="L636">
        <v>5.4</v>
      </c>
      <c r="M636">
        <v>81.8</v>
      </c>
      <c r="N636">
        <v>1.19</v>
      </c>
      <c r="O636">
        <v>66.2</v>
      </c>
      <c r="P636"/>
      <c r="Q636"/>
      <c r="R636"/>
    </row>
    <row r="637" spans="1:18" x14ac:dyDescent="0.25">
      <c r="A637" s="34" t="s">
        <v>126</v>
      </c>
      <c r="B637" s="10">
        <v>45895</v>
      </c>
      <c r="C637" t="s">
        <v>105</v>
      </c>
      <c r="D637" t="s">
        <v>102</v>
      </c>
      <c r="E637" t="s">
        <v>106</v>
      </c>
      <c r="F637">
        <v>109.4</v>
      </c>
      <c r="G637">
        <v>116</v>
      </c>
      <c r="H637">
        <v>87.8</v>
      </c>
      <c r="I637">
        <v>25.2</v>
      </c>
      <c r="J637">
        <v>-6.9</v>
      </c>
      <c r="K637">
        <v>67.900000000000006</v>
      </c>
      <c r="L637">
        <v>-16.399999999999999</v>
      </c>
      <c r="M637">
        <v>77.900000000000006</v>
      </c>
      <c r="N637">
        <v>1.1299999999999999</v>
      </c>
      <c r="O637">
        <v>44.7</v>
      </c>
      <c r="P637"/>
      <c r="Q637"/>
      <c r="R637"/>
    </row>
    <row r="638" spans="1:18" x14ac:dyDescent="0.25">
      <c r="A638" s="34" t="s">
        <v>126</v>
      </c>
      <c r="B638" s="10">
        <v>45895</v>
      </c>
      <c r="C638" t="s">
        <v>105</v>
      </c>
      <c r="D638" t="s">
        <v>102</v>
      </c>
      <c r="E638" t="s">
        <v>106</v>
      </c>
      <c r="F638">
        <v>141.1</v>
      </c>
      <c r="G638">
        <v>148.80000000000001</v>
      </c>
      <c r="H638">
        <v>104.4</v>
      </c>
      <c r="I638">
        <v>18.5</v>
      </c>
      <c r="J638">
        <v>-5.8</v>
      </c>
      <c r="K638">
        <v>72.3</v>
      </c>
      <c r="L638">
        <v>-18.100000000000001</v>
      </c>
      <c r="M638">
        <v>81.2</v>
      </c>
      <c r="N638">
        <v>1.29</v>
      </c>
      <c r="O638">
        <v>43</v>
      </c>
      <c r="P638"/>
      <c r="Q638"/>
      <c r="R638"/>
    </row>
    <row r="639" spans="1:18" x14ac:dyDescent="0.25">
      <c r="A639" s="34" t="s">
        <v>126</v>
      </c>
      <c r="B639" s="10">
        <v>45895</v>
      </c>
      <c r="C639" t="s">
        <v>105</v>
      </c>
      <c r="D639" t="s">
        <v>102</v>
      </c>
      <c r="E639" t="s">
        <v>106</v>
      </c>
      <c r="F639">
        <v>145.5</v>
      </c>
      <c r="G639">
        <v>153.19999999999999</v>
      </c>
      <c r="H639">
        <v>101.3</v>
      </c>
      <c r="I639">
        <v>22.6</v>
      </c>
      <c r="J639">
        <v>-4.8</v>
      </c>
      <c r="K639">
        <v>83.6</v>
      </c>
      <c r="L639">
        <v>-17.5</v>
      </c>
      <c r="M639">
        <v>81.7</v>
      </c>
      <c r="N639">
        <v>1.24</v>
      </c>
      <c r="O639">
        <v>46.5</v>
      </c>
      <c r="P639"/>
      <c r="Q639"/>
      <c r="R639"/>
    </row>
    <row r="640" spans="1:18" x14ac:dyDescent="0.25">
      <c r="A640" s="34" t="s">
        <v>126</v>
      </c>
      <c r="B640" s="10">
        <v>45895</v>
      </c>
      <c r="C640" t="s">
        <v>105</v>
      </c>
      <c r="D640" t="s">
        <v>102</v>
      </c>
      <c r="E640" t="s">
        <v>106</v>
      </c>
      <c r="F640">
        <v>137.80000000000001</v>
      </c>
      <c r="G640">
        <v>145.5</v>
      </c>
      <c r="H640">
        <v>100.2</v>
      </c>
      <c r="I640">
        <v>25.3</v>
      </c>
      <c r="J640">
        <v>-1</v>
      </c>
      <c r="K640">
        <v>92.3</v>
      </c>
      <c r="L640">
        <v>-7</v>
      </c>
      <c r="M640">
        <v>81.7</v>
      </c>
      <c r="N640">
        <v>1.23</v>
      </c>
      <c r="O640">
        <v>49.2</v>
      </c>
      <c r="P640"/>
      <c r="Q640"/>
      <c r="R640"/>
    </row>
    <row r="641" spans="1:18" x14ac:dyDescent="0.25">
      <c r="A641" s="34" t="s">
        <v>126</v>
      </c>
      <c r="B641" s="10">
        <v>45895</v>
      </c>
      <c r="C641" t="s">
        <v>105</v>
      </c>
      <c r="D641" t="s">
        <v>102</v>
      </c>
      <c r="E641" t="s">
        <v>106</v>
      </c>
      <c r="F641">
        <v>142.19999999999999</v>
      </c>
      <c r="G641">
        <v>149.9</v>
      </c>
      <c r="H641">
        <v>101.5</v>
      </c>
      <c r="I641">
        <v>19.600000000000001</v>
      </c>
      <c r="J641">
        <v>-3.7</v>
      </c>
      <c r="K641">
        <v>71.7</v>
      </c>
      <c r="L641">
        <v>-15.5</v>
      </c>
      <c r="M641">
        <v>82.3</v>
      </c>
      <c r="N641">
        <v>1.23</v>
      </c>
      <c r="O641">
        <v>42.9</v>
      </c>
      <c r="P641"/>
      <c r="Q641"/>
      <c r="R641"/>
    </row>
    <row r="642" spans="1:18" x14ac:dyDescent="0.25">
      <c r="A642" s="34" t="s">
        <v>126</v>
      </c>
      <c r="B642" s="10">
        <v>45895</v>
      </c>
      <c r="C642" t="s">
        <v>105</v>
      </c>
      <c r="D642" t="s">
        <v>102</v>
      </c>
      <c r="E642" t="s">
        <v>106</v>
      </c>
      <c r="F642">
        <v>131.30000000000001</v>
      </c>
      <c r="G642">
        <v>138.9</v>
      </c>
      <c r="H642">
        <v>99.3</v>
      </c>
      <c r="I642">
        <v>21.9</v>
      </c>
      <c r="J642">
        <v>-4.4000000000000004</v>
      </c>
      <c r="K642">
        <v>77</v>
      </c>
      <c r="L642">
        <v>-15.3</v>
      </c>
      <c r="M642">
        <v>81.2</v>
      </c>
      <c r="N642">
        <v>1.22</v>
      </c>
      <c r="O642">
        <v>45</v>
      </c>
      <c r="P642"/>
      <c r="Q642"/>
      <c r="R642"/>
    </row>
    <row r="643" spans="1:18" x14ac:dyDescent="0.25">
      <c r="A643" s="34" t="s">
        <v>126</v>
      </c>
      <c r="B643" s="10">
        <v>45895</v>
      </c>
      <c r="C643" t="s">
        <v>107</v>
      </c>
      <c r="D643" t="s">
        <v>102</v>
      </c>
      <c r="E643" t="s">
        <v>106</v>
      </c>
      <c r="F643">
        <v>133.5</v>
      </c>
      <c r="G643">
        <v>142.19999999999999</v>
      </c>
      <c r="H643">
        <v>101.7</v>
      </c>
      <c r="I643">
        <v>14.7</v>
      </c>
      <c r="J643">
        <v>-1.2</v>
      </c>
      <c r="K643">
        <v>51.9</v>
      </c>
      <c r="L643">
        <v>-5.0999999999999996</v>
      </c>
      <c r="M643">
        <v>79.5</v>
      </c>
      <c r="N643">
        <v>1.28</v>
      </c>
      <c r="O643">
        <v>36</v>
      </c>
      <c r="P643"/>
      <c r="Q643"/>
      <c r="R643"/>
    </row>
    <row r="644" spans="1:18" x14ac:dyDescent="0.25">
      <c r="A644" s="34" t="s">
        <v>126</v>
      </c>
      <c r="B644" s="10">
        <v>45895</v>
      </c>
      <c r="C644" t="s">
        <v>107</v>
      </c>
      <c r="D644" t="s">
        <v>102</v>
      </c>
      <c r="E644" t="s">
        <v>106</v>
      </c>
      <c r="F644">
        <v>167.4</v>
      </c>
      <c r="G644">
        <v>176.1</v>
      </c>
      <c r="H644">
        <v>110.6</v>
      </c>
      <c r="I644">
        <v>20.6</v>
      </c>
      <c r="J644">
        <v>-4.9000000000000004</v>
      </c>
      <c r="K644">
        <v>92.5</v>
      </c>
      <c r="L644">
        <v>-9.9</v>
      </c>
      <c r="M644">
        <v>81.7</v>
      </c>
      <c r="N644">
        <v>1.35</v>
      </c>
      <c r="O644">
        <v>46.9</v>
      </c>
      <c r="P644"/>
      <c r="Q644"/>
      <c r="R644"/>
    </row>
    <row r="645" spans="1:18" x14ac:dyDescent="0.25">
      <c r="A645" s="34" t="s">
        <v>126</v>
      </c>
      <c r="B645" s="10">
        <v>45895</v>
      </c>
      <c r="C645" t="s">
        <v>107</v>
      </c>
      <c r="D645" t="s">
        <v>102</v>
      </c>
      <c r="E645" t="s">
        <v>106</v>
      </c>
      <c r="F645">
        <v>136.80000000000001</v>
      </c>
      <c r="G645">
        <v>152.1</v>
      </c>
      <c r="H645">
        <v>102.4</v>
      </c>
      <c r="I645">
        <v>15.4</v>
      </c>
      <c r="J645">
        <v>-3.2</v>
      </c>
      <c r="K645">
        <v>54.6</v>
      </c>
      <c r="L645">
        <v>0.7</v>
      </c>
      <c r="M645">
        <v>81.599999999999994</v>
      </c>
      <c r="N645">
        <v>1.25</v>
      </c>
      <c r="O645">
        <v>36.200000000000003</v>
      </c>
      <c r="P645"/>
      <c r="Q645"/>
      <c r="R645"/>
    </row>
    <row r="646" spans="1:18" x14ac:dyDescent="0.25">
      <c r="A646" s="34" t="s">
        <v>126</v>
      </c>
      <c r="B646" s="10">
        <v>45895</v>
      </c>
      <c r="C646" t="s">
        <v>107</v>
      </c>
      <c r="D646" t="s">
        <v>102</v>
      </c>
      <c r="E646" t="s">
        <v>106</v>
      </c>
      <c r="F646">
        <v>132.4</v>
      </c>
      <c r="G646">
        <v>143.30000000000001</v>
      </c>
      <c r="H646">
        <v>101.3</v>
      </c>
      <c r="I646">
        <v>16.5</v>
      </c>
      <c r="J646">
        <v>-4.8</v>
      </c>
      <c r="K646">
        <v>57.7</v>
      </c>
      <c r="L646">
        <v>-10.1</v>
      </c>
      <c r="M646">
        <v>81.7</v>
      </c>
      <c r="N646">
        <v>1.24</v>
      </c>
      <c r="O646">
        <v>37.700000000000003</v>
      </c>
      <c r="P646"/>
      <c r="Q646"/>
      <c r="R646"/>
    </row>
    <row r="647" spans="1:18" x14ac:dyDescent="0.25">
      <c r="A647" s="34" t="s">
        <v>126</v>
      </c>
      <c r="B647" s="10">
        <v>45895</v>
      </c>
      <c r="C647" t="s">
        <v>107</v>
      </c>
      <c r="D647" t="s">
        <v>102</v>
      </c>
      <c r="E647" t="s">
        <v>106</v>
      </c>
      <c r="F647">
        <v>126.9</v>
      </c>
      <c r="G647">
        <v>138.9</v>
      </c>
      <c r="H647">
        <v>97.2</v>
      </c>
      <c r="I647">
        <v>14.3</v>
      </c>
      <c r="J647">
        <v>-8</v>
      </c>
      <c r="K647">
        <v>43.1</v>
      </c>
      <c r="L647">
        <v>-17.600000000000001</v>
      </c>
      <c r="M647">
        <v>81.7</v>
      </c>
      <c r="N647">
        <v>1.19</v>
      </c>
      <c r="O647">
        <v>32.200000000000003</v>
      </c>
      <c r="P647"/>
      <c r="Q647"/>
      <c r="R647"/>
    </row>
    <row r="648" spans="1:18" x14ac:dyDescent="0.25">
      <c r="A648" s="34" t="s">
        <v>126</v>
      </c>
      <c r="B648" s="10">
        <v>45895</v>
      </c>
      <c r="C648" t="s">
        <v>107</v>
      </c>
      <c r="D648" t="s">
        <v>102</v>
      </c>
      <c r="E648" t="s">
        <v>106</v>
      </c>
      <c r="F648">
        <v>141.1</v>
      </c>
      <c r="G648">
        <v>153.19999999999999</v>
      </c>
      <c r="H648">
        <v>104.4</v>
      </c>
      <c r="I648">
        <v>14.1</v>
      </c>
      <c r="J648">
        <v>-5.0999999999999996</v>
      </c>
      <c r="K648">
        <v>51.6</v>
      </c>
      <c r="L648">
        <v>-16.2</v>
      </c>
      <c r="M648">
        <v>81</v>
      </c>
      <c r="N648">
        <v>1.29</v>
      </c>
      <c r="O648">
        <v>34.5</v>
      </c>
      <c r="P648"/>
      <c r="Q648"/>
      <c r="R648"/>
    </row>
    <row r="649" spans="1:18" x14ac:dyDescent="0.25">
      <c r="A649" s="34" t="s">
        <v>126</v>
      </c>
      <c r="B649" s="10">
        <v>45895</v>
      </c>
      <c r="C649" t="s">
        <v>107</v>
      </c>
      <c r="D649" t="s">
        <v>102</v>
      </c>
      <c r="E649" t="s">
        <v>106</v>
      </c>
      <c r="F649">
        <v>158.6</v>
      </c>
      <c r="G649">
        <v>168.5</v>
      </c>
      <c r="H649">
        <v>109.8</v>
      </c>
      <c r="I649">
        <v>19.100000000000001</v>
      </c>
      <c r="J649">
        <v>-4</v>
      </c>
      <c r="K649">
        <v>83.7</v>
      </c>
      <c r="L649">
        <v>-17</v>
      </c>
      <c r="M649">
        <v>80.5</v>
      </c>
      <c r="N649">
        <v>1.36</v>
      </c>
      <c r="O649">
        <v>44.5</v>
      </c>
      <c r="P649"/>
      <c r="Q649"/>
      <c r="R649"/>
    </row>
    <row r="650" spans="1:18" x14ac:dyDescent="0.25">
      <c r="A650" s="34" t="s">
        <v>126</v>
      </c>
      <c r="B650" s="10">
        <v>45895</v>
      </c>
      <c r="C650" t="s">
        <v>107</v>
      </c>
      <c r="D650" t="s">
        <v>102</v>
      </c>
      <c r="E650" t="s">
        <v>106</v>
      </c>
      <c r="F650">
        <v>136.80000000000001</v>
      </c>
      <c r="G650">
        <v>146.6</v>
      </c>
      <c r="H650">
        <v>104.8</v>
      </c>
      <c r="I650">
        <v>14.8</v>
      </c>
      <c r="J650">
        <v>-4.0999999999999996</v>
      </c>
      <c r="K650">
        <v>55.6</v>
      </c>
      <c r="L650">
        <v>-20.3</v>
      </c>
      <c r="M650">
        <v>82.2</v>
      </c>
      <c r="N650">
        <v>1.27</v>
      </c>
      <c r="O650">
        <v>36.1</v>
      </c>
      <c r="P650"/>
      <c r="Q650"/>
      <c r="R650"/>
    </row>
    <row r="651" spans="1:18" x14ac:dyDescent="0.25">
      <c r="A651" s="34" t="s">
        <v>126</v>
      </c>
      <c r="B651" s="10">
        <v>45895</v>
      </c>
      <c r="C651" t="s">
        <v>107</v>
      </c>
      <c r="D651" t="s">
        <v>102</v>
      </c>
      <c r="E651" t="s">
        <v>106</v>
      </c>
      <c r="F651">
        <v>170.7</v>
      </c>
      <c r="G651">
        <v>181.6</v>
      </c>
      <c r="H651">
        <v>113.4</v>
      </c>
      <c r="I651">
        <v>19.399999999999999</v>
      </c>
      <c r="J651">
        <v>-4.5999999999999996</v>
      </c>
      <c r="K651">
        <v>91.3</v>
      </c>
      <c r="L651">
        <v>-11.9</v>
      </c>
      <c r="M651">
        <v>80.400000000000006</v>
      </c>
      <c r="N651">
        <v>1.41</v>
      </c>
      <c r="O651">
        <v>45.6</v>
      </c>
      <c r="P651"/>
      <c r="Q651"/>
      <c r="R651"/>
    </row>
    <row r="652" spans="1:18" x14ac:dyDescent="0.25">
      <c r="A652" s="34" t="s">
        <v>126</v>
      </c>
      <c r="B652" s="10">
        <v>45895</v>
      </c>
      <c r="C652" t="s">
        <v>107</v>
      </c>
      <c r="D652" t="s">
        <v>102</v>
      </c>
      <c r="E652" t="s">
        <v>106</v>
      </c>
      <c r="F652">
        <v>164.1</v>
      </c>
      <c r="G652">
        <v>175</v>
      </c>
      <c r="H652">
        <v>109.5</v>
      </c>
      <c r="I652">
        <v>21.5</v>
      </c>
      <c r="J652">
        <v>-1.4</v>
      </c>
      <c r="K652">
        <v>94.8</v>
      </c>
      <c r="L652">
        <v>0.1</v>
      </c>
      <c r="M652">
        <v>81.599999999999994</v>
      </c>
      <c r="N652">
        <v>1.34</v>
      </c>
      <c r="O652">
        <v>47.8</v>
      </c>
      <c r="P652"/>
      <c r="Q652"/>
      <c r="R652"/>
    </row>
    <row r="653" spans="1:18" x14ac:dyDescent="0.25">
      <c r="A653" s="34" t="s">
        <v>126</v>
      </c>
      <c r="B653" s="10">
        <v>45895</v>
      </c>
      <c r="C653" t="s">
        <v>107</v>
      </c>
      <c r="D653" t="s">
        <v>102</v>
      </c>
      <c r="E653" t="s">
        <v>106</v>
      </c>
      <c r="F653">
        <v>167.4</v>
      </c>
      <c r="G653">
        <v>178.3</v>
      </c>
      <c r="H653">
        <v>112.9</v>
      </c>
      <c r="I653">
        <v>19.5</v>
      </c>
      <c r="J653">
        <v>-3.2</v>
      </c>
      <c r="K653">
        <v>91.5</v>
      </c>
      <c r="L653">
        <v>-11.8</v>
      </c>
      <c r="M653">
        <v>81.599999999999994</v>
      </c>
      <c r="N653">
        <v>1.38</v>
      </c>
      <c r="O653">
        <v>46</v>
      </c>
      <c r="P653"/>
      <c r="Q653"/>
      <c r="R653"/>
    </row>
    <row r="654" spans="1:18" x14ac:dyDescent="0.25">
      <c r="A654" s="34" t="s">
        <v>126</v>
      </c>
      <c r="B654" s="10">
        <v>45895</v>
      </c>
      <c r="C654" t="s">
        <v>107</v>
      </c>
      <c r="D654" t="s">
        <v>102</v>
      </c>
      <c r="E654" t="s">
        <v>106</v>
      </c>
      <c r="F654">
        <v>165.2</v>
      </c>
      <c r="G654">
        <v>177.2</v>
      </c>
      <c r="H654">
        <v>110.4</v>
      </c>
      <c r="I654">
        <v>18.899999999999999</v>
      </c>
      <c r="J654">
        <v>-2.2999999999999998</v>
      </c>
      <c r="K654">
        <v>84.1</v>
      </c>
      <c r="L654">
        <v>-7.5</v>
      </c>
      <c r="M654">
        <v>82.7</v>
      </c>
      <c r="N654">
        <v>1.33</v>
      </c>
      <c r="O654">
        <v>44.6</v>
      </c>
      <c r="P654"/>
      <c r="Q654"/>
      <c r="R654"/>
    </row>
    <row r="655" spans="1:18" x14ac:dyDescent="0.25">
      <c r="A655" s="34" t="s">
        <v>126</v>
      </c>
      <c r="B655" s="10">
        <v>45895</v>
      </c>
      <c r="C655" t="s">
        <v>108</v>
      </c>
      <c r="D655" t="s">
        <v>102</v>
      </c>
      <c r="E655" t="s">
        <v>106</v>
      </c>
      <c r="F655">
        <v>145.5</v>
      </c>
      <c r="G655">
        <v>153.19999999999999</v>
      </c>
      <c r="H655">
        <v>108.9</v>
      </c>
      <c r="I655">
        <v>22</v>
      </c>
      <c r="J655">
        <v>1.7</v>
      </c>
      <c r="K655">
        <v>95.9</v>
      </c>
      <c r="L655">
        <v>18.5</v>
      </c>
      <c r="M655">
        <v>83.2</v>
      </c>
      <c r="N655">
        <v>1.31</v>
      </c>
      <c r="O655">
        <v>48.4</v>
      </c>
      <c r="P655"/>
      <c r="Q655"/>
      <c r="R655"/>
    </row>
    <row r="656" spans="1:18" x14ac:dyDescent="0.25">
      <c r="A656" s="34" t="s">
        <v>126</v>
      </c>
      <c r="B656" s="10">
        <v>45895</v>
      </c>
      <c r="C656" t="s">
        <v>108</v>
      </c>
      <c r="D656" t="s">
        <v>102</v>
      </c>
      <c r="E656" t="s">
        <v>106</v>
      </c>
      <c r="F656">
        <v>107.2</v>
      </c>
      <c r="G656">
        <v>125.8</v>
      </c>
      <c r="H656">
        <v>98</v>
      </c>
      <c r="I656">
        <v>12.5</v>
      </c>
      <c r="J656">
        <v>-4.3</v>
      </c>
      <c r="K656">
        <v>37.6</v>
      </c>
      <c r="L656">
        <v>-3.8</v>
      </c>
      <c r="M656">
        <v>81</v>
      </c>
      <c r="N656">
        <v>1.21</v>
      </c>
      <c r="O656">
        <v>29.6</v>
      </c>
      <c r="P656"/>
      <c r="Q656"/>
      <c r="R656"/>
    </row>
    <row r="657" spans="1:18" x14ac:dyDescent="0.25">
      <c r="A657" s="34" t="s">
        <v>126</v>
      </c>
      <c r="B657" s="10">
        <v>45895</v>
      </c>
      <c r="C657" t="s">
        <v>108</v>
      </c>
      <c r="D657" t="s">
        <v>102</v>
      </c>
      <c r="E657" t="s">
        <v>106</v>
      </c>
      <c r="F657">
        <v>159.69999999999999</v>
      </c>
      <c r="G657">
        <v>167.4</v>
      </c>
      <c r="H657">
        <v>113</v>
      </c>
      <c r="I657">
        <v>16</v>
      </c>
      <c r="J657">
        <v>1.1000000000000001</v>
      </c>
      <c r="K657">
        <v>75.5</v>
      </c>
      <c r="L657">
        <v>4.7</v>
      </c>
      <c r="M657">
        <v>83.2</v>
      </c>
      <c r="N657">
        <v>1.36</v>
      </c>
      <c r="O657">
        <v>42.4</v>
      </c>
      <c r="P657"/>
      <c r="Q657"/>
      <c r="R657"/>
    </row>
    <row r="658" spans="1:18" x14ac:dyDescent="0.25">
      <c r="A658" s="34" t="s">
        <v>126</v>
      </c>
      <c r="B658" s="10">
        <v>45895</v>
      </c>
      <c r="C658" t="s">
        <v>108</v>
      </c>
      <c r="D658" t="s">
        <v>102</v>
      </c>
      <c r="E658" t="s">
        <v>106</v>
      </c>
      <c r="F658">
        <v>135.69999999999999</v>
      </c>
      <c r="G658">
        <v>145.5</v>
      </c>
      <c r="H658">
        <v>101.9</v>
      </c>
      <c r="I658">
        <v>13.5</v>
      </c>
      <c r="J658">
        <v>-2.2999999999999998</v>
      </c>
      <c r="K658">
        <v>47</v>
      </c>
      <c r="L658">
        <v>-14.9</v>
      </c>
      <c r="M658">
        <v>81.400000000000006</v>
      </c>
      <c r="N658">
        <v>1.25</v>
      </c>
      <c r="O658">
        <v>33.700000000000003</v>
      </c>
      <c r="P658"/>
      <c r="Q658"/>
      <c r="R658"/>
    </row>
    <row r="659" spans="1:18" x14ac:dyDescent="0.25">
      <c r="A659" s="34" t="s">
        <v>126</v>
      </c>
      <c r="B659" s="10">
        <v>45895</v>
      </c>
      <c r="C659" t="s">
        <v>108</v>
      </c>
      <c r="D659" t="s">
        <v>102</v>
      </c>
      <c r="E659" t="s">
        <v>106</v>
      </c>
      <c r="F659">
        <v>138.9</v>
      </c>
      <c r="G659">
        <v>149.9</v>
      </c>
      <c r="H659">
        <v>102</v>
      </c>
      <c r="I659">
        <v>15.6</v>
      </c>
      <c r="J659">
        <v>0.5</v>
      </c>
      <c r="K659">
        <v>55.8</v>
      </c>
      <c r="L659">
        <v>9.4</v>
      </c>
      <c r="M659">
        <v>82.1</v>
      </c>
      <c r="N659">
        <v>1.24</v>
      </c>
      <c r="O659">
        <v>37.299999999999997</v>
      </c>
      <c r="P659"/>
      <c r="Q659"/>
      <c r="R659"/>
    </row>
    <row r="660" spans="1:18" x14ac:dyDescent="0.25">
      <c r="A660" s="34" t="s">
        <v>126</v>
      </c>
      <c r="B660" s="10">
        <v>45895</v>
      </c>
      <c r="C660" t="s">
        <v>108</v>
      </c>
      <c r="D660" t="s">
        <v>102</v>
      </c>
      <c r="E660" t="s">
        <v>106</v>
      </c>
      <c r="F660">
        <v>169.6</v>
      </c>
      <c r="G660">
        <v>175</v>
      </c>
      <c r="H660">
        <v>118</v>
      </c>
      <c r="I660">
        <v>19.100000000000001</v>
      </c>
      <c r="J660">
        <v>0.1</v>
      </c>
      <c r="K660">
        <v>100.1</v>
      </c>
      <c r="L660">
        <v>0.2</v>
      </c>
      <c r="M660">
        <v>83.8</v>
      </c>
      <c r="N660">
        <v>1.41</v>
      </c>
      <c r="O660">
        <v>47.9</v>
      </c>
      <c r="P660"/>
      <c r="Q660"/>
      <c r="R660"/>
    </row>
    <row r="661" spans="1:18" x14ac:dyDescent="0.25">
      <c r="A661" s="34" t="s">
        <v>126</v>
      </c>
      <c r="B661" s="10">
        <v>45895</v>
      </c>
      <c r="C661" t="s">
        <v>108</v>
      </c>
      <c r="D661" t="s">
        <v>102</v>
      </c>
      <c r="E661" t="s">
        <v>106</v>
      </c>
      <c r="F661">
        <v>135.69999999999999</v>
      </c>
      <c r="G661">
        <v>145.5</v>
      </c>
      <c r="H661">
        <v>103.4</v>
      </c>
      <c r="I661">
        <v>14</v>
      </c>
      <c r="J661">
        <v>-3.6</v>
      </c>
      <c r="K661">
        <v>51.1</v>
      </c>
      <c r="L661">
        <v>-18.7</v>
      </c>
      <c r="M661">
        <v>82.1</v>
      </c>
      <c r="N661">
        <v>1.26</v>
      </c>
      <c r="O661">
        <v>35.200000000000003</v>
      </c>
      <c r="P661"/>
      <c r="Q661"/>
      <c r="R661"/>
    </row>
    <row r="662" spans="1:18" x14ac:dyDescent="0.25">
      <c r="A662" s="34" t="s">
        <v>126</v>
      </c>
      <c r="B662" s="10">
        <v>45895</v>
      </c>
      <c r="C662" t="s">
        <v>108</v>
      </c>
      <c r="D662" t="s">
        <v>102</v>
      </c>
      <c r="E662" t="s">
        <v>106</v>
      </c>
      <c r="F662">
        <v>152.1</v>
      </c>
      <c r="G662">
        <v>164.1</v>
      </c>
      <c r="H662">
        <v>112.3</v>
      </c>
      <c r="I662">
        <v>14.7</v>
      </c>
      <c r="J662">
        <v>-0.5</v>
      </c>
      <c r="K662">
        <v>68.2</v>
      </c>
      <c r="L662">
        <v>3.4</v>
      </c>
      <c r="M662">
        <v>83.8</v>
      </c>
      <c r="N662">
        <v>1.34</v>
      </c>
      <c r="O662">
        <v>40.200000000000003</v>
      </c>
      <c r="P662"/>
      <c r="Q662"/>
      <c r="R662"/>
    </row>
    <row r="663" spans="1:18" x14ac:dyDescent="0.25">
      <c r="A663" s="34" t="s">
        <v>126</v>
      </c>
      <c r="B663" s="10">
        <v>45895</v>
      </c>
      <c r="C663" t="s">
        <v>108</v>
      </c>
      <c r="D663" t="s">
        <v>102</v>
      </c>
      <c r="E663" t="s">
        <v>106</v>
      </c>
      <c r="F663">
        <v>170.7</v>
      </c>
      <c r="G663">
        <v>186</v>
      </c>
      <c r="H663">
        <v>115.8</v>
      </c>
      <c r="I663">
        <v>19.899999999999999</v>
      </c>
      <c r="J663">
        <v>1.3</v>
      </c>
      <c r="K663">
        <v>100.1</v>
      </c>
      <c r="L663">
        <v>10.199999999999999</v>
      </c>
      <c r="M663">
        <v>83.8</v>
      </c>
      <c r="N663">
        <v>1.38</v>
      </c>
      <c r="O663">
        <v>48.3</v>
      </c>
      <c r="P663"/>
      <c r="Q663"/>
      <c r="R663"/>
    </row>
    <row r="664" spans="1:18" x14ac:dyDescent="0.25">
      <c r="A664" s="34" t="s">
        <v>126</v>
      </c>
      <c r="B664" s="10">
        <v>45895</v>
      </c>
      <c r="C664" t="s">
        <v>108</v>
      </c>
      <c r="D664" t="s">
        <v>102</v>
      </c>
      <c r="E664" t="s">
        <v>106</v>
      </c>
      <c r="F664">
        <v>164.1</v>
      </c>
      <c r="G664">
        <v>176.1</v>
      </c>
      <c r="H664">
        <v>114.3</v>
      </c>
      <c r="I664">
        <v>16</v>
      </c>
      <c r="J664">
        <v>-1.4</v>
      </c>
      <c r="K664">
        <v>77.5</v>
      </c>
      <c r="L664">
        <v>0.2</v>
      </c>
      <c r="M664">
        <v>83.3</v>
      </c>
      <c r="N664">
        <v>1.37</v>
      </c>
      <c r="O664">
        <v>42.7</v>
      </c>
      <c r="P664"/>
      <c r="Q664"/>
      <c r="R664"/>
    </row>
    <row r="665" spans="1:18" x14ac:dyDescent="0.25">
      <c r="A665" s="34" t="s">
        <v>126</v>
      </c>
      <c r="B665" s="10">
        <v>45895</v>
      </c>
      <c r="C665" t="s">
        <v>108</v>
      </c>
      <c r="D665" t="s">
        <v>102</v>
      </c>
      <c r="E665" t="s">
        <v>106</v>
      </c>
      <c r="F665">
        <v>164.1</v>
      </c>
      <c r="G665">
        <v>169.6</v>
      </c>
      <c r="H665">
        <v>116</v>
      </c>
      <c r="I665">
        <v>22.1</v>
      </c>
      <c r="J665">
        <v>0.1</v>
      </c>
      <c r="K665">
        <v>111.3</v>
      </c>
      <c r="L665">
        <v>0.1</v>
      </c>
      <c r="M665">
        <v>83.3</v>
      </c>
      <c r="N665">
        <v>1.39</v>
      </c>
      <c r="O665">
        <v>50.7</v>
      </c>
      <c r="P665"/>
      <c r="Q665"/>
      <c r="R665"/>
    </row>
    <row r="666" spans="1:18" x14ac:dyDescent="0.25">
      <c r="A666" s="34" t="s">
        <v>126</v>
      </c>
      <c r="B666" s="10">
        <v>45895</v>
      </c>
      <c r="C666" t="s">
        <v>108</v>
      </c>
      <c r="D666" t="s">
        <v>102</v>
      </c>
      <c r="E666" t="s">
        <v>106</v>
      </c>
      <c r="F666">
        <v>167.4</v>
      </c>
      <c r="G666">
        <v>177.2</v>
      </c>
      <c r="H666">
        <v>114.9</v>
      </c>
      <c r="I666">
        <v>17.100000000000001</v>
      </c>
      <c r="J666">
        <v>-1.3</v>
      </c>
      <c r="K666">
        <v>84.2</v>
      </c>
      <c r="L666">
        <v>-0.2</v>
      </c>
      <c r="M666">
        <v>83.3</v>
      </c>
      <c r="N666">
        <v>1.38</v>
      </c>
      <c r="O666">
        <v>44.5</v>
      </c>
      <c r="P666"/>
      <c r="Q666"/>
      <c r="R666"/>
    </row>
    <row r="667" spans="1:18" x14ac:dyDescent="0.25">
      <c r="A667" s="34" t="s">
        <v>126</v>
      </c>
      <c r="B667" s="10">
        <v>45895</v>
      </c>
      <c r="C667" t="s">
        <v>108</v>
      </c>
      <c r="D667" t="s">
        <v>102</v>
      </c>
      <c r="E667" t="s">
        <v>106</v>
      </c>
      <c r="F667">
        <v>157.5</v>
      </c>
      <c r="G667">
        <v>167.4</v>
      </c>
      <c r="H667">
        <v>115.8</v>
      </c>
      <c r="I667">
        <v>13.6</v>
      </c>
      <c r="J667">
        <v>-1.3</v>
      </c>
      <c r="K667">
        <v>68</v>
      </c>
      <c r="L667">
        <v>3.5</v>
      </c>
      <c r="M667">
        <v>85.5</v>
      </c>
      <c r="N667">
        <v>1.35</v>
      </c>
      <c r="O667">
        <v>39.6</v>
      </c>
      <c r="P667"/>
      <c r="Q667"/>
      <c r="R667"/>
    </row>
    <row r="668" spans="1:18" x14ac:dyDescent="0.25">
      <c r="A668" s="34" t="s">
        <v>126</v>
      </c>
      <c r="B668" s="10">
        <v>45895</v>
      </c>
      <c r="C668" t="s">
        <v>109</v>
      </c>
      <c r="D668" t="s">
        <v>102</v>
      </c>
      <c r="E668" t="s">
        <v>106</v>
      </c>
      <c r="F668">
        <v>151</v>
      </c>
      <c r="G668">
        <v>165.2</v>
      </c>
      <c r="H668">
        <v>109.8</v>
      </c>
      <c r="I668">
        <v>13.3</v>
      </c>
      <c r="J668">
        <v>-5.6</v>
      </c>
      <c r="K668">
        <v>56.7</v>
      </c>
      <c r="L668">
        <v>-21.7</v>
      </c>
      <c r="M668">
        <v>82.7</v>
      </c>
      <c r="N668">
        <v>1.33</v>
      </c>
      <c r="O668">
        <v>36</v>
      </c>
      <c r="P668"/>
      <c r="Q668"/>
      <c r="R668"/>
    </row>
    <row r="669" spans="1:18" x14ac:dyDescent="0.25">
      <c r="A669" s="34" t="s">
        <v>126</v>
      </c>
      <c r="B669" s="10">
        <v>45895</v>
      </c>
      <c r="C669" t="s">
        <v>109</v>
      </c>
      <c r="D669" t="s">
        <v>102</v>
      </c>
      <c r="E669" t="s">
        <v>106</v>
      </c>
      <c r="F669">
        <v>122.5</v>
      </c>
      <c r="G669">
        <v>136.80000000000001</v>
      </c>
      <c r="H669">
        <v>98.8</v>
      </c>
      <c r="I669">
        <v>15.1</v>
      </c>
      <c r="J669">
        <v>6.2</v>
      </c>
      <c r="K669">
        <v>48.6</v>
      </c>
      <c r="L669">
        <v>33.299999999999997</v>
      </c>
      <c r="M669">
        <v>83.3</v>
      </c>
      <c r="N669">
        <v>1.19</v>
      </c>
      <c r="O669">
        <v>34.299999999999997</v>
      </c>
      <c r="P669"/>
      <c r="Q669"/>
      <c r="R669"/>
    </row>
    <row r="670" spans="1:18" x14ac:dyDescent="0.25">
      <c r="A670" s="34" t="s">
        <v>126</v>
      </c>
      <c r="B670" s="10">
        <v>45895</v>
      </c>
      <c r="C670" t="s">
        <v>109</v>
      </c>
      <c r="D670" t="s">
        <v>102</v>
      </c>
      <c r="E670" t="s">
        <v>106</v>
      </c>
      <c r="F670">
        <v>168.5</v>
      </c>
      <c r="G670">
        <v>178.3</v>
      </c>
      <c r="H670">
        <v>116.8</v>
      </c>
      <c r="I670">
        <v>13.4</v>
      </c>
      <c r="J670">
        <v>-5</v>
      </c>
      <c r="K670">
        <v>67.8</v>
      </c>
      <c r="L670">
        <v>-22.1</v>
      </c>
      <c r="M670">
        <v>82.7</v>
      </c>
      <c r="N670">
        <v>1.41</v>
      </c>
      <c r="O670">
        <v>39</v>
      </c>
      <c r="P670"/>
      <c r="Q670"/>
      <c r="R670"/>
    </row>
    <row r="671" spans="1:18" x14ac:dyDescent="0.25">
      <c r="A671" s="34" t="s">
        <v>126</v>
      </c>
      <c r="B671" s="10">
        <v>45895</v>
      </c>
      <c r="C671" t="s">
        <v>109</v>
      </c>
      <c r="D671" t="s">
        <v>102</v>
      </c>
      <c r="E671" t="s">
        <v>106</v>
      </c>
      <c r="F671">
        <v>147.69999999999999</v>
      </c>
      <c r="G671">
        <v>161.9</v>
      </c>
      <c r="H671">
        <v>107.8</v>
      </c>
      <c r="I671">
        <v>12</v>
      </c>
      <c r="J671">
        <v>-2</v>
      </c>
      <c r="K671">
        <v>48</v>
      </c>
      <c r="L671">
        <v>0.7</v>
      </c>
      <c r="M671">
        <v>83.2</v>
      </c>
      <c r="N671">
        <v>1.3</v>
      </c>
      <c r="O671">
        <v>32.9</v>
      </c>
      <c r="P671"/>
      <c r="Q671"/>
      <c r="R671"/>
    </row>
    <row r="672" spans="1:18" x14ac:dyDescent="0.25">
      <c r="A672" s="34" t="s">
        <v>126</v>
      </c>
      <c r="B672" s="10">
        <v>45895</v>
      </c>
      <c r="C672" t="s">
        <v>109</v>
      </c>
      <c r="D672" t="s">
        <v>102</v>
      </c>
      <c r="E672" t="s">
        <v>106</v>
      </c>
      <c r="F672">
        <v>170.7</v>
      </c>
      <c r="G672">
        <v>180.5</v>
      </c>
      <c r="H672">
        <v>117.7</v>
      </c>
      <c r="I672">
        <v>13.2</v>
      </c>
      <c r="J672">
        <v>-7.7</v>
      </c>
      <c r="K672">
        <v>68.2</v>
      </c>
      <c r="L672">
        <v>-30.3</v>
      </c>
      <c r="M672">
        <v>83.3</v>
      </c>
      <c r="N672">
        <v>1.41</v>
      </c>
      <c r="O672">
        <v>39</v>
      </c>
      <c r="P672"/>
      <c r="Q672"/>
      <c r="R672"/>
    </row>
    <row r="673" spans="1:18" x14ac:dyDescent="0.25">
      <c r="A673" s="34" t="s">
        <v>126</v>
      </c>
      <c r="B673" s="10">
        <v>45895</v>
      </c>
      <c r="C673" t="s">
        <v>109</v>
      </c>
      <c r="D673" t="s">
        <v>102</v>
      </c>
      <c r="E673" t="s">
        <v>106</v>
      </c>
      <c r="F673">
        <v>168.5</v>
      </c>
      <c r="G673">
        <v>177.2</v>
      </c>
      <c r="H673">
        <v>117.7</v>
      </c>
      <c r="I673">
        <v>13</v>
      </c>
      <c r="J673">
        <v>-5.6</v>
      </c>
      <c r="K673">
        <v>67.3</v>
      </c>
      <c r="L673">
        <v>-10.8</v>
      </c>
      <c r="M673">
        <v>83.8</v>
      </c>
      <c r="N673">
        <v>1.4</v>
      </c>
      <c r="O673">
        <v>38.700000000000003</v>
      </c>
      <c r="P673"/>
      <c r="Q673"/>
      <c r="R673"/>
    </row>
    <row r="674" spans="1:18" x14ac:dyDescent="0.25">
      <c r="A674" s="34" t="s">
        <v>126</v>
      </c>
      <c r="B674" s="10">
        <v>45895</v>
      </c>
      <c r="C674" t="s">
        <v>109</v>
      </c>
      <c r="D674" t="s">
        <v>102</v>
      </c>
      <c r="E674" t="s">
        <v>106</v>
      </c>
      <c r="F674">
        <v>117.1</v>
      </c>
      <c r="G674">
        <v>133.5</v>
      </c>
      <c r="H674">
        <v>95.8</v>
      </c>
      <c r="I674">
        <v>11.4</v>
      </c>
      <c r="J674">
        <v>-9.3000000000000007</v>
      </c>
      <c r="K674">
        <v>29.6</v>
      </c>
      <c r="L674">
        <v>-19</v>
      </c>
      <c r="M674">
        <v>83.8</v>
      </c>
      <c r="N674">
        <v>1.1399999999999999</v>
      </c>
      <c r="O674">
        <v>24.9</v>
      </c>
      <c r="P674"/>
      <c r="Q674"/>
      <c r="R674"/>
    </row>
    <row r="675" spans="1:18" x14ac:dyDescent="0.25">
      <c r="A675" s="34" t="s">
        <v>126</v>
      </c>
      <c r="B675" s="10">
        <v>45895</v>
      </c>
      <c r="C675" t="s">
        <v>109</v>
      </c>
      <c r="D675" t="s">
        <v>102</v>
      </c>
      <c r="E675" t="s">
        <v>106</v>
      </c>
      <c r="F675">
        <v>163</v>
      </c>
      <c r="G675">
        <v>178.3</v>
      </c>
      <c r="H675">
        <v>119.3</v>
      </c>
      <c r="I675">
        <v>10.6</v>
      </c>
      <c r="J675">
        <v>-8.6</v>
      </c>
      <c r="K675">
        <v>56.8</v>
      </c>
      <c r="L675">
        <v>-16.7</v>
      </c>
      <c r="M675">
        <v>84.4</v>
      </c>
      <c r="N675">
        <v>1.41</v>
      </c>
      <c r="O675">
        <v>35</v>
      </c>
      <c r="P675"/>
      <c r="Q675"/>
      <c r="R675"/>
    </row>
    <row r="676" spans="1:18" x14ac:dyDescent="0.25">
      <c r="A676" s="34" t="s">
        <v>126</v>
      </c>
      <c r="B676" s="10">
        <v>45895</v>
      </c>
      <c r="C676" t="s">
        <v>109</v>
      </c>
      <c r="D676" t="s">
        <v>102</v>
      </c>
      <c r="E676" t="s">
        <v>106</v>
      </c>
      <c r="F676">
        <v>158.6</v>
      </c>
      <c r="G676">
        <v>169.6</v>
      </c>
      <c r="H676">
        <v>112.9</v>
      </c>
      <c r="I676">
        <v>11.9</v>
      </c>
      <c r="J676">
        <v>-6.2</v>
      </c>
      <c r="K676">
        <v>54.2</v>
      </c>
      <c r="L676">
        <v>-12</v>
      </c>
      <c r="M676">
        <v>82.7</v>
      </c>
      <c r="N676">
        <v>1.37</v>
      </c>
      <c r="O676">
        <v>34.799999999999997</v>
      </c>
      <c r="P676"/>
      <c r="Q676"/>
      <c r="R676"/>
    </row>
    <row r="677" spans="1:18" x14ac:dyDescent="0.25">
      <c r="A677" s="34" t="s">
        <v>126</v>
      </c>
      <c r="B677" s="10">
        <v>45895</v>
      </c>
      <c r="C677" t="s">
        <v>109</v>
      </c>
      <c r="D677" t="s">
        <v>102</v>
      </c>
      <c r="E677" t="s">
        <v>106</v>
      </c>
      <c r="F677">
        <v>170.7</v>
      </c>
      <c r="G677">
        <v>179.4</v>
      </c>
      <c r="H677">
        <v>119.3</v>
      </c>
      <c r="I677">
        <v>13.8</v>
      </c>
      <c r="J677">
        <v>-4.2</v>
      </c>
      <c r="K677">
        <v>74.099999999999994</v>
      </c>
      <c r="L677">
        <v>9.4</v>
      </c>
      <c r="M677">
        <v>84.4</v>
      </c>
      <c r="N677">
        <v>1.41</v>
      </c>
      <c r="O677">
        <v>40.6</v>
      </c>
      <c r="P677"/>
      <c r="Q677"/>
      <c r="R677"/>
    </row>
    <row r="678" spans="1:18" x14ac:dyDescent="0.25">
      <c r="A678" s="34" t="s">
        <v>126</v>
      </c>
      <c r="B678" s="10">
        <v>45895</v>
      </c>
      <c r="C678" t="s">
        <v>109</v>
      </c>
      <c r="D678" t="s">
        <v>102</v>
      </c>
      <c r="E678" t="s">
        <v>106</v>
      </c>
      <c r="F678">
        <v>163</v>
      </c>
      <c r="G678">
        <v>166.3</v>
      </c>
      <c r="H678">
        <v>117.7</v>
      </c>
      <c r="I678">
        <v>10.7</v>
      </c>
      <c r="J678">
        <v>-9.6</v>
      </c>
      <c r="K678">
        <v>55.1</v>
      </c>
      <c r="L678">
        <v>-36</v>
      </c>
      <c r="M678">
        <v>82.7</v>
      </c>
      <c r="N678">
        <v>1.42</v>
      </c>
      <c r="O678">
        <v>34.6</v>
      </c>
      <c r="P678"/>
      <c r="Q678"/>
      <c r="R678"/>
    </row>
    <row r="679" spans="1:18" x14ac:dyDescent="0.25">
      <c r="A679" s="34" t="s">
        <v>126</v>
      </c>
      <c r="B679" s="10">
        <v>45895</v>
      </c>
      <c r="C679" t="s">
        <v>109</v>
      </c>
      <c r="D679" t="s">
        <v>102</v>
      </c>
      <c r="E679" t="s">
        <v>106</v>
      </c>
      <c r="F679">
        <v>126.9</v>
      </c>
      <c r="G679">
        <v>136.80000000000001</v>
      </c>
      <c r="H679">
        <v>101.6</v>
      </c>
      <c r="I679">
        <v>13.4</v>
      </c>
      <c r="J679">
        <v>-9.5</v>
      </c>
      <c r="K679">
        <v>45.2</v>
      </c>
      <c r="L679">
        <v>-34.4</v>
      </c>
      <c r="M679">
        <v>82.1</v>
      </c>
      <c r="N679">
        <v>1.24</v>
      </c>
      <c r="O679">
        <v>32.5</v>
      </c>
      <c r="P679"/>
      <c r="Q679"/>
      <c r="R679"/>
    </row>
    <row r="680" spans="1:18" x14ac:dyDescent="0.25">
      <c r="A680" s="34" t="s">
        <v>126</v>
      </c>
      <c r="B680" s="10">
        <v>45895</v>
      </c>
      <c r="C680" t="s">
        <v>109</v>
      </c>
      <c r="D680" t="s">
        <v>102</v>
      </c>
      <c r="E680" t="s">
        <v>106</v>
      </c>
      <c r="F680">
        <v>134.6</v>
      </c>
      <c r="G680">
        <v>144.4</v>
      </c>
      <c r="H680">
        <v>101.7</v>
      </c>
      <c r="I680">
        <v>13.2</v>
      </c>
      <c r="J680">
        <v>-6.5</v>
      </c>
      <c r="K680">
        <v>44.6</v>
      </c>
      <c r="L680">
        <v>-15.2</v>
      </c>
      <c r="M680">
        <v>82.7</v>
      </c>
      <c r="N680">
        <v>1.23</v>
      </c>
      <c r="O680">
        <v>32.1</v>
      </c>
      <c r="P680"/>
      <c r="Q680"/>
      <c r="R680"/>
    </row>
    <row r="681" spans="1:18" x14ac:dyDescent="0.25">
      <c r="A681" s="34" t="s">
        <v>126</v>
      </c>
      <c r="B681" s="10">
        <v>45895</v>
      </c>
      <c r="C681" t="s">
        <v>109</v>
      </c>
      <c r="D681" t="s">
        <v>102</v>
      </c>
      <c r="E681" t="s">
        <v>106</v>
      </c>
      <c r="F681">
        <v>148.80000000000001</v>
      </c>
      <c r="G681">
        <v>156.4</v>
      </c>
      <c r="H681">
        <v>106.1</v>
      </c>
      <c r="I681">
        <v>18.100000000000001</v>
      </c>
      <c r="J681">
        <v>-4.5999999999999996</v>
      </c>
      <c r="K681">
        <v>72.7</v>
      </c>
      <c r="L681">
        <v>-12</v>
      </c>
      <c r="M681">
        <v>80.5</v>
      </c>
      <c r="N681">
        <v>1.32</v>
      </c>
      <c r="O681">
        <v>42</v>
      </c>
      <c r="P681"/>
      <c r="Q681"/>
      <c r="R681"/>
    </row>
    <row r="682" spans="1:18" x14ac:dyDescent="0.25">
      <c r="A682" s="34" t="s">
        <v>126</v>
      </c>
      <c r="B682" s="10">
        <v>45895</v>
      </c>
      <c r="C682" t="s">
        <v>109</v>
      </c>
      <c r="D682" t="s">
        <v>102</v>
      </c>
      <c r="E682" t="s">
        <v>106</v>
      </c>
      <c r="F682">
        <v>160.80000000000001</v>
      </c>
      <c r="G682">
        <v>172.9</v>
      </c>
      <c r="H682">
        <v>117.8</v>
      </c>
      <c r="I682">
        <v>10.5</v>
      </c>
      <c r="J682">
        <v>-4.8</v>
      </c>
      <c r="K682">
        <v>54.1</v>
      </c>
      <c r="L682">
        <v>1</v>
      </c>
      <c r="M682">
        <v>84.5</v>
      </c>
      <c r="N682">
        <v>1.39</v>
      </c>
      <c r="O682">
        <v>34.200000000000003</v>
      </c>
      <c r="P682"/>
      <c r="Q682"/>
      <c r="R682"/>
    </row>
    <row r="683" spans="1:18" x14ac:dyDescent="0.25">
      <c r="A683" s="34" t="s">
        <v>126</v>
      </c>
      <c r="B683" s="10">
        <v>45895</v>
      </c>
      <c r="C683" t="s">
        <v>109</v>
      </c>
      <c r="D683" t="s">
        <v>102</v>
      </c>
      <c r="E683" t="s">
        <v>106</v>
      </c>
      <c r="F683">
        <v>177.2</v>
      </c>
      <c r="G683">
        <v>188.2</v>
      </c>
      <c r="H683">
        <v>115</v>
      </c>
      <c r="I683">
        <v>18.8</v>
      </c>
      <c r="J683">
        <v>0.3</v>
      </c>
      <c r="K683">
        <v>92.2</v>
      </c>
      <c r="L683">
        <v>10.7</v>
      </c>
      <c r="M683">
        <v>84</v>
      </c>
      <c r="N683">
        <v>1.37</v>
      </c>
      <c r="O683">
        <v>46.1</v>
      </c>
      <c r="P683"/>
      <c r="Q683"/>
      <c r="R683"/>
    </row>
    <row r="684" spans="1:18" x14ac:dyDescent="0.25">
      <c r="A684" s="34" t="s">
        <v>126</v>
      </c>
      <c r="B684" s="10">
        <v>45895</v>
      </c>
      <c r="C684" t="s">
        <v>109</v>
      </c>
      <c r="D684" t="s">
        <v>102</v>
      </c>
      <c r="E684" t="s">
        <v>106</v>
      </c>
      <c r="F684">
        <v>140</v>
      </c>
      <c r="G684">
        <v>153.19999999999999</v>
      </c>
      <c r="H684">
        <v>107</v>
      </c>
      <c r="I684">
        <v>10.4</v>
      </c>
      <c r="J684">
        <v>-7.5</v>
      </c>
      <c r="K684">
        <v>39.799999999999997</v>
      </c>
      <c r="L684">
        <v>-21.4</v>
      </c>
      <c r="M684">
        <v>83.4</v>
      </c>
      <c r="N684">
        <v>1.28</v>
      </c>
      <c r="O684">
        <v>29.4</v>
      </c>
      <c r="P684"/>
      <c r="Q684"/>
      <c r="R684"/>
    </row>
    <row r="685" spans="1:18" x14ac:dyDescent="0.25">
      <c r="A685" s="34" t="s">
        <v>126</v>
      </c>
      <c r="B685" s="10">
        <v>45895</v>
      </c>
      <c r="C685" t="s">
        <v>109</v>
      </c>
      <c r="D685" t="s">
        <v>102</v>
      </c>
      <c r="E685" t="s">
        <v>106</v>
      </c>
      <c r="F685">
        <v>70</v>
      </c>
      <c r="G685">
        <v>86.4</v>
      </c>
      <c r="H685">
        <v>73.900000000000006</v>
      </c>
      <c r="I685">
        <v>12.6</v>
      </c>
      <c r="J685">
        <v>-19</v>
      </c>
      <c r="K685">
        <v>14.9</v>
      </c>
      <c r="L685">
        <v>-22.8</v>
      </c>
      <c r="M685">
        <v>81.7</v>
      </c>
      <c r="N685">
        <v>0.9</v>
      </c>
      <c r="O685">
        <v>18.8</v>
      </c>
      <c r="P685"/>
      <c r="Q685"/>
      <c r="R685"/>
    </row>
    <row r="686" spans="1:18" x14ac:dyDescent="0.25">
      <c r="A686" s="34" t="s">
        <v>126</v>
      </c>
      <c r="B686" s="10">
        <v>45895</v>
      </c>
      <c r="C686" t="s">
        <v>109</v>
      </c>
      <c r="D686" t="s">
        <v>102</v>
      </c>
      <c r="E686" t="s">
        <v>106</v>
      </c>
      <c r="F686">
        <v>149.9</v>
      </c>
      <c r="G686">
        <v>163</v>
      </c>
      <c r="H686">
        <v>111.8</v>
      </c>
      <c r="I686">
        <v>11.3</v>
      </c>
      <c r="J686">
        <v>-4.7</v>
      </c>
      <c r="K686">
        <v>50</v>
      </c>
      <c r="L686">
        <v>-12.4</v>
      </c>
      <c r="M686">
        <v>84.5</v>
      </c>
      <c r="N686">
        <v>1.32</v>
      </c>
      <c r="O686">
        <v>33.299999999999997</v>
      </c>
      <c r="P686"/>
      <c r="Q686"/>
      <c r="R686"/>
    </row>
    <row r="687" spans="1:18" x14ac:dyDescent="0.25">
      <c r="A687" s="34" t="s">
        <v>126</v>
      </c>
      <c r="B687" s="10">
        <v>45895</v>
      </c>
      <c r="C687" t="s">
        <v>109</v>
      </c>
      <c r="D687" t="s">
        <v>102</v>
      </c>
      <c r="E687" t="s">
        <v>106</v>
      </c>
      <c r="F687">
        <v>171.8</v>
      </c>
      <c r="G687">
        <v>180.5</v>
      </c>
      <c r="H687">
        <v>118.1</v>
      </c>
      <c r="I687">
        <v>15</v>
      </c>
      <c r="J687">
        <v>-4.8</v>
      </c>
      <c r="K687">
        <v>78.099999999999994</v>
      </c>
      <c r="L687">
        <v>-5.8</v>
      </c>
      <c r="M687">
        <v>82.4</v>
      </c>
      <c r="N687">
        <v>1.43</v>
      </c>
      <c r="O687">
        <v>41.8</v>
      </c>
      <c r="P687"/>
      <c r="Q687"/>
      <c r="R687"/>
    </row>
    <row r="688" spans="1:18" x14ac:dyDescent="0.25">
      <c r="A688" s="34" t="s">
        <v>126</v>
      </c>
      <c r="B688" s="10">
        <v>45895</v>
      </c>
      <c r="C688" t="s">
        <v>109</v>
      </c>
      <c r="D688" t="s">
        <v>102</v>
      </c>
      <c r="E688" t="s">
        <v>106</v>
      </c>
      <c r="F688">
        <v>164.1</v>
      </c>
      <c r="G688">
        <v>175</v>
      </c>
      <c r="H688">
        <v>115</v>
      </c>
      <c r="I688">
        <v>12.3</v>
      </c>
      <c r="J688">
        <v>-8.9</v>
      </c>
      <c r="K688">
        <v>59.4</v>
      </c>
      <c r="L688">
        <v>-23.2</v>
      </c>
      <c r="M688">
        <v>85</v>
      </c>
      <c r="N688">
        <v>1.35</v>
      </c>
      <c r="O688">
        <v>36.5</v>
      </c>
      <c r="P688"/>
      <c r="Q688"/>
      <c r="R688"/>
    </row>
    <row r="689" spans="1:18" x14ac:dyDescent="0.25">
      <c r="A689" s="34" t="s">
        <v>126</v>
      </c>
      <c r="B689" s="10">
        <v>45895</v>
      </c>
      <c r="C689" t="s">
        <v>109</v>
      </c>
      <c r="D689" t="s">
        <v>102</v>
      </c>
      <c r="E689" t="s">
        <v>106</v>
      </c>
      <c r="F689">
        <v>166.3</v>
      </c>
      <c r="G689">
        <v>176.1</v>
      </c>
      <c r="H689">
        <v>119</v>
      </c>
      <c r="I689">
        <v>10.7</v>
      </c>
      <c r="J689">
        <v>-9.3000000000000007</v>
      </c>
      <c r="K689">
        <v>56.5</v>
      </c>
      <c r="L689">
        <v>-30.3</v>
      </c>
      <c r="M689">
        <v>82.2</v>
      </c>
      <c r="N689">
        <v>1.45</v>
      </c>
      <c r="O689">
        <v>34.799999999999997</v>
      </c>
      <c r="P689"/>
      <c r="Q689"/>
      <c r="R689"/>
    </row>
    <row r="690" spans="1:18" x14ac:dyDescent="0.25">
      <c r="A690" s="34" t="s">
        <v>126</v>
      </c>
      <c r="B690" s="10">
        <v>45895</v>
      </c>
      <c r="C690" t="s">
        <v>109</v>
      </c>
      <c r="D690" t="s">
        <v>102</v>
      </c>
      <c r="E690" t="s">
        <v>106</v>
      </c>
      <c r="F690">
        <v>153.19999999999999</v>
      </c>
      <c r="G690">
        <v>161.9</v>
      </c>
      <c r="H690">
        <v>109.8</v>
      </c>
      <c r="I690">
        <v>13.9</v>
      </c>
      <c r="J690">
        <v>-5.2</v>
      </c>
      <c r="K690">
        <v>59.3</v>
      </c>
      <c r="L690">
        <v>-13.8</v>
      </c>
      <c r="M690">
        <v>83.3</v>
      </c>
      <c r="N690">
        <v>1.32</v>
      </c>
      <c r="O690">
        <v>37</v>
      </c>
      <c r="P690"/>
      <c r="Q690"/>
      <c r="R690"/>
    </row>
    <row r="691" spans="1:18" x14ac:dyDescent="0.25">
      <c r="A691" s="34" t="s">
        <v>126</v>
      </c>
      <c r="B691" s="10">
        <v>45895</v>
      </c>
      <c r="C691" t="s">
        <v>109</v>
      </c>
      <c r="D691" t="s">
        <v>102</v>
      </c>
      <c r="E691" t="s">
        <v>106</v>
      </c>
      <c r="F691">
        <v>171.8</v>
      </c>
      <c r="G691">
        <v>181.6</v>
      </c>
      <c r="H691">
        <v>121.1</v>
      </c>
      <c r="I691">
        <v>11.9</v>
      </c>
      <c r="J691">
        <v>-7.1</v>
      </c>
      <c r="K691">
        <v>65.599999999999994</v>
      </c>
      <c r="L691">
        <v>-12.9</v>
      </c>
      <c r="M691">
        <v>83.3</v>
      </c>
      <c r="N691">
        <v>1.45</v>
      </c>
      <c r="O691">
        <v>37.6</v>
      </c>
      <c r="P691"/>
      <c r="Q691"/>
      <c r="R691"/>
    </row>
    <row r="692" spans="1:18" x14ac:dyDescent="0.25">
      <c r="A692" s="34" t="s">
        <v>126</v>
      </c>
      <c r="B692" s="10">
        <v>45895</v>
      </c>
      <c r="C692" t="s">
        <v>109</v>
      </c>
      <c r="D692" t="s">
        <v>102</v>
      </c>
      <c r="E692" t="s">
        <v>106</v>
      </c>
      <c r="F692">
        <v>147.69999999999999</v>
      </c>
      <c r="G692">
        <v>158.6</v>
      </c>
      <c r="H692">
        <v>110.1</v>
      </c>
      <c r="I692">
        <v>10.8</v>
      </c>
      <c r="J692">
        <v>-8</v>
      </c>
      <c r="K692">
        <v>45.8</v>
      </c>
      <c r="L692">
        <v>-20.100000000000001</v>
      </c>
      <c r="M692">
        <v>86.3</v>
      </c>
      <c r="N692">
        <v>1.28</v>
      </c>
      <c r="O692">
        <v>31.8</v>
      </c>
      <c r="P692"/>
      <c r="Q692"/>
      <c r="R692"/>
    </row>
    <row r="693" spans="1:18" x14ac:dyDescent="0.25">
      <c r="A693" s="34" t="s">
        <v>126</v>
      </c>
      <c r="B693" s="10">
        <v>45895</v>
      </c>
      <c r="C693" t="s">
        <v>109</v>
      </c>
      <c r="D693" t="s">
        <v>102</v>
      </c>
      <c r="E693" t="s">
        <v>106</v>
      </c>
      <c r="F693">
        <v>157.5</v>
      </c>
      <c r="G693">
        <v>167.4</v>
      </c>
      <c r="H693">
        <v>111.8</v>
      </c>
      <c r="I693">
        <v>12.1</v>
      </c>
      <c r="J693">
        <v>-9.5</v>
      </c>
      <c r="K693">
        <v>53.7</v>
      </c>
      <c r="L693">
        <v>-29.6</v>
      </c>
      <c r="M693">
        <v>84</v>
      </c>
      <c r="N693">
        <v>1.33</v>
      </c>
      <c r="O693">
        <v>34.700000000000003</v>
      </c>
      <c r="P693"/>
      <c r="Q693"/>
      <c r="R693"/>
    </row>
    <row r="694" spans="1:18" x14ac:dyDescent="0.25">
      <c r="A694" s="34" t="s">
        <v>126</v>
      </c>
      <c r="B694" s="10">
        <v>45895</v>
      </c>
      <c r="C694" t="s">
        <v>109</v>
      </c>
      <c r="D694" t="s">
        <v>102</v>
      </c>
      <c r="E694" t="s">
        <v>106</v>
      </c>
      <c r="F694">
        <v>112.7</v>
      </c>
      <c r="G694">
        <v>135.69999999999999</v>
      </c>
      <c r="H694">
        <v>100.3</v>
      </c>
      <c r="I694">
        <v>10.9</v>
      </c>
      <c r="J694">
        <v>-8.4</v>
      </c>
      <c r="K694">
        <v>33.1</v>
      </c>
      <c r="L694">
        <v>-17.600000000000001</v>
      </c>
      <c r="M694">
        <v>83.3</v>
      </c>
      <c r="N694">
        <v>1.2</v>
      </c>
      <c r="O694">
        <v>26.5</v>
      </c>
      <c r="P694"/>
      <c r="Q694"/>
      <c r="R694"/>
    </row>
    <row r="695" spans="1:18" x14ac:dyDescent="0.25">
      <c r="A695" s="34" t="s">
        <v>126</v>
      </c>
      <c r="B695" s="10">
        <v>45895</v>
      </c>
      <c r="C695" t="s">
        <v>109</v>
      </c>
      <c r="D695" t="s">
        <v>102</v>
      </c>
      <c r="E695" t="s">
        <v>106</v>
      </c>
      <c r="F695">
        <v>167.4</v>
      </c>
      <c r="G695">
        <v>176.1</v>
      </c>
      <c r="H695">
        <v>117.4</v>
      </c>
      <c r="I695">
        <v>11.7</v>
      </c>
      <c r="J695">
        <v>-8.4</v>
      </c>
      <c r="K695">
        <v>59.9</v>
      </c>
      <c r="L695">
        <v>-20.7</v>
      </c>
      <c r="M695">
        <v>82.2</v>
      </c>
      <c r="N695">
        <v>1.43</v>
      </c>
      <c r="O695">
        <v>36.299999999999997</v>
      </c>
      <c r="P695"/>
      <c r="Q695"/>
      <c r="R695"/>
    </row>
    <row r="696" spans="1:18" x14ac:dyDescent="0.25">
      <c r="A696" s="34" t="s">
        <v>126</v>
      </c>
      <c r="B696" s="10">
        <v>45895</v>
      </c>
      <c r="C696" t="s">
        <v>97</v>
      </c>
      <c r="D696" t="s">
        <v>98</v>
      </c>
      <c r="E696" t="s">
        <v>99</v>
      </c>
      <c r="F696">
        <v>39.4</v>
      </c>
      <c r="G696">
        <v>42.7</v>
      </c>
      <c r="H696">
        <v>48.1</v>
      </c>
      <c r="I696">
        <v>51.8</v>
      </c>
      <c r="J696">
        <v>-2.5</v>
      </c>
      <c r="K696">
        <v>47.5</v>
      </c>
      <c r="L696">
        <v>-0.5</v>
      </c>
      <c r="M696">
        <v>55.1</v>
      </c>
      <c r="N696">
        <v>0.87</v>
      </c>
      <c r="O696">
        <v>58.5</v>
      </c>
      <c r="P696"/>
      <c r="Q696"/>
      <c r="R696"/>
    </row>
    <row r="697" spans="1:18" x14ac:dyDescent="0.25">
      <c r="A697" s="34" t="s">
        <v>126</v>
      </c>
      <c r="B697" s="10">
        <v>45895</v>
      </c>
      <c r="C697" t="s">
        <v>97</v>
      </c>
      <c r="D697" t="s">
        <v>98</v>
      </c>
      <c r="E697" t="s">
        <v>99</v>
      </c>
      <c r="F697">
        <v>53.6</v>
      </c>
      <c r="G697">
        <v>56.9</v>
      </c>
      <c r="H697">
        <v>53.9</v>
      </c>
      <c r="I697">
        <v>45</v>
      </c>
      <c r="J697">
        <v>-4.2</v>
      </c>
      <c r="K697">
        <v>49.7</v>
      </c>
      <c r="L697">
        <v>-2.2999999999999998</v>
      </c>
      <c r="M697">
        <v>55.7</v>
      </c>
      <c r="N697">
        <v>0.97</v>
      </c>
      <c r="O697">
        <v>53.3</v>
      </c>
      <c r="P697"/>
      <c r="Q697"/>
      <c r="R697"/>
    </row>
    <row r="698" spans="1:18" x14ac:dyDescent="0.25">
      <c r="A698" s="34" t="s">
        <v>126</v>
      </c>
      <c r="B698" s="10">
        <v>45895</v>
      </c>
      <c r="C698" t="s">
        <v>97</v>
      </c>
      <c r="D698" t="s">
        <v>98</v>
      </c>
      <c r="E698" t="s">
        <v>99</v>
      </c>
      <c r="F698">
        <v>45.9</v>
      </c>
      <c r="G698">
        <v>49.2</v>
      </c>
      <c r="H698">
        <v>51.4</v>
      </c>
      <c r="I698">
        <v>45.2</v>
      </c>
      <c r="J698">
        <v>-13.7</v>
      </c>
      <c r="K698">
        <v>45.6</v>
      </c>
      <c r="L698">
        <v>-10.8</v>
      </c>
      <c r="M698">
        <v>54.6</v>
      </c>
      <c r="N698">
        <v>0.94</v>
      </c>
      <c r="O698">
        <v>53.2</v>
      </c>
      <c r="P698"/>
      <c r="Q698"/>
      <c r="R698"/>
    </row>
    <row r="699" spans="1:18" x14ac:dyDescent="0.25">
      <c r="A699" s="34" t="s">
        <v>126</v>
      </c>
      <c r="B699" s="10">
        <v>45895</v>
      </c>
      <c r="C699" t="s">
        <v>97</v>
      </c>
      <c r="D699" t="s">
        <v>98</v>
      </c>
      <c r="E699" t="s">
        <v>99</v>
      </c>
      <c r="F699">
        <v>50.3</v>
      </c>
      <c r="G699">
        <v>53.6</v>
      </c>
      <c r="H699">
        <v>52.7</v>
      </c>
      <c r="I699">
        <v>45.8</v>
      </c>
      <c r="J699">
        <v>-5.7</v>
      </c>
      <c r="K699">
        <v>48.6</v>
      </c>
      <c r="L699">
        <v>-7.5</v>
      </c>
      <c r="M699">
        <v>57.9</v>
      </c>
      <c r="N699">
        <v>0.91</v>
      </c>
      <c r="O699">
        <v>53.9</v>
      </c>
      <c r="P699"/>
      <c r="Q699"/>
      <c r="R699"/>
    </row>
    <row r="700" spans="1:18" x14ac:dyDescent="0.25">
      <c r="A700" s="34" t="s">
        <v>126</v>
      </c>
      <c r="B700" s="10">
        <v>45895</v>
      </c>
      <c r="C700" t="s">
        <v>97</v>
      </c>
      <c r="D700" t="s">
        <v>98</v>
      </c>
      <c r="E700" t="s">
        <v>99</v>
      </c>
      <c r="F700">
        <v>29.5</v>
      </c>
      <c r="G700">
        <v>33.9</v>
      </c>
      <c r="H700">
        <v>38.1</v>
      </c>
      <c r="I700">
        <v>40.9</v>
      </c>
      <c r="J700">
        <v>-7.2</v>
      </c>
      <c r="K700">
        <v>21.7</v>
      </c>
      <c r="L700">
        <v>-3.3</v>
      </c>
      <c r="M700">
        <v>38.5</v>
      </c>
      <c r="N700">
        <v>0.99</v>
      </c>
      <c r="O700">
        <v>44.8</v>
      </c>
      <c r="P700"/>
      <c r="Q700"/>
      <c r="R700"/>
    </row>
    <row r="701" spans="1:18" x14ac:dyDescent="0.25">
      <c r="A701" s="34" t="s">
        <v>126</v>
      </c>
      <c r="B701" s="10">
        <v>45895</v>
      </c>
      <c r="C701" t="s">
        <v>97</v>
      </c>
      <c r="D701" t="s">
        <v>98</v>
      </c>
      <c r="E701" t="s">
        <v>99</v>
      </c>
      <c r="F701">
        <v>48.1</v>
      </c>
      <c r="G701">
        <v>54.7</v>
      </c>
      <c r="H701">
        <v>51.1</v>
      </c>
      <c r="I701">
        <v>37.6</v>
      </c>
      <c r="J701">
        <v>-8.5</v>
      </c>
      <c r="K701">
        <v>35.200000000000003</v>
      </c>
      <c r="L701">
        <v>-9.5</v>
      </c>
      <c r="M701">
        <v>49.4</v>
      </c>
      <c r="N701">
        <v>1.04</v>
      </c>
      <c r="O701">
        <v>45</v>
      </c>
      <c r="P701"/>
      <c r="Q701"/>
      <c r="R701"/>
    </row>
    <row r="702" spans="1:18" x14ac:dyDescent="0.25">
      <c r="A702" s="34" t="s">
        <v>126</v>
      </c>
      <c r="B702" s="10">
        <v>45895</v>
      </c>
      <c r="C702" t="s">
        <v>97</v>
      </c>
      <c r="D702" t="s">
        <v>98</v>
      </c>
      <c r="E702" t="s">
        <v>99</v>
      </c>
      <c r="F702">
        <v>24.1</v>
      </c>
      <c r="G702">
        <v>28.4</v>
      </c>
      <c r="H702">
        <v>36.200000000000003</v>
      </c>
      <c r="I702">
        <v>40.6</v>
      </c>
      <c r="J702">
        <v>-8.4</v>
      </c>
      <c r="K702">
        <v>19.2</v>
      </c>
      <c r="L702">
        <v>-3.7</v>
      </c>
      <c r="M702">
        <v>39.9</v>
      </c>
      <c r="N702">
        <v>0.91</v>
      </c>
      <c r="O702">
        <v>44.1</v>
      </c>
      <c r="P702"/>
      <c r="Q702"/>
      <c r="R702"/>
    </row>
    <row r="703" spans="1:18" x14ac:dyDescent="0.25">
      <c r="A703" s="34" t="s">
        <v>126</v>
      </c>
      <c r="B703" s="10">
        <v>45895</v>
      </c>
      <c r="C703" t="s">
        <v>97</v>
      </c>
      <c r="D703" t="s">
        <v>98</v>
      </c>
      <c r="E703" t="s">
        <v>99</v>
      </c>
      <c r="F703">
        <v>41.6</v>
      </c>
      <c r="G703">
        <v>47</v>
      </c>
      <c r="H703">
        <v>48.9</v>
      </c>
      <c r="I703">
        <v>42.3</v>
      </c>
      <c r="J703">
        <v>-13.1</v>
      </c>
      <c r="K703">
        <v>37.799999999999997</v>
      </c>
      <c r="L703">
        <v>-10</v>
      </c>
      <c r="M703">
        <v>46.6</v>
      </c>
      <c r="N703">
        <v>1.05</v>
      </c>
      <c r="O703">
        <v>49.4</v>
      </c>
      <c r="P703"/>
      <c r="Q703"/>
      <c r="R703"/>
    </row>
    <row r="704" spans="1:18" x14ac:dyDescent="0.25">
      <c r="A704" s="34" t="s">
        <v>126</v>
      </c>
      <c r="B704" s="10">
        <v>45895</v>
      </c>
      <c r="C704" t="s">
        <v>97</v>
      </c>
      <c r="D704" t="s">
        <v>98</v>
      </c>
      <c r="E704" t="s">
        <v>99</v>
      </c>
      <c r="F704">
        <v>21.9</v>
      </c>
      <c r="G704">
        <v>28.4</v>
      </c>
      <c r="H704">
        <v>35</v>
      </c>
      <c r="I704">
        <v>36.6</v>
      </c>
      <c r="J704">
        <v>-10.4</v>
      </c>
      <c r="K704">
        <v>15.3</v>
      </c>
      <c r="L704">
        <v>-4.2</v>
      </c>
      <c r="M704">
        <v>33.6</v>
      </c>
      <c r="N704">
        <v>1.04</v>
      </c>
      <c r="O704">
        <v>39.700000000000003</v>
      </c>
      <c r="P704"/>
      <c r="Q704"/>
      <c r="R704"/>
    </row>
    <row r="705" spans="1:18" x14ac:dyDescent="0.25">
      <c r="A705" s="34" t="s">
        <v>126</v>
      </c>
      <c r="B705" s="10">
        <v>45895</v>
      </c>
      <c r="C705" t="s">
        <v>97</v>
      </c>
      <c r="D705" t="s">
        <v>98</v>
      </c>
      <c r="E705" t="s">
        <v>99</v>
      </c>
      <c r="F705">
        <v>40.5</v>
      </c>
      <c r="G705">
        <v>43.8</v>
      </c>
      <c r="H705">
        <v>48.2</v>
      </c>
      <c r="I705">
        <v>47.4</v>
      </c>
      <c r="J705">
        <v>-14.9</v>
      </c>
      <c r="K705">
        <v>42.8</v>
      </c>
      <c r="L705">
        <v>-9.9</v>
      </c>
      <c r="M705">
        <v>49.4</v>
      </c>
      <c r="N705">
        <v>0.98</v>
      </c>
      <c r="O705">
        <v>54.5</v>
      </c>
      <c r="P705"/>
      <c r="Q705"/>
      <c r="R705"/>
    </row>
    <row r="706" spans="1:18" x14ac:dyDescent="0.25">
      <c r="A706" s="34" t="s">
        <v>126</v>
      </c>
      <c r="B706" s="10">
        <v>45895</v>
      </c>
      <c r="C706" t="s">
        <v>97</v>
      </c>
      <c r="D706" t="s">
        <v>98</v>
      </c>
      <c r="E706" t="s">
        <v>99</v>
      </c>
      <c r="F706">
        <v>40.5</v>
      </c>
      <c r="G706">
        <v>43.8</v>
      </c>
      <c r="H706">
        <v>45.3</v>
      </c>
      <c r="I706">
        <v>42.3</v>
      </c>
      <c r="J706">
        <v>-15.6</v>
      </c>
      <c r="K706">
        <v>32.4</v>
      </c>
      <c r="L706">
        <v>-10.9</v>
      </c>
      <c r="M706">
        <v>46.1</v>
      </c>
      <c r="N706">
        <v>0.98</v>
      </c>
      <c r="O706">
        <v>48.4</v>
      </c>
      <c r="P706"/>
      <c r="Q706"/>
      <c r="R706"/>
    </row>
    <row r="707" spans="1:18" x14ac:dyDescent="0.25">
      <c r="A707" s="34" t="s">
        <v>126</v>
      </c>
      <c r="B707" s="10">
        <v>45895</v>
      </c>
      <c r="C707" t="s">
        <v>110</v>
      </c>
      <c r="D707" t="s">
        <v>102</v>
      </c>
      <c r="E707" t="s">
        <v>106</v>
      </c>
      <c r="F707">
        <v>168.5</v>
      </c>
      <c r="G707">
        <v>179.4</v>
      </c>
      <c r="H707">
        <v>118</v>
      </c>
      <c r="I707">
        <v>12.9</v>
      </c>
      <c r="J707">
        <v>-0.2</v>
      </c>
      <c r="K707">
        <v>66.599999999999994</v>
      </c>
      <c r="L707">
        <v>22</v>
      </c>
      <c r="M707">
        <v>86.1</v>
      </c>
      <c r="N707">
        <v>1.37</v>
      </c>
      <c r="O707">
        <v>38.4</v>
      </c>
      <c r="P707"/>
      <c r="Q707"/>
      <c r="R707"/>
    </row>
    <row r="708" spans="1:18" x14ac:dyDescent="0.25">
      <c r="A708" s="34" t="s">
        <v>126</v>
      </c>
      <c r="B708" s="10">
        <v>45895</v>
      </c>
      <c r="C708" t="s">
        <v>110</v>
      </c>
      <c r="D708" t="s">
        <v>102</v>
      </c>
      <c r="E708" t="s">
        <v>106</v>
      </c>
      <c r="F708">
        <v>159.69999999999999</v>
      </c>
      <c r="G708">
        <v>170.7</v>
      </c>
      <c r="H708">
        <v>115.5</v>
      </c>
      <c r="I708">
        <v>11.7</v>
      </c>
      <c r="J708">
        <v>-3.1</v>
      </c>
      <c r="K708">
        <v>56.8</v>
      </c>
      <c r="L708">
        <v>6.7</v>
      </c>
      <c r="M708">
        <v>85</v>
      </c>
      <c r="N708">
        <v>1.36</v>
      </c>
      <c r="O708">
        <v>35.299999999999997</v>
      </c>
      <c r="P708"/>
      <c r="Q708"/>
      <c r="R708"/>
    </row>
    <row r="709" spans="1:18" x14ac:dyDescent="0.25">
      <c r="A709" s="34" t="s">
        <v>126</v>
      </c>
      <c r="B709" s="10">
        <v>45895</v>
      </c>
      <c r="C709" t="s">
        <v>110</v>
      </c>
      <c r="D709" t="s">
        <v>102</v>
      </c>
      <c r="E709" t="s">
        <v>106</v>
      </c>
      <c r="F709">
        <v>154.30000000000001</v>
      </c>
      <c r="G709">
        <v>167.4</v>
      </c>
      <c r="H709">
        <v>113.5</v>
      </c>
      <c r="I709">
        <v>13</v>
      </c>
      <c r="J709">
        <v>-3.3</v>
      </c>
      <c r="K709">
        <v>60.5</v>
      </c>
      <c r="L709">
        <v>13.9</v>
      </c>
      <c r="M709">
        <v>86.1</v>
      </c>
      <c r="N709">
        <v>1.32</v>
      </c>
      <c r="O709">
        <v>36.9</v>
      </c>
      <c r="P709"/>
      <c r="Q709"/>
      <c r="R709"/>
    </row>
    <row r="710" spans="1:18" x14ac:dyDescent="0.25">
      <c r="A710" s="34" t="s">
        <v>126</v>
      </c>
      <c r="B710" s="10">
        <v>45895</v>
      </c>
      <c r="C710" t="s">
        <v>110</v>
      </c>
      <c r="D710" t="s">
        <v>102</v>
      </c>
      <c r="E710" t="s">
        <v>106</v>
      </c>
      <c r="F710">
        <v>49.2</v>
      </c>
      <c r="G710">
        <v>100.6</v>
      </c>
      <c r="H710">
        <v>97.6</v>
      </c>
      <c r="I710">
        <v>2.9</v>
      </c>
      <c r="J710">
        <v>5</v>
      </c>
      <c r="K710">
        <v>3.9</v>
      </c>
      <c r="L710">
        <v>7.8</v>
      </c>
      <c r="M710">
        <v>83.9</v>
      </c>
      <c r="N710">
        <v>1.1599999999999999</v>
      </c>
      <c r="O710">
        <v>5.6</v>
      </c>
      <c r="P710"/>
      <c r="Q710"/>
      <c r="R710"/>
    </row>
    <row r="711" spans="1:18" x14ac:dyDescent="0.25">
      <c r="A711" s="34" t="s">
        <v>126</v>
      </c>
      <c r="B711" s="10">
        <v>45895</v>
      </c>
      <c r="C711" t="s">
        <v>110</v>
      </c>
      <c r="D711" t="s">
        <v>102</v>
      </c>
      <c r="E711" t="s">
        <v>106</v>
      </c>
      <c r="F711">
        <v>165.2</v>
      </c>
      <c r="G711">
        <v>181.6</v>
      </c>
      <c r="H711">
        <v>121.2</v>
      </c>
      <c r="I711">
        <v>9.8000000000000007</v>
      </c>
      <c r="J711">
        <v>-4.5</v>
      </c>
      <c r="K711">
        <v>54.3</v>
      </c>
      <c r="L711">
        <v>-13.2</v>
      </c>
      <c r="M711">
        <v>85</v>
      </c>
      <c r="N711">
        <v>1.43</v>
      </c>
      <c r="O711">
        <v>33.799999999999997</v>
      </c>
      <c r="P711"/>
      <c r="Q711"/>
      <c r="R711"/>
    </row>
    <row r="712" spans="1:18" x14ac:dyDescent="0.25">
      <c r="A712" s="34" t="s">
        <v>126</v>
      </c>
      <c r="B712" s="10">
        <v>45895</v>
      </c>
      <c r="C712" t="s">
        <v>110</v>
      </c>
      <c r="D712" t="s">
        <v>102</v>
      </c>
      <c r="E712" t="s">
        <v>106</v>
      </c>
      <c r="F712">
        <v>159.69999999999999</v>
      </c>
      <c r="G712">
        <v>168.5</v>
      </c>
      <c r="H712">
        <v>112.6</v>
      </c>
      <c r="I712">
        <v>14.9</v>
      </c>
      <c r="J712">
        <v>-0.3</v>
      </c>
      <c r="K712">
        <v>68.7</v>
      </c>
      <c r="L712">
        <v>-0.9</v>
      </c>
      <c r="M712">
        <v>90</v>
      </c>
      <c r="N712">
        <v>1.25</v>
      </c>
      <c r="O712">
        <v>39.799999999999997</v>
      </c>
      <c r="P712"/>
      <c r="Q712"/>
      <c r="R712"/>
    </row>
    <row r="713" spans="1:18" x14ac:dyDescent="0.25">
      <c r="A713" s="34" t="s">
        <v>126</v>
      </c>
      <c r="B713" s="10">
        <v>45895</v>
      </c>
      <c r="C713" t="s">
        <v>110</v>
      </c>
      <c r="D713" t="s">
        <v>102</v>
      </c>
      <c r="E713" t="s">
        <v>106</v>
      </c>
      <c r="F713">
        <v>156.4</v>
      </c>
      <c r="G713">
        <v>170.7</v>
      </c>
      <c r="H713">
        <v>118.9</v>
      </c>
      <c r="I713">
        <v>7.7</v>
      </c>
      <c r="J713">
        <v>-7.9</v>
      </c>
      <c r="K713">
        <v>40.6</v>
      </c>
      <c r="L713">
        <v>-15.1</v>
      </c>
      <c r="M713">
        <v>84.4</v>
      </c>
      <c r="N713">
        <v>1.41</v>
      </c>
      <c r="O713">
        <v>28.5</v>
      </c>
      <c r="P713"/>
      <c r="Q713"/>
      <c r="R713"/>
    </row>
    <row r="714" spans="1:18" x14ac:dyDescent="0.25">
      <c r="A714" s="34" t="s">
        <v>126</v>
      </c>
      <c r="B714" s="10">
        <v>45895</v>
      </c>
      <c r="C714" t="s">
        <v>110</v>
      </c>
      <c r="D714" t="s">
        <v>102</v>
      </c>
      <c r="E714" t="s">
        <v>106</v>
      </c>
      <c r="F714">
        <v>168.5</v>
      </c>
      <c r="G714">
        <v>182.7</v>
      </c>
      <c r="H714">
        <v>116.3</v>
      </c>
      <c r="I714">
        <v>12.2</v>
      </c>
      <c r="J714">
        <v>-3</v>
      </c>
      <c r="K714">
        <v>60.6</v>
      </c>
      <c r="L714">
        <v>0.9</v>
      </c>
      <c r="M714">
        <v>85.6</v>
      </c>
      <c r="N714">
        <v>1.36</v>
      </c>
      <c r="O714">
        <v>36.6</v>
      </c>
      <c r="P714"/>
      <c r="Q714"/>
      <c r="R714"/>
    </row>
    <row r="715" spans="1:18" x14ac:dyDescent="0.25">
      <c r="A715" s="34" t="s">
        <v>126</v>
      </c>
      <c r="B715" s="10">
        <v>45895</v>
      </c>
      <c r="C715" t="s">
        <v>110</v>
      </c>
      <c r="D715" t="s">
        <v>102</v>
      </c>
      <c r="E715" t="s">
        <v>106</v>
      </c>
      <c r="F715">
        <v>172.9</v>
      </c>
      <c r="G715">
        <v>181.6</v>
      </c>
      <c r="H715">
        <v>122.9</v>
      </c>
      <c r="I715">
        <v>11.4</v>
      </c>
      <c r="J715">
        <v>-4.9000000000000004</v>
      </c>
      <c r="K715">
        <v>65.7</v>
      </c>
      <c r="L715">
        <v>5.6</v>
      </c>
      <c r="M715">
        <v>85.6</v>
      </c>
      <c r="N715">
        <v>1.44</v>
      </c>
      <c r="O715">
        <v>37.4</v>
      </c>
      <c r="P715"/>
      <c r="Q715"/>
      <c r="R715"/>
    </row>
    <row r="716" spans="1:18" x14ac:dyDescent="0.25">
      <c r="A716" s="34" t="s">
        <v>126</v>
      </c>
      <c r="B716" s="10">
        <v>45895</v>
      </c>
      <c r="C716" t="s">
        <v>110</v>
      </c>
      <c r="D716" t="s">
        <v>102</v>
      </c>
      <c r="E716" t="s">
        <v>106</v>
      </c>
      <c r="F716">
        <v>178.3</v>
      </c>
      <c r="G716">
        <v>187.1</v>
      </c>
      <c r="H716">
        <v>124.9</v>
      </c>
      <c r="I716">
        <v>11.4</v>
      </c>
      <c r="J716">
        <v>-6.7</v>
      </c>
      <c r="K716">
        <v>68.7</v>
      </c>
      <c r="L716">
        <v>-6.3</v>
      </c>
      <c r="M716">
        <v>87.6</v>
      </c>
      <c r="N716">
        <v>1.43</v>
      </c>
      <c r="O716">
        <v>38.200000000000003</v>
      </c>
      <c r="P716"/>
      <c r="Q716"/>
      <c r="R716"/>
    </row>
    <row r="717" spans="1:18" x14ac:dyDescent="0.25">
      <c r="A717" s="34" t="s">
        <v>126</v>
      </c>
      <c r="B717" s="10">
        <v>45895</v>
      </c>
      <c r="C717" t="s">
        <v>110</v>
      </c>
      <c r="D717" t="s">
        <v>102</v>
      </c>
      <c r="E717" t="s">
        <v>106</v>
      </c>
      <c r="F717">
        <v>176.1</v>
      </c>
      <c r="G717">
        <v>182.7</v>
      </c>
      <c r="H717">
        <v>119.8</v>
      </c>
      <c r="I717">
        <v>18.3</v>
      </c>
      <c r="J717">
        <v>-1.4</v>
      </c>
      <c r="K717">
        <v>98.6</v>
      </c>
      <c r="L717">
        <v>-4</v>
      </c>
      <c r="M717">
        <v>86.7</v>
      </c>
      <c r="N717">
        <v>1.38</v>
      </c>
      <c r="O717">
        <v>46.8</v>
      </c>
      <c r="P717"/>
      <c r="Q717"/>
      <c r="R717"/>
    </row>
    <row r="718" spans="1:18" x14ac:dyDescent="0.25">
      <c r="A718" s="34" t="s">
        <v>126</v>
      </c>
      <c r="B718" s="10">
        <v>45895</v>
      </c>
      <c r="C718" t="s">
        <v>110</v>
      </c>
      <c r="D718" t="s">
        <v>102</v>
      </c>
      <c r="E718" t="s">
        <v>106</v>
      </c>
      <c r="F718">
        <v>178.3</v>
      </c>
      <c r="G718">
        <v>189.3</v>
      </c>
      <c r="H718">
        <v>123.4</v>
      </c>
      <c r="I718">
        <v>10.7</v>
      </c>
      <c r="J718">
        <v>-5.5</v>
      </c>
      <c r="K718">
        <v>62.5</v>
      </c>
      <c r="L718">
        <v>-3.1</v>
      </c>
      <c r="M718">
        <v>86.7</v>
      </c>
      <c r="N718">
        <v>1.42</v>
      </c>
      <c r="O718">
        <v>36.4</v>
      </c>
      <c r="P718"/>
      <c r="Q718"/>
      <c r="R718"/>
    </row>
    <row r="719" spans="1:18" x14ac:dyDescent="0.25">
      <c r="A719" s="34" t="s">
        <v>126</v>
      </c>
      <c r="B719" s="10">
        <v>45895</v>
      </c>
      <c r="C719" t="s">
        <v>110</v>
      </c>
      <c r="D719" t="s">
        <v>102</v>
      </c>
      <c r="E719" t="s">
        <v>106</v>
      </c>
      <c r="F719">
        <v>151</v>
      </c>
      <c r="G719">
        <v>164.1</v>
      </c>
      <c r="H719">
        <v>116.4</v>
      </c>
      <c r="I719">
        <v>8.5</v>
      </c>
      <c r="J719">
        <v>-7.2</v>
      </c>
      <c r="K719">
        <v>41.4</v>
      </c>
      <c r="L719">
        <v>-3.5</v>
      </c>
      <c r="M719">
        <v>85.1</v>
      </c>
      <c r="N719">
        <v>1.37</v>
      </c>
      <c r="O719">
        <v>29</v>
      </c>
      <c r="P719"/>
      <c r="Q719"/>
      <c r="R719"/>
    </row>
    <row r="720" spans="1:18" x14ac:dyDescent="0.25">
      <c r="A720" s="34" t="s">
        <v>126</v>
      </c>
      <c r="B720" s="10">
        <v>45895</v>
      </c>
      <c r="C720" t="s">
        <v>110</v>
      </c>
      <c r="D720" t="s">
        <v>102</v>
      </c>
      <c r="E720" t="s">
        <v>106</v>
      </c>
      <c r="F720">
        <v>175</v>
      </c>
      <c r="G720">
        <v>182.7</v>
      </c>
      <c r="H720">
        <v>119.8</v>
      </c>
      <c r="I720">
        <v>15.8</v>
      </c>
      <c r="J720">
        <v>-6.2</v>
      </c>
      <c r="K720">
        <v>85.3</v>
      </c>
      <c r="L720">
        <v>-19</v>
      </c>
      <c r="M720">
        <v>84.5</v>
      </c>
      <c r="N720">
        <v>1.42</v>
      </c>
      <c r="O720">
        <v>43.4</v>
      </c>
      <c r="P720"/>
      <c r="Q720"/>
      <c r="R720"/>
    </row>
    <row r="721" spans="1:18" x14ac:dyDescent="0.25">
      <c r="A721" s="34" t="s">
        <v>126</v>
      </c>
      <c r="B721" s="10">
        <v>45895</v>
      </c>
      <c r="C721" t="s">
        <v>110</v>
      </c>
      <c r="D721" t="s">
        <v>102</v>
      </c>
      <c r="E721" t="s">
        <v>106</v>
      </c>
      <c r="F721">
        <v>124.7</v>
      </c>
      <c r="G721">
        <v>147.69999999999999</v>
      </c>
      <c r="H721">
        <v>108</v>
      </c>
      <c r="I721">
        <v>9.6</v>
      </c>
      <c r="J721">
        <v>-8.8000000000000007</v>
      </c>
      <c r="K721">
        <v>36.4</v>
      </c>
      <c r="L721">
        <v>-13.4</v>
      </c>
      <c r="M721">
        <v>85</v>
      </c>
      <c r="N721">
        <v>1.27</v>
      </c>
      <c r="O721">
        <v>27.4</v>
      </c>
      <c r="P721"/>
      <c r="Q721"/>
      <c r="R721"/>
    </row>
    <row r="722" spans="1:18" x14ac:dyDescent="0.25">
      <c r="A722" s="34" t="s">
        <v>126</v>
      </c>
      <c r="B722" s="10">
        <v>45895</v>
      </c>
      <c r="C722" t="s">
        <v>110</v>
      </c>
      <c r="D722" t="s">
        <v>102</v>
      </c>
      <c r="E722" t="s">
        <v>106</v>
      </c>
      <c r="F722">
        <v>176.1</v>
      </c>
      <c r="G722">
        <v>187.1</v>
      </c>
      <c r="H722">
        <v>124.4</v>
      </c>
      <c r="I722">
        <v>9.3000000000000007</v>
      </c>
      <c r="J722">
        <v>-8.8000000000000007</v>
      </c>
      <c r="K722">
        <v>55.6</v>
      </c>
      <c r="L722">
        <v>-17.899999999999999</v>
      </c>
      <c r="M722">
        <v>86.2</v>
      </c>
      <c r="N722">
        <v>1.44</v>
      </c>
      <c r="O722">
        <v>33.799999999999997</v>
      </c>
      <c r="P722"/>
      <c r="Q722"/>
      <c r="R722"/>
    </row>
    <row r="723" spans="1:18" x14ac:dyDescent="0.25">
      <c r="A723" s="34" t="s">
        <v>126</v>
      </c>
      <c r="B723" s="10">
        <v>45895</v>
      </c>
      <c r="C723" t="s">
        <v>110</v>
      </c>
      <c r="D723" t="s">
        <v>102</v>
      </c>
      <c r="E723" t="s">
        <v>106</v>
      </c>
      <c r="F723">
        <v>147.69999999999999</v>
      </c>
      <c r="G723">
        <v>159.69999999999999</v>
      </c>
      <c r="H723">
        <v>114.9</v>
      </c>
      <c r="I723">
        <v>8.6</v>
      </c>
      <c r="J723">
        <v>-6</v>
      </c>
      <c r="K723">
        <v>40.1</v>
      </c>
      <c r="L723">
        <v>4.9000000000000004</v>
      </c>
      <c r="M723">
        <v>86.1</v>
      </c>
      <c r="N723">
        <v>1.33</v>
      </c>
      <c r="O723">
        <v>28.7</v>
      </c>
      <c r="P723"/>
      <c r="Q723"/>
      <c r="R723"/>
    </row>
    <row r="724" spans="1:18" x14ac:dyDescent="0.25">
      <c r="A724" s="34" t="s">
        <v>126</v>
      </c>
      <c r="B724" s="10">
        <v>45895</v>
      </c>
      <c r="C724" t="s">
        <v>110</v>
      </c>
      <c r="D724" t="s">
        <v>102</v>
      </c>
      <c r="E724" t="s">
        <v>106</v>
      </c>
      <c r="F724">
        <v>173.9</v>
      </c>
      <c r="G724">
        <v>182.7</v>
      </c>
      <c r="H724">
        <v>120.7</v>
      </c>
      <c r="I724">
        <v>15.2</v>
      </c>
      <c r="J724">
        <v>-1.4</v>
      </c>
      <c r="K724">
        <v>83.8</v>
      </c>
      <c r="L724">
        <v>9.9</v>
      </c>
      <c r="M724">
        <v>85.5</v>
      </c>
      <c r="N724">
        <v>1.41</v>
      </c>
      <c r="O724">
        <v>43.1</v>
      </c>
      <c r="P724"/>
      <c r="Q724"/>
      <c r="R724"/>
    </row>
    <row r="725" spans="1:18" x14ac:dyDescent="0.25">
      <c r="A725" s="34" t="s">
        <v>126</v>
      </c>
      <c r="B725" s="10">
        <v>45895</v>
      </c>
      <c r="C725" t="s">
        <v>110</v>
      </c>
      <c r="D725" t="s">
        <v>102</v>
      </c>
      <c r="E725" t="s">
        <v>106</v>
      </c>
      <c r="F725">
        <v>184.9</v>
      </c>
      <c r="G725">
        <v>194.7</v>
      </c>
      <c r="H725">
        <v>124.9</v>
      </c>
      <c r="I725">
        <v>12.2</v>
      </c>
      <c r="J725">
        <v>-6.6</v>
      </c>
      <c r="K725">
        <v>73.099999999999994</v>
      </c>
      <c r="L725">
        <v>-13.7</v>
      </c>
      <c r="M725">
        <v>86.1</v>
      </c>
      <c r="N725">
        <v>1.45</v>
      </c>
      <c r="O725">
        <v>39.4</v>
      </c>
      <c r="P725"/>
      <c r="Q725"/>
      <c r="R725"/>
    </row>
    <row r="726" spans="1:18" x14ac:dyDescent="0.25">
      <c r="A726" s="34" t="s">
        <v>126</v>
      </c>
      <c r="B726" s="10">
        <v>45895</v>
      </c>
      <c r="C726" t="s">
        <v>111</v>
      </c>
      <c r="D726" t="s">
        <v>102</v>
      </c>
      <c r="E726" t="s">
        <v>106</v>
      </c>
      <c r="F726">
        <v>148.80000000000001</v>
      </c>
      <c r="G726">
        <v>166.3</v>
      </c>
      <c r="H726">
        <v>115.9</v>
      </c>
      <c r="I726">
        <v>6.9</v>
      </c>
      <c r="J726">
        <v>-8.6999999999999993</v>
      </c>
      <c r="K726">
        <v>31.5</v>
      </c>
      <c r="L726">
        <v>-5.3</v>
      </c>
      <c r="M726">
        <v>85.5</v>
      </c>
      <c r="N726">
        <v>1.36</v>
      </c>
      <c r="O726">
        <v>23.9</v>
      </c>
      <c r="P726"/>
      <c r="Q726"/>
      <c r="R726"/>
    </row>
    <row r="727" spans="1:18" x14ac:dyDescent="0.25">
      <c r="A727" s="34" t="s">
        <v>126</v>
      </c>
      <c r="B727" s="10">
        <v>45895</v>
      </c>
      <c r="C727" t="s">
        <v>111</v>
      </c>
      <c r="D727" t="s">
        <v>102</v>
      </c>
      <c r="E727" t="s">
        <v>106</v>
      </c>
      <c r="F727">
        <v>118.2</v>
      </c>
      <c r="G727">
        <v>141.1</v>
      </c>
      <c r="H727">
        <v>106.6</v>
      </c>
      <c r="I727">
        <v>8.6</v>
      </c>
      <c r="J727">
        <v>-8.6</v>
      </c>
      <c r="K727">
        <v>28.9</v>
      </c>
      <c r="L727">
        <v>-12.7</v>
      </c>
      <c r="M727">
        <v>83.3</v>
      </c>
      <c r="N727">
        <v>1.28</v>
      </c>
      <c r="O727">
        <v>23</v>
      </c>
      <c r="P727"/>
      <c r="Q727"/>
      <c r="R727"/>
    </row>
    <row r="728" spans="1:18" x14ac:dyDescent="0.25">
      <c r="A728" s="34" t="s">
        <v>126</v>
      </c>
      <c r="B728" s="10">
        <v>45895</v>
      </c>
      <c r="C728" t="s">
        <v>111</v>
      </c>
      <c r="D728" t="s">
        <v>102</v>
      </c>
      <c r="E728" t="s">
        <v>106</v>
      </c>
      <c r="F728">
        <v>169.6</v>
      </c>
      <c r="G728">
        <v>181.6</v>
      </c>
      <c r="H728">
        <v>121.5</v>
      </c>
      <c r="I728">
        <v>9.9</v>
      </c>
      <c r="J728">
        <v>-4.7</v>
      </c>
      <c r="K728">
        <v>53</v>
      </c>
      <c r="L728">
        <v>8.3000000000000007</v>
      </c>
      <c r="M728">
        <v>84.4</v>
      </c>
      <c r="N728">
        <v>1.44</v>
      </c>
      <c r="O728">
        <v>32.299999999999997</v>
      </c>
      <c r="P728"/>
      <c r="Q728"/>
      <c r="R728"/>
    </row>
    <row r="729" spans="1:18" x14ac:dyDescent="0.25">
      <c r="A729" s="34" t="s">
        <v>126</v>
      </c>
      <c r="B729" s="10">
        <v>45895</v>
      </c>
      <c r="C729" t="s">
        <v>111</v>
      </c>
      <c r="D729" t="s">
        <v>102</v>
      </c>
      <c r="E729" t="s">
        <v>106</v>
      </c>
      <c r="F729">
        <v>167.4</v>
      </c>
      <c r="G729">
        <v>178.3</v>
      </c>
      <c r="H729">
        <v>121.7</v>
      </c>
      <c r="I729">
        <v>8.1999999999999993</v>
      </c>
      <c r="J729">
        <v>-8.3000000000000007</v>
      </c>
      <c r="K729">
        <v>44.2</v>
      </c>
      <c r="L729">
        <v>-19.7</v>
      </c>
      <c r="M729">
        <v>85.5</v>
      </c>
      <c r="N729">
        <v>1.42</v>
      </c>
      <c r="O729">
        <v>29.1</v>
      </c>
      <c r="P729"/>
      <c r="Q729"/>
      <c r="R729"/>
    </row>
    <row r="730" spans="1:18" x14ac:dyDescent="0.25">
      <c r="A730" s="34" t="s">
        <v>126</v>
      </c>
      <c r="B730" s="10">
        <v>45895</v>
      </c>
      <c r="C730" t="s">
        <v>111</v>
      </c>
      <c r="D730" t="s">
        <v>102</v>
      </c>
      <c r="E730" t="s">
        <v>106</v>
      </c>
      <c r="F730">
        <v>149.9</v>
      </c>
      <c r="G730">
        <v>159.69999999999999</v>
      </c>
      <c r="H730">
        <v>110</v>
      </c>
      <c r="I730">
        <v>14.7</v>
      </c>
      <c r="J730">
        <v>-1.2</v>
      </c>
      <c r="K730">
        <v>62.3</v>
      </c>
      <c r="L730">
        <v>22.5</v>
      </c>
      <c r="M730">
        <v>83.8</v>
      </c>
      <c r="N730">
        <v>1.31</v>
      </c>
      <c r="O730">
        <v>37.5</v>
      </c>
      <c r="P730"/>
      <c r="Q730"/>
      <c r="R730"/>
    </row>
    <row r="731" spans="1:18" x14ac:dyDescent="0.25">
      <c r="A731" s="34" t="s">
        <v>126</v>
      </c>
      <c r="B731" s="10">
        <v>45895</v>
      </c>
      <c r="C731" t="s">
        <v>111</v>
      </c>
      <c r="D731" t="s">
        <v>102</v>
      </c>
      <c r="E731" t="s">
        <v>106</v>
      </c>
      <c r="F731">
        <v>132.4</v>
      </c>
      <c r="G731">
        <v>149.9</v>
      </c>
      <c r="H731">
        <v>116.5</v>
      </c>
      <c r="I731">
        <v>5.2</v>
      </c>
      <c r="J731">
        <v>-7.4</v>
      </c>
      <c r="K731">
        <v>23.7</v>
      </c>
      <c r="L731">
        <v>3.3</v>
      </c>
      <c r="M731">
        <v>83.3</v>
      </c>
      <c r="N731">
        <v>1.4</v>
      </c>
      <c r="O731">
        <v>19.600000000000001</v>
      </c>
      <c r="P731"/>
      <c r="Q731"/>
      <c r="R731"/>
    </row>
    <row r="732" spans="1:18" x14ac:dyDescent="0.25">
      <c r="A732" s="34" t="s">
        <v>126</v>
      </c>
      <c r="B732" s="10">
        <v>45895</v>
      </c>
      <c r="C732" t="s">
        <v>111</v>
      </c>
      <c r="D732" t="s">
        <v>102</v>
      </c>
      <c r="E732" t="s">
        <v>106</v>
      </c>
      <c r="F732">
        <v>124.7</v>
      </c>
      <c r="G732">
        <v>143.30000000000001</v>
      </c>
      <c r="H732">
        <v>93.5</v>
      </c>
      <c r="I732">
        <v>21</v>
      </c>
      <c r="J732">
        <v>-8.6999999999999993</v>
      </c>
      <c r="K732">
        <v>62.9</v>
      </c>
      <c r="L732">
        <v>-17.100000000000001</v>
      </c>
      <c r="M732">
        <v>84.6</v>
      </c>
      <c r="N732">
        <v>1.1100000000000001</v>
      </c>
      <c r="O732">
        <v>41</v>
      </c>
      <c r="P732"/>
      <c r="Q732"/>
      <c r="R732"/>
    </row>
    <row r="733" spans="1:18" x14ac:dyDescent="0.25">
      <c r="A733" s="34" t="s">
        <v>126</v>
      </c>
      <c r="B733" s="10">
        <v>45895</v>
      </c>
      <c r="C733" t="s">
        <v>111</v>
      </c>
      <c r="D733" t="s">
        <v>102</v>
      </c>
      <c r="E733" t="s">
        <v>106</v>
      </c>
      <c r="F733">
        <v>136.80000000000001</v>
      </c>
      <c r="G733">
        <v>166.3</v>
      </c>
      <c r="H733">
        <v>127.5</v>
      </c>
      <c r="I733">
        <v>2.8</v>
      </c>
      <c r="J733">
        <v>-2.2000000000000002</v>
      </c>
      <c r="K733">
        <v>21.8</v>
      </c>
      <c r="L733">
        <v>11.3</v>
      </c>
      <c r="M733">
        <v>88.4</v>
      </c>
      <c r="N733">
        <v>1.44</v>
      </c>
      <c r="O733">
        <v>18</v>
      </c>
      <c r="P733"/>
      <c r="Q733"/>
      <c r="R733"/>
    </row>
    <row r="734" spans="1:18" x14ac:dyDescent="0.25">
      <c r="A734" s="34" t="s">
        <v>126</v>
      </c>
      <c r="B734" s="10">
        <v>45895</v>
      </c>
      <c r="C734" t="s">
        <v>111</v>
      </c>
      <c r="D734" t="s">
        <v>102</v>
      </c>
      <c r="E734" t="s">
        <v>106</v>
      </c>
      <c r="F734">
        <v>114.9</v>
      </c>
      <c r="G734">
        <v>134.6</v>
      </c>
      <c r="H734">
        <v>100.8</v>
      </c>
      <c r="I734">
        <v>7.8</v>
      </c>
      <c r="J734">
        <v>-15.2</v>
      </c>
      <c r="K734">
        <v>20</v>
      </c>
      <c r="L734">
        <v>-30.2</v>
      </c>
      <c r="M734">
        <v>86.6</v>
      </c>
      <c r="N734">
        <v>1.1599999999999999</v>
      </c>
      <c r="O734">
        <v>18</v>
      </c>
      <c r="P734"/>
      <c r="Q734"/>
      <c r="R734"/>
    </row>
    <row r="735" spans="1:18" x14ac:dyDescent="0.25">
      <c r="A735" s="34" t="s">
        <v>126</v>
      </c>
      <c r="B735" s="10">
        <v>45895</v>
      </c>
      <c r="C735" t="s">
        <v>112</v>
      </c>
      <c r="D735" t="s">
        <v>102</v>
      </c>
      <c r="E735" t="s">
        <v>113</v>
      </c>
      <c r="F735">
        <v>160.80000000000001</v>
      </c>
      <c r="G735">
        <v>173.9</v>
      </c>
      <c r="H735">
        <v>118.7</v>
      </c>
      <c r="I735">
        <v>10.3</v>
      </c>
      <c r="J735">
        <v>-3.5</v>
      </c>
      <c r="K735">
        <v>46.9</v>
      </c>
      <c r="L735">
        <v>9.8000000000000007</v>
      </c>
      <c r="M735">
        <v>86.2</v>
      </c>
      <c r="N735">
        <v>1.38</v>
      </c>
      <c r="O735">
        <v>29</v>
      </c>
      <c r="P735"/>
      <c r="Q735"/>
      <c r="R735"/>
    </row>
    <row r="736" spans="1:18" x14ac:dyDescent="0.25">
      <c r="A736" s="34" t="s">
        <v>126</v>
      </c>
      <c r="B736" s="10">
        <v>45895</v>
      </c>
      <c r="C736" t="s">
        <v>112</v>
      </c>
      <c r="D736" t="s">
        <v>102</v>
      </c>
      <c r="E736" t="s">
        <v>113</v>
      </c>
      <c r="F736">
        <v>179.4</v>
      </c>
      <c r="G736">
        <v>191.5</v>
      </c>
      <c r="H736">
        <v>128.69999999999999</v>
      </c>
      <c r="I736">
        <v>8.4</v>
      </c>
      <c r="J736">
        <v>-9.3000000000000007</v>
      </c>
      <c r="K736">
        <v>44.9</v>
      </c>
      <c r="L736">
        <v>-2.5</v>
      </c>
      <c r="M736">
        <v>90.4</v>
      </c>
      <c r="N736">
        <v>1.42</v>
      </c>
      <c r="O736">
        <v>26.4</v>
      </c>
      <c r="P736"/>
      <c r="Q736"/>
      <c r="R736"/>
    </row>
    <row r="737" spans="1:18" x14ac:dyDescent="0.25">
      <c r="A737" s="34" t="s">
        <v>126</v>
      </c>
      <c r="B737" s="10">
        <v>45895</v>
      </c>
      <c r="C737" t="s">
        <v>112</v>
      </c>
      <c r="D737" t="s">
        <v>102</v>
      </c>
      <c r="E737" t="s">
        <v>113</v>
      </c>
      <c r="F737">
        <v>169.6</v>
      </c>
      <c r="G737">
        <v>184.9</v>
      </c>
      <c r="H737">
        <v>128</v>
      </c>
      <c r="I737">
        <v>5.4</v>
      </c>
      <c r="J737">
        <v>-12</v>
      </c>
      <c r="K737">
        <v>28.6</v>
      </c>
      <c r="L737">
        <v>-20.3</v>
      </c>
      <c r="M737">
        <v>90.4</v>
      </c>
      <c r="N737">
        <v>1.42</v>
      </c>
      <c r="O737">
        <v>19.899999999999999</v>
      </c>
      <c r="P737"/>
      <c r="Q737"/>
      <c r="R737"/>
    </row>
    <row r="738" spans="1:18" x14ac:dyDescent="0.25">
      <c r="A738" s="34" t="s">
        <v>126</v>
      </c>
      <c r="B738" s="10">
        <v>45895</v>
      </c>
      <c r="C738" t="s">
        <v>112</v>
      </c>
      <c r="D738" t="s">
        <v>102</v>
      </c>
      <c r="E738" t="s">
        <v>113</v>
      </c>
      <c r="F738">
        <v>178.3</v>
      </c>
      <c r="G738">
        <v>190.4</v>
      </c>
      <c r="H738">
        <v>129.19999999999999</v>
      </c>
      <c r="I738">
        <v>6.5</v>
      </c>
      <c r="J738">
        <v>-9.3000000000000007</v>
      </c>
      <c r="K738">
        <v>34.700000000000003</v>
      </c>
      <c r="L738">
        <v>-5.9</v>
      </c>
      <c r="M738">
        <v>90.4</v>
      </c>
      <c r="N738">
        <v>1.43</v>
      </c>
      <c r="O738">
        <v>22.4</v>
      </c>
      <c r="P738"/>
      <c r="Q738"/>
      <c r="R738"/>
    </row>
    <row r="739" spans="1:18" x14ac:dyDescent="0.25">
      <c r="A739" s="34" t="s">
        <v>126</v>
      </c>
      <c r="B739" s="10">
        <v>45895</v>
      </c>
      <c r="C739" t="s">
        <v>112</v>
      </c>
      <c r="D739" t="s">
        <v>102</v>
      </c>
      <c r="E739" t="s">
        <v>113</v>
      </c>
      <c r="F739">
        <v>182.7</v>
      </c>
      <c r="G739">
        <v>191.5</v>
      </c>
      <c r="H739">
        <v>131.6</v>
      </c>
      <c r="I739">
        <v>9.3000000000000007</v>
      </c>
      <c r="J739">
        <v>-4.2</v>
      </c>
      <c r="K739">
        <v>52.9</v>
      </c>
      <c r="L739">
        <v>18.2</v>
      </c>
      <c r="M739">
        <v>92.6</v>
      </c>
      <c r="N739">
        <v>1.42</v>
      </c>
      <c r="O739">
        <v>29</v>
      </c>
      <c r="P739"/>
      <c r="Q739"/>
      <c r="R739"/>
    </row>
    <row r="740" spans="1:18" x14ac:dyDescent="0.25">
      <c r="A740" s="34" t="s">
        <v>126</v>
      </c>
      <c r="B740" s="10">
        <v>45895</v>
      </c>
      <c r="C740" t="s">
        <v>112</v>
      </c>
      <c r="D740" t="s">
        <v>102</v>
      </c>
      <c r="E740" t="s">
        <v>113</v>
      </c>
      <c r="F740">
        <v>99.6</v>
      </c>
      <c r="G740">
        <v>128</v>
      </c>
      <c r="H740">
        <v>116.2</v>
      </c>
      <c r="I740">
        <v>5.3</v>
      </c>
      <c r="J740">
        <v>2.2999999999999998</v>
      </c>
      <c r="K740">
        <v>22.7</v>
      </c>
      <c r="L740">
        <v>19.2</v>
      </c>
      <c r="M740">
        <v>86.4</v>
      </c>
      <c r="N740">
        <v>1.34</v>
      </c>
      <c r="O740">
        <v>18.600000000000001</v>
      </c>
      <c r="P740"/>
      <c r="Q740"/>
      <c r="R740"/>
    </row>
    <row r="741" spans="1:18" x14ac:dyDescent="0.25">
      <c r="A741" s="34" t="s">
        <v>126</v>
      </c>
      <c r="B741" s="10">
        <v>45895</v>
      </c>
      <c r="C741" t="s">
        <v>112</v>
      </c>
      <c r="D741" t="s">
        <v>102</v>
      </c>
      <c r="E741" t="s">
        <v>113</v>
      </c>
      <c r="F741">
        <v>173.9</v>
      </c>
      <c r="G741">
        <v>193.6</v>
      </c>
      <c r="H741">
        <v>124.3</v>
      </c>
      <c r="I741">
        <v>10</v>
      </c>
      <c r="J741">
        <v>-6.4</v>
      </c>
      <c r="K741">
        <v>51</v>
      </c>
      <c r="L741">
        <v>-19.5</v>
      </c>
      <c r="M741">
        <v>91.4</v>
      </c>
      <c r="N741">
        <v>1.36</v>
      </c>
      <c r="O741">
        <v>29.6</v>
      </c>
      <c r="P741"/>
      <c r="Q741"/>
      <c r="R741"/>
    </row>
    <row r="742" spans="1:18" x14ac:dyDescent="0.25">
      <c r="A742" s="34" t="s">
        <v>126</v>
      </c>
      <c r="B742" s="10">
        <v>45895</v>
      </c>
      <c r="C742" t="s">
        <v>112</v>
      </c>
      <c r="D742" t="s">
        <v>102</v>
      </c>
      <c r="E742" t="s">
        <v>113</v>
      </c>
      <c r="F742">
        <v>179.4</v>
      </c>
      <c r="G742">
        <v>189.3</v>
      </c>
      <c r="H742">
        <v>127.6</v>
      </c>
      <c r="I742">
        <v>10.199999999999999</v>
      </c>
      <c r="J742">
        <v>-4.9000000000000004</v>
      </c>
      <c r="K742">
        <v>53.8</v>
      </c>
      <c r="L742">
        <v>5.9</v>
      </c>
      <c r="M742">
        <v>90.3</v>
      </c>
      <c r="N742">
        <v>1.41</v>
      </c>
      <c r="O742">
        <v>29.8</v>
      </c>
      <c r="P742"/>
      <c r="Q742"/>
      <c r="R742"/>
    </row>
    <row r="743" spans="1:18" x14ac:dyDescent="0.25">
      <c r="A743" s="34" t="s">
        <v>126</v>
      </c>
      <c r="B743" s="10">
        <v>45895</v>
      </c>
      <c r="C743" t="s">
        <v>112</v>
      </c>
      <c r="D743" t="s">
        <v>102</v>
      </c>
      <c r="E743" t="s">
        <v>113</v>
      </c>
      <c r="F743">
        <v>186</v>
      </c>
      <c r="G743">
        <v>199.1</v>
      </c>
      <c r="H743">
        <v>129.80000000000001</v>
      </c>
      <c r="I743">
        <v>6.8</v>
      </c>
      <c r="J743">
        <v>-8</v>
      </c>
      <c r="K743">
        <v>38.299999999999997</v>
      </c>
      <c r="L743">
        <v>-1.8</v>
      </c>
      <c r="M743">
        <v>93.6</v>
      </c>
      <c r="N743">
        <v>1.39</v>
      </c>
      <c r="O743">
        <v>24.2</v>
      </c>
      <c r="P743"/>
      <c r="Q743"/>
      <c r="R743"/>
    </row>
    <row r="744" spans="1:18" x14ac:dyDescent="0.25">
      <c r="A744" s="34" t="s">
        <v>126</v>
      </c>
      <c r="B744" s="10">
        <v>45895</v>
      </c>
      <c r="C744" t="s">
        <v>112</v>
      </c>
      <c r="D744" t="s">
        <v>102</v>
      </c>
      <c r="E744" t="s">
        <v>113</v>
      </c>
      <c r="F744">
        <v>194.7</v>
      </c>
      <c r="G744">
        <v>202.4</v>
      </c>
      <c r="H744">
        <v>132.6</v>
      </c>
      <c r="I744">
        <v>15.1</v>
      </c>
      <c r="J744">
        <v>-1.9</v>
      </c>
      <c r="K744">
        <v>93.2</v>
      </c>
      <c r="L744">
        <v>20.100000000000001</v>
      </c>
      <c r="M744">
        <v>94.1</v>
      </c>
      <c r="N744">
        <v>1.41</v>
      </c>
      <c r="O744">
        <v>41</v>
      </c>
      <c r="P744"/>
      <c r="Q744"/>
      <c r="R744"/>
    </row>
    <row r="745" spans="1:18" x14ac:dyDescent="0.25">
      <c r="A745" s="34" t="s">
        <v>126</v>
      </c>
      <c r="B745" s="10">
        <v>45895</v>
      </c>
      <c r="C745" t="s">
        <v>112</v>
      </c>
      <c r="D745" t="s">
        <v>102</v>
      </c>
      <c r="E745" t="s">
        <v>113</v>
      </c>
      <c r="F745">
        <v>87.5</v>
      </c>
      <c r="G745">
        <v>102.8</v>
      </c>
      <c r="H745">
        <v>78.099999999999994</v>
      </c>
      <c r="I745">
        <v>18.600000000000001</v>
      </c>
      <c r="J745">
        <v>4.5999999999999996</v>
      </c>
      <c r="K745">
        <v>33.5</v>
      </c>
      <c r="L745">
        <v>7.3</v>
      </c>
      <c r="M745">
        <v>87.5</v>
      </c>
      <c r="N745">
        <v>0.89</v>
      </c>
      <c r="O745">
        <v>31.3</v>
      </c>
      <c r="P745"/>
      <c r="Q745"/>
      <c r="R745"/>
    </row>
    <row r="746" spans="1:18" x14ac:dyDescent="0.25">
      <c r="A746" s="34" t="s">
        <v>126</v>
      </c>
      <c r="B746" s="10">
        <v>45895</v>
      </c>
      <c r="C746" t="s">
        <v>112</v>
      </c>
      <c r="D746" t="s">
        <v>102</v>
      </c>
      <c r="E746" t="s">
        <v>113</v>
      </c>
      <c r="F746">
        <v>177.2</v>
      </c>
      <c r="G746">
        <v>190.4</v>
      </c>
      <c r="H746">
        <v>122.9</v>
      </c>
      <c r="I746">
        <v>12.4</v>
      </c>
      <c r="J746">
        <v>-4.2</v>
      </c>
      <c r="K746">
        <v>62.9</v>
      </c>
      <c r="L746">
        <v>7.1</v>
      </c>
      <c r="M746">
        <v>88.5</v>
      </c>
      <c r="N746">
        <v>1.39</v>
      </c>
      <c r="O746">
        <v>34</v>
      </c>
      <c r="P746"/>
      <c r="Q746"/>
      <c r="R746"/>
    </row>
    <row r="747" spans="1:18" x14ac:dyDescent="0.25">
      <c r="A747" s="34" t="s">
        <v>126</v>
      </c>
      <c r="B747" s="10">
        <v>45895</v>
      </c>
      <c r="C747" t="s">
        <v>112</v>
      </c>
      <c r="D747" t="s">
        <v>102</v>
      </c>
      <c r="E747" t="s">
        <v>113</v>
      </c>
      <c r="F747">
        <v>173.9</v>
      </c>
      <c r="G747">
        <v>183.8</v>
      </c>
      <c r="H747">
        <v>123.8</v>
      </c>
      <c r="I747">
        <v>12.7</v>
      </c>
      <c r="J747">
        <v>-3.8</v>
      </c>
      <c r="K747">
        <v>63.9</v>
      </c>
      <c r="L747">
        <v>14.6</v>
      </c>
      <c r="M747">
        <v>87.4</v>
      </c>
      <c r="N747">
        <v>1.42</v>
      </c>
      <c r="O747">
        <v>33.700000000000003</v>
      </c>
      <c r="P747"/>
      <c r="Q747"/>
      <c r="R747"/>
    </row>
    <row r="748" spans="1:18" x14ac:dyDescent="0.25">
      <c r="A748" s="34" t="s">
        <v>126</v>
      </c>
      <c r="B748" s="10">
        <v>45895</v>
      </c>
      <c r="C748" t="s">
        <v>112</v>
      </c>
      <c r="D748" t="s">
        <v>102</v>
      </c>
      <c r="E748" t="s">
        <v>113</v>
      </c>
      <c r="F748">
        <v>116</v>
      </c>
      <c r="G748">
        <v>135.69999999999999</v>
      </c>
      <c r="H748">
        <v>110.8</v>
      </c>
      <c r="I748">
        <v>4.2</v>
      </c>
      <c r="J748">
        <v>-13.9</v>
      </c>
      <c r="K748">
        <v>15.3</v>
      </c>
      <c r="L748">
        <v>-29.5</v>
      </c>
      <c r="M748">
        <v>86.3</v>
      </c>
      <c r="N748">
        <v>1.28</v>
      </c>
      <c r="O748">
        <v>14.6</v>
      </c>
      <c r="P748"/>
      <c r="Q748"/>
      <c r="R748"/>
    </row>
    <row r="749" spans="1:18" x14ac:dyDescent="0.25">
      <c r="A749" s="34" t="s">
        <v>126</v>
      </c>
      <c r="B749" s="10">
        <v>45895</v>
      </c>
      <c r="C749" t="s">
        <v>112</v>
      </c>
      <c r="D749" t="s">
        <v>102</v>
      </c>
      <c r="E749" t="s">
        <v>113</v>
      </c>
      <c r="F749">
        <v>176.1</v>
      </c>
      <c r="G749">
        <v>187.1</v>
      </c>
      <c r="H749">
        <v>124.7</v>
      </c>
      <c r="I749">
        <v>13.7</v>
      </c>
      <c r="J749">
        <v>-7.2</v>
      </c>
      <c r="K749">
        <v>70.8</v>
      </c>
      <c r="L749">
        <v>12.3</v>
      </c>
      <c r="M749">
        <v>86.8</v>
      </c>
      <c r="N749">
        <v>1.44</v>
      </c>
      <c r="O749">
        <v>35.700000000000003</v>
      </c>
      <c r="P749"/>
      <c r="Q749"/>
      <c r="R749"/>
    </row>
    <row r="750" spans="1:18" x14ac:dyDescent="0.25">
      <c r="A750" s="34" t="s">
        <v>126</v>
      </c>
      <c r="B750" s="10">
        <v>45895</v>
      </c>
      <c r="C750" t="s">
        <v>112</v>
      </c>
      <c r="D750" t="s">
        <v>102</v>
      </c>
      <c r="E750" t="s">
        <v>113</v>
      </c>
      <c r="F750">
        <v>184.9</v>
      </c>
      <c r="G750">
        <v>196.9</v>
      </c>
      <c r="H750">
        <v>129.69999999999999</v>
      </c>
      <c r="I750">
        <v>8.4</v>
      </c>
      <c r="J750">
        <v>-8.4</v>
      </c>
      <c r="K750">
        <v>49.2</v>
      </c>
      <c r="L750">
        <v>-13.2</v>
      </c>
      <c r="M750">
        <v>96.8</v>
      </c>
      <c r="N750">
        <v>1.34</v>
      </c>
      <c r="O750">
        <v>28.7</v>
      </c>
      <c r="P750"/>
      <c r="Q750"/>
      <c r="R750"/>
    </row>
    <row r="751" spans="1:18" x14ac:dyDescent="0.25">
      <c r="A751" s="34" t="s">
        <v>126</v>
      </c>
      <c r="B751" s="10">
        <v>45895</v>
      </c>
      <c r="C751" t="s">
        <v>112</v>
      </c>
      <c r="D751" t="s">
        <v>102</v>
      </c>
      <c r="E751" t="s">
        <v>113</v>
      </c>
      <c r="F751">
        <v>187.1</v>
      </c>
      <c r="G751">
        <v>195.8</v>
      </c>
      <c r="H751">
        <v>132.80000000000001</v>
      </c>
      <c r="I751">
        <v>9</v>
      </c>
      <c r="J751">
        <v>-7</v>
      </c>
      <c r="K751">
        <v>51.3</v>
      </c>
      <c r="L751">
        <v>2.6</v>
      </c>
      <c r="M751">
        <v>91.8</v>
      </c>
      <c r="N751">
        <v>1.45</v>
      </c>
      <c r="O751">
        <v>28.1</v>
      </c>
      <c r="P751"/>
      <c r="Q751"/>
      <c r="R751"/>
    </row>
    <row r="752" spans="1:18" x14ac:dyDescent="0.25">
      <c r="A752" s="34" t="s">
        <v>126</v>
      </c>
      <c r="B752" s="10">
        <v>45895</v>
      </c>
      <c r="C752" t="s">
        <v>112</v>
      </c>
      <c r="D752" t="s">
        <v>102</v>
      </c>
      <c r="E752" t="s">
        <v>113</v>
      </c>
      <c r="F752">
        <v>198</v>
      </c>
      <c r="G752">
        <v>212.2</v>
      </c>
      <c r="H752">
        <v>138.30000000000001</v>
      </c>
      <c r="I752">
        <v>9.9</v>
      </c>
      <c r="J752">
        <v>-10.9</v>
      </c>
      <c r="K752">
        <v>62.7</v>
      </c>
      <c r="L752">
        <v>0.6</v>
      </c>
      <c r="M752">
        <v>94</v>
      </c>
      <c r="N752">
        <v>1.47</v>
      </c>
      <c r="O752">
        <v>31.3</v>
      </c>
      <c r="P752"/>
      <c r="Q752"/>
      <c r="R752"/>
    </row>
    <row r="753" spans="1:18" x14ac:dyDescent="0.25">
      <c r="A753" s="34" t="s">
        <v>126</v>
      </c>
      <c r="B753" s="10">
        <v>45895</v>
      </c>
      <c r="C753" t="s">
        <v>112</v>
      </c>
      <c r="D753" t="s">
        <v>102</v>
      </c>
      <c r="E753" t="s">
        <v>113</v>
      </c>
      <c r="F753">
        <v>84.2</v>
      </c>
      <c r="G753">
        <v>98.5</v>
      </c>
      <c r="H753">
        <v>75.400000000000006</v>
      </c>
      <c r="I753">
        <v>20.3</v>
      </c>
      <c r="J753">
        <v>-15.7</v>
      </c>
      <c r="K753">
        <v>34.799999999999997</v>
      </c>
      <c r="L753">
        <v>-23.8</v>
      </c>
      <c r="M753">
        <v>90.7</v>
      </c>
      <c r="N753">
        <v>0.83</v>
      </c>
      <c r="O753">
        <v>32.9</v>
      </c>
      <c r="P753"/>
      <c r="Q753"/>
      <c r="R753"/>
    </row>
    <row r="754" spans="1:18" x14ac:dyDescent="0.25">
      <c r="A754" s="34" t="s">
        <v>126</v>
      </c>
      <c r="B754" s="10">
        <v>45895</v>
      </c>
      <c r="C754" t="s">
        <v>112</v>
      </c>
      <c r="D754" t="s">
        <v>102</v>
      </c>
      <c r="E754" t="s">
        <v>113</v>
      </c>
      <c r="F754">
        <v>183.8</v>
      </c>
      <c r="G754">
        <v>201.3</v>
      </c>
      <c r="H754">
        <v>126.2</v>
      </c>
      <c r="I754">
        <v>9.6999999999999993</v>
      </c>
      <c r="J754">
        <v>-8.6</v>
      </c>
      <c r="K754">
        <v>50</v>
      </c>
      <c r="L754">
        <v>-27.5</v>
      </c>
      <c r="M754">
        <v>90.1</v>
      </c>
      <c r="N754">
        <v>1.4</v>
      </c>
      <c r="O754">
        <v>28.7</v>
      </c>
      <c r="P754"/>
      <c r="Q754"/>
      <c r="R754"/>
    </row>
    <row r="755" spans="1:18" x14ac:dyDescent="0.25">
      <c r="A755" s="34" t="s">
        <v>126</v>
      </c>
      <c r="B755" s="10">
        <v>45895</v>
      </c>
      <c r="C755" t="s">
        <v>112</v>
      </c>
      <c r="D755" t="s">
        <v>102</v>
      </c>
      <c r="E755" t="s">
        <v>113</v>
      </c>
      <c r="F755">
        <v>149.9</v>
      </c>
      <c r="G755">
        <v>160.80000000000001</v>
      </c>
      <c r="H755">
        <v>104.3</v>
      </c>
      <c r="I755">
        <v>19.600000000000001</v>
      </c>
      <c r="J755">
        <v>-4.5999999999999996</v>
      </c>
      <c r="K755">
        <v>76.400000000000006</v>
      </c>
      <c r="L755">
        <v>2</v>
      </c>
      <c r="M755">
        <v>86.8</v>
      </c>
      <c r="N755">
        <v>1.2</v>
      </c>
      <c r="O755">
        <v>44</v>
      </c>
      <c r="P755"/>
      <c r="Q755"/>
      <c r="R755"/>
    </row>
    <row r="756" spans="1:18" x14ac:dyDescent="0.25">
      <c r="A756" s="34" t="s">
        <v>126</v>
      </c>
      <c r="B756" s="10">
        <v>45895</v>
      </c>
      <c r="C756" t="s">
        <v>112</v>
      </c>
      <c r="D756" t="s">
        <v>102</v>
      </c>
      <c r="E756" t="s">
        <v>113</v>
      </c>
      <c r="F756">
        <v>168.5</v>
      </c>
      <c r="G756">
        <v>180.5</v>
      </c>
      <c r="H756">
        <v>121.9</v>
      </c>
      <c r="I756">
        <v>9</v>
      </c>
      <c r="J756">
        <v>-6.8</v>
      </c>
      <c r="K756">
        <v>43.2</v>
      </c>
      <c r="L756">
        <v>-21.3</v>
      </c>
      <c r="M756">
        <v>88</v>
      </c>
      <c r="N756">
        <v>1.39</v>
      </c>
      <c r="O756">
        <v>27</v>
      </c>
      <c r="P756"/>
      <c r="Q756"/>
      <c r="R756"/>
    </row>
    <row r="757" spans="1:18" x14ac:dyDescent="0.25">
      <c r="A757" s="34" t="s">
        <v>126</v>
      </c>
      <c r="B757" s="10">
        <v>45895</v>
      </c>
      <c r="C757" t="s">
        <v>112</v>
      </c>
      <c r="D757" t="s">
        <v>102</v>
      </c>
      <c r="E757" t="s">
        <v>113</v>
      </c>
      <c r="F757">
        <v>184.9</v>
      </c>
      <c r="G757">
        <v>195.8</v>
      </c>
      <c r="H757">
        <v>132.4</v>
      </c>
      <c r="I757">
        <v>9.6999999999999993</v>
      </c>
      <c r="J757">
        <v>-8.1999999999999993</v>
      </c>
      <c r="K757">
        <v>55.1</v>
      </c>
      <c r="L757">
        <v>-2.6</v>
      </c>
      <c r="M757">
        <v>91.3</v>
      </c>
      <c r="N757">
        <v>1.45</v>
      </c>
      <c r="O757">
        <v>29.4</v>
      </c>
      <c r="P757"/>
      <c r="Q757"/>
      <c r="R757"/>
    </row>
    <row r="758" spans="1:18" x14ac:dyDescent="0.25">
      <c r="A758" s="34" t="s">
        <v>126</v>
      </c>
      <c r="B758" s="10">
        <v>45895</v>
      </c>
      <c r="C758" t="s">
        <v>112</v>
      </c>
      <c r="D758" t="s">
        <v>102</v>
      </c>
      <c r="E758" t="s">
        <v>113</v>
      </c>
      <c r="F758">
        <v>175</v>
      </c>
      <c r="G758">
        <v>183.8</v>
      </c>
      <c r="H758">
        <v>119.5</v>
      </c>
      <c r="I758">
        <v>15.1</v>
      </c>
      <c r="J758">
        <v>-9.5</v>
      </c>
      <c r="K758">
        <v>78.599999999999994</v>
      </c>
      <c r="L758">
        <v>-23.3</v>
      </c>
      <c r="M758">
        <v>88.5</v>
      </c>
      <c r="N758">
        <v>1.35</v>
      </c>
      <c r="O758">
        <v>40.700000000000003</v>
      </c>
      <c r="P758"/>
      <c r="Q758"/>
      <c r="R758"/>
    </row>
    <row r="759" spans="1:18" x14ac:dyDescent="0.25">
      <c r="A759" s="34" t="s">
        <v>126</v>
      </c>
      <c r="B759" s="10">
        <v>45895</v>
      </c>
      <c r="C759" t="s">
        <v>112</v>
      </c>
      <c r="D759" t="s">
        <v>102</v>
      </c>
      <c r="E759" t="s">
        <v>113</v>
      </c>
      <c r="F759">
        <v>178.3</v>
      </c>
      <c r="G759">
        <v>193.6</v>
      </c>
      <c r="H759">
        <v>126.9</v>
      </c>
      <c r="I759">
        <v>9.4</v>
      </c>
      <c r="J759">
        <v>-6.6</v>
      </c>
      <c r="K759">
        <v>47.6</v>
      </c>
      <c r="L759">
        <v>-8.3000000000000007</v>
      </c>
      <c r="M759">
        <v>87.9</v>
      </c>
      <c r="N759">
        <v>1.44</v>
      </c>
      <c r="O759">
        <v>27.4</v>
      </c>
      <c r="P759"/>
      <c r="Q759"/>
      <c r="R759"/>
    </row>
    <row r="760" spans="1:18" x14ac:dyDescent="0.25">
      <c r="A760" s="34" t="s">
        <v>126</v>
      </c>
      <c r="B760" s="10">
        <v>45895</v>
      </c>
      <c r="C760" t="s">
        <v>112</v>
      </c>
      <c r="D760" t="s">
        <v>102</v>
      </c>
      <c r="E760" t="s">
        <v>113</v>
      </c>
      <c r="F760">
        <v>170.7</v>
      </c>
      <c r="G760">
        <v>172.9</v>
      </c>
      <c r="H760">
        <v>116.7</v>
      </c>
      <c r="I760">
        <v>15.9</v>
      </c>
      <c r="J760">
        <v>-13.2</v>
      </c>
      <c r="K760">
        <v>79.900000000000006</v>
      </c>
      <c r="L760">
        <v>-44.7</v>
      </c>
      <c r="M760">
        <v>88.5</v>
      </c>
      <c r="N760">
        <v>1.32</v>
      </c>
      <c r="O760">
        <v>42.2</v>
      </c>
      <c r="P760"/>
      <c r="Q760"/>
      <c r="R760"/>
    </row>
    <row r="761" spans="1:18" x14ac:dyDescent="0.25">
      <c r="A761" s="34" t="s">
        <v>126</v>
      </c>
      <c r="B761" s="10">
        <v>45895</v>
      </c>
      <c r="C761" t="s">
        <v>112</v>
      </c>
      <c r="D761" t="s">
        <v>102</v>
      </c>
      <c r="E761" t="s">
        <v>113</v>
      </c>
      <c r="F761">
        <v>169.6</v>
      </c>
      <c r="G761">
        <v>188.2</v>
      </c>
      <c r="H761">
        <v>128</v>
      </c>
      <c r="I761">
        <v>5.9</v>
      </c>
      <c r="J761">
        <v>-8.6999999999999993</v>
      </c>
      <c r="K761">
        <v>32.1</v>
      </c>
      <c r="L761">
        <v>-26.5</v>
      </c>
      <c r="M761">
        <v>91.8</v>
      </c>
      <c r="N761">
        <v>1.39</v>
      </c>
      <c r="O761">
        <v>21.6</v>
      </c>
      <c r="P761"/>
      <c r="Q761"/>
      <c r="R761"/>
    </row>
    <row r="762" spans="1:18" x14ac:dyDescent="0.25">
      <c r="A762" s="34" t="s">
        <v>126</v>
      </c>
      <c r="B762" s="10">
        <v>45895</v>
      </c>
      <c r="C762" t="s">
        <v>112</v>
      </c>
      <c r="D762" t="s">
        <v>102</v>
      </c>
      <c r="E762" t="s">
        <v>113</v>
      </c>
      <c r="F762">
        <v>173.9</v>
      </c>
      <c r="G762">
        <v>190.4</v>
      </c>
      <c r="H762">
        <v>133.1</v>
      </c>
      <c r="I762">
        <v>4.7</v>
      </c>
      <c r="J762">
        <v>-7.7</v>
      </c>
      <c r="K762">
        <v>28.2</v>
      </c>
      <c r="L762">
        <v>-1.2</v>
      </c>
      <c r="M762">
        <v>91.9</v>
      </c>
      <c r="N762">
        <v>1.45</v>
      </c>
      <c r="O762">
        <v>19.2</v>
      </c>
      <c r="P762"/>
      <c r="Q762"/>
      <c r="R762"/>
    </row>
    <row r="763" spans="1:18" x14ac:dyDescent="0.25">
      <c r="A763" s="34" t="s">
        <v>126</v>
      </c>
      <c r="B763" s="10">
        <v>45895</v>
      </c>
      <c r="C763" t="s">
        <v>112</v>
      </c>
      <c r="D763" t="s">
        <v>102</v>
      </c>
      <c r="E763" t="s">
        <v>113</v>
      </c>
      <c r="F763">
        <v>201.3</v>
      </c>
      <c r="G763">
        <v>214.4</v>
      </c>
      <c r="H763">
        <v>130.4</v>
      </c>
      <c r="I763">
        <v>10.9</v>
      </c>
      <c r="J763">
        <v>-9.5</v>
      </c>
      <c r="K763">
        <v>60.8</v>
      </c>
      <c r="L763">
        <v>-25.8</v>
      </c>
      <c r="M763">
        <v>91.9</v>
      </c>
      <c r="N763">
        <v>1.42</v>
      </c>
      <c r="O763">
        <v>31.7</v>
      </c>
      <c r="P763"/>
      <c r="Q763"/>
      <c r="R763"/>
    </row>
    <row r="764" spans="1:18" x14ac:dyDescent="0.25">
      <c r="A764" s="34" t="s">
        <v>126</v>
      </c>
      <c r="B764" s="10">
        <v>45895</v>
      </c>
      <c r="C764" t="s">
        <v>112</v>
      </c>
      <c r="D764" t="s">
        <v>102</v>
      </c>
      <c r="E764" t="s">
        <v>113</v>
      </c>
      <c r="F764">
        <v>201.3</v>
      </c>
      <c r="G764">
        <v>214.4</v>
      </c>
      <c r="H764">
        <v>135.19999999999999</v>
      </c>
      <c r="I764">
        <v>6.9</v>
      </c>
      <c r="J764">
        <v>-8.5</v>
      </c>
      <c r="K764">
        <v>41.5</v>
      </c>
      <c r="L764">
        <v>-30.5</v>
      </c>
      <c r="M764">
        <v>93.5</v>
      </c>
      <c r="N764">
        <v>1.44</v>
      </c>
      <c r="O764">
        <v>24.5</v>
      </c>
      <c r="P764"/>
      <c r="Q764"/>
      <c r="R764"/>
    </row>
    <row r="765" spans="1:18" x14ac:dyDescent="0.25">
      <c r="A765" s="34" t="s">
        <v>126</v>
      </c>
      <c r="B765" s="10">
        <v>45895</v>
      </c>
      <c r="C765" t="s">
        <v>114</v>
      </c>
      <c r="D765" t="s">
        <v>102</v>
      </c>
      <c r="E765" t="s">
        <v>115</v>
      </c>
      <c r="F765">
        <v>156.4</v>
      </c>
      <c r="G765">
        <v>159.69999999999999</v>
      </c>
      <c r="H765">
        <v>119.1</v>
      </c>
      <c r="I765">
        <v>6.2</v>
      </c>
      <c r="J765">
        <v>-12.1</v>
      </c>
      <c r="K765">
        <v>30.8</v>
      </c>
      <c r="L765">
        <v>-32.700000000000003</v>
      </c>
      <c r="M765">
        <v>93.5</v>
      </c>
      <c r="N765">
        <v>1.27</v>
      </c>
      <c r="O765">
        <v>23.1</v>
      </c>
      <c r="P765"/>
      <c r="Q765"/>
      <c r="R765"/>
    </row>
    <row r="766" spans="1:18" x14ac:dyDescent="0.25">
      <c r="A766" s="34" t="s">
        <v>126</v>
      </c>
      <c r="B766" s="10">
        <v>45895</v>
      </c>
      <c r="C766" t="s">
        <v>114</v>
      </c>
      <c r="D766" t="s">
        <v>102</v>
      </c>
      <c r="E766" t="s">
        <v>115</v>
      </c>
      <c r="F766">
        <v>154.30000000000001</v>
      </c>
      <c r="G766">
        <v>167.4</v>
      </c>
      <c r="H766">
        <v>109.1</v>
      </c>
      <c r="I766">
        <v>16.2</v>
      </c>
      <c r="J766">
        <v>-7</v>
      </c>
      <c r="K766">
        <v>69.599999999999994</v>
      </c>
      <c r="L766">
        <v>-24</v>
      </c>
      <c r="M766">
        <v>90.2</v>
      </c>
      <c r="N766">
        <v>1.21</v>
      </c>
      <c r="O766">
        <v>40.799999999999997</v>
      </c>
      <c r="P766"/>
      <c r="Q766"/>
      <c r="R766"/>
    </row>
    <row r="767" spans="1:18" x14ac:dyDescent="0.25">
      <c r="A767" s="34" t="s">
        <v>126</v>
      </c>
      <c r="B767" s="10">
        <v>45895</v>
      </c>
      <c r="C767" t="s">
        <v>114</v>
      </c>
      <c r="D767" t="s">
        <v>102</v>
      </c>
      <c r="E767" t="s">
        <v>115</v>
      </c>
      <c r="F767">
        <v>189.3</v>
      </c>
      <c r="G767">
        <v>209</v>
      </c>
      <c r="H767">
        <v>130.4</v>
      </c>
      <c r="I767">
        <v>9.3000000000000007</v>
      </c>
      <c r="J767">
        <v>-11.8</v>
      </c>
      <c r="K767">
        <v>58.7</v>
      </c>
      <c r="L767">
        <v>-40</v>
      </c>
      <c r="M767">
        <v>91.3</v>
      </c>
      <c r="N767">
        <v>1.43</v>
      </c>
      <c r="O767">
        <v>32.799999999999997</v>
      </c>
      <c r="P767"/>
      <c r="Q767"/>
      <c r="R767"/>
    </row>
    <row r="768" spans="1:18" x14ac:dyDescent="0.25">
      <c r="A768" s="34" t="s">
        <v>126</v>
      </c>
      <c r="B768" s="10">
        <v>45895</v>
      </c>
      <c r="C768" t="s">
        <v>114</v>
      </c>
      <c r="D768" t="s">
        <v>102</v>
      </c>
      <c r="E768" t="s">
        <v>115</v>
      </c>
      <c r="F768">
        <v>180.5</v>
      </c>
      <c r="G768">
        <v>198</v>
      </c>
      <c r="H768">
        <v>136.69999999999999</v>
      </c>
      <c r="I768">
        <v>3.9</v>
      </c>
      <c r="J768">
        <v>-13.1</v>
      </c>
      <c r="K768">
        <v>31</v>
      </c>
      <c r="L768">
        <v>-42.4</v>
      </c>
      <c r="M768">
        <v>91.8</v>
      </c>
      <c r="N768">
        <v>1.49</v>
      </c>
      <c r="O768">
        <v>21.2</v>
      </c>
      <c r="P768"/>
      <c r="Q768"/>
      <c r="R768"/>
    </row>
    <row r="769" spans="1:18" x14ac:dyDescent="0.25">
      <c r="A769" s="34" t="s">
        <v>126</v>
      </c>
      <c r="B769" s="10">
        <v>45895</v>
      </c>
      <c r="C769" t="s">
        <v>114</v>
      </c>
      <c r="D769" t="s">
        <v>102</v>
      </c>
      <c r="E769" t="s">
        <v>115</v>
      </c>
      <c r="F769">
        <v>191.5</v>
      </c>
      <c r="G769">
        <v>207.9</v>
      </c>
      <c r="H769">
        <v>134.6</v>
      </c>
      <c r="I769">
        <v>9.1999999999999993</v>
      </c>
      <c r="J769">
        <v>-6</v>
      </c>
      <c r="K769">
        <v>61.4</v>
      </c>
      <c r="L769">
        <v>11.2</v>
      </c>
      <c r="M769">
        <v>93.5</v>
      </c>
      <c r="N769">
        <v>1.44</v>
      </c>
      <c r="O769">
        <v>32.799999999999997</v>
      </c>
      <c r="P769"/>
      <c r="Q769"/>
      <c r="R769"/>
    </row>
    <row r="770" spans="1:18" x14ac:dyDescent="0.25">
      <c r="A770" s="34" t="s">
        <v>126</v>
      </c>
      <c r="B770" s="10">
        <v>45895</v>
      </c>
      <c r="C770" t="s">
        <v>116</v>
      </c>
      <c r="D770" t="s">
        <v>102</v>
      </c>
      <c r="E770" t="s">
        <v>115</v>
      </c>
      <c r="F770">
        <v>199.1</v>
      </c>
      <c r="G770">
        <v>212.2</v>
      </c>
      <c r="H770">
        <v>133.4</v>
      </c>
      <c r="I770">
        <v>11.2</v>
      </c>
      <c r="J770">
        <v>-10.3</v>
      </c>
      <c r="K770">
        <v>68.099999999999994</v>
      </c>
      <c r="L770">
        <v>-5.2</v>
      </c>
      <c r="M770">
        <v>96.9</v>
      </c>
      <c r="N770">
        <v>1.38</v>
      </c>
      <c r="O770">
        <v>34.1</v>
      </c>
      <c r="P770"/>
      <c r="Q770"/>
      <c r="R770"/>
    </row>
    <row r="771" spans="1:18" x14ac:dyDescent="0.25">
      <c r="A771" s="34" t="s">
        <v>126</v>
      </c>
      <c r="B771" s="10">
        <v>45895</v>
      </c>
      <c r="C771" t="s">
        <v>116</v>
      </c>
      <c r="D771" t="s">
        <v>102</v>
      </c>
      <c r="E771" t="s">
        <v>115</v>
      </c>
      <c r="F771">
        <v>180.5</v>
      </c>
      <c r="G771">
        <v>183.8</v>
      </c>
      <c r="H771">
        <v>120.2</v>
      </c>
      <c r="I771">
        <v>15.7</v>
      </c>
      <c r="J771">
        <v>-13.2</v>
      </c>
      <c r="K771">
        <v>84</v>
      </c>
      <c r="L771">
        <v>-50.1</v>
      </c>
      <c r="M771">
        <v>100.8</v>
      </c>
      <c r="N771">
        <v>1.19</v>
      </c>
      <c r="O771">
        <v>42.4</v>
      </c>
      <c r="P771"/>
      <c r="Q771"/>
      <c r="R771"/>
    </row>
    <row r="772" spans="1:18" x14ac:dyDescent="0.25">
      <c r="A772" s="34" t="s">
        <v>126</v>
      </c>
      <c r="B772" s="10">
        <v>45895</v>
      </c>
      <c r="C772" t="s">
        <v>116</v>
      </c>
      <c r="D772" t="s">
        <v>102</v>
      </c>
      <c r="E772" t="s">
        <v>115</v>
      </c>
      <c r="F772">
        <v>214.4</v>
      </c>
      <c r="G772">
        <v>229.7</v>
      </c>
      <c r="H772">
        <v>144.9</v>
      </c>
      <c r="I772">
        <v>9.4</v>
      </c>
      <c r="J772">
        <v>-11.7</v>
      </c>
      <c r="K772">
        <v>69</v>
      </c>
      <c r="L772">
        <v>-7</v>
      </c>
      <c r="M772">
        <v>101.9</v>
      </c>
      <c r="N772">
        <v>1.42</v>
      </c>
      <c r="O772">
        <v>32.9</v>
      </c>
      <c r="P772"/>
      <c r="Q772"/>
      <c r="R772"/>
    </row>
    <row r="773" spans="1:18" x14ac:dyDescent="0.25">
      <c r="A773" s="34" t="s">
        <v>126</v>
      </c>
      <c r="B773" s="10">
        <v>45895</v>
      </c>
      <c r="C773" t="s">
        <v>116</v>
      </c>
      <c r="D773" t="s">
        <v>102</v>
      </c>
      <c r="E773" t="s">
        <v>115</v>
      </c>
      <c r="F773">
        <v>202.4</v>
      </c>
      <c r="G773">
        <v>213.3</v>
      </c>
      <c r="H773">
        <v>137</v>
      </c>
      <c r="I773">
        <v>13.1</v>
      </c>
      <c r="J773">
        <v>-8.6</v>
      </c>
      <c r="K773">
        <v>83.6</v>
      </c>
      <c r="L773">
        <v>13.9</v>
      </c>
      <c r="M773">
        <v>97.5</v>
      </c>
      <c r="N773">
        <v>1.41</v>
      </c>
      <c r="O773">
        <v>37.6</v>
      </c>
      <c r="P773"/>
      <c r="Q773"/>
      <c r="R773"/>
    </row>
    <row r="774" spans="1:18" x14ac:dyDescent="0.25">
      <c r="A774" s="34" t="s">
        <v>126</v>
      </c>
      <c r="B774" s="10">
        <v>45895</v>
      </c>
      <c r="C774" t="s">
        <v>116</v>
      </c>
      <c r="D774" t="s">
        <v>102</v>
      </c>
      <c r="E774" t="s">
        <v>115</v>
      </c>
      <c r="F774">
        <v>217.7</v>
      </c>
      <c r="G774">
        <v>228.6</v>
      </c>
      <c r="H774">
        <v>144.69999999999999</v>
      </c>
      <c r="I774">
        <v>9.3000000000000007</v>
      </c>
      <c r="J774">
        <v>-12.1</v>
      </c>
      <c r="K774">
        <v>67.400000000000006</v>
      </c>
      <c r="L774">
        <v>-15.9</v>
      </c>
      <c r="M774">
        <v>99.7</v>
      </c>
      <c r="N774">
        <v>1.45</v>
      </c>
      <c r="O774">
        <v>32.299999999999997</v>
      </c>
      <c r="P774"/>
      <c r="Q774"/>
      <c r="R774"/>
    </row>
    <row r="775" spans="1:18" x14ac:dyDescent="0.25">
      <c r="A775" s="34" t="s">
        <v>126</v>
      </c>
      <c r="B775" s="10">
        <v>45895</v>
      </c>
      <c r="C775" t="s">
        <v>116</v>
      </c>
      <c r="D775" t="s">
        <v>102</v>
      </c>
      <c r="E775" t="s">
        <v>115</v>
      </c>
      <c r="F775">
        <v>191.5</v>
      </c>
      <c r="G775">
        <v>210</v>
      </c>
      <c r="H775">
        <v>140.6</v>
      </c>
      <c r="I775">
        <v>5.6</v>
      </c>
      <c r="J775">
        <v>-15</v>
      </c>
      <c r="K775">
        <v>39.799999999999997</v>
      </c>
      <c r="L775">
        <v>-52.5</v>
      </c>
      <c r="M775">
        <v>97.5</v>
      </c>
      <c r="N775">
        <v>1.44</v>
      </c>
      <c r="O775">
        <v>23.7</v>
      </c>
      <c r="P775"/>
      <c r="Q775"/>
      <c r="R775"/>
    </row>
    <row r="776" spans="1:18" x14ac:dyDescent="0.25">
      <c r="A776" s="34" t="s">
        <v>126</v>
      </c>
      <c r="B776" s="10">
        <v>45895</v>
      </c>
      <c r="C776" t="s">
        <v>116</v>
      </c>
      <c r="D776" t="s">
        <v>102</v>
      </c>
      <c r="E776" t="s">
        <v>115</v>
      </c>
      <c r="F776">
        <v>192.5</v>
      </c>
      <c r="G776">
        <v>204.6</v>
      </c>
      <c r="H776">
        <v>138.19999999999999</v>
      </c>
      <c r="I776">
        <v>10.1</v>
      </c>
      <c r="J776">
        <v>-12.2</v>
      </c>
      <c r="K776">
        <v>66.599999999999994</v>
      </c>
      <c r="L776">
        <v>7.2</v>
      </c>
      <c r="M776">
        <v>98.5</v>
      </c>
      <c r="N776">
        <v>1.4</v>
      </c>
      <c r="O776">
        <v>33</v>
      </c>
      <c r="P776"/>
      <c r="Q776"/>
      <c r="R776"/>
    </row>
    <row r="777" spans="1:18" x14ac:dyDescent="0.25">
      <c r="A777" s="34" t="s">
        <v>126</v>
      </c>
      <c r="B777" s="10">
        <v>45895</v>
      </c>
      <c r="C777" t="s">
        <v>116</v>
      </c>
      <c r="D777" t="s">
        <v>102</v>
      </c>
      <c r="E777" t="s">
        <v>115</v>
      </c>
      <c r="F777">
        <v>202.4</v>
      </c>
      <c r="G777">
        <v>216.6</v>
      </c>
      <c r="H777">
        <v>134.5</v>
      </c>
      <c r="I777">
        <v>9.8000000000000007</v>
      </c>
      <c r="J777">
        <v>-13.5</v>
      </c>
      <c r="K777">
        <v>60.7</v>
      </c>
      <c r="L777">
        <v>-29.4</v>
      </c>
      <c r="M777">
        <v>96.9</v>
      </c>
      <c r="N777">
        <v>1.39</v>
      </c>
      <c r="O777">
        <v>31.7</v>
      </c>
      <c r="P777"/>
      <c r="Q777"/>
      <c r="R777"/>
    </row>
    <row r="778" spans="1:18" x14ac:dyDescent="0.25">
      <c r="A778" s="34" t="s">
        <v>126</v>
      </c>
      <c r="B778" s="10">
        <v>45895</v>
      </c>
      <c r="C778" t="s">
        <v>116</v>
      </c>
      <c r="D778" t="s">
        <v>102</v>
      </c>
      <c r="E778" t="s">
        <v>115</v>
      </c>
      <c r="F778">
        <v>198</v>
      </c>
      <c r="G778">
        <v>205.7</v>
      </c>
      <c r="H778">
        <v>133.6</v>
      </c>
      <c r="I778">
        <v>16.5</v>
      </c>
      <c r="J778">
        <v>-3.7</v>
      </c>
      <c r="K778">
        <v>103.3</v>
      </c>
      <c r="L778">
        <v>39.700000000000003</v>
      </c>
      <c r="M778">
        <v>95.7</v>
      </c>
      <c r="N778">
        <v>1.4</v>
      </c>
      <c r="O778">
        <v>43</v>
      </c>
      <c r="P778"/>
      <c r="Q778"/>
      <c r="R778"/>
    </row>
    <row r="779" spans="1:18" x14ac:dyDescent="0.25">
      <c r="A779" s="34" t="s">
        <v>126</v>
      </c>
      <c r="B779" s="10">
        <v>45895</v>
      </c>
      <c r="C779" t="s">
        <v>116</v>
      </c>
      <c r="D779" t="s">
        <v>102</v>
      </c>
      <c r="E779" t="s">
        <v>115</v>
      </c>
      <c r="F779">
        <v>189.3</v>
      </c>
      <c r="G779">
        <v>217.7</v>
      </c>
      <c r="H779">
        <v>143.4</v>
      </c>
      <c r="I779">
        <v>4.8</v>
      </c>
      <c r="J779">
        <v>-16.5</v>
      </c>
      <c r="K779">
        <v>38.4</v>
      </c>
      <c r="L779">
        <v>-37.799999999999997</v>
      </c>
      <c r="M779">
        <v>100.7</v>
      </c>
      <c r="N779">
        <v>1.42</v>
      </c>
      <c r="O779">
        <v>23.1</v>
      </c>
      <c r="P779"/>
      <c r="Q779"/>
      <c r="R779"/>
    </row>
    <row r="780" spans="1:18" x14ac:dyDescent="0.25">
      <c r="A780" s="34" t="s">
        <v>126</v>
      </c>
      <c r="B780" s="10">
        <v>45895</v>
      </c>
      <c r="C780" t="s">
        <v>116</v>
      </c>
      <c r="D780" t="s">
        <v>102</v>
      </c>
      <c r="E780" t="s">
        <v>115</v>
      </c>
      <c r="F780">
        <v>173.9</v>
      </c>
      <c r="G780">
        <v>178.3</v>
      </c>
      <c r="H780">
        <v>140.69999999999999</v>
      </c>
      <c r="I780">
        <v>1.8</v>
      </c>
      <c r="J780">
        <v>-18.100000000000001</v>
      </c>
      <c r="K780">
        <v>18.100000000000001</v>
      </c>
      <c r="L780">
        <v>-55.1</v>
      </c>
      <c r="M780">
        <v>95.1</v>
      </c>
      <c r="N780">
        <v>1.48</v>
      </c>
      <c r="O780">
        <v>13.9</v>
      </c>
      <c r="P780"/>
      <c r="Q780"/>
      <c r="R780"/>
    </row>
    <row r="781" spans="1:18" x14ac:dyDescent="0.25">
      <c r="A781" s="34" t="s">
        <v>126</v>
      </c>
      <c r="B781" s="10">
        <v>45895</v>
      </c>
      <c r="C781" t="s">
        <v>116</v>
      </c>
      <c r="D781" t="s">
        <v>102</v>
      </c>
      <c r="E781" t="s">
        <v>115</v>
      </c>
      <c r="F781">
        <v>146.6</v>
      </c>
      <c r="G781">
        <v>168.5</v>
      </c>
      <c r="H781">
        <v>135.5</v>
      </c>
      <c r="I781">
        <v>2.6</v>
      </c>
      <c r="J781">
        <v>-14.9</v>
      </c>
      <c r="K781">
        <v>20.8</v>
      </c>
      <c r="L781">
        <v>-9.6999999999999993</v>
      </c>
      <c r="M781">
        <v>100.6</v>
      </c>
      <c r="N781">
        <v>1.35</v>
      </c>
      <c r="O781">
        <v>15.8</v>
      </c>
      <c r="P781"/>
      <c r="Q781"/>
      <c r="R781"/>
    </row>
    <row r="782" spans="1:18" x14ac:dyDescent="0.25">
      <c r="A782" s="34" t="s">
        <v>126</v>
      </c>
      <c r="B782" s="10">
        <v>45895</v>
      </c>
      <c r="C782" t="s">
        <v>116</v>
      </c>
      <c r="D782" t="s">
        <v>102</v>
      </c>
      <c r="E782" t="s">
        <v>115</v>
      </c>
      <c r="F782">
        <v>204.6</v>
      </c>
      <c r="G782">
        <v>221</v>
      </c>
      <c r="H782">
        <v>140.5</v>
      </c>
      <c r="I782">
        <v>7.8</v>
      </c>
      <c r="J782">
        <v>-14.8</v>
      </c>
      <c r="K782">
        <v>53.6</v>
      </c>
      <c r="L782">
        <v>-23.1</v>
      </c>
      <c r="M782">
        <v>97.3</v>
      </c>
      <c r="N782">
        <v>1.44</v>
      </c>
      <c r="O782">
        <v>28.6</v>
      </c>
      <c r="P782"/>
      <c r="Q782"/>
      <c r="R782"/>
    </row>
    <row r="783" spans="1:18" x14ac:dyDescent="0.25">
      <c r="A783" s="34" t="s">
        <v>126</v>
      </c>
      <c r="B783" s="10">
        <v>45895</v>
      </c>
      <c r="C783" t="s">
        <v>116</v>
      </c>
      <c r="D783" t="s">
        <v>102</v>
      </c>
      <c r="E783" t="s">
        <v>115</v>
      </c>
      <c r="F783">
        <v>146.6</v>
      </c>
      <c r="G783">
        <v>152.1</v>
      </c>
      <c r="H783">
        <v>107.5</v>
      </c>
      <c r="I783">
        <v>19.2</v>
      </c>
      <c r="J783">
        <v>-18.399999999999999</v>
      </c>
      <c r="K783">
        <v>80.8</v>
      </c>
      <c r="L783">
        <v>-76.3</v>
      </c>
      <c r="M783">
        <v>93.9</v>
      </c>
      <c r="N783">
        <v>1.1399999999999999</v>
      </c>
      <c r="O783">
        <v>44.6</v>
      </c>
      <c r="P783"/>
      <c r="Q783"/>
      <c r="R783"/>
    </row>
    <row r="784" spans="1:18" x14ac:dyDescent="0.25">
      <c r="A784" s="34" t="s">
        <v>126</v>
      </c>
      <c r="B784" s="10">
        <v>45895</v>
      </c>
      <c r="C784" t="s">
        <v>116</v>
      </c>
      <c r="D784" t="s">
        <v>102</v>
      </c>
      <c r="E784" t="s">
        <v>115</v>
      </c>
      <c r="F784">
        <v>211.1</v>
      </c>
      <c r="G784">
        <v>221</v>
      </c>
      <c r="H784">
        <v>143.5</v>
      </c>
      <c r="I784">
        <v>9.4</v>
      </c>
      <c r="J784">
        <v>-6.5</v>
      </c>
      <c r="K784">
        <v>67.2</v>
      </c>
      <c r="L784">
        <v>12.6</v>
      </c>
      <c r="M784">
        <v>101.1</v>
      </c>
      <c r="N784">
        <v>1.42</v>
      </c>
      <c r="O784">
        <v>32.4</v>
      </c>
      <c r="P784"/>
      <c r="Q784"/>
      <c r="R784"/>
    </row>
    <row r="785" spans="1:18" x14ac:dyDescent="0.25">
      <c r="A785" s="34" t="s">
        <v>126</v>
      </c>
      <c r="B785" s="10">
        <v>45895</v>
      </c>
      <c r="C785" t="s">
        <v>116</v>
      </c>
      <c r="D785" t="s">
        <v>102</v>
      </c>
      <c r="E785" t="s">
        <v>115</v>
      </c>
      <c r="F785">
        <v>212.2</v>
      </c>
      <c r="G785">
        <v>223.2</v>
      </c>
      <c r="H785">
        <v>146.30000000000001</v>
      </c>
      <c r="I785">
        <v>7.6</v>
      </c>
      <c r="J785">
        <v>-9.9</v>
      </c>
      <c r="K785">
        <v>56.6</v>
      </c>
      <c r="L785">
        <v>-2.5</v>
      </c>
      <c r="M785">
        <v>101.1</v>
      </c>
      <c r="N785">
        <v>1.45</v>
      </c>
      <c r="O785">
        <v>28.8</v>
      </c>
      <c r="P785"/>
      <c r="Q785"/>
      <c r="R785"/>
    </row>
    <row r="786" spans="1:18" x14ac:dyDescent="0.25">
      <c r="A786" s="34" t="s">
        <v>126</v>
      </c>
      <c r="B786" s="10">
        <v>45895</v>
      </c>
      <c r="C786" t="s">
        <v>116</v>
      </c>
      <c r="D786" t="s">
        <v>102</v>
      </c>
      <c r="E786" t="s">
        <v>115</v>
      </c>
      <c r="F786">
        <v>154.30000000000001</v>
      </c>
      <c r="G786">
        <v>176.1</v>
      </c>
      <c r="H786">
        <v>127.8</v>
      </c>
      <c r="I786">
        <v>5.7</v>
      </c>
      <c r="J786">
        <v>-8.6999999999999993</v>
      </c>
      <c r="K786">
        <v>29.2</v>
      </c>
      <c r="L786">
        <v>-23.1</v>
      </c>
      <c r="M786">
        <v>88.4</v>
      </c>
      <c r="N786">
        <v>1.45</v>
      </c>
      <c r="O786">
        <v>20</v>
      </c>
      <c r="P786"/>
      <c r="Q786"/>
      <c r="R786"/>
    </row>
    <row r="787" spans="1:18" x14ac:dyDescent="0.25">
      <c r="A787" s="34" t="s">
        <v>126</v>
      </c>
      <c r="B787" s="10">
        <v>45895</v>
      </c>
      <c r="C787" t="s">
        <v>116</v>
      </c>
      <c r="D787" t="s">
        <v>102</v>
      </c>
      <c r="E787" t="s">
        <v>115</v>
      </c>
      <c r="F787">
        <v>213.3</v>
      </c>
      <c r="G787">
        <v>223.2</v>
      </c>
      <c r="H787">
        <v>148</v>
      </c>
      <c r="I787">
        <v>6.9</v>
      </c>
      <c r="J787">
        <v>-7</v>
      </c>
      <c r="K787">
        <v>54.6</v>
      </c>
      <c r="L787">
        <v>8.6999999999999993</v>
      </c>
      <c r="M787">
        <v>103.3</v>
      </c>
      <c r="N787">
        <v>1.43</v>
      </c>
      <c r="O787">
        <v>28.3</v>
      </c>
      <c r="P787"/>
      <c r="Q787"/>
      <c r="R787"/>
    </row>
    <row r="788" spans="1:18" x14ac:dyDescent="0.25">
      <c r="A788" s="34" t="s">
        <v>126</v>
      </c>
      <c r="B788" s="10">
        <v>45895</v>
      </c>
      <c r="C788" t="s">
        <v>116</v>
      </c>
      <c r="D788" t="s">
        <v>102</v>
      </c>
      <c r="E788" t="s">
        <v>115</v>
      </c>
      <c r="F788">
        <v>207.9</v>
      </c>
      <c r="G788">
        <v>218.8</v>
      </c>
      <c r="H788">
        <v>145.5</v>
      </c>
      <c r="I788">
        <v>8.1</v>
      </c>
      <c r="J788">
        <v>-5.6</v>
      </c>
      <c r="K788">
        <v>61.5</v>
      </c>
      <c r="L788">
        <v>26</v>
      </c>
      <c r="M788">
        <v>103.3</v>
      </c>
      <c r="N788">
        <v>1.41</v>
      </c>
      <c r="O788">
        <v>30.8</v>
      </c>
      <c r="P788"/>
      <c r="Q788"/>
      <c r="R788"/>
    </row>
    <row r="789" spans="1:18" x14ac:dyDescent="0.25">
      <c r="A789" s="34" t="s">
        <v>126</v>
      </c>
      <c r="B789" s="10">
        <v>45895</v>
      </c>
      <c r="C789" t="s">
        <v>116</v>
      </c>
      <c r="D789" t="s">
        <v>102</v>
      </c>
      <c r="E789" t="s">
        <v>115</v>
      </c>
      <c r="F789">
        <v>206.8</v>
      </c>
      <c r="G789">
        <v>216.6</v>
      </c>
      <c r="H789">
        <v>140.30000000000001</v>
      </c>
      <c r="I789">
        <v>9.8000000000000007</v>
      </c>
      <c r="J789">
        <v>-3.7</v>
      </c>
      <c r="K789">
        <v>65.5</v>
      </c>
      <c r="L789">
        <v>25.1</v>
      </c>
      <c r="M789">
        <v>98.4</v>
      </c>
      <c r="N789">
        <v>1.43</v>
      </c>
      <c r="O789">
        <v>32.200000000000003</v>
      </c>
      <c r="P789"/>
      <c r="Q789"/>
      <c r="R789"/>
    </row>
    <row r="790" spans="1:18" x14ac:dyDescent="0.25">
      <c r="A790" s="34" t="s">
        <v>126</v>
      </c>
      <c r="B790" s="10">
        <v>45895</v>
      </c>
      <c r="C790" t="s">
        <v>116</v>
      </c>
      <c r="D790" t="s">
        <v>102</v>
      </c>
      <c r="E790" t="s">
        <v>115</v>
      </c>
      <c r="F790">
        <v>211.1</v>
      </c>
      <c r="G790">
        <v>219.9</v>
      </c>
      <c r="H790">
        <v>140.6</v>
      </c>
      <c r="I790">
        <v>12.2</v>
      </c>
      <c r="J790">
        <v>-4.9000000000000004</v>
      </c>
      <c r="K790">
        <v>81.5</v>
      </c>
      <c r="L790">
        <v>18.7</v>
      </c>
      <c r="M790">
        <v>99</v>
      </c>
      <c r="N790">
        <v>1.42</v>
      </c>
      <c r="O790">
        <v>36.4</v>
      </c>
      <c r="P790"/>
      <c r="Q790"/>
      <c r="R790"/>
    </row>
    <row r="791" spans="1:18" x14ac:dyDescent="0.25">
      <c r="A791" s="34" t="s">
        <v>126</v>
      </c>
      <c r="B791" s="10">
        <v>45895</v>
      </c>
      <c r="C791" t="s">
        <v>116</v>
      </c>
      <c r="D791" t="s">
        <v>102</v>
      </c>
      <c r="E791" t="s">
        <v>115</v>
      </c>
      <c r="F791">
        <v>210</v>
      </c>
      <c r="G791">
        <v>226.5</v>
      </c>
      <c r="H791">
        <v>144.19999999999999</v>
      </c>
      <c r="I791">
        <v>6.5</v>
      </c>
      <c r="J791">
        <v>-12.2</v>
      </c>
      <c r="K791">
        <v>46.5</v>
      </c>
      <c r="L791">
        <v>-25.3</v>
      </c>
      <c r="M791">
        <v>97.3</v>
      </c>
      <c r="N791">
        <v>1.48</v>
      </c>
      <c r="O791">
        <v>25.5</v>
      </c>
      <c r="P791"/>
      <c r="Q791"/>
      <c r="R791"/>
    </row>
    <row r="792" spans="1:18" x14ac:dyDescent="0.25">
      <c r="A792" s="34" t="s">
        <v>126</v>
      </c>
      <c r="B792" s="10">
        <v>45895</v>
      </c>
      <c r="C792" t="s">
        <v>116</v>
      </c>
      <c r="D792" t="s">
        <v>102</v>
      </c>
      <c r="E792" t="s">
        <v>115</v>
      </c>
      <c r="F792">
        <v>195.8</v>
      </c>
      <c r="G792">
        <v>209</v>
      </c>
      <c r="H792">
        <v>132.30000000000001</v>
      </c>
      <c r="I792">
        <v>9.8000000000000007</v>
      </c>
      <c r="J792">
        <v>-12.2</v>
      </c>
      <c r="K792">
        <v>59.3</v>
      </c>
      <c r="L792">
        <v>-17.600000000000001</v>
      </c>
      <c r="M792">
        <v>97.3</v>
      </c>
      <c r="N792">
        <v>1.36</v>
      </c>
      <c r="O792">
        <v>31.6</v>
      </c>
      <c r="P792"/>
      <c r="Q792"/>
      <c r="R792"/>
    </row>
    <row r="793" spans="1:18" x14ac:dyDescent="0.25">
      <c r="A793" s="34" t="s">
        <v>126</v>
      </c>
      <c r="B793" s="10">
        <v>45895</v>
      </c>
      <c r="C793" t="s">
        <v>116</v>
      </c>
      <c r="D793" t="s">
        <v>102</v>
      </c>
      <c r="E793" t="s">
        <v>115</v>
      </c>
      <c r="F793">
        <v>193.6</v>
      </c>
      <c r="G793">
        <v>201.3</v>
      </c>
      <c r="H793">
        <v>147.4</v>
      </c>
      <c r="I793">
        <v>5.3</v>
      </c>
      <c r="J793">
        <v>-15.3</v>
      </c>
      <c r="K793">
        <v>43.7</v>
      </c>
      <c r="L793">
        <v>-78</v>
      </c>
      <c r="M793">
        <v>101.2</v>
      </c>
      <c r="N793">
        <v>1.46</v>
      </c>
      <c r="O793">
        <v>24.8</v>
      </c>
      <c r="P793"/>
      <c r="Q793"/>
      <c r="R793"/>
    </row>
    <row r="794" spans="1:18" x14ac:dyDescent="0.25">
      <c r="A794" s="34" t="s">
        <v>126</v>
      </c>
      <c r="B794" s="10">
        <v>45895</v>
      </c>
      <c r="C794" t="s">
        <v>116</v>
      </c>
      <c r="D794" t="s">
        <v>102</v>
      </c>
      <c r="E794" t="s">
        <v>115</v>
      </c>
      <c r="F794">
        <v>205.7</v>
      </c>
      <c r="G794">
        <v>216.6</v>
      </c>
      <c r="H794">
        <v>135.19999999999999</v>
      </c>
      <c r="I794">
        <v>12.7</v>
      </c>
      <c r="J794">
        <v>-10.3</v>
      </c>
      <c r="K794">
        <v>81</v>
      </c>
      <c r="L794">
        <v>-2.2000000000000002</v>
      </c>
      <c r="M794">
        <v>97.3</v>
      </c>
      <c r="N794">
        <v>1.39</v>
      </c>
      <c r="O794">
        <v>37.6</v>
      </c>
      <c r="P794"/>
      <c r="Q794"/>
      <c r="R794"/>
    </row>
    <row r="795" spans="1:18" x14ac:dyDescent="0.25">
      <c r="A795" s="34" t="s">
        <v>126</v>
      </c>
      <c r="B795" s="10">
        <v>45895</v>
      </c>
      <c r="C795" t="s">
        <v>116</v>
      </c>
      <c r="D795" t="s">
        <v>102</v>
      </c>
      <c r="E795" t="s">
        <v>115</v>
      </c>
      <c r="F795">
        <v>217.7</v>
      </c>
      <c r="G795">
        <v>226.5</v>
      </c>
      <c r="H795">
        <v>144.6</v>
      </c>
      <c r="I795">
        <v>9.9</v>
      </c>
      <c r="J795">
        <v>-7.1</v>
      </c>
      <c r="K795">
        <v>72.900000000000006</v>
      </c>
      <c r="L795">
        <v>-5</v>
      </c>
      <c r="M795">
        <v>103.9</v>
      </c>
      <c r="N795">
        <v>1.39</v>
      </c>
      <c r="O795">
        <v>34.1</v>
      </c>
      <c r="P795"/>
      <c r="Q795"/>
      <c r="R795"/>
    </row>
    <row r="796" spans="1:18" x14ac:dyDescent="0.25">
      <c r="A796" s="34" t="s">
        <v>126</v>
      </c>
      <c r="B796" s="10">
        <v>45895</v>
      </c>
      <c r="C796" t="s">
        <v>116</v>
      </c>
      <c r="D796" t="s">
        <v>102</v>
      </c>
      <c r="E796" t="s">
        <v>115</v>
      </c>
      <c r="F796">
        <v>218.8</v>
      </c>
      <c r="G796">
        <v>229.7</v>
      </c>
      <c r="H796">
        <v>149.19999999999999</v>
      </c>
      <c r="I796">
        <v>8.6</v>
      </c>
      <c r="J796">
        <v>-11.3</v>
      </c>
      <c r="K796">
        <v>67.8</v>
      </c>
      <c r="L796">
        <v>0.8</v>
      </c>
      <c r="M796">
        <v>104.5</v>
      </c>
      <c r="N796">
        <v>1.43</v>
      </c>
      <c r="O796">
        <v>32.200000000000003</v>
      </c>
      <c r="P796"/>
      <c r="Q796"/>
      <c r="R796"/>
    </row>
    <row r="797" spans="1:18" x14ac:dyDescent="0.25">
      <c r="A797" s="34" t="s">
        <v>126</v>
      </c>
      <c r="B797" s="10">
        <v>45895</v>
      </c>
      <c r="C797" t="s">
        <v>116</v>
      </c>
      <c r="D797" t="s">
        <v>102</v>
      </c>
      <c r="E797" t="s">
        <v>115</v>
      </c>
      <c r="F797">
        <v>199.1</v>
      </c>
      <c r="G797">
        <v>224.3</v>
      </c>
      <c r="H797">
        <v>150.6</v>
      </c>
      <c r="I797">
        <v>3.6</v>
      </c>
      <c r="J797">
        <v>-15</v>
      </c>
      <c r="K797">
        <v>35.4</v>
      </c>
      <c r="L797">
        <v>-55.9</v>
      </c>
      <c r="M797">
        <v>103.3</v>
      </c>
      <c r="N797">
        <v>1.46</v>
      </c>
      <c r="O797">
        <v>21.5</v>
      </c>
      <c r="P797"/>
      <c r="Q797"/>
      <c r="R797"/>
    </row>
    <row r="798" spans="1:18" x14ac:dyDescent="0.25">
      <c r="A798" s="34" t="s">
        <v>126</v>
      </c>
      <c r="B798" s="10">
        <v>45895</v>
      </c>
      <c r="C798" t="s">
        <v>116</v>
      </c>
      <c r="D798" t="s">
        <v>102</v>
      </c>
      <c r="E798" t="s">
        <v>115</v>
      </c>
      <c r="F798">
        <v>217.7</v>
      </c>
      <c r="G798">
        <v>235.2</v>
      </c>
      <c r="H798">
        <v>150.9</v>
      </c>
      <c r="I798">
        <v>4.8</v>
      </c>
      <c r="J798">
        <v>-11.2</v>
      </c>
      <c r="K798">
        <v>41</v>
      </c>
      <c r="L798">
        <v>-23.6</v>
      </c>
      <c r="M798">
        <v>102.2</v>
      </c>
      <c r="N798">
        <v>1.48</v>
      </c>
      <c r="O798">
        <v>23.2</v>
      </c>
      <c r="P798"/>
      <c r="Q798"/>
      <c r="R798"/>
    </row>
    <row r="799" spans="1:18" x14ac:dyDescent="0.25">
      <c r="A799" s="34" t="s">
        <v>126</v>
      </c>
      <c r="B799" s="10">
        <v>45895</v>
      </c>
      <c r="C799" t="s">
        <v>116</v>
      </c>
      <c r="D799" t="s">
        <v>102</v>
      </c>
      <c r="E799" t="s">
        <v>115</v>
      </c>
      <c r="F799">
        <v>227.6</v>
      </c>
      <c r="G799">
        <v>237.4</v>
      </c>
      <c r="H799">
        <v>147</v>
      </c>
      <c r="I799">
        <v>9.6</v>
      </c>
      <c r="J799">
        <v>-8.5</v>
      </c>
      <c r="K799">
        <v>73.599999999999994</v>
      </c>
      <c r="L799">
        <v>-4</v>
      </c>
      <c r="M799">
        <v>106.1</v>
      </c>
      <c r="N799">
        <v>1.39</v>
      </c>
      <c r="O799">
        <v>34.200000000000003</v>
      </c>
      <c r="P799"/>
      <c r="Q799"/>
      <c r="R799"/>
    </row>
    <row r="800" spans="1:18" x14ac:dyDescent="0.25">
      <c r="A800" s="34" t="s">
        <v>126</v>
      </c>
      <c r="B800" s="10">
        <v>45895</v>
      </c>
      <c r="C800" t="s">
        <v>116</v>
      </c>
      <c r="D800" t="s">
        <v>102</v>
      </c>
      <c r="E800" t="s">
        <v>115</v>
      </c>
      <c r="F800">
        <v>226.5</v>
      </c>
      <c r="G800">
        <v>236.3</v>
      </c>
      <c r="H800">
        <v>153.5</v>
      </c>
      <c r="I800">
        <v>6</v>
      </c>
      <c r="J800">
        <v>-11.3</v>
      </c>
      <c r="K800">
        <v>52</v>
      </c>
      <c r="L800">
        <v>-19.899999999999999</v>
      </c>
      <c r="M800">
        <v>105</v>
      </c>
      <c r="N800">
        <v>1.46</v>
      </c>
      <c r="O800">
        <v>26.9</v>
      </c>
      <c r="P800"/>
      <c r="Q800"/>
      <c r="R800"/>
    </row>
    <row r="801" spans="1:20" x14ac:dyDescent="0.25">
      <c r="A801" s="34" t="s">
        <v>126</v>
      </c>
      <c r="B801" s="10">
        <v>45895</v>
      </c>
      <c r="C801" t="s">
        <v>116</v>
      </c>
      <c r="D801" t="s">
        <v>102</v>
      </c>
      <c r="E801" t="s">
        <v>115</v>
      </c>
      <c r="F801">
        <v>222.1</v>
      </c>
      <c r="G801">
        <v>231.9</v>
      </c>
      <c r="H801">
        <v>145.4</v>
      </c>
      <c r="I801">
        <v>12.3</v>
      </c>
      <c r="J801">
        <v>-8</v>
      </c>
      <c r="K801">
        <v>90</v>
      </c>
      <c r="L801">
        <v>17.7</v>
      </c>
      <c r="M801">
        <v>103.9</v>
      </c>
      <c r="N801">
        <v>1.4</v>
      </c>
      <c r="O801">
        <v>38.299999999999997</v>
      </c>
      <c r="P801"/>
      <c r="Q801"/>
      <c r="R801"/>
    </row>
    <row r="802" spans="1:20" x14ac:dyDescent="0.25">
      <c r="A802" s="34" t="s">
        <v>126</v>
      </c>
      <c r="B802" s="10">
        <v>45895</v>
      </c>
      <c r="C802" t="s">
        <v>116</v>
      </c>
      <c r="D802" t="s">
        <v>102</v>
      </c>
      <c r="E802" t="s">
        <v>115</v>
      </c>
      <c r="F802">
        <v>233</v>
      </c>
      <c r="G802">
        <v>242.9</v>
      </c>
      <c r="H802">
        <v>150.5</v>
      </c>
      <c r="I802">
        <v>11.1</v>
      </c>
      <c r="J802">
        <v>-12.5</v>
      </c>
      <c r="K802">
        <v>88.8</v>
      </c>
      <c r="L802">
        <v>-11.6</v>
      </c>
      <c r="M802">
        <v>106.6</v>
      </c>
      <c r="N802">
        <v>1.41</v>
      </c>
      <c r="O802">
        <v>37.700000000000003</v>
      </c>
      <c r="P802"/>
      <c r="Q802"/>
      <c r="R802"/>
    </row>
    <row r="803" spans="1:20" x14ac:dyDescent="0.25">
      <c r="A803" s="34" t="s">
        <v>126</v>
      </c>
      <c r="B803" s="10">
        <v>45895</v>
      </c>
      <c r="C803" t="s">
        <v>116</v>
      </c>
      <c r="D803" t="s">
        <v>102</v>
      </c>
      <c r="E803" t="s">
        <v>115</v>
      </c>
      <c r="F803">
        <v>227.6</v>
      </c>
      <c r="G803">
        <v>236.3</v>
      </c>
      <c r="H803">
        <v>151.1</v>
      </c>
      <c r="I803">
        <v>8.6</v>
      </c>
      <c r="J803">
        <v>-12.5</v>
      </c>
      <c r="K803">
        <v>69.8</v>
      </c>
      <c r="L803">
        <v>-14.6</v>
      </c>
      <c r="M803">
        <v>105.5</v>
      </c>
      <c r="N803">
        <v>1.43</v>
      </c>
      <c r="O803">
        <v>32.700000000000003</v>
      </c>
      <c r="P803"/>
      <c r="Q803"/>
      <c r="R803"/>
    </row>
    <row r="804" spans="1:20" x14ac:dyDescent="0.25">
      <c r="A804" s="34" t="s">
        <v>126</v>
      </c>
      <c r="B804" s="10">
        <v>45895</v>
      </c>
      <c r="C804" t="s">
        <v>116</v>
      </c>
      <c r="D804" t="s">
        <v>102</v>
      </c>
      <c r="E804" t="s">
        <v>115</v>
      </c>
      <c r="F804">
        <v>213.3</v>
      </c>
      <c r="G804">
        <v>222.1</v>
      </c>
      <c r="H804">
        <v>144</v>
      </c>
      <c r="I804">
        <v>13.7</v>
      </c>
      <c r="J804">
        <v>-6.7</v>
      </c>
      <c r="K804">
        <v>102.3</v>
      </c>
      <c r="L804">
        <v>31.2</v>
      </c>
      <c r="M804">
        <v>105</v>
      </c>
      <c r="N804">
        <v>1.37</v>
      </c>
      <c r="O804">
        <v>41.9</v>
      </c>
      <c r="P804"/>
      <c r="Q804"/>
      <c r="R804"/>
    </row>
    <row r="805" spans="1:20" x14ac:dyDescent="0.25">
      <c r="A805" s="89" t="s">
        <v>126</v>
      </c>
      <c r="B805" s="10">
        <v>46115</v>
      </c>
      <c r="C805" t="s">
        <v>104</v>
      </c>
      <c r="D805" t="s">
        <v>102</v>
      </c>
      <c r="E805" t="s">
        <v>103</v>
      </c>
      <c r="F805">
        <v>122.7</v>
      </c>
      <c r="G805">
        <v>134.19999999999999</v>
      </c>
      <c r="H805">
        <v>92.7</v>
      </c>
      <c r="I805">
        <v>18.2</v>
      </c>
      <c r="J805">
        <v>2.6</v>
      </c>
      <c r="K805">
        <v>53.3</v>
      </c>
      <c r="L805">
        <v>3.5</v>
      </c>
      <c r="M805">
        <v>77.900000000000006</v>
      </c>
      <c r="N805">
        <v>1.19</v>
      </c>
      <c r="O805">
        <v>37.9</v>
      </c>
      <c r="P805">
        <v>-5.8</v>
      </c>
      <c r="Q805">
        <v>-1.7</v>
      </c>
      <c r="R805">
        <v>0</v>
      </c>
      <c r="S805">
        <v>5553</v>
      </c>
      <c r="T805">
        <v>-2.6</v>
      </c>
    </row>
    <row r="806" spans="1:20" x14ac:dyDescent="0.25">
      <c r="A806" s="89" t="s">
        <v>126</v>
      </c>
      <c r="B806" s="10">
        <v>46115</v>
      </c>
      <c r="C806" t="s">
        <v>104</v>
      </c>
      <c r="D806" t="s">
        <v>102</v>
      </c>
      <c r="E806" t="s">
        <v>103</v>
      </c>
      <c r="F806">
        <v>104.8</v>
      </c>
      <c r="G806">
        <v>108.2</v>
      </c>
      <c r="H806">
        <v>85.6</v>
      </c>
      <c r="I806">
        <v>31.3</v>
      </c>
      <c r="J806">
        <v>-0.6</v>
      </c>
      <c r="K806">
        <v>82.4</v>
      </c>
      <c r="L806">
        <v>10.9</v>
      </c>
      <c r="M806">
        <v>80.099999999999994</v>
      </c>
      <c r="N806">
        <v>1.07</v>
      </c>
      <c r="O806">
        <v>52.5</v>
      </c>
      <c r="P806">
        <v>-5.7</v>
      </c>
      <c r="Q806">
        <v>-4</v>
      </c>
      <c r="R806">
        <v>0</v>
      </c>
      <c r="S806">
        <v>10789</v>
      </c>
      <c r="T806">
        <v>17.7</v>
      </c>
    </row>
    <row r="807" spans="1:20" x14ac:dyDescent="0.25">
      <c r="A807" s="89" t="s">
        <v>126</v>
      </c>
      <c r="B807" s="10">
        <v>46115</v>
      </c>
      <c r="C807" t="s">
        <v>104</v>
      </c>
      <c r="D807" t="s">
        <v>102</v>
      </c>
      <c r="E807" t="s">
        <v>103</v>
      </c>
      <c r="F807">
        <v>103.8</v>
      </c>
      <c r="G807">
        <v>117.8</v>
      </c>
      <c r="H807">
        <v>76.400000000000006</v>
      </c>
      <c r="I807">
        <v>33.1</v>
      </c>
      <c r="J807">
        <v>-3.6</v>
      </c>
      <c r="K807">
        <v>65.599999999999994</v>
      </c>
      <c r="L807">
        <v>-3.6</v>
      </c>
      <c r="M807">
        <v>77.900000000000006</v>
      </c>
      <c r="N807">
        <v>0.98</v>
      </c>
      <c r="O807">
        <v>43.6</v>
      </c>
      <c r="P807">
        <v>-5.0999999999999996</v>
      </c>
      <c r="Q807">
        <v>-4</v>
      </c>
      <c r="R807">
        <v>0</v>
      </c>
      <c r="S807">
        <v>1227</v>
      </c>
      <c r="T807">
        <v>8.6</v>
      </c>
    </row>
    <row r="808" spans="1:20" x14ac:dyDescent="0.25">
      <c r="A808" s="89" t="s">
        <v>126</v>
      </c>
      <c r="B808" s="10">
        <v>46115</v>
      </c>
      <c r="C808" t="s">
        <v>104</v>
      </c>
      <c r="D808" t="s">
        <v>102</v>
      </c>
      <c r="E808" t="s">
        <v>103</v>
      </c>
      <c r="F808">
        <v>125.6</v>
      </c>
      <c r="G808">
        <v>135.30000000000001</v>
      </c>
      <c r="H808">
        <v>93.4</v>
      </c>
      <c r="I808">
        <v>28.4</v>
      </c>
      <c r="J808">
        <v>-4.9000000000000004</v>
      </c>
      <c r="K808">
        <v>91.4</v>
      </c>
      <c r="L808">
        <v>-4.5</v>
      </c>
      <c r="M808">
        <v>84</v>
      </c>
      <c r="N808">
        <v>1.1100000000000001</v>
      </c>
      <c r="O808">
        <v>50.7</v>
      </c>
      <c r="P808">
        <v>-7.1</v>
      </c>
      <c r="Q808">
        <v>-7.1</v>
      </c>
      <c r="R808">
        <v>0</v>
      </c>
      <c r="S808">
        <v>4956</v>
      </c>
      <c r="T808">
        <v>7.1</v>
      </c>
    </row>
    <row r="809" spans="1:20" x14ac:dyDescent="0.25">
      <c r="A809" s="89" t="s">
        <v>126</v>
      </c>
      <c r="B809" s="10">
        <v>46115</v>
      </c>
      <c r="C809" t="s">
        <v>104</v>
      </c>
      <c r="D809" t="s">
        <v>102</v>
      </c>
      <c r="E809" t="s">
        <v>103</v>
      </c>
      <c r="F809">
        <v>118.4</v>
      </c>
      <c r="G809">
        <v>123</v>
      </c>
      <c r="H809">
        <v>94.3</v>
      </c>
      <c r="I809">
        <v>27.8</v>
      </c>
      <c r="J809">
        <v>-3.9</v>
      </c>
      <c r="K809">
        <v>89.3</v>
      </c>
      <c r="L809">
        <v>-10.9</v>
      </c>
      <c r="M809">
        <v>83.5</v>
      </c>
      <c r="N809">
        <v>1.1299999999999999</v>
      </c>
      <c r="O809">
        <v>52.4</v>
      </c>
      <c r="P809">
        <v>-5.7</v>
      </c>
      <c r="Q809">
        <v>-5</v>
      </c>
      <c r="R809">
        <v>0</v>
      </c>
      <c r="S809">
        <v>11983</v>
      </c>
      <c r="T809">
        <v>-3.1</v>
      </c>
    </row>
    <row r="810" spans="1:20" x14ac:dyDescent="0.25">
      <c r="A810" s="89" t="s">
        <v>126</v>
      </c>
      <c r="B810" s="10">
        <v>46115</v>
      </c>
      <c r="C810" t="s">
        <v>104</v>
      </c>
      <c r="D810" t="s">
        <v>102</v>
      </c>
      <c r="E810" t="s">
        <v>103</v>
      </c>
      <c r="F810">
        <v>111.6</v>
      </c>
      <c r="G810">
        <v>115.9</v>
      </c>
      <c r="H810">
        <v>90.3</v>
      </c>
      <c r="I810">
        <v>29.7</v>
      </c>
      <c r="J810">
        <v>-3.4</v>
      </c>
      <c r="K810">
        <v>88</v>
      </c>
      <c r="L810">
        <v>-5.6</v>
      </c>
      <c r="M810">
        <v>83.5</v>
      </c>
      <c r="N810">
        <v>1.08</v>
      </c>
      <c r="O810">
        <v>53.2</v>
      </c>
      <c r="P810">
        <v>-5.0999999999999996</v>
      </c>
      <c r="Q810">
        <v>-2.8</v>
      </c>
      <c r="R810">
        <v>0</v>
      </c>
      <c r="S810">
        <v>12522</v>
      </c>
      <c r="T810">
        <v>1.4</v>
      </c>
    </row>
    <row r="811" spans="1:20" x14ac:dyDescent="0.25">
      <c r="A811" s="89" t="s">
        <v>126</v>
      </c>
      <c r="B811" s="10">
        <v>46115</v>
      </c>
      <c r="C811" t="s">
        <v>104</v>
      </c>
      <c r="D811" t="s">
        <v>102</v>
      </c>
      <c r="E811" t="s">
        <v>103</v>
      </c>
      <c r="F811">
        <v>97.8</v>
      </c>
      <c r="G811">
        <v>103.5</v>
      </c>
      <c r="H811">
        <v>79.7</v>
      </c>
      <c r="I811">
        <v>32.6</v>
      </c>
      <c r="J811">
        <v>-4.3</v>
      </c>
      <c r="K811">
        <v>76.3</v>
      </c>
      <c r="L811">
        <v>-3.4</v>
      </c>
      <c r="M811">
        <v>76.8</v>
      </c>
      <c r="N811">
        <v>1.04</v>
      </c>
      <c r="O811">
        <v>51.1</v>
      </c>
      <c r="P811">
        <v>-0.4</v>
      </c>
      <c r="Q811">
        <v>-3.8</v>
      </c>
      <c r="R811">
        <v>0</v>
      </c>
      <c r="S811">
        <v>7248</v>
      </c>
      <c r="T811">
        <v>6.8</v>
      </c>
    </row>
    <row r="812" spans="1:20" x14ac:dyDescent="0.25">
      <c r="A812" s="89" t="s">
        <v>126</v>
      </c>
      <c r="B812" s="10">
        <v>46115</v>
      </c>
      <c r="C812" t="s">
        <v>104</v>
      </c>
      <c r="D812" t="s">
        <v>102</v>
      </c>
      <c r="E812" t="s">
        <v>103</v>
      </c>
      <c r="F812">
        <v>110.8</v>
      </c>
      <c r="G812">
        <v>117.7</v>
      </c>
      <c r="H812">
        <v>86.8</v>
      </c>
      <c r="I812">
        <v>28.2</v>
      </c>
      <c r="J812">
        <v>-5.5</v>
      </c>
      <c r="K812">
        <v>76.2</v>
      </c>
      <c r="L812">
        <v>0.4</v>
      </c>
      <c r="M812">
        <v>80.099999999999994</v>
      </c>
      <c r="N812">
        <v>1.08</v>
      </c>
      <c r="O812">
        <v>48.8</v>
      </c>
      <c r="P812">
        <v>-3.7</v>
      </c>
      <c r="Q812">
        <v>-4</v>
      </c>
      <c r="R812">
        <v>0</v>
      </c>
      <c r="S812">
        <v>6898</v>
      </c>
      <c r="T812">
        <v>15.3</v>
      </c>
    </row>
    <row r="813" spans="1:20" x14ac:dyDescent="0.25">
      <c r="A813" s="89" t="s">
        <v>126</v>
      </c>
      <c r="B813" s="10">
        <v>46115</v>
      </c>
      <c r="C813" t="s">
        <v>105</v>
      </c>
      <c r="D813" t="s">
        <v>102</v>
      </c>
      <c r="E813" t="s">
        <v>106</v>
      </c>
      <c r="F813">
        <v>128.6</v>
      </c>
      <c r="G813">
        <v>137.69999999999999</v>
      </c>
      <c r="H813">
        <v>96</v>
      </c>
      <c r="I813">
        <v>27.4</v>
      </c>
      <c r="J813">
        <v>-3.9</v>
      </c>
      <c r="K813">
        <v>90.1</v>
      </c>
      <c r="L813">
        <v>8.8000000000000007</v>
      </c>
      <c r="M813">
        <v>83.5</v>
      </c>
      <c r="N813">
        <v>1.1499999999999999</v>
      </c>
      <c r="O813">
        <v>50.2</v>
      </c>
      <c r="P813">
        <v>-6.1</v>
      </c>
      <c r="Q813">
        <v>-5.2</v>
      </c>
      <c r="R813">
        <v>0</v>
      </c>
      <c r="S813">
        <v>5261</v>
      </c>
      <c r="T813">
        <v>19.5</v>
      </c>
    </row>
    <row r="814" spans="1:20" x14ac:dyDescent="0.25">
      <c r="A814" s="89" t="s">
        <v>126</v>
      </c>
      <c r="B814" s="10">
        <v>46115</v>
      </c>
      <c r="C814" t="s">
        <v>105</v>
      </c>
      <c r="D814" t="s">
        <v>102</v>
      </c>
      <c r="E814" t="s">
        <v>106</v>
      </c>
      <c r="F814">
        <v>131.30000000000001</v>
      </c>
      <c r="G814">
        <v>136.80000000000001</v>
      </c>
      <c r="H814">
        <v>101.7</v>
      </c>
      <c r="I814">
        <v>21.6</v>
      </c>
      <c r="J814">
        <v>-7.9</v>
      </c>
      <c r="K814">
        <v>80</v>
      </c>
      <c r="L814">
        <v>-16</v>
      </c>
      <c r="M814">
        <v>82.4</v>
      </c>
      <c r="N814">
        <v>1.23</v>
      </c>
      <c r="O814">
        <v>47.9</v>
      </c>
      <c r="P814">
        <v>-6.2</v>
      </c>
      <c r="Q814">
        <v>-5</v>
      </c>
      <c r="R814">
        <v>0</v>
      </c>
      <c r="S814">
        <v>11191</v>
      </c>
      <c r="T814">
        <v>2.1</v>
      </c>
    </row>
    <row r="815" spans="1:20" x14ac:dyDescent="0.25">
      <c r="A815" s="89" t="s">
        <v>126</v>
      </c>
      <c r="B815" s="10">
        <v>46115</v>
      </c>
      <c r="C815" t="s">
        <v>105</v>
      </c>
      <c r="D815" t="s">
        <v>102</v>
      </c>
      <c r="E815" t="s">
        <v>106</v>
      </c>
      <c r="F815">
        <v>112.8</v>
      </c>
      <c r="G815">
        <v>121</v>
      </c>
      <c r="H815">
        <v>91.9</v>
      </c>
      <c r="I815">
        <v>17.600000000000001</v>
      </c>
      <c r="J815">
        <v>-5.0999999999999996</v>
      </c>
      <c r="K815">
        <v>48.6</v>
      </c>
      <c r="L815">
        <v>-16.5</v>
      </c>
      <c r="M815">
        <v>81.2</v>
      </c>
      <c r="N815">
        <v>1.1299999999999999</v>
      </c>
      <c r="O815">
        <v>38.1</v>
      </c>
      <c r="P815">
        <v>-8.6</v>
      </c>
      <c r="Q815">
        <v>-6.8</v>
      </c>
      <c r="R815">
        <v>0</v>
      </c>
      <c r="S815">
        <v>10963</v>
      </c>
      <c r="T815">
        <v>-9.1</v>
      </c>
    </row>
    <row r="816" spans="1:20" x14ac:dyDescent="0.25">
      <c r="A816" s="89" t="s">
        <v>126</v>
      </c>
      <c r="B816" s="10">
        <v>46115</v>
      </c>
      <c r="C816" t="s">
        <v>105</v>
      </c>
      <c r="D816" t="s">
        <v>102</v>
      </c>
      <c r="E816" t="s">
        <v>106</v>
      </c>
      <c r="F816">
        <v>151.19999999999999</v>
      </c>
      <c r="G816">
        <v>168.7</v>
      </c>
      <c r="H816">
        <v>97.5</v>
      </c>
      <c r="I816">
        <v>26.2</v>
      </c>
      <c r="J816">
        <v>-5.3</v>
      </c>
      <c r="K816">
        <v>77.599999999999994</v>
      </c>
      <c r="L816">
        <v>-19.100000000000001</v>
      </c>
      <c r="M816">
        <v>82.9</v>
      </c>
      <c r="N816">
        <v>1.18</v>
      </c>
      <c r="O816">
        <v>39.799999999999997</v>
      </c>
      <c r="P816">
        <v>-5.9</v>
      </c>
      <c r="Q816">
        <v>-5.8</v>
      </c>
      <c r="R816">
        <v>0</v>
      </c>
      <c r="S816">
        <v>1502</v>
      </c>
      <c r="T816">
        <v>-7.5</v>
      </c>
    </row>
    <row r="817" spans="1:20" x14ac:dyDescent="0.25">
      <c r="A817" s="89" t="s">
        <v>126</v>
      </c>
      <c r="B817" s="10">
        <v>46115</v>
      </c>
      <c r="C817" t="s">
        <v>105</v>
      </c>
      <c r="D817" t="s">
        <v>102</v>
      </c>
      <c r="E817" t="s">
        <v>106</v>
      </c>
      <c r="F817">
        <v>135.80000000000001</v>
      </c>
      <c r="G817">
        <v>151.80000000000001</v>
      </c>
      <c r="H817">
        <v>91.5</v>
      </c>
      <c r="I817">
        <v>28.9</v>
      </c>
      <c r="J817">
        <v>-1.9</v>
      </c>
      <c r="K817">
        <v>75.400000000000006</v>
      </c>
      <c r="L817">
        <v>-19.2</v>
      </c>
      <c r="M817">
        <v>77.400000000000006</v>
      </c>
      <c r="N817">
        <v>1.18</v>
      </c>
      <c r="O817">
        <v>41.4</v>
      </c>
      <c r="P817">
        <v>-4.2</v>
      </c>
      <c r="Q817">
        <v>-5.7</v>
      </c>
      <c r="R817">
        <v>0</v>
      </c>
      <c r="S817">
        <v>1377</v>
      </c>
      <c r="T817">
        <v>-28.1</v>
      </c>
    </row>
    <row r="818" spans="1:20" x14ac:dyDescent="0.25">
      <c r="A818" s="89" t="s">
        <v>126</v>
      </c>
      <c r="B818" s="10">
        <v>46115</v>
      </c>
      <c r="C818" t="s">
        <v>105</v>
      </c>
      <c r="D818" t="s">
        <v>102</v>
      </c>
      <c r="E818" t="s">
        <v>106</v>
      </c>
      <c r="F818">
        <v>149.1</v>
      </c>
      <c r="G818">
        <v>169.6</v>
      </c>
      <c r="H818">
        <v>99.1</v>
      </c>
      <c r="I818">
        <v>23.6</v>
      </c>
      <c r="J818">
        <v>-4.0999999999999996</v>
      </c>
      <c r="K818">
        <v>64.2</v>
      </c>
      <c r="L818">
        <v>1.4</v>
      </c>
      <c r="M818">
        <v>78.099999999999994</v>
      </c>
      <c r="N818">
        <v>1.27</v>
      </c>
      <c r="O818">
        <v>34.799999999999997</v>
      </c>
      <c r="P818">
        <v>-5.5</v>
      </c>
      <c r="Q818">
        <v>-5.2</v>
      </c>
      <c r="R818">
        <v>0</v>
      </c>
      <c r="S818">
        <v>1289</v>
      </c>
      <c r="T818">
        <v>22.2</v>
      </c>
    </row>
    <row r="819" spans="1:20" x14ac:dyDescent="0.25">
      <c r="A819" s="89" t="s">
        <v>126</v>
      </c>
      <c r="B819" s="10">
        <v>46115</v>
      </c>
      <c r="C819" t="s">
        <v>107</v>
      </c>
      <c r="D819" t="s">
        <v>102</v>
      </c>
      <c r="E819" t="s">
        <v>106</v>
      </c>
      <c r="F819">
        <v>139</v>
      </c>
      <c r="G819">
        <v>166.6</v>
      </c>
      <c r="H819">
        <v>99.4</v>
      </c>
      <c r="I819">
        <v>18.600000000000001</v>
      </c>
      <c r="J819">
        <v>-3.5</v>
      </c>
      <c r="K819">
        <v>44.1</v>
      </c>
      <c r="L819">
        <v>-6.1</v>
      </c>
      <c r="M819">
        <v>83.5</v>
      </c>
      <c r="N819">
        <v>1.19</v>
      </c>
      <c r="O819">
        <v>26.7</v>
      </c>
      <c r="P819">
        <v>-7.7</v>
      </c>
      <c r="Q819">
        <v>-6.2</v>
      </c>
      <c r="R819">
        <v>0</v>
      </c>
      <c r="S819">
        <v>1118</v>
      </c>
      <c r="T819">
        <v>6.4</v>
      </c>
    </row>
    <row r="820" spans="1:20" x14ac:dyDescent="0.25">
      <c r="A820" s="89" t="s">
        <v>126</v>
      </c>
      <c r="B820" s="10">
        <v>46115</v>
      </c>
      <c r="C820" t="s">
        <v>107</v>
      </c>
      <c r="D820" t="s">
        <v>102</v>
      </c>
      <c r="E820" t="s">
        <v>106</v>
      </c>
      <c r="F820">
        <v>136.69999999999999</v>
      </c>
      <c r="G820">
        <v>150.19999999999999</v>
      </c>
      <c r="H820">
        <v>94.7</v>
      </c>
      <c r="I820">
        <v>27.7</v>
      </c>
      <c r="J820">
        <v>4</v>
      </c>
      <c r="K820">
        <v>87.6</v>
      </c>
      <c r="L820">
        <v>-3.9</v>
      </c>
      <c r="M820">
        <v>81.8</v>
      </c>
      <c r="N820">
        <v>1.1599999999999999</v>
      </c>
      <c r="O820">
        <v>46.8</v>
      </c>
      <c r="P820">
        <v>-6.2</v>
      </c>
      <c r="Q820">
        <v>-5.9</v>
      </c>
      <c r="R820">
        <v>0</v>
      </c>
      <c r="S820">
        <v>3132</v>
      </c>
      <c r="T820">
        <v>-16.100000000000001</v>
      </c>
    </row>
    <row r="821" spans="1:20" x14ac:dyDescent="0.25">
      <c r="A821" s="89" t="s">
        <v>126</v>
      </c>
      <c r="B821" s="10">
        <v>46115</v>
      </c>
      <c r="C821" t="s">
        <v>107</v>
      </c>
      <c r="D821" t="s">
        <v>102</v>
      </c>
      <c r="E821" t="s">
        <v>106</v>
      </c>
      <c r="F821">
        <v>127</v>
      </c>
      <c r="G821">
        <v>137.4</v>
      </c>
      <c r="H821">
        <v>94</v>
      </c>
      <c r="I821">
        <v>24.2</v>
      </c>
      <c r="J821">
        <v>-3.7</v>
      </c>
      <c r="K821">
        <v>76.099999999999994</v>
      </c>
      <c r="L821">
        <v>3.8</v>
      </c>
      <c r="M821">
        <v>77</v>
      </c>
      <c r="N821">
        <v>1.22</v>
      </c>
      <c r="O821">
        <v>46.1</v>
      </c>
      <c r="P821">
        <v>-4.3</v>
      </c>
      <c r="Q821">
        <v>-6.2</v>
      </c>
      <c r="R821">
        <v>0</v>
      </c>
      <c r="S821">
        <v>5193</v>
      </c>
      <c r="T821">
        <v>13.9</v>
      </c>
    </row>
    <row r="822" spans="1:20" x14ac:dyDescent="0.25">
      <c r="A822" s="89" t="s">
        <v>126</v>
      </c>
      <c r="B822" s="10">
        <v>46115</v>
      </c>
      <c r="C822" t="s">
        <v>107</v>
      </c>
      <c r="D822" t="s">
        <v>102</v>
      </c>
      <c r="E822" t="s">
        <v>106</v>
      </c>
      <c r="F822">
        <v>145.5</v>
      </c>
      <c r="G822">
        <v>164.3</v>
      </c>
      <c r="H822">
        <v>96.8</v>
      </c>
      <c r="I822">
        <v>23</v>
      </c>
      <c r="J822">
        <v>-3</v>
      </c>
      <c r="K822">
        <v>65</v>
      </c>
      <c r="L822">
        <v>-13.9</v>
      </c>
      <c r="M822">
        <v>81.8</v>
      </c>
      <c r="N822">
        <v>1.18</v>
      </c>
      <c r="O822">
        <v>36.299999999999997</v>
      </c>
      <c r="P822">
        <v>-2.2999999999999998</v>
      </c>
      <c r="Q822">
        <v>-5.6</v>
      </c>
      <c r="R822">
        <v>0</v>
      </c>
      <c r="S822">
        <v>1839</v>
      </c>
      <c r="T822">
        <v>-9.6</v>
      </c>
    </row>
    <row r="823" spans="1:20" x14ac:dyDescent="0.25">
      <c r="A823" s="89" t="s">
        <v>126</v>
      </c>
      <c r="B823" s="10">
        <v>46115</v>
      </c>
      <c r="C823" t="s">
        <v>107</v>
      </c>
      <c r="D823" t="s">
        <v>102</v>
      </c>
      <c r="E823" t="s">
        <v>106</v>
      </c>
      <c r="F823">
        <v>87.7</v>
      </c>
      <c r="G823">
        <v>127.5</v>
      </c>
      <c r="H823">
        <v>95.1</v>
      </c>
      <c r="I823">
        <v>10.3</v>
      </c>
      <c r="J823">
        <v>-6</v>
      </c>
      <c r="K823">
        <v>13.6</v>
      </c>
      <c r="L823">
        <v>-12.1</v>
      </c>
      <c r="M823">
        <v>79.599999999999994</v>
      </c>
      <c r="N823">
        <v>1.2</v>
      </c>
      <c r="O823">
        <v>13</v>
      </c>
      <c r="P823">
        <v>-5.5</v>
      </c>
      <c r="Q823">
        <v>-7</v>
      </c>
      <c r="R823">
        <v>0</v>
      </c>
      <c r="S823">
        <v>1068</v>
      </c>
      <c r="T823">
        <v>-20.3</v>
      </c>
    </row>
    <row r="824" spans="1:20" x14ac:dyDescent="0.25">
      <c r="A824" s="89" t="s">
        <v>126</v>
      </c>
      <c r="B824" s="10">
        <v>46115</v>
      </c>
      <c r="C824" t="s">
        <v>107</v>
      </c>
      <c r="D824" t="s">
        <v>102</v>
      </c>
      <c r="E824" t="s">
        <v>106</v>
      </c>
      <c r="F824">
        <v>128</v>
      </c>
      <c r="G824">
        <v>141.69999999999999</v>
      </c>
      <c r="H824">
        <v>92</v>
      </c>
      <c r="I824">
        <v>20.5</v>
      </c>
      <c r="J824">
        <v>-3.5</v>
      </c>
      <c r="K824">
        <v>59</v>
      </c>
      <c r="L824">
        <v>-8.5</v>
      </c>
      <c r="M824">
        <v>79.8</v>
      </c>
      <c r="N824">
        <v>1.1499999999999999</v>
      </c>
      <c r="O824">
        <v>38.6</v>
      </c>
      <c r="P824">
        <v>-5.2</v>
      </c>
      <c r="Q824">
        <v>-7.5</v>
      </c>
      <c r="R824">
        <v>0</v>
      </c>
      <c r="S824">
        <v>3830</v>
      </c>
      <c r="T824">
        <v>-0.8</v>
      </c>
    </row>
    <row r="825" spans="1:20" x14ac:dyDescent="0.25">
      <c r="A825" s="89" t="s">
        <v>126</v>
      </c>
      <c r="B825" s="10">
        <v>46115</v>
      </c>
      <c r="C825" t="s">
        <v>107</v>
      </c>
      <c r="D825" t="s">
        <v>102</v>
      </c>
      <c r="E825" t="s">
        <v>106</v>
      </c>
      <c r="F825">
        <v>132.4</v>
      </c>
      <c r="G825">
        <v>138</v>
      </c>
      <c r="H825">
        <v>102.8</v>
      </c>
      <c r="I825">
        <v>21.8</v>
      </c>
      <c r="J825">
        <v>-8.3000000000000007</v>
      </c>
      <c r="K825">
        <v>82.6</v>
      </c>
      <c r="L825">
        <v>-18.7</v>
      </c>
      <c r="M825">
        <v>81.2</v>
      </c>
      <c r="N825">
        <v>1.27</v>
      </c>
      <c r="O825">
        <v>48.7</v>
      </c>
      <c r="P825">
        <v>-4.9000000000000004</v>
      </c>
      <c r="Q825">
        <v>-7.9</v>
      </c>
      <c r="R825">
        <v>0</v>
      </c>
      <c r="S825">
        <v>11544</v>
      </c>
      <c r="T825">
        <v>0.6</v>
      </c>
    </row>
    <row r="826" spans="1:20" x14ac:dyDescent="0.25">
      <c r="A826" s="89" t="s">
        <v>126</v>
      </c>
      <c r="B826" s="10">
        <v>46115</v>
      </c>
      <c r="C826" t="s">
        <v>107</v>
      </c>
      <c r="D826" t="s">
        <v>102</v>
      </c>
      <c r="E826" t="s">
        <v>106</v>
      </c>
      <c r="F826">
        <v>145.80000000000001</v>
      </c>
      <c r="G826">
        <v>163</v>
      </c>
      <c r="H826">
        <v>97.3</v>
      </c>
      <c r="I826">
        <v>23.2</v>
      </c>
      <c r="J826">
        <v>-3.5</v>
      </c>
      <c r="K826">
        <v>66.3</v>
      </c>
      <c r="L826">
        <v>2.2000000000000002</v>
      </c>
      <c r="M826">
        <v>83.5</v>
      </c>
      <c r="N826">
        <v>1.17</v>
      </c>
      <c r="O826">
        <v>37</v>
      </c>
      <c r="P826">
        <v>-5.4</v>
      </c>
      <c r="Q826">
        <v>-4.5999999999999996</v>
      </c>
      <c r="R826">
        <v>0</v>
      </c>
      <c r="S826">
        <v>1981</v>
      </c>
      <c r="T826">
        <v>16.899999999999999</v>
      </c>
    </row>
    <row r="827" spans="1:20" x14ac:dyDescent="0.25">
      <c r="A827" s="89" t="s">
        <v>126</v>
      </c>
      <c r="B827" s="10">
        <v>46115</v>
      </c>
      <c r="C827" t="s">
        <v>107</v>
      </c>
      <c r="D827" t="s">
        <v>102</v>
      </c>
      <c r="E827" t="s">
        <v>106</v>
      </c>
      <c r="F827">
        <v>148.6</v>
      </c>
      <c r="G827">
        <v>167.4</v>
      </c>
      <c r="H827">
        <v>97.3</v>
      </c>
      <c r="I827">
        <v>24</v>
      </c>
      <c r="J827">
        <v>-3.6</v>
      </c>
      <c r="K827">
        <v>68.7</v>
      </c>
      <c r="L827">
        <v>-11.1</v>
      </c>
      <c r="M827">
        <v>81.8</v>
      </c>
      <c r="N827">
        <v>1.19</v>
      </c>
      <c r="O827">
        <v>37</v>
      </c>
      <c r="P827">
        <v>-4.4000000000000004</v>
      </c>
      <c r="Q827">
        <v>-7.8</v>
      </c>
      <c r="R827">
        <v>0</v>
      </c>
      <c r="S827">
        <v>1587</v>
      </c>
      <c r="T827">
        <v>-2.8</v>
      </c>
    </row>
    <row r="828" spans="1:20" x14ac:dyDescent="0.25">
      <c r="A828" s="89" t="s">
        <v>126</v>
      </c>
      <c r="B828" s="10">
        <v>46115</v>
      </c>
      <c r="C828" t="s">
        <v>107</v>
      </c>
      <c r="D828" t="s">
        <v>102</v>
      </c>
      <c r="E828" t="s">
        <v>106</v>
      </c>
      <c r="F828">
        <v>63.8</v>
      </c>
      <c r="G828">
        <v>81.400000000000006</v>
      </c>
      <c r="H828">
        <v>72.8</v>
      </c>
      <c r="I828">
        <v>11.1</v>
      </c>
      <c r="J828">
        <v>-1.9</v>
      </c>
      <c r="K828">
        <v>13</v>
      </c>
      <c r="L828">
        <v>-0.6</v>
      </c>
      <c r="M828">
        <v>82.9</v>
      </c>
      <c r="N828">
        <v>0.88</v>
      </c>
      <c r="O828">
        <v>18.7</v>
      </c>
      <c r="P828">
        <v>-1</v>
      </c>
      <c r="Q828">
        <v>-7.4</v>
      </c>
      <c r="R828">
        <v>0</v>
      </c>
      <c r="S828">
        <v>11873</v>
      </c>
      <c r="T828">
        <v>6.7</v>
      </c>
    </row>
    <row r="829" spans="1:20" x14ac:dyDescent="0.25">
      <c r="A829" s="89" t="s">
        <v>126</v>
      </c>
      <c r="B829" s="10">
        <v>46115</v>
      </c>
      <c r="C829" t="s">
        <v>107</v>
      </c>
      <c r="D829" t="s">
        <v>102</v>
      </c>
      <c r="E829" t="s">
        <v>106</v>
      </c>
      <c r="F829">
        <v>126.7</v>
      </c>
      <c r="G829">
        <v>131.9</v>
      </c>
      <c r="H829">
        <v>98.5</v>
      </c>
      <c r="I829">
        <v>20.2</v>
      </c>
      <c r="J829">
        <v>-6.3</v>
      </c>
      <c r="K829">
        <v>69.400000000000006</v>
      </c>
      <c r="L829">
        <v>-14.1</v>
      </c>
      <c r="M829">
        <v>79.599999999999994</v>
      </c>
      <c r="N829">
        <v>1.24</v>
      </c>
      <c r="O829">
        <v>44.9</v>
      </c>
      <c r="P829">
        <v>-3.6</v>
      </c>
      <c r="Q829">
        <v>-5.9</v>
      </c>
      <c r="R829">
        <v>0</v>
      </c>
      <c r="S829">
        <v>10782</v>
      </c>
      <c r="T829">
        <v>-0.2</v>
      </c>
    </row>
    <row r="830" spans="1:20" x14ac:dyDescent="0.25">
      <c r="A830" s="89" t="s">
        <v>126</v>
      </c>
      <c r="B830" s="10">
        <v>46115</v>
      </c>
      <c r="C830" t="s">
        <v>107</v>
      </c>
      <c r="D830" t="s">
        <v>102</v>
      </c>
      <c r="E830" t="s">
        <v>106</v>
      </c>
      <c r="F830">
        <v>122.8</v>
      </c>
      <c r="G830">
        <v>128.80000000000001</v>
      </c>
      <c r="H830">
        <v>96.7</v>
      </c>
      <c r="I830">
        <v>23.3</v>
      </c>
      <c r="J830">
        <v>-0.8</v>
      </c>
      <c r="K830">
        <v>76.900000000000006</v>
      </c>
      <c r="L830">
        <v>-8</v>
      </c>
      <c r="M830">
        <v>82.4</v>
      </c>
      <c r="N830">
        <v>1.17</v>
      </c>
      <c r="O830">
        <v>48.1</v>
      </c>
      <c r="P830">
        <v>-6.5</v>
      </c>
      <c r="Q830">
        <v>-8.3000000000000007</v>
      </c>
      <c r="R830">
        <v>0</v>
      </c>
      <c r="S830">
        <v>11968</v>
      </c>
      <c r="T830">
        <v>-6.9</v>
      </c>
    </row>
    <row r="831" spans="1:20" x14ac:dyDescent="0.25">
      <c r="A831" s="89" t="s">
        <v>126</v>
      </c>
      <c r="B831" s="10">
        <v>46115</v>
      </c>
      <c r="C831" t="s">
        <v>107</v>
      </c>
      <c r="D831" t="s">
        <v>102</v>
      </c>
      <c r="E831" t="s">
        <v>106</v>
      </c>
      <c r="F831">
        <v>113.2</v>
      </c>
      <c r="G831">
        <v>119.7</v>
      </c>
      <c r="H831">
        <v>91</v>
      </c>
      <c r="I831">
        <v>22.4</v>
      </c>
      <c r="J831">
        <v>-3.2</v>
      </c>
      <c r="K831">
        <v>63.1</v>
      </c>
      <c r="L831">
        <v>-16.600000000000001</v>
      </c>
      <c r="M831">
        <v>79</v>
      </c>
      <c r="N831">
        <v>1.1499999999999999</v>
      </c>
      <c r="O831">
        <v>44.6</v>
      </c>
      <c r="P831">
        <v>-2.2999999999999998</v>
      </c>
      <c r="Q831">
        <v>-8.4</v>
      </c>
      <c r="R831">
        <v>0</v>
      </c>
      <c r="S831">
        <v>11938</v>
      </c>
      <c r="T831">
        <v>-13.8</v>
      </c>
    </row>
    <row r="832" spans="1:20" x14ac:dyDescent="0.25">
      <c r="A832" s="89" t="s">
        <v>126</v>
      </c>
      <c r="B832" s="10">
        <v>46115</v>
      </c>
      <c r="C832" t="s">
        <v>107</v>
      </c>
      <c r="D832" t="s">
        <v>102</v>
      </c>
      <c r="E832" t="s">
        <v>106</v>
      </c>
      <c r="F832">
        <v>126.4</v>
      </c>
      <c r="G832">
        <v>132</v>
      </c>
      <c r="H832">
        <v>98.6</v>
      </c>
      <c r="I832">
        <v>22.4</v>
      </c>
      <c r="J832">
        <v>-6.6</v>
      </c>
      <c r="K832">
        <v>77.400000000000006</v>
      </c>
      <c r="L832">
        <v>-17.100000000000001</v>
      </c>
      <c r="M832">
        <v>85.1</v>
      </c>
      <c r="N832">
        <v>1.1599999999999999</v>
      </c>
      <c r="O832">
        <v>47.7</v>
      </c>
      <c r="P832">
        <v>-2.4</v>
      </c>
      <c r="Q832">
        <v>-7.2</v>
      </c>
      <c r="R832">
        <v>0</v>
      </c>
      <c r="S832">
        <v>11356</v>
      </c>
      <c r="T832">
        <v>-3</v>
      </c>
    </row>
    <row r="833" spans="1:20" x14ac:dyDescent="0.25">
      <c r="A833" s="89" t="s">
        <v>126</v>
      </c>
      <c r="B833" s="10">
        <v>46115</v>
      </c>
      <c r="C833" t="s">
        <v>108</v>
      </c>
      <c r="D833" t="s">
        <v>102</v>
      </c>
      <c r="E833" t="s">
        <v>106</v>
      </c>
      <c r="F833">
        <v>133.9</v>
      </c>
      <c r="G833">
        <v>142.4</v>
      </c>
      <c r="H833">
        <v>105.5</v>
      </c>
      <c r="I833">
        <v>17.600000000000001</v>
      </c>
      <c r="J833">
        <v>-6.2</v>
      </c>
      <c r="K833">
        <v>68.400000000000006</v>
      </c>
      <c r="L833">
        <v>-14.8</v>
      </c>
      <c r="M833">
        <v>83.5</v>
      </c>
      <c r="N833">
        <v>1.26</v>
      </c>
      <c r="O833">
        <v>44.1</v>
      </c>
      <c r="P833">
        <v>-6.5</v>
      </c>
      <c r="Q833">
        <v>-5.8</v>
      </c>
      <c r="R833">
        <v>0</v>
      </c>
      <c r="S833">
        <v>12318</v>
      </c>
      <c r="T833">
        <v>-0.2</v>
      </c>
    </row>
    <row r="834" spans="1:20" x14ac:dyDescent="0.25">
      <c r="A834" s="89" t="s">
        <v>126</v>
      </c>
      <c r="B834" s="10">
        <v>46115</v>
      </c>
      <c r="C834" t="s">
        <v>108</v>
      </c>
      <c r="D834" t="s">
        <v>102</v>
      </c>
      <c r="E834" t="s">
        <v>106</v>
      </c>
      <c r="F834">
        <v>125.2</v>
      </c>
      <c r="G834">
        <v>132.9</v>
      </c>
      <c r="H834">
        <v>99.5</v>
      </c>
      <c r="I834">
        <v>18.5</v>
      </c>
      <c r="J834">
        <v>-7.1</v>
      </c>
      <c r="K834">
        <v>62.5</v>
      </c>
      <c r="L834">
        <v>-6.1</v>
      </c>
      <c r="M834">
        <v>83.5</v>
      </c>
      <c r="N834">
        <v>1.19</v>
      </c>
      <c r="O834">
        <v>42.8</v>
      </c>
      <c r="P834">
        <v>-7.9</v>
      </c>
      <c r="Q834">
        <v>-7.7</v>
      </c>
      <c r="R834">
        <v>0</v>
      </c>
      <c r="S834">
        <v>11856</v>
      </c>
      <c r="T834">
        <v>10.6</v>
      </c>
    </row>
    <row r="835" spans="1:20" x14ac:dyDescent="0.25">
      <c r="A835" s="89" t="s">
        <v>126</v>
      </c>
      <c r="B835" s="10">
        <v>46115</v>
      </c>
      <c r="C835" t="s">
        <v>108</v>
      </c>
      <c r="D835" t="s">
        <v>102</v>
      </c>
      <c r="E835" t="s">
        <v>106</v>
      </c>
      <c r="F835">
        <v>153.4</v>
      </c>
      <c r="G835">
        <v>184.1</v>
      </c>
      <c r="H835">
        <v>108.2</v>
      </c>
      <c r="I835">
        <v>18.2</v>
      </c>
      <c r="J835">
        <v>-7.8</v>
      </c>
      <c r="K835">
        <v>47.4</v>
      </c>
      <c r="L835">
        <v>-31.5</v>
      </c>
      <c r="M835">
        <v>85.1</v>
      </c>
      <c r="N835">
        <v>1.27</v>
      </c>
      <c r="O835">
        <v>26.1</v>
      </c>
      <c r="P835">
        <v>-6.3</v>
      </c>
      <c r="Q835">
        <v>-10.4</v>
      </c>
      <c r="R835">
        <v>0</v>
      </c>
      <c r="S835">
        <v>935</v>
      </c>
      <c r="T835">
        <v>-25.8</v>
      </c>
    </row>
    <row r="836" spans="1:20" x14ac:dyDescent="0.25">
      <c r="A836" s="89" t="s">
        <v>126</v>
      </c>
      <c r="B836" s="10">
        <v>46115</v>
      </c>
      <c r="C836" t="s">
        <v>108</v>
      </c>
      <c r="D836" t="s">
        <v>102</v>
      </c>
      <c r="E836" t="s">
        <v>106</v>
      </c>
      <c r="F836">
        <v>144.4</v>
      </c>
      <c r="G836">
        <v>163.4</v>
      </c>
      <c r="H836">
        <v>95.6</v>
      </c>
      <c r="I836">
        <v>24.3</v>
      </c>
      <c r="J836">
        <v>-0.8</v>
      </c>
      <c r="K836">
        <v>65.2</v>
      </c>
      <c r="L836">
        <v>1.7</v>
      </c>
      <c r="M836">
        <v>81.8</v>
      </c>
      <c r="N836">
        <v>1.17</v>
      </c>
      <c r="O836">
        <v>36</v>
      </c>
      <c r="P836">
        <v>-5.5</v>
      </c>
      <c r="Q836">
        <v>-7</v>
      </c>
      <c r="R836">
        <v>0</v>
      </c>
      <c r="S836">
        <v>1341</v>
      </c>
      <c r="T836">
        <v>7.1</v>
      </c>
    </row>
    <row r="837" spans="1:20" x14ac:dyDescent="0.25">
      <c r="A837" s="89" t="s">
        <v>126</v>
      </c>
      <c r="B837" s="10">
        <v>46115</v>
      </c>
      <c r="C837" t="s">
        <v>108</v>
      </c>
      <c r="D837" t="s">
        <v>102</v>
      </c>
      <c r="E837" t="s">
        <v>106</v>
      </c>
      <c r="F837">
        <v>133.4</v>
      </c>
      <c r="G837">
        <v>159.19999999999999</v>
      </c>
      <c r="H837">
        <v>96.8</v>
      </c>
      <c r="I837">
        <v>18.7</v>
      </c>
      <c r="J837">
        <v>-7.1</v>
      </c>
      <c r="K837">
        <v>42.2</v>
      </c>
      <c r="L837">
        <v>-14.1</v>
      </c>
      <c r="M837">
        <v>83.5</v>
      </c>
      <c r="N837">
        <v>1.1599999999999999</v>
      </c>
      <c r="O837">
        <v>26.6</v>
      </c>
      <c r="P837">
        <v>-3.5</v>
      </c>
      <c r="Q837">
        <v>-7.2</v>
      </c>
      <c r="R837">
        <v>0</v>
      </c>
      <c r="S837">
        <v>1151</v>
      </c>
      <c r="T837">
        <v>5.8</v>
      </c>
    </row>
    <row r="838" spans="1:20" x14ac:dyDescent="0.25">
      <c r="A838" s="89" t="s">
        <v>126</v>
      </c>
      <c r="B838" s="10">
        <v>46115</v>
      </c>
      <c r="C838" t="s">
        <v>97</v>
      </c>
      <c r="D838" t="s">
        <v>98</v>
      </c>
      <c r="E838" t="s">
        <v>99</v>
      </c>
      <c r="F838">
        <v>44.9</v>
      </c>
      <c r="G838">
        <v>47.9</v>
      </c>
      <c r="H838">
        <v>48.9</v>
      </c>
      <c r="I838">
        <v>46.5</v>
      </c>
      <c r="J838">
        <v>-3.6</v>
      </c>
      <c r="K838">
        <v>45.3</v>
      </c>
      <c r="L838">
        <v>-2</v>
      </c>
      <c r="M838">
        <v>65.099999999999994</v>
      </c>
      <c r="N838">
        <v>0.75</v>
      </c>
      <c r="O838">
        <v>55.2</v>
      </c>
      <c r="P838">
        <v>1.2</v>
      </c>
      <c r="Q838">
        <v>-4.0999999999999996</v>
      </c>
      <c r="R838">
        <v>0</v>
      </c>
      <c r="S838">
        <v>11570</v>
      </c>
      <c r="T838">
        <v>5.8</v>
      </c>
    </row>
    <row r="839" spans="1:20" x14ac:dyDescent="0.25">
      <c r="A839" s="89" t="s">
        <v>126</v>
      </c>
      <c r="B839" s="10">
        <v>46115</v>
      </c>
      <c r="C839" t="s">
        <v>97</v>
      </c>
      <c r="D839" t="s">
        <v>98</v>
      </c>
      <c r="E839" t="s">
        <v>99</v>
      </c>
      <c r="F839">
        <v>66.8</v>
      </c>
      <c r="G839">
        <v>70.400000000000006</v>
      </c>
      <c r="H839">
        <v>62.2</v>
      </c>
      <c r="I839">
        <v>39.1</v>
      </c>
      <c r="J839">
        <v>-12.2</v>
      </c>
      <c r="K839">
        <v>57.9</v>
      </c>
      <c r="L839">
        <v>-17</v>
      </c>
      <c r="M839">
        <v>70.099999999999994</v>
      </c>
      <c r="N839">
        <v>0.89</v>
      </c>
      <c r="O839">
        <v>52.7</v>
      </c>
      <c r="P839">
        <v>-5.6</v>
      </c>
      <c r="Q839">
        <v>-4.9000000000000004</v>
      </c>
      <c r="R839">
        <v>0</v>
      </c>
      <c r="S839">
        <v>11866</v>
      </c>
      <c r="T839">
        <v>-9.3000000000000007</v>
      </c>
    </row>
    <row r="840" spans="1:20" x14ac:dyDescent="0.25">
      <c r="A840" s="89" t="s">
        <v>126</v>
      </c>
      <c r="B840" s="10">
        <v>46115</v>
      </c>
      <c r="C840" t="s">
        <v>97</v>
      </c>
      <c r="D840" t="s">
        <v>98</v>
      </c>
      <c r="E840" t="s">
        <v>99</v>
      </c>
      <c r="F840">
        <v>23.6</v>
      </c>
      <c r="G840">
        <v>27.4</v>
      </c>
      <c r="H840">
        <v>32.799999999999997</v>
      </c>
      <c r="I840">
        <v>39</v>
      </c>
      <c r="J840">
        <v>-5.3</v>
      </c>
      <c r="K840">
        <v>15.7</v>
      </c>
      <c r="L840">
        <v>-1.7</v>
      </c>
      <c r="M840">
        <v>42.6</v>
      </c>
      <c r="N840">
        <v>0.77</v>
      </c>
      <c r="O840">
        <v>42.7</v>
      </c>
      <c r="P840">
        <v>-2</v>
      </c>
      <c r="Q840">
        <v>-3.7</v>
      </c>
      <c r="R840">
        <v>0</v>
      </c>
      <c r="S840">
        <v>11918</v>
      </c>
      <c r="T840">
        <v>14.3</v>
      </c>
    </row>
    <row r="841" spans="1:20" x14ac:dyDescent="0.25">
      <c r="A841" s="89" t="s">
        <v>126</v>
      </c>
      <c r="B841" s="10">
        <v>46115</v>
      </c>
      <c r="C841" t="s">
        <v>97</v>
      </c>
      <c r="D841" t="s">
        <v>98</v>
      </c>
      <c r="E841" t="s">
        <v>99</v>
      </c>
      <c r="F841">
        <v>28.6</v>
      </c>
      <c r="G841">
        <v>36.700000000000003</v>
      </c>
      <c r="H841">
        <v>36.4</v>
      </c>
      <c r="I841">
        <v>35.299999999999997</v>
      </c>
      <c r="J841">
        <v>12.6</v>
      </c>
      <c r="K841">
        <v>16.5</v>
      </c>
      <c r="L841">
        <v>5.9</v>
      </c>
      <c r="M841">
        <v>46.8</v>
      </c>
      <c r="N841">
        <v>0.78</v>
      </c>
      <c r="O841">
        <v>38.6</v>
      </c>
      <c r="P841">
        <v>-6.7</v>
      </c>
      <c r="Q841">
        <v>-4.0999999999999996</v>
      </c>
      <c r="R841">
        <v>0</v>
      </c>
      <c r="S841">
        <v>820</v>
      </c>
      <c r="T841">
        <v>-8.4</v>
      </c>
    </row>
    <row r="842" spans="1:20" x14ac:dyDescent="0.25">
      <c r="A842" s="89" t="s">
        <v>126</v>
      </c>
      <c r="B842" s="10">
        <v>46115</v>
      </c>
      <c r="C842" t="s">
        <v>97</v>
      </c>
      <c r="D842" t="s">
        <v>98</v>
      </c>
      <c r="E842" t="s">
        <v>99</v>
      </c>
      <c r="F842">
        <v>67.7</v>
      </c>
      <c r="G842">
        <v>78.599999999999994</v>
      </c>
      <c r="H842">
        <v>59.1</v>
      </c>
      <c r="I842">
        <v>37.799999999999997</v>
      </c>
      <c r="J842">
        <v>-10.8</v>
      </c>
      <c r="K842">
        <v>48</v>
      </c>
      <c r="L842">
        <v>-10.5</v>
      </c>
      <c r="M842">
        <v>71.8</v>
      </c>
      <c r="N842">
        <v>0.82</v>
      </c>
      <c r="O842">
        <v>45.7</v>
      </c>
      <c r="P842">
        <v>-2.9</v>
      </c>
      <c r="Q842">
        <v>-4.3</v>
      </c>
      <c r="R842">
        <v>0</v>
      </c>
      <c r="S842">
        <v>1317</v>
      </c>
      <c r="T842">
        <v>11.9</v>
      </c>
    </row>
    <row r="843" spans="1:20" x14ac:dyDescent="0.25">
      <c r="A843" s="89" t="s">
        <v>126</v>
      </c>
      <c r="B843" s="10">
        <v>46115</v>
      </c>
      <c r="C843" t="s">
        <v>109</v>
      </c>
      <c r="D843" t="s">
        <v>102</v>
      </c>
      <c r="E843" t="s">
        <v>106</v>
      </c>
      <c r="F843">
        <v>129.6</v>
      </c>
      <c r="G843">
        <v>137.69999999999999</v>
      </c>
      <c r="H843">
        <v>102.5</v>
      </c>
      <c r="I843">
        <v>18</v>
      </c>
      <c r="J843">
        <v>-6.1</v>
      </c>
      <c r="K843">
        <v>64.5</v>
      </c>
      <c r="L843">
        <v>-1.6</v>
      </c>
      <c r="M843">
        <v>80.7</v>
      </c>
      <c r="N843">
        <v>1.27</v>
      </c>
      <c r="O843">
        <v>43.1</v>
      </c>
      <c r="P843">
        <v>-3.4</v>
      </c>
      <c r="Q843">
        <v>-8.9</v>
      </c>
      <c r="R843">
        <v>0</v>
      </c>
      <c r="S843">
        <v>11595</v>
      </c>
      <c r="T843">
        <v>13</v>
      </c>
    </row>
    <row r="844" spans="1:20" x14ac:dyDescent="0.25">
      <c r="A844" s="89" t="s">
        <v>126</v>
      </c>
      <c r="B844" s="10">
        <v>46115</v>
      </c>
      <c r="C844" t="s">
        <v>109</v>
      </c>
      <c r="D844" t="s">
        <v>102</v>
      </c>
      <c r="E844" t="s">
        <v>106</v>
      </c>
      <c r="F844">
        <v>83.1</v>
      </c>
      <c r="G844">
        <v>121.3</v>
      </c>
      <c r="H844">
        <v>85.5</v>
      </c>
      <c r="I844">
        <v>12.6</v>
      </c>
      <c r="J844">
        <v>-12.4</v>
      </c>
      <c r="K844">
        <v>15.8</v>
      </c>
      <c r="L844">
        <v>-20.3</v>
      </c>
      <c r="M844">
        <v>76.8</v>
      </c>
      <c r="N844">
        <v>1.1100000000000001</v>
      </c>
      <c r="O844">
        <v>15.8</v>
      </c>
      <c r="P844">
        <v>-0.6</v>
      </c>
      <c r="Q844">
        <v>-7</v>
      </c>
      <c r="R844">
        <v>0</v>
      </c>
      <c r="S844">
        <v>1027</v>
      </c>
      <c r="T844">
        <v>-17</v>
      </c>
    </row>
    <row r="845" spans="1:20" x14ac:dyDescent="0.25">
      <c r="A845" s="89" t="s">
        <v>126</v>
      </c>
      <c r="B845" s="10">
        <v>46115</v>
      </c>
      <c r="C845" t="s">
        <v>109</v>
      </c>
      <c r="D845" t="s">
        <v>102</v>
      </c>
      <c r="E845" t="s">
        <v>106</v>
      </c>
      <c r="F845">
        <v>94.4</v>
      </c>
      <c r="G845">
        <v>129.1</v>
      </c>
      <c r="H845">
        <v>91</v>
      </c>
      <c r="I845">
        <v>12.9</v>
      </c>
      <c r="J845">
        <v>-11.3</v>
      </c>
      <c r="K845">
        <v>18.899999999999999</v>
      </c>
      <c r="L845">
        <v>-13.4</v>
      </c>
      <c r="M845">
        <v>81.8</v>
      </c>
      <c r="N845">
        <v>1.1100000000000001</v>
      </c>
      <c r="O845">
        <v>16.899999999999999</v>
      </c>
      <c r="P845">
        <v>-2.4</v>
      </c>
      <c r="Q845">
        <v>-8.6</v>
      </c>
      <c r="R845">
        <v>0</v>
      </c>
      <c r="S845">
        <v>1257</v>
      </c>
      <c r="T845">
        <v>26.9</v>
      </c>
    </row>
    <row r="846" spans="1:20" x14ac:dyDescent="0.25">
      <c r="A846" s="89" t="s">
        <v>126</v>
      </c>
      <c r="B846" s="10">
        <v>46115</v>
      </c>
      <c r="C846" t="s">
        <v>109</v>
      </c>
      <c r="D846" t="s">
        <v>102</v>
      </c>
      <c r="E846" t="s">
        <v>106</v>
      </c>
      <c r="F846">
        <v>76.900000000000006</v>
      </c>
      <c r="G846">
        <v>115.4</v>
      </c>
      <c r="H846">
        <v>79.7</v>
      </c>
      <c r="I846">
        <v>13.7</v>
      </c>
      <c r="J846">
        <v>-9.6</v>
      </c>
      <c r="K846">
        <v>15.9</v>
      </c>
      <c r="L846">
        <v>-11.6</v>
      </c>
      <c r="M846">
        <v>77.900000000000006</v>
      </c>
      <c r="N846">
        <v>1.02</v>
      </c>
      <c r="O846">
        <v>16.899999999999999</v>
      </c>
      <c r="P846">
        <v>1.5</v>
      </c>
      <c r="Q846">
        <v>-5.7</v>
      </c>
      <c r="R846">
        <v>0</v>
      </c>
      <c r="S846">
        <v>928</v>
      </c>
      <c r="T846">
        <v>9.5</v>
      </c>
    </row>
    <row r="847" spans="1:20" x14ac:dyDescent="0.25">
      <c r="A847" s="89" t="s">
        <v>126</v>
      </c>
      <c r="B847" s="10">
        <v>46115</v>
      </c>
      <c r="C847" t="s">
        <v>109</v>
      </c>
      <c r="D847" t="s">
        <v>102</v>
      </c>
      <c r="E847" t="s">
        <v>106</v>
      </c>
      <c r="F847">
        <v>144.6</v>
      </c>
      <c r="G847">
        <v>158.5</v>
      </c>
      <c r="H847">
        <v>100.4</v>
      </c>
      <c r="I847">
        <v>19.100000000000001</v>
      </c>
      <c r="J847">
        <v>-6.7</v>
      </c>
      <c r="K847">
        <v>65.5</v>
      </c>
      <c r="L847">
        <v>-6.7</v>
      </c>
      <c r="M847">
        <v>81.8</v>
      </c>
      <c r="N847">
        <v>1.23</v>
      </c>
      <c r="O847">
        <v>39</v>
      </c>
      <c r="P847">
        <v>-1</v>
      </c>
      <c r="Q847">
        <v>-1</v>
      </c>
      <c r="R847">
        <v>5</v>
      </c>
      <c r="S847">
        <v>3752</v>
      </c>
      <c r="T847">
        <v>10.8</v>
      </c>
    </row>
    <row r="848" spans="1:20" x14ac:dyDescent="0.25">
      <c r="A848" s="89" t="s">
        <v>126</v>
      </c>
      <c r="B848" s="10">
        <v>46115</v>
      </c>
      <c r="C848" t="s">
        <v>109</v>
      </c>
      <c r="D848" t="s">
        <v>102</v>
      </c>
      <c r="E848" t="s">
        <v>106</v>
      </c>
      <c r="F848">
        <v>157.4</v>
      </c>
      <c r="G848">
        <v>181</v>
      </c>
      <c r="H848">
        <v>103.9</v>
      </c>
      <c r="I848">
        <v>20.7</v>
      </c>
      <c r="J848">
        <v>-3.9</v>
      </c>
      <c r="K848">
        <v>59</v>
      </c>
      <c r="L848">
        <v>-13.2</v>
      </c>
      <c r="M848">
        <v>82.9</v>
      </c>
      <c r="N848">
        <v>1.25</v>
      </c>
      <c r="O848">
        <v>31.4</v>
      </c>
      <c r="P848">
        <v>-5.5</v>
      </c>
      <c r="Q848">
        <v>-10.5</v>
      </c>
      <c r="R848">
        <v>0</v>
      </c>
      <c r="S848">
        <v>1251</v>
      </c>
      <c r="T848">
        <v>-4.2</v>
      </c>
    </row>
    <row r="849" spans="1:20" x14ac:dyDescent="0.25">
      <c r="A849" s="89" t="s">
        <v>126</v>
      </c>
      <c r="B849" s="10">
        <v>46115</v>
      </c>
      <c r="C849" t="s">
        <v>109</v>
      </c>
      <c r="D849" t="s">
        <v>102</v>
      </c>
      <c r="E849" t="s">
        <v>106</v>
      </c>
      <c r="F849">
        <v>137.19999999999999</v>
      </c>
      <c r="G849">
        <v>173.6</v>
      </c>
      <c r="H849">
        <v>105.5</v>
      </c>
      <c r="I849">
        <v>15.7</v>
      </c>
      <c r="J849">
        <v>-9.6</v>
      </c>
      <c r="K849">
        <v>35.200000000000003</v>
      </c>
      <c r="L849">
        <v>-16.8</v>
      </c>
      <c r="M849">
        <v>84</v>
      </c>
      <c r="N849">
        <v>1.26</v>
      </c>
      <c r="O849">
        <v>21.7</v>
      </c>
      <c r="P849">
        <v>-5</v>
      </c>
      <c r="Q849">
        <v>-10.5</v>
      </c>
      <c r="R849">
        <v>0</v>
      </c>
      <c r="S849">
        <v>888</v>
      </c>
      <c r="T849">
        <v>19.100000000000001</v>
      </c>
    </row>
    <row r="850" spans="1:20" x14ac:dyDescent="0.25">
      <c r="A850" s="89" t="s">
        <v>126</v>
      </c>
      <c r="B850" s="10">
        <v>46115</v>
      </c>
      <c r="C850" t="s">
        <v>109</v>
      </c>
      <c r="D850" t="s">
        <v>102</v>
      </c>
      <c r="E850" t="s">
        <v>106</v>
      </c>
      <c r="F850">
        <v>114.8</v>
      </c>
      <c r="G850">
        <v>146.30000000000001</v>
      </c>
      <c r="H850">
        <v>94.6</v>
      </c>
      <c r="I850">
        <v>15.3</v>
      </c>
      <c r="J850">
        <v>-10</v>
      </c>
      <c r="K850">
        <v>28.1</v>
      </c>
      <c r="L850">
        <v>-18.3</v>
      </c>
      <c r="M850">
        <v>82.4</v>
      </c>
      <c r="N850">
        <v>1.1499999999999999</v>
      </c>
      <c r="O850">
        <v>20.7</v>
      </c>
      <c r="P850">
        <v>-5.3</v>
      </c>
      <c r="Q850">
        <v>-11</v>
      </c>
      <c r="R850">
        <v>0</v>
      </c>
      <c r="S850">
        <v>1054</v>
      </c>
      <c r="T850">
        <v>6.8</v>
      </c>
    </row>
    <row r="851" spans="1:20" x14ac:dyDescent="0.25">
      <c r="A851" s="89" t="s">
        <v>126</v>
      </c>
      <c r="B851" s="10">
        <v>46115</v>
      </c>
      <c r="C851" t="s">
        <v>109</v>
      </c>
      <c r="D851" t="s">
        <v>102</v>
      </c>
      <c r="E851" t="s">
        <v>106</v>
      </c>
      <c r="F851">
        <v>161.5</v>
      </c>
      <c r="G851">
        <v>182.6</v>
      </c>
      <c r="H851">
        <v>108.8</v>
      </c>
      <c r="I851">
        <v>15.8</v>
      </c>
      <c r="J851">
        <v>-6.7</v>
      </c>
      <c r="K851">
        <v>53.2</v>
      </c>
      <c r="L851">
        <v>-14.5</v>
      </c>
      <c r="M851">
        <v>83.5</v>
      </c>
      <c r="N851">
        <v>1.3</v>
      </c>
      <c r="O851">
        <v>30.3</v>
      </c>
      <c r="P851">
        <v>-4.5999999999999996</v>
      </c>
      <c r="Q851">
        <v>-8.1999999999999993</v>
      </c>
      <c r="R851">
        <v>0</v>
      </c>
      <c r="S851">
        <v>2429</v>
      </c>
      <c r="T851">
        <v>5.2</v>
      </c>
    </row>
    <row r="852" spans="1:20" x14ac:dyDescent="0.25">
      <c r="A852" s="89" t="s">
        <v>126</v>
      </c>
      <c r="B852" s="10">
        <v>46115</v>
      </c>
      <c r="C852" t="s">
        <v>110</v>
      </c>
      <c r="D852" t="s">
        <v>102</v>
      </c>
      <c r="E852" t="s">
        <v>106</v>
      </c>
      <c r="F852">
        <v>148.1</v>
      </c>
      <c r="G852">
        <v>157.69999999999999</v>
      </c>
      <c r="H852">
        <v>113.1</v>
      </c>
      <c r="I852">
        <v>15.9</v>
      </c>
      <c r="J852">
        <v>-8.5</v>
      </c>
      <c r="K852">
        <v>74.400000000000006</v>
      </c>
      <c r="L852">
        <v>-31.3</v>
      </c>
      <c r="M852">
        <v>85.1</v>
      </c>
      <c r="N852">
        <v>1.33</v>
      </c>
      <c r="O852">
        <v>44.6</v>
      </c>
      <c r="P852">
        <v>-2.8</v>
      </c>
      <c r="Q852">
        <v>-11.2</v>
      </c>
      <c r="R852">
        <v>0</v>
      </c>
      <c r="S852">
        <v>10112</v>
      </c>
      <c r="T852">
        <v>-8</v>
      </c>
    </row>
    <row r="853" spans="1:20" x14ac:dyDescent="0.25">
      <c r="A853" s="89" t="s">
        <v>126</v>
      </c>
      <c r="B853" s="10">
        <v>46115</v>
      </c>
      <c r="C853" t="s">
        <v>110</v>
      </c>
      <c r="D853" t="s">
        <v>102</v>
      </c>
      <c r="E853" t="s">
        <v>106</v>
      </c>
      <c r="F853">
        <v>120</v>
      </c>
      <c r="G853">
        <v>162.1</v>
      </c>
      <c r="H853">
        <v>105.6</v>
      </c>
      <c r="I853">
        <v>13.6</v>
      </c>
      <c r="J853">
        <v>-9.9</v>
      </c>
      <c r="K853">
        <v>25.4</v>
      </c>
      <c r="L853">
        <v>-27.8</v>
      </c>
      <c r="M853">
        <v>87.4</v>
      </c>
      <c r="N853">
        <v>1.21</v>
      </c>
      <c r="O853">
        <v>17.7</v>
      </c>
      <c r="P853">
        <v>-4.2</v>
      </c>
      <c r="Q853">
        <v>-10</v>
      </c>
      <c r="R853">
        <v>0</v>
      </c>
      <c r="S853">
        <v>749</v>
      </c>
      <c r="T853">
        <v>-34.6</v>
      </c>
    </row>
    <row r="854" spans="1:20" x14ac:dyDescent="0.25">
      <c r="A854" s="89" t="s">
        <v>126</v>
      </c>
      <c r="B854" s="10">
        <v>46115</v>
      </c>
      <c r="C854" t="s">
        <v>110</v>
      </c>
      <c r="D854" t="s">
        <v>102</v>
      </c>
      <c r="E854" t="s">
        <v>106</v>
      </c>
      <c r="F854">
        <v>50.9</v>
      </c>
      <c r="G854">
        <v>80.099999999999994</v>
      </c>
      <c r="H854">
        <v>77.5</v>
      </c>
      <c r="I854">
        <v>5.3</v>
      </c>
      <c r="J854">
        <v>-12.8</v>
      </c>
      <c r="K854">
        <v>4.8</v>
      </c>
      <c r="L854">
        <v>-12.7</v>
      </c>
      <c r="M854">
        <v>83.5</v>
      </c>
      <c r="N854">
        <v>0.93</v>
      </c>
      <c r="O854">
        <v>9</v>
      </c>
      <c r="P854">
        <v>-1</v>
      </c>
      <c r="Q854">
        <v>-1</v>
      </c>
      <c r="R854">
        <v>5</v>
      </c>
      <c r="S854">
        <v>11196</v>
      </c>
      <c r="T854">
        <v>-10.199999999999999</v>
      </c>
    </row>
    <row r="855" spans="1:20" x14ac:dyDescent="0.25">
      <c r="A855" s="89" t="s">
        <v>126</v>
      </c>
      <c r="B855" s="10">
        <v>46115</v>
      </c>
      <c r="C855" t="s">
        <v>110</v>
      </c>
      <c r="D855" t="s">
        <v>102</v>
      </c>
      <c r="E855" t="s">
        <v>106</v>
      </c>
      <c r="F855">
        <v>156.1</v>
      </c>
      <c r="G855">
        <v>184</v>
      </c>
      <c r="H855">
        <v>110.3</v>
      </c>
      <c r="I855">
        <v>16</v>
      </c>
      <c r="J855">
        <v>-5.2</v>
      </c>
      <c r="K855">
        <v>44.8</v>
      </c>
      <c r="L855">
        <v>-4.5999999999999996</v>
      </c>
      <c r="M855">
        <v>82.9</v>
      </c>
      <c r="N855">
        <v>1.33</v>
      </c>
      <c r="O855">
        <v>25.3</v>
      </c>
      <c r="P855">
        <v>-4.9000000000000004</v>
      </c>
      <c r="Q855">
        <v>-10.9</v>
      </c>
      <c r="R855">
        <v>0</v>
      </c>
      <c r="S855">
        <v>1407</v>
      </c>
      <c r="T855">
        <v>18.100000000000001</v>
      </c>
    </row>
    <row r="856" spans="1:20" x14ac:dyDescent="0.25">
      <c r="A856" s="89" t="s">
        <v>126</v>
      </c>
      <c r="B856" s="10">
        <v>46115</v>
      </c>
      <c r="C856" t="s">
        <v>110</v>
      </c>
      <c r="D856" t="s">
        <v>102</v>
      </c>
      <c r="E856" t="s">
        <v>106</v>
      </c>
      <c r="F856">
        <v>164.4</v>
      </c>
      <c r="G856">
        <v>191</v>
      </c>
      <c r="H856">
        <v>109.6</v>
      </c>
      <c r="I856">
        <v>19.399999999999999</v>
      </c>
      <c r="J856">
        <v>-5.7</v>
      </c>
      <c r="K856">
        <v>56.7</v>
      </c>
      <c r="L856">
        <v>-6.4</v>
      </c>
      <c r="M856">
        <v>83.5</v>
      </c>
      <c r="N856">
        <v>1.31</v>
      </c>
      <c r="O856">
        <v>29.1</v>
      </c>
      <c r="P856">
        <v>-4.0999999999999996</v>
      </c>
      <c r="Q856">
        <v>-12.1</v>
      </c>
      <c r="R856">
        <v>0</v>
      </c>
      <c r="S856">
        <v>1066</v>
      </c>
      <c r="T856">
        <v>18.8</v>
      </c>
    </row>
    <row r="857" spans="1:20" x14ac:dyDescent="0.25">
      <c r="A857" s="89" t="s">
        <v>126</v>
      </c>
      <c r="B857" s="10">
        <v>46115</v>
      </c>
      <c r="C857" t="s">
        <v>112</v>
      </c>
      <c r="D857" t="s">
        <v>102</v>
      </c>
      <c r="E857" t="s">
        <v>113</v>
      </c>
      <c r="F857">
        <v>162.1</v>
      </c>
      <c r="G857">
        <v>188.8</v>
      </c>
      <c r="H857">
        <v>109.8</v>
      </c>
      <c r="I857">
        <v>17</v>
      </c>
      <c r="J857">
        <v>-9.5</v>
      </c>
      <c r="K857">
        <v>50.9</v>
      </c>
      <c r="L857">
        <v>-21</v>
      </c>
      <c r="M857">
        <v>83.5</v>
      </c>
      <c r="N857">
        <v>1.32</v>
      </c>
      <c r="O857">
        <v>27.7</v>
      </c>
      <c r="P857">
        <v>-2.1</v>
      </c>
      <c r="Q857">
        <v>-13.4</v>
      </c>
      <c r="R857">
        <v>0</v>
      </c>
      <c r="S857">
        <v>1523</v>
      </c>
      <c r="T857">
        <v>9.1</v>
      </c>
    </row>
    <row r="858" spans="1:20" x14ac:dyDescent="0.25">
      <c r="A858" s="89" t="s">
        <v>126</v>
      </c>
      <c r="B858" s="10">
        <v>46115</v>
      </c>
      <c r="C858" t="s">
        <v>112</v>
      </c>
      <c r="D858" t="s">
        <v>102</v>
      </c>
      <c r="E858" t="s">
        <v>113</v>
      </c>
      <c r="F858">
        <v>121.2</v>
      </c>
      <c r="G858">
        <v>126.4</v>
      </c>
      <c r="H858">
        <v>95.4</v>
      </c>
      <c r="I858">
        <v>22.9</v>
      </c>
      <c r="J858">
        <v>-9.1999999999999993</v>
      </c>
      <c r="K858">
        <v>73.5</v>
      </c>
      <c r="L858">
        <v>-19.2</v>
      </c>
      <c r="M858">
        <v>85.1</v>
      </c>
      <c r="N858">
        <v>1.1200000000000001</v>
      </c>
      <c r="O858">
        <v>47.2</v>
      </c>
      <c r="P858">
        <v>1.1000000000000001</v>
      </c>
      <c r="Q858">
        <v>-11.5</v>
      </c>
      <c r="R858">
        <v>0</v>
      </c>
      <c r="S858">
        <v>11682</v>
      </c>
      <c r="T858">
        <v>0.1</v>
      </c>
    </row>
    <row r="859" spans="1:20" x14ac:dyDescent="0.25">
      <c r="A859" s="89" t="s">
        <v>126</v>
      </c>
      <c r="B859" s="10">
        <v>46115</v>
      </c>
      <c r="C859" t="s">
        <v>112</v>
      </c>
      <c r="D859" t="s">
        <v>102</v>
      </c>
      <c r="E859" t="s">
        <v>113</v>
      </c>
      <c r="F859">
        <v>156.80000000000001</v>
      </c>
      <c r="G859">
        <v>176.4</v>
      </c>
      <c r="H859">
        <v>100.2</v>
      </c>
      <c r="I859">
        <v>26.1</v>
      </c>
      <c r="J859">
        <v>-10.1</v>
      </c>
      <c r="K859">
        <v>78.400000000000006</v>
      </c>
      <c r="L859">
        <v>-37.1</v>
      </c>
      <c r="M859">
        <v>86.2</v>
      </c>
      <c r="N859">
        <v>1.1599999999999999</v>
      </c>
      <c r="O859">
        <v>39</v>
      </c>
      <c r="P859">
        <v>-3.3</v>
      </c>
      <c r="Q859">
        <v>-12.8</v>
      </c>
      <c r="R859">
        <v>0</v>
      </c>
      <c r="S859">
        <v>1256</v>
      </c>
      <c r="T859">
        <v>-15.3</v>
      </c>
    </row>
    <row r="860" spans="1:20" x14ac:dyDescent="0.25">
      <c r="A860" s="89" t="s">
        <v>126</v>
      </c>
      <c r="B860" s="10">
        <v>46115</v>
      </c>
      <c r="C860" t="s">
        <v>112</v>
      </c>
      <c r="D860" t="s">
        <v>102</v>
      </c>
      <c r="E860" t="s">
        <v>113</v>
      </c>
      <c r="F860">
        <v>131.19999999999999</v>
      </c>
      <c r="G860">
        <v>136.19999999999999</v>
      </c>
      <c r="H860">
        <v>102.5</v>
      </c>
      <c r="I860">
        <v>24.4</v>
      </c>
      <c r="J860">
        <v>-8.9</v>
      </c>
      <c r="K860">
        <v>91.4</v>
      </c>
      <c r="L860">
        <v>-9</v>
      </c>
      <c r="M860">
        <v>88.2</v>
      </c>
      <c r="N860">
        <v>1.1599999999999999</v>
      </c>
      <c r="O860">
        <v>51.2</v>
      </c>
      <c r="P860">
        <v>-4.7</v>
      </c>
      <c r="Q860">
        <v>-11.6</v>
      </c>
      <c r="R860">
        <v>0</v>
      </c>
      <c r="S860">
        <v>11453</v>
      </c>
      <c r="T860">
        <v>11.2</v>
      </c>
    </row>
    <row r="861" spans="1:20" x14ac:dyDescent="0.25">
      <c r="A861" s="89" t="s">
        <v>126</v>
      </c>
      <c r="B861" s="10">
        <v>46115</v>
      </c>
      <c r="C861" t="s">
        <v>112</v>
      </c>
      <c r="D861" t="s">
        <v>102</v>
      </c>
      <c r="E861" t="s">
        <v>113</v>
      </c>
      <c r="F861">
        <v>177.8</v>
      </c>
      <c r="G861">
        <v>199.1</v>
      </c>
      <c r="H861">
        <v>114.6</v>
      </c>
      <c r="I861">
        <v>16.8</v>
      </c>
      <c r="J861">
        <v>-10.199999999999999</v>
      </c>
      <c r="K861">
        <v>64.2</v>
      </c>
      <c r="L861">
        <v>-38.299999999999997</v>
      </c>
      <c r="M861">
        <v>88.5</v>
      </c>
      <c r="N861">
        <v>1.29</v>
      </c>
      <c r="O861">
        <v>33</v>
      </c>
      <c r="P861">
        <v>-3.8</v>
      </c>
      <c r="Q861">
        <v>-10.8</v>
      </c>
      <c r="R861">
        <v>0</v>
      </c>
      <c r="S861">
        <v>2300</v>
      </c>
      <c r="T861">
        <v>-7.1</v>
      </c>
    </row>
    <row r="862" spans="1:20" x14ac:dyDescent="0.25">
      <c r="A862" s="89" t="s">
        <v>126</v>
      </c>
      <c r="B862" s="10">
        <v>46115</v>
      </c>
      <c r="C862" t="s">
        <v>112</v>
      </c>
      <c r="D862" t="s">
        <v>102</v>
      </c>
      <c r="E862" t="s">
        <v>113</v>
      </c>
      <c r="F862">
        <v>157.30000000000001</v>
      </c>
      <c r="G862">
        <v>177.5</v>
      </c>
      <c r="H862">
        <v>102.5</v>
      </c>
      <c r="I862">
        <v>23.8</v>
      </c>
      <c r="J862">
        <v>-10.199999999999999</v>
      </c>
      <c r="K862">
        <v>72.8</v>
      </c>
      <c r="L862">
        <v>-11.6</v>
      </c>
      <c r="M862">
        <v>87.9</v>
      </c>
      <c r="N862">
        <v>1.17</v>
      </c>
      <c r="O862">
        <v>37.5</v>
      </c>
      <c r="P862">
        <v>-2.5</v>
      </c>
      <c r="Q862">
        <v>-10.7</v>
      </c>
      <c r="R862">
        <v>0</v>
      </c>
      <c r="S862">
        <v>1681</v>
      </c>
      <c r="T862">
        <v>24.3</v>
      </c>
    </row>
    <row r="863" spans="1:20" x14ac:dyDescent="0.25">
      <c r="A863" s="89" t="s">
        <v>126</v>
      </c>
      <c r="B863" s="10">
        <v>46115</v>
      </c>
      <c r="C863" t="s">
        <v>112</v>
      </c>
      <c r="D863" t="s">
        <v>102</v>
      </c>
      <c r="E863" t="s">
        <v>113</v>
      </c>
      <c r="F863">
        <v>204.2</v>
      </c>
      <c r="G863">
        <v>231.9</v>
      </c>
      <c r="H863">
        <v>127.9</v>
      </c>
      <c r="I863">
        <v>16</v>
      </c>
      <c r="J863">
        <v>-9.5</v>
      </c>
      <c r="K863">
        <v>67.400000000000006</v>
      </c>
      <c r="L863">
        <v>-22</v>
      </c>
      <c r="M863">
        <v>91.2</v>
      </c>
      <c r="N863">
        <v>1.4</v>
      </c>
      <c r="O863">
        <v>30.4</v>
      </c>
      <c r="P863">
        <v>-3.6</v>
      </c>
      <c r="Q863">
        <v>-12.7</v>
      </c>
      <c r="R863">
        <v>0</v>
      </c>
      <c r="S863">
        <v>1628</v>
      </c>
      <c r="T863">
        <v>12.5</v>
      </c>
    </row>
    <row r="864" spans="1:20" x14ac:dyDescent="0.25">
      <c r="A864" s="89" t="s">
        <v>126</v>
      </c>
      <c r="B864" s="10">
        <v>46115</v>
      </c>
      <c r="C864" t="s">
        <v>112</v>
      </c>
      <c r="D864" t="s">
        <v>102</v>
      </c>
      <c r="E864" t="s">
        <v>113</v>
      </c>
      <c r="F864">
        <v>143.9</v>
      </c>
      <c r="G864">
        <v>150.9</v>
      </c>
      <c r="H864">
        <v>111.4</v>
      </c>
      <c r="I864">
        <v>20.399999999999999</v>
      </c>
      <c r="J864">
        <v>-8.6</v>
      </c>
      <c r="K864">
        <v>91.9</v>
      </c>
      <c r="L864">
        <v>-23.9</v>
      </c>
      <c r="M864">
        <v>91.2</v>
      </c>
      <c r="N864">
        <v>1.22</v>
      </c>
      <c r="O864">
        <v>50.1</v>
      </c>
      <c r="P864">
        <v>-2.2999999999999998</v>
      </c>
      <c r="Q864">
        <v>-11.4</v>
      </c>
      <c r="R864">
        <v>0</v>
      </c>
      <c r="S864">
        <v>11838</v>
      </c>
      <c r="T864">
        <v>-1.9</v>
      </c>
    </row>
    <row r="865" spans="1:20" x14ac:dyDescent="0.25">
      <c r="A865" s="89" t="s">
        <v>126</v>
      </c>
      <c r="B865" s="10">
        <v>46115</v>
      </c>
      <c r="C865" t="s">
        <v>112</v>
      </c>
      <c r="D865" t="s">
        <v>102</v>
      </c>
      <c r="E865" t="s">
        <v>113</v>
      </c>
      <c r="F865">
        <v>145.6</v>
      </c>
      <c r="G865">
        <v>159.30000000000001</v>
      </c>
      <c r="H865">
        <v>119.4</v>
      </c>
      <c r="I865">
        <v>10.1</v>
      </c>
      <c r="J865">
        <v>-4.9000000000000004</v>
      </c>
      <c r="K865">
        <v>51.9</v>
      </c>
      <c r="L865">
        <v>0.5</v>
      </c>
      <c r="M865">
        <v>90.1</v>
      </c>
      <c r="N865">
        <v>1.32</v>
      </c>
      <c r="O865">
        <v>37</v>
      </c>
      <c r="P865">
        <v>-7.7</v>
      </c>
      <c r="Q865">
        <v>-13.9</v>
      </c>
      <c r="R865">
        <v>0</v>
      </c>
      <c r="S865">
        <v>12105</v>
      </c>
      <c r="T865">
        <v>11.6</v>
      </c>
    </row>
    <row r="866" spans="1:20" x14ac:dyDescent="0.25">
      <c r="A866" s="89" t="s">
        <v>126</v>
      </c>
      <c r="B866" s="10">
        <v>46115</v>
      </c>
      <c r="C866" t="s">
        <v>112</v>
      </c>
      <c r="D866" t="s">
        <v>102</v>
      </c>
      <c r="E866" t="s">
        <v>113</v>
      </c>
      <c r="F866">
        <v>105.7</v>
      </c>
      <c r="G866">
        <v>108.4</v>
      </c>
      <c r="H866">
        <v>88.9</v>
      </c>
      <c r="I866">
        <v>35.4</v>
      </c>
      <c r="J866">
        <v>-16.3</v>
      </c>
      <c r="K866">
        <v>94.9</v>
      </c>
      <c r="L866">
        <v>-4.0999999999999996</v>
      </c>
      <c r="M866">
        <v>91.7</v>
      </c>
      <c r="N866">
        <v>0.97</v>
      </c>
      <c r="O866">
        <v>56</v>
      </c>
      <c r="P866">
        <v>-2.2000000000000002</v>
      </c>
      <c r="Q866">
        <v>-12</v>
      </c>
      <c r="R866">
        <v>0</v>
      </c>
      <c r="S866">
        <v>9919</v>
      </c>
      <c r="T866">
        <v>38.299999999999997</v>
      </c>
    </row>
    <row r="867" spans="1:20" x14ac:dyDescent="0.25">
      <c r="A867" s="89" t="s">
        <v>126</v>
      </c>
      <c r="B867" s="10">
        <v>46115</v>
      </c>
      <c r="C867" t="s">
        <v>112</v>
      </c>
      <c r="D867" t="s">
        <v>102</v>
      </c>
      <c r="E867" t="s">
        <v>113</v>
      </c>
      <c r="F867">
        <v>160.5</v>
      </c>
      <c r="G867">
        <v>184.5</v>
      </c>
      <c r="H867">
        <v>105.2</v>
      </c>
      <c r="I867">
        <v>21</v>
      </c>
      <c r="J867">
        <v>-9.6999999999999993</v>
      </c>
      <c r="K867">
        <v>61.4</v>
      </c>
      <c r="L867">
        <v>-34.1</v>
      </c>
      <c r="M867">
        <v>88.5</v>
      </c>
      <c r="N867">
        <v>1.19</v>
      </c>
      <c r="O867">
        <v>32.1</v>
      </c>
      <c r="P867">
        <v>-2.2999999999999998</v>
      </c>
      <c r="Q867">
        <v>-14.7</v>
      </c>
      <c r="R867">
        <v>0</v>
      </c>
      <c r="S867">
        <v>1241</v>
      </c>
      <c r="T867">
        <v>-12.4</v>
      </c>
    </row>
    <row r="868" spans="1:20" x14ac:dyDescent="0.25">
      <c r="A868" s="89" t="s">
        <v>126</v>
      </c>
      <c r="B868" s="10">
        <v>46115</v>
      </c>
      <c r="C868" t="s">
        <v>112</v>
      </c>
      <c r="D868" t="s">
        <v>102</v>
      </c>
      <c r="E868" t="s">
        <v>113</v>
      </c>
      <c r="F868">
        <v>155</v>
      </c>
      <c r="G868">
        <v>165.4</v>
      </c>
      <c r="H868">
        <v>124</v>
      </c>
      <c r="I868">
        <v>13.9</v>
      </c>
      <c r="J868">
        <v>-9.1</v>
      </c>
      <c r="K868">
        <v>74.3</v>
      </c>
      <c r="L868">
        <v>-51.3</v>
      </c>
      <c r="M868">
        <v>90.1</v>
      </c>
      <c r="N868">
        <v>1.38</v>
      </c>
      <c r="O868">
        <v>44.8</v>
      </c>
      <c r="P868">
        <v>-6.6</v>
      </c>
      <c r="Q868">
        <v>-16.399999999999999</v>
      </c>
      <c r="R868">
        <v>0</v>
      </c>
      <c r="S868">
        <v>11940</v>
      </c>
      <c r="T868">
        <v>-21.1</v>
      </c>
    </row>
    <row r="869" spans="1:20" x14ac:dyDescent="0.25">
      <c r="A869" s="89" t="s">
        <v>126</v>
      </c>
      <c r="B869" s="10">
        <v>46115</v>
      </c>
      <c r="C869" t="s">
        <v>112</v>
      </c>
      <c r="D869" t="s">
        <v>102</v>
      </c>
      <c r="E869" t="s">
        <v>113</v>
      </c>
      <c r="F869">
        <v>183.2</v>
      </c>
      <c r="G869">
        <v>208.7</v>
      </c>
      <c r="H869">
        <v>117.1</v>
      </c>
      <c r="I869">
        <v>17.399999999999999</v>
      </c>
      <c r="J869">
        <v>-11.7</v>
      </c>
      <c r="K869">
        <v>62.6</v>
      </c>
      <c r="L869">
        <v>-35.5</v>
      </c>
      <c r="M869">
        <v>89.6</v>
      </c>
      <c r="N869">
        <v>1.31</v>
      </c>
      <c r="O869">
        <v>30.5</v>
      </c>
      <c r="P869">
        <v>-4.5999999999999996</v>
      </c>
      <c r="Q869">
        <v>-10.3</v>
      </c>
      <c r="R869">
        <v>0</v>
      </c>
      <c r="S869">
        <v>1560</v>
      </c>
      <c r="T869">
        <v>2.2000000000000002</v>
      </c>
    </row>
    <row r="870" spans="1:20" x14ac:dyDescent="0.25">
      <c r="A870" s="89" t="s">
        <v>126</v>
      </c>
      <c r="B870" s="10">
        <v>46115</v>
      </c>
      <c r="C870" t="s">
        <v>112</v>
      </c>
      <c r="D870" t="s">
        <v>102</v>
      </c>
      <c r="E870" t="s">
        <v>113</v>
      </c>
      <c r="F870">
        <v>173.8</v>
      </c>
      <c r="G870">
        <v>185.6</v>
      </c>
      <c r="H870">
        <v>126.8</v>
      </c>
      <c r="I870">
        <v>11.6</v>
      </c>
      <c r="J870">
        <v>-17.899999999999999</v>
      </c>
      <c r="K870">
        <v>78.7</v>
      </c>
      <c r="L870">
        <v>-44.3</v>
      </c>
      <c r="M870">
        <v>89.6</v>
      </c>
      <c r="N870">
        <v>1.42</v>
      </c>
      <c r="O870">
        <v>43.5</v>
      </c>
      <c r="P870">
        <v>-4.9000000000000004</v>
      </c>
      <c r="Q870">
        <v>-16</v>
      </c>
      <c r="R870">
        <v>0</v>
      </c>
      <c r="S870">
        <v>7332</v>
      </c>
      <c r="T870">
        <v>6</v>
      </c>
    </row>
    <row r="871" spans="1:20" x14ac:dyDescent="0.25">
      <c r="A871" s="89" t="s">
        <v>126</v>
      </c>
      <c r="B871" s="10">
        <v>46115</v>
      </c>
      <c r="C871" t="s">
        <v>112</v>
      </c>
      <c r="D871" t="s">
        <v>102</v>
      </c>
      <c r="E871" t="s">
        <v>113</v>
      </c>
      <c r="F871">
        <v>153.4</v>
      </c>
      <c r="G871">
        <v>170.9</v>
      </c>
      <c r="H871">
        <v>96.3</v>
      </c>
      <c r="I871">
        <v>29.2</v>
      </c>
      <c r="J871">
        <v>-9</v>
      </c>
      <c r="K871">
        <v>83.7</v>
      </c>
      <c r="L871">
        <v>-21</v>
      </c>
      <c r="M871">
        <v>90.7</v>
      </c>
      <c r="N871">
        <v>1.06</v>
      </c>
      <c r="O871">
        <v>40.5</v>
      </c>
      <c r="P871">
        <v>-3.5</v>
      </c>
      <c r="Q871">
        <v>-12.8</v>
      </c>
      <c r="R871">
        <v>0</v>
      </c>
      <c r="S871">
        <v>771</v>
      </c>
      <c r="T871">
        <v>5.6</v>
      </c>
    </row>
    <row r="872" spans="1:20" x14ac:dyDescent="0.25">
      <c r="A872" s="89" t="s">
        <v>126</v>
      </c>
      <c r="B872" s="10">
        <v>46115</v>
      </c>
      <c r="C872" t="s">
        <v>112</v>
      </c>
      <c r="D872" t="s">
        <v>102</v>
      </c>
      <c r="E872" t="s">
        <v>113</v>
      </c>
      <c r="F872">
        <v>180.8</v>
      </c>
      <c r="G872">
        <v>200.3</v>
      </c>
      <c r="H872">
        <v>109.7</v>
      </c>
      <c r="I872">
        <v>25.8</v>
      </c>
      <c r="J872">
        <v>-9.1</v>
      </c>
      <c r="K872">
        <v>92.5</v>
      </c>
      <c r="L872">
        <v>-22.3</v>
      </c>
      <c r="M872">
        <v>89.6</v>
      </c>
      <c r="N872">
        <v>1.22</v>
      </c>
      <c r="O872">
        <v>40.200000000000003</v>
      </c>
      <c r="P872">
        <v>-4.3</v>
      </c>
      <c r="Q872">
        <v>-16.399999999999999</v>
      </c>
      <c r="R872">
        <v>0</v>
      </c>
      <c r="S872">
        <v>1226</v>
      </c>
      <c r="T872">
        <v>8.3000000000000007</v>
      </c>
    </row>
    <row r="873" spans="1:20" x14ac:dyDescent="0.25">
      <c r="A873" s="89" t="s">
        <v>126</v>
      </c>
      <c r="B873" s="10">
        <v>46115</v>
      </c>
      <c r="C873" t="s">
        <v>112</v>
      </c>
      <c r="D873" t="s">
        <v>102</v>
      </c>
      <c r="E873" t="s">
        <v>113</v>
      </c>
      <c r="F873">
        <v>158.1</v>
      </c>
      <c r="G873">
        <v>175.6</v>
      </c>
      <c r="H873">
        <v>108.1</v>
      </c>
      <c r="I873">
        <v>15.4</v>
      </c>
      <c r="J873">
        <v>-13.3</v>
      </c>
      <c r="K873">
        <v>57.1</v>
      </c>
      <c r="L873">
        <v>-25.5</v>
      </c>
      <c r="M873">
        <v>84</v>
      </c>
      <c r="N873">
        <v>1.29</v>
      </c>
      <c r="O873">
        <v>33.700000000000003</v>
      </c>
      <c r="P873">
        <v>-1</v>
      </c>
      <c r="Q873">
        <v>-1</v>
      </c>
      <c r="R873">
        <v>1</v>
      </c>
      <c r="S873">
        <v>3255</v>
      </c>
      <c r="T873">
        <v>10.9</v>
      </c>
    </row>
    <row r="874" spans="1:20" x14ac:dyDescent="0.25">
      <c r="A874" s="89" t="s">
        <v>126</v>
      </c>
      <c r="B874" s="10">
        <v>46115</v>
      </c>
      <c r="C874" t="s">
        <v>116</v>
      </c>
      <c r="D874" t="s">
        <v>102</v>
      </c>
      <c r="E874" t="s">
        <v>115</v>
      </c>
      <c r="F874">
        <v>178.8</v>
      </c>
      <c r="G874">
        <v>190</v>
      </c>
      <c r="H874">
        <v>137.69999999999999</v>
      </c>
      <c r="I874">
        <v>11.3</v>
      </c>
      <c r="J874">
        <v>-12.3</v>
      </c>
      <c r="K874">
        <v>88.6</v>
      </c>
      <c r="L874">
        <v>-23.9</v>
      </c>
      <c r="M874">
        <v>100.1</v>
      </c>
      <c r="N874">
        <v>1.38</v>
      </c>
      <c r="O874">
        <v>46.7</v>
      </c>
      <c r="P874">
        <v>-1</v>
      </c>
      <c r="Q874">
        <v>-1</v>
      </c>
      <c r="R874">
        <v>4</v>
      </c>
      <c r="S874">
        <v>10449</v>
      </c>
      <c r="T874">
        <v>8.5</v>
      </c>
    </row>
    <row r="875" spans="1:20" x14ac:dyDescent="0.25">
      <c r="A875" s="89" t="s">
        <v>126</v>
      </c>
      <c r="B875" s="10">
        <v>46115</v>
      </c>
      <c r="C875" t="s">
        <v>116</v>
      </c>
      <c r="D875" t="s">
        <v>102</v>
      </c>
      <c r="E875" t="s">
        <v>115</v>
      </c>
      <c r="F875">
        <v>188.2</v>
      </c>
      <c r="G875">
        <v>230.4</v>
      </c>
      <c r="H875">
        <v>139.4</v>
      </c>
      <c r="I875">
        <v>7.5</v>
      </c>
      <c r="J875">
        <v>-20.399999999999999</v>
      </c>
      <c r="K875">
        <v>30.5</v>
      </c>
      <c r="L875">
        <v>-63.9</v>
      </c>
      <c r="M875">
        <v>99</v>
      </c>
      <c r="N875">
        <v>1.41</v>
      </c>
      <c r="O875">
        <v>16.7</v>
      </c>
      <c r="P875">
        <v>-1</v>
      </c>
      <c r="Q875">
        <v>-1</v>
      </c>
      <c r="R875">
        <v>1</v>
      </c>
      <c r="S875">
        <v>1658</v>
      </c>
      <c r="T875">
        <v>2.1</v>
      </c>
    </row>
    <row r="876" spans="1:20" x14ac:dyDescent="0.25">
      <c r="A876" s="89" t="s">
        <v>126</v>
      </c>
      <c r="B876" s="10">
        <v>46115</v>
      </c>
      <c r="C876" t="s">
        <v>116</v>
      </c>
      <c r="D876" t="s">
        <v>102</v>
      </c>
      <c r="E876" t="s">
        <v>115</v>
      </c>
      <c r="F876">
        <v>188.7</v>
      </c>
      <c r="G876">
        <v>226</v>
      </c>
      <c r="H876">
        <v>140.30000000000001</v>
      </c>
      <c r="I876">
        <v>9.3000000000000007</v>
      </c>
      <c r="J876">
        <v>-15.9</v>
      </c>
      <c r="K876">
        <v>35.1</v>
      </c>
      <c r="L876">
        <v>-71.8</v>
      </c>
      <c r="M876">
        <v>100.7</v>
      </c>
      <c r="N876">
        <v>1.39</v>
      </c>
      <c r="O876">
        <v>18.399999999999999</v>
      </c>
      <c r="P876">
        <v>-1</v>
      </c>
      <c r="Q876">
        <v>-1</v>
      </c>
      <c r="R876">
        <v>1</v>
      </c>
      <c r="S876">
        <v>1591</v>
      </c>
      <c r="T876">
        <v>-29.6</v>
      </c>
    </row>
    <row r="877" spans="1:20" x14ac:dyDescent="0.25">
      <c r="A877" s="89" t="s">
        <v>126</v>
      </c>
      <c r="B877" s="10">
        <v>46115</v>
      </c>
      <c r="C877" t="s">
        <v>116</v>
      </c>
      <c r="D877" t="s">
        <v>102</v>
      </c>
      <c r="E877" t="s">
        <v>115</v>
      </c>
      <c r="F877">
        <v>169.9</v>
      </c>
      <c r="G877">
        <v>182.3</v>
      </c>
      <c r="H877">
        <v>142.5</v>
      </c>
      <c r="I877">
        <v>10</v>
      </c>
      <c r="J877">
        <v>-11.5</v>
      </c>
      <c r="K877">
        <v>71.8</v>
      </c>
      <c r="L877">
        <v>3.7</v>
      </c>
      <c r="M877">
        <v>99.6</v>
      </c>
      <c r="N877">
        <v>1.43</v>
      </c>
      <c r="O877">
        <v>43.1</v>
      </c>
      <c r="P877">
        <v>-1</v>
      </c>
      <c r="Q877">
        <v>-1</v>
      </c>
      <c r="R877">
        <v>1</v>
      </c>
      <c r="S877">
        <v>12645</v>
      </c>
      <c r="T877">
        <v>25.1</v>
      </c>
    </row>
    <row r="878" spans="1:20" x14ac:dyDescent="0.25">
      <c r="A878" s="89" t="s">
        <v>126</v>
      </c>
      <c r="B878" s="10">
        <v>46115</v>
      </c>
      <c r="C878" t="s">
        <v>116</v>
      </c>
      <c r="D878" t="s">
        <v>102</v>
      </c>
      <c r="E878" t="s">
        <v>115</v>
      </c>
      <c r="F878">
        <v>158</v>
      </c>
      <c r="G878">
        <v>170.2</v>
      </c>
      <c r="H878">
        <v>132.9</v>
      </c>
      <c r="I878">
        <v>10.199999999999999</v>
      </c>
      <c r="J878">
        <v>-8</v>
      </c>
      <c r="K878">
        <v>58.4</v>
      </c>
      <c r="L878">
        <v>-61.2</v>
      </c>
      <c r="M878">
        <v>96.2</v>
      </c>
      <c r="N878">
        <v>1.38</v>
      </c>
      <c r="O878">
        <v>39</v>
      </c>
      <c r="P878">
        <v>-3.9</v>
      </c>
      <c r="Q878">
        <v>-8.6</v>
      </c>
      <c r="R878">
        <v>0</v>
      </c>
      <c r="S878">
        <v>11271</v>
      </c>
      <c r="T878">
        <v>-32.200000000000003</v>
      </c>
    </row>
    <row r="879" spans="1:20" x14ac:dyDescent="0.25">
      <c r="A879" s="89" t="s">
        <v>126</v>
      </c>
      <c r="B879" s="10">
        <v>46115</v>
      </c>
      <c r="C879" t="s">
        <v>116</v>
      </c>
      <c r="D879" t="s">
        <v>102</v>
      </c>
      <c r="E879" t="s">
        <v>115</v>
      </c>
      <c r="F879">
        <v>169.8</v>
      </c>
      <c r="G879">
        <v>185.3</v>
      </c>
      <c r="H879">
        <v>136.69999999999999</v>
      </c>
      <c r="I879">
        <v>7.7</v>
      </c>
      <c r="J879">
        <v>-11.8</v>
      </c>
      <c r="K879">
        <v>64.099999999999994</v>
      </c>
      <c r="L879">
        <v>-25.8</v>
      </c>
      <c r="M879">
        <v>100.1</v>
      </c>
      <c r="N879">
        <v>1.37</v>
      </c>
      <c r="O879">
        <v>40.4</v>
      </c>
      <c r="P879">
        <v>-2.1</v>
      </c>
      <c r="Q879">
        <v>-11.3</v>
      </c>
      <c r="R879">
        <v>0</v>
      </c>
      <c r="S879">
        <v>11639</v>
      </c>
      <c r="T879">
        <v>5.7</v>
      </c>
    </row>
    <row r="880" spans="1:20" x14ac:dyDescent="0.25">
      <c r="A880" s="89" t="s">
        <v>126</v>
      </c>
      <c r="B880" s="10">
        <v>46115</v>
      </c>
      <c r="C880" t="s">
        <v>116</v>
      </c>
      <c r="D880" t="s">
        <v>102</v>
      </c>
      <c r="E880" t="s">
        <v>115</v>
      </c>
      <c r="F880">
        <v>173.9</v>
      </c>
      <c r="G880">
        <v>184.4</v>
      </c>
      <c r="H880">
        <v>141.5</v>
      </c>
      <c r="I880">
        <v>12.3</v>
      </c>
      <c r="J880">
        <v>-6.9</v>
      </c>
      <c r="K880">
        <v>89</v>
      </c>
      <c r="L880">
        <v>-54.4</v>
      </c>
      <c r="M880">
        <v>100.1</v>
      </c>
      <c r="N880">
        <v>1.41</v>
      </c>
      <c r="O880">
        <v>48</v>
      </c>
      <c r="P880">
        <v>-2.7</v>
      </c>
      <c r="Q880">
        <v>-11.9</v>
      </c>
      <c r="R880">
        <v>0</v>
      </c>
      <c r="S880">
        <v>12443</v>
      </c>
      <c r="T880">
        <v>-21.2</v>
      </c>
    </row>
    <row r="881" spans="1:20" x14ac:dyDescent="0.25">
      <c r="A881" s="89" t="s">
        <v>126</v>
      </c>
      <c r="B881" s="10">
        <v>46115</v>
      </c>
      <c r="C881" t="s">
        <v>116</v>
      </c>
      <c r="D881" t="s">
        <v>102</v>
      </c>
      <c r="E881" t="s">
        <v>115</v>
      </c>
      <c r="F881">
        <v>166.8</v>
      </c>
      <c r="G881">
        <v>178.9</v>
      </c>
      <c r="H881">
        <v>140.19999999999999</v>
      </c>
      <c r="I881">
        <v>8.4</v>
      </c>
      <c r="J881">
        <v>-9.1</v>
      </c>
      <c r="K881">
        <v>60</v>
      </c>
      <c r="L881">
        <v>-64.8</v>
      </c>
      <c r="M881">
        <v>99</v>
      </c>
      <c r="N881">
        <v>1.42</v>
      </c>
      <c r="O881">
        <v>39.200000000000003</v>
      </c>
      <c r="P881">
        <v>-1</v>
      </c>
      <c r="Q881">
        <v>-1</v>
      </c>
      <c r="R881">
        <v>1</v>
      </c>
      <c r="S881">
        <v>11365</v>
      </c>
      <c r="T881">
        <v>-28.3</v>
      </c>
    </row>
    <row r="882" spans="1:20" x14ac:dyDescent="0.25">
      <c r="A882" s="89" t="s">
        <v>126</v>
      </c>
      <c r="B882" s="10">
        <v>46115</v>
      </c>
      <c r="C882" t="s">
        <v>116</v>
      </c>
      <c r="D882" t="s">
        <v>102</v>
      </c>
      <c r="E882" t="s">
        <v>115</v>
      </c>
      <c r="F882">
        <v>172.5</v>
      </c>
      <c r="G882">
        <v>185</v>
      </c>
      <c r="H882">
        <v>141.30000000000001</v>
      </c>
      <c r="I882">
        <v>10.199999999999999</v>
      </c>
      <c r="J882">
        <v>-1.2</v>
      </c>
      <c r="K882">
        <v>78.400000000000006</v>
      </c>
      <c r="L882">
        <v>-26.2</v>
      </c>
      <c r="M882">
        <v>104.6</v>
      </c>
      <c r="N882">
        <v>1.35</v>
      </c>
      <c r="O882">
        <v>45</v>
      </c>
      <c r="P882">
        <v>-1</v>
      </c>
      <c r="Q882">
        <v>-1</v>
      </c>
      <c r="R882">
        <v>1</v>
      </c>
      <c r="S882">
        <v>12881</v>
      </c>
      <c r="T882">
        <v>-14.2</v>
      </c>
    </row>
    <row r="883" spans="1:20" x14ac:dyDescent="0.25">
      <c r="A883" s="89" t="s">
        <v>126</v>
      </c>
      <c r="B883" s="10">
        <v>46115</v>
      </c>
      <c r="C883" t="s">
        <v>116</v>
      </c>
      <c r="D883" t="s">
        <v>102</v>
      </c>
      <c r="E883" t="s">
        <v>115</v>
      </c>
      <c r="F883">
        <v>204.6</v>
      </c>
      <c r="G883">
        <v>230.8</v>
      </c>
      <c r="H883">
        <v>133.80000000000001</v>
      </c>
      <c r="I883">
        <v>10.199999999999999</v>
      </c>
      <c r="J883">
        <v>-5.6</v>
      </c>
      <c r="K883">
        <v>51.7</v>
      </c>
      <c r="L883">
        <v>-25.4</v>
      </c>
      <c r="M883">
        <v>97.4</v>
      </c>
      <c r="N883">
        <v>1.37</v>
      </c>
      <c r="O883">
        <v>26.6</v>
      </c>
      <c r="P883">
        <v>-1</v>
      </c>
      <c r="Q883">
        <v>-1</v>
      </c>
      <c r="R883">
        <v>1</v>
      </c>
      <c r="S883">
        <v>2518</v>
      </c>
      <c r="T883">
        <v>-4.5999999999999996</v>
      </c>
    </row>
    <row r="884" spans="1:20" x14ac:dyDescent="0.25">
      <c r="A884" s="89" t="s">
        <v>126</v>
      </c>
      <c r="B884" s="10">
        <v>46115</v>
      </c>
      <c r="C884" t="s">
        <v>116</v>
      </c>
      <c r="D884" t="s">
        <v>102</v>
      </c>
      <c r="E884" t="s">
        <v>115</v>
      </c>
      <c r="F884">
        <v>172.4</v>
      </c>
      <c r="G884">
        <v>185.2</v>
      </c>
      <c r="H884">
        <v>137.69999999999999</v>
      </c>
      <c r="I884">
        <v>10.199999999999999</v>
      </c>
      <c r="J884">
        <v>-2.8</v>
      </c>
      <c r="K884">
        <v>79</v>
      </c>
      <c r="L884">
        <v>-6.3</v>
      </c>
      <c r="M884">
        <v>97.9</v>
      </c>
      <c r="N884">
        <v>1.41</v>
      </c>
      <c r="O884">
        <v>44.9</v>
      </c>
      <c r="P884">
        <v>-4.0999999999999996</v>
      </c>
      <c r="Q884">
        <v>-8.1</v>
      </c>
      <c r="R884">
        <v>0</v>
      </c>
      <c r="S884">
        <v>12285</v>
      </c>
      <c r="T884">
        <v>1.3</v>
      </c>
    </row>
    <row r="885" spans="1:20" x14ac:dyDescent="0.25">
      <c r="A885" s="90" t="s">
        <v>126</v>
      </c>
      <c r="B885" s="10">
        <v>46124</v>
      </c>
      <c r="C885" t="s">
        <v>101</v>
      </c>
      <c r="D885" t="s">
        <v>102</v>
      </c>
      <c r="E885" t="s">
        <v>103</v>
      </c>
      <c r="F885">
        <v>80.099999999999994</v>
      </c>
      <c r="G885">
        <v>93.9</v>
      </c>
      <c r="H885">
        <v>67.3</v>
      </c>
      <c r="I885">
        <v>28.3</v>
      </c>
      <c r="J885">
        <v>17.100000000000001</v>
      </c>
      <c r="K885">
        <v>40.299999999999997</v>
      </c>
      <c r="L885">
        <v>29.6</v>
      </c>
      <c r="M885">
        <v>75.7</v>
      </c>
      <c r="N885">
        <v>0.89</v>
      </c>
      <c r="O885">
        <v>37.299999999999997</v>
      </c>
      <c r="P885">
        <v>0.4</v>
      </c>
      <c r="Q885">
        <v>0.4</v>
      </c>
      <c r="R885">
        <v>0</v>
      </c>
      <c r="S885">
        <v>1966</v>
      </c>
      <c r="T885">
        <v>25</v>
      </c>
    </row>
    <row r="886" spans="1:20" x14ac:dyDescent="0.25">
      <c r="A886" s="90" t="s">
        <v>126</v>
      </c>
      <c r="B886" s="10">
        <v>46124</v>
      </c>
      <c r="C886" t="s">
        <v>101</v>
      </c>
      <c r="D886" t="s">
        <v>102</v>
      </c>
      <c r="E886" t="s">
        <v>103</v>
      </c>
      <c r="F886">
        <v>91.6</v>
      </c>
      <c r="G886">
        <v>105.1</v>
      </c>
      <c r="H886">
        <v>70.7</v>
      </c>
      <c r="I886">
        <v>33.299999999999997</v>
      </c>
      <c r="J886">
        <v>0.8</v>
      </c>
      <c r="K886">
        <v>56.5</v>
      </c>
      <c r="L886">
        <v>1.8</v>
      </c>
      <c r="M886">
        <v>71.8</v>
      </c>
      <c r="N886">
        <v>0.98</v>
      </c>
      <c r="O886">
        <v>42.4</v>
      </c>
      <c r="P886">
        <v>-1.1000000000000001</v>
      </c>
      <c r="Q886">
        <v>-2.1</v>
      </c>
      <c r="R886">
        <v>0</v>
      </c>
      <c r="S886">
        <v>1115</v>
      </c>
      <c r="T886">
        <v>1.1000000000000001</v>
      </c>
    </row>
    <row r="887" spans="1:20" x14ac:dyDescent="0.25">
      <c r="A887" s="90" t="s">
        <v>126</v>
      </c>
      <c r="B887" s="10">
        <v>46124</v>
      </c>
      <c r="C887" t="s">
        <v>101</v>
      </c>
      <c r="D887" t="s">
        <v>102</v>
      </c>
      <c r="E887" t="s">
        <v>103</v>
      </c>
      <c r="F887">
        <v>101.1</v>
      </c>
      <c r="G887">
        <v>116.4</v>
      </c>
      <c r="H887">
        <v>75.7</v>
      </c>
      <c r="I887">
        <v>31.5</v>
      </c>
      <c r="J887">
        <v>-2.9</v>
      </c>
      <c r="K887">
        <v>59.9</v>
      </c>
      <c r="L887">
        <v>1.5</v>
      </c>
      <c r="M887">
        <v>72.400000000000006</v>
      </c>
      <c r="N887">
        <v>1.05</v>
      </c>
      <c r="O887">
        <v>41.9</v>
      </c>
      <c r="P887">
        <v>-3.2</v>
      </c>
      <c r="Q887">
        <v>-2.9</v>
      </c>
      <c r="R887">
        <v>0</v>
      </c>
      <c r="S887">
        <v>1401</v>
      </c>
      <c r="T887">
        <v>18.899999999999999</v>
      </c>
    </row>
    <row r="888" spans="1:20" x14ac:dyDescent="0.25">
      <c r="A888" s="90" t="s">
        <v>126</v>
      </c>
      <c r="B888" s="10">
        <v>46124</v>
      </c>
      <c r="C888" t="s">
        <v>101</v>
      </c>
      <c r="D888" t="s">
        <v>102</v>
      </c>
      <c r="E888" t="s">
        <v>103</v>
      </c>
      <c r="F888">
        <v>90.8</v>
      </c>
      <c r="G888">
        <v>94</v>
      </c>
      <c r="H888">
        <v>77</v>
      </c>
      <c r="I888">
        <v>33.5</v>
      </c>
      <c r="J888">
        <v>-3.2</v>
      </c>
      <c r="K888">
        <v>71.8</v>
      </c>
      <c r="L888">
        <v>4.5</v>
      </c>
      <c r="M888">
        <v>77.900000000000006</v>
      </c>
      <c r="N888">
        <v>0.99</v>
      </c>
      <c r="O888">
        <v>51.9</v>
      </c>
      <c r="P888">
        <v>-2.5</v>
      </c>
      <c r="Q888">
        <v>-2.8</v>
      </c>
      <c r="R888">
        <v>0</v>
      </c>
      <c r="S888">
        <v>11707</v>
      </c>
      <c r="T888">
        <v>18.100000000000001</v>
      </c>
    </row>
    <row r="889" spans="1:20" x14ac:dyDescent="0.25">
      <c r="A889" s="90" t="s">
        <v>126</v>
      </c>
      <c r="B889" s="10">
        <v>46124</v>
      </c>
      <c r="C889" t="s">
        <v>101</v>
      </c>
      <c r="D889" t="s">
        <v>102</v>
      </c>
      <c r="E889" t="s">
        <v>103</v>
      </c>
      <c r="F889">
        <v>108.4</v>
      </c>
      <c r="G889">
        <v>125</v>
      </c>
      <c r="H889">
        <v>78.900000000000006</v>
      </c>
      <c r="I889">
        <v>29.4</v>
      </c>
      <c r="J889">
        <v>-6.6</v>
      </c>
      <c r="K889">
        <v>57.6</v>
      </c>
      <c r="L889">
        <v>-7.1</v>
      </c>
      <c r="M889">
        <v>74</v>
      </c>
      <c r="N889">
        <v>1.07</v>
      </c>
      <c r="O889">
        <v>39</v>
      </c>
      <c r="P889">
        <v>-3.6</v>
      </c>
      <c r="Q889">
        <v>-2.2000000000000002</v>
      </c>
      <c r="R889">
        <v>0</v>
      </c>
      <c r="S889">
        <v>1062</v>
      </c>
      <c r="T889">
        <v>15.9</v>
      </c>
    </row>
    <row r="890" spans="1:20" x14ac:dyDescent="0.25">
      <c r="A890" s="90" t="s">
        <v>126</v>
      </c>
      <c r="B890" s="10">
        <v>46124</v>
      </c>
      <c r="C890" t="s">
        <v>101</v>
      </c>
      <c r="D890" t="s">
        <v>102</v>
      </c>
      <c r="E890" t="s">
        <v>103</v>
      </c>
      <c r="F890">
        <v>97.9</v>
      </c>
      <c r="G890">
        <v>113.7</v>
      </c>
      <c r="H890">
        <v>74.2</v>
      </c>
      <c r="I890">
        <v>30.3</v>
      </c>
      <c r="J890">
        <v>-4.9000000000000004</v>
      </c>
      <c r="K890">
        <v>54.3</v>
      </c>
      <c r="L890">
        <v>-11.2</v>
      </c>
      <c r="M890">
        <v>73.5</v>
      </c>
      <c r="N890">
        <v>1.01</v>
      </c>
      <c r="O890">
        <v>39.9</v>
      </c>
      <c r="P890">
        <v>-4.3</v>
      </c>
      <c r="Q890">
        <v>-5.7</v>
      </c>
      <c r="R890">
        <v>0</v>
      </c>
      <c r="S890">
        <v>1288</v>
      </c>
      <c r="T890">
        <v>-9.6</v>
      </c>
    </row>
    <row r="891" spans="1:20" x14ac:dyDescent="0.25">
      <c r="A891" s="90" t="s">
        <v>126</v>
      </c>
      <c r="B891" s="10">
        <v>46124</v>
      </c>
      <c r="C891" t="s">
        <v>101</v>
      </c>
      <c r="D891" t="s">
        <v>102</v>
      </c>
      <c r="E891" t="s">
        <v>103</v>
      </c>
      <c r="F891">
        <v>114.9</v>
      </c>
      <c r="G891">
        <v>130.4</v>
      </c>
      <c r="H891">
        <v>81.2</v>
      </c>
      <c r="I891">
        <v>31.3</v>
      </c>
      <c r="J891">
        <v>-1.1000000000000001</v>
      </c>
      <c r="K891">
        <v>69.099999999999994</v>
      </c>
      <c r="L891">
        <v>-2.6</v>
      </c>
      <c r="M891">
        <v>75.099999999999994</v>
      </c>
      <c r="N891">
        <v>1.08</v>
      </c>
      <c r="O891">
        <v>42.6</v>
      </c>
      <c r="P891">
        <v>-3.1</v>
      </c>
      <c r="Q891">
        <v>0</v>
      </c>
      <c r="R891">
        <v>0</v>
      </c>
      <c r="S891">
        <v>1302</v>
      </c>
      <c r="T891">
        <v>-1.3</v>
      </c>
    </row>
    <row r="892" spans="1:20" x14ac:dyDescent="0.25">
      <c r="A892" s="90" t="s">
        <v>126</v>
      </c>
      <c r="B892" s="10">
        <v>46124</v>
      </c>
      <c r="C892" t="s">
        <v>101</v>
      </c>
      <c r="D892" t="s">
        <v>102</v>
      </c>
      <c r="E892" t="s">
        <v>103</v>
      </c>
      <c r="F892">
        <v>87.5</v>
      </c>
      <c r="G892">
        <v>90.6</v>
      </c>
      <c r="H892">
        <v>74.5</v>
      </c>
      <c r="I892">
        <v>33.4</v>
      </c>
      <c r="J892">
        <v>-5</v>
      </c>
      <c r="K892">
        <v>67.8</v>
      </c>
      <c r="L892">
        <v>-2.2000000000000002</v>
      </c>
      <c r="M892">
        <v>72.400000000000006</v>
      </c>
      <c r="N892">
        <v>1.03</v>
      </c>
      <c r="O892">
        <v>51</v>
      </c>
      <c r="P892">
        <v>0.8</v>
      </c>
      <c r="Q892">
        <v>0.8</v>
      </c>
      <c r="R892">
        <v>0</v>
      </c>
      <c r="S892">
        <v>11612</v>
      </c>
      <c r="T892">
        <v>10.8</v>
      </c>
    </row>
    <row r="893" spans="1:20" x14ac:dyDescent="0.25">
      <c r="A893" s="90" t="s">
        <v>126</v>
      </c>
      <c r="B893" s="10">
        <v>46124</v>
      </c>
      <c r="C893" t="s">
        <v>101</v>
      </c>
      <c r="D893" t="s">
        <v>102</v>
      </c>
      <c r="E893" t="s">
        <v>103</v>
      </c>
      <c r="F893">
        <v>103.7</v>
      </c>
      <c r="G893">
        <v>117.5</v>
      </c>
      <c r="H893">
        <v>76.7</v>
      </c>
      <c r="I893">
        <v>34.4</v>
      </c>
      <c r="J893">
        <v>-4.4000000000000004</v>
      </c>
      <c r="K893">
        <v>70.900000000000006</v>
      </c>
      <c r="L893">
        <v>-3.8</v>
      </c>
      <c r="M893">
        <v>77.400000000000006</v>
      </c>
      <c r="N893">
        <v>0.99</v>
      </c>
      <c r="O893">
        <v>45.9</v>
      </c>
      <c r="P893">
        <v>-1.5</v>
      </c>
      <c r="Q893">
        <v>-2.9</v>
      </c>
      <c r="R893">
        <v>0</v>
      </c>
      <c r="S893">
        <v>1529</v>
      </c>
      <c r="T893">
        <v>10</v>
      </c>
    </row>
    <row r="894" spans="1:20" x14ac:dyDescent="0.25">
      <c r="A894" s="90" t="s">
        <v>126</v>
      </c>
      <c r="B894" s="10">
        <v>46124</v>
      </c>
      <c r="C894" t="s">
        <v>101</v>
      </c>
      <c r="D894" t="s">
        <v>102</v>
      </c>
      <c r="E894" t="s">
        <v>103</v>
      </c>
      <c r="F894">
        <v>118.5</v>
      </c>
      <c r="G894">
        <v>135.19999999999999</v>
      </c>
      <c r="H894">
        <v>83.1</v>
      </c>
      <c r="I894">
        <v>28.8</v>
      </c>
      <c r="J894">
        <v>-6.4</v>
      </c>
      <c r="K894">
        <v>63.4</v>
      </c>
      <c r="L894">
        <v>-14.3</v>
      </c>
      <c r="M894">
        <v>76.8</v>
      </c>
      <c r="N894">
        <v>1.08</v>
      </c>
      <c r="O894">
        <v>39.5</v>
      </c>
      <c r="P894">
        <v>-4.5999999999999996</v>
      </c>
      <c r="Q894">
        <v>-4.2</v>
      </c>
      <c r="R894">
        <v>0</v>
      </c>
      <c r="S894">
        <v>1178</v>
      </c>
      <c r="T894">
        <v>-3.1</v>
      </c>
    </row>
    <row r="895" spans="1:20" x14ac:dyDescent="0.25">
      <c r="A895" s="90" t="s">
        <v>126</v>
      </c>
      <c r="B895" s="10">
        <v>46124</v>
      </c>
      <c r="C895" t="s">
        <v>101</v>
      </c>
      <c r="D895" t="s">
        <v>102</v>
      </c>
      <c r="E895" t="s">
        <v>103</v>
      </c>
      <c r="F895">
        <v>87.4</v>
      </c>
      <c r="G895">
        <v>100.5</v>
      </c>
      <c r="H895">
        <v>69.2</v>
      </c>
      <c r="I895">
        <v>32.4</v>
      </c>
      <c r="J895">
        <v>-0.5</v>
      </c>
      <c r="K895">
        <v>51.6</v>
      </c>
      <c r="L895">
        <v>3.7</v>
      </c>
      <c r="M895">
        <v>70.099999999999994</v>
      </c>
      <c r="N895">
        <v>0.99</v>
      </c>
      <c r="O895">
        <v>41.2</v>
      </c>
      <c r="P895">
        <v>-2.8</v>
      </c>
      <c r="Q895">
        <v>-2.9</v>
      </c>
      <c r="R895">
        <v>0</v>
      </c>
      <c r="S895">
        <v>1220</v>
      </c>
      <c r="T895">
        <v>17.2</v>
      </c>
    </row>
    <row r="896" spans="1:20" x14ac:dyDescent="0.25">
      <c r="A896" s="90" t="s">
        <v>126</v>
      </c>
      <c r="B896" s="10">
        <v>46124</v>
      </c>
      <c r="C896" t="s">
        <v>101</v>
      </c>
      <c r="D896" t="s">
        <v>102</v>
      </c>
      <c r="E896" t="s">
        <v>103</v>
      </c>
      <c r="F896">
        <v>110.6</v>
      </c>
      <c r="G896">
        <v>125.3</v>
      </c>
      <c r="H896">
        <v>79.7</v>
      </c>
      <c r="I896">
        <v>30.3</v>
      </c>
      <c r="J896">
        <v>-4.8</v>
      </c>
      <c r="K896">
        <v>64.5</v>
      </c>
      <c r="L896">
        <v>-9.1</v>
      </c>
      <c r="M896">
        <v>77.400000000000006</v>
      </c>
      <c r="N896">
        <v>1.03</v>
      </c>
      <c r="O896">
        <v>41.9</v>
      </c>
      <c r="P896">
        <v>-4.7</v>
      </c>
      <c r="Q896">
        <v>-4.7</v>
      </c>
      <c r="R896">
        <v>0</v>
      </c>
      <c r="S896">
        <v>1578</v>
      </c>
      <c r="T896">
        <v>0.2</v>
      </c>
    </row>
    <row r="897" spans="1:20" x14ac:dyDescent="0.25">
      <c r="A897" s="90" t="s">
        <v>126</v>
      </c>
      <c r="B897" s="10">
        <v>46124</v>
      </c>
      <c r="C897" t="s">
        <v>101</v>
      </c>
      <c r="D897" t="s">
        <v>102</v>
      </c>
      <c r="E897" t="s">
        <v>103</v>
      </c>
      <c r="F897">
        <v>95.5</v>
      </c>
      <c r="G897">
        <v>108.8</v>
      </c>
      <c r="H897">
        <v>72.8</v>
      </c>
      <c r="I897">
        <v>33.700000000000003</v>
      </c>
      <c r="J897">
        <v>-4.2</v>
      </c>
      <c r="K897">
        <v>62.3</v>
      </c>
      <c r="L897">
        <v>-6.1</v>
      </c>
      <c r="M897">
        <v>72.900000000000006</v>
      </c>
      <c r="N897">
        <v>1</v>
      </c>
      <c r="O897">
        <v>44.4</v>
      </c>
      <c r="P897">
        <v>-2.2000000000000002</v>
      </c>
      <c r="Q897">
        <v>-4</v>
      </c>
      <c r="R897">
        <v>0</v>
      </c>
      <c r="S897">
        <v>1577</v>
      </c>
      <c r="T897">
        <v>2.1</v>
      </c>
    </row>
    <row r="898" spans="1:20" x14ac:dyDescent="0.25">
      <c r="A898" s="90" t="s">
        <v>126</v>
      </c>
      <c r="B898" s="10">
        <v>46124</v>
      </c>
      <c r="C898" t="s">
        <v>101</v>
      </c>
      <c r="D898" t="s">
        <v>102</v>
      </c>
      <c r="E898" t="s">
        <v>103</v>
      </c>
      <c r="F898">
        <v>106.2</v>
      </c>
      <c r="G898">
        <v>122.9</v>
      </c>
      <c r="H898">
        <v>77.400000000000006</v>
      </c>
      <c r="I898">
        <v>30.2</v>
      </c>
      <c r="J898">
        <v>-5.5</v>
      </c>
      <c r="K898">
        <v>57.5</v>
      </c>
      <c r="L898">
        <v>-7</v>
      </c>
      <c r="M898">
        <v>71.2</v>
      </c>
      <c r="N898">
        <v>1.0900000000000001</v>
      </c>
      <c r="O898">
        <v>39.1</v>
      </c>
      <c r="P898">
        <v>-1</v>
      </c>
      <c r="Q898">
        <v>-1</v>
      </c>
      <c r="R898">
        <v>4</v>
      </c>
      <c r="S898">
        <v>828</v>
      </c>
      <c r="T898">
        <v>10.3</v>
      </c>
    </row>
    <row r="899" spans="1:20" x14ac:dyDescent="0.25">
      <c r="A899" s="90" t="s">
        <v>126</v>
      </c>
      <c r="B899" s="10">
        <v>46124</v>
      </c>
      <c r="C899" t="s">
        <v>101</v>
      </c>
      <c r="D899" t="s">
        <v>102</v>
      </c>
      <c r="E899" t="s">
        <v>103</v>
      </c>
      <c r="F899">
        <v>101.6</v>
      </c>
      <c r="G899">
        <v>115</v>
      </c>
      <c r="H899">
        <v>75.7</v>
      </c>
      <c r="I899">
        <v>34.6</v>
      </c>
      <c r="J899">
        <v>-5.2</v>
      </c>
      <c r="K899">
        <v>70.099999999999994</v>
      </c>
      <c r="L899">
        <v>-10.7</v>
      </c>
      <c r="M899">
        <v>76.2</v>
      </c>
      <c r="N899">
        <v>0.99</v>
      </c>
      <c r="O899">
        <v>46.1</v>
      </c>
      <c r="P899">
        <v>-3.5</v>
      </c>
      <c r="Q899">
        <v>-6.7</v>
      </c>
      <c r="R899">
        <v>0</v>
      </c>
      <c r="S899">
        <v>1579</v>
      </c>
      <c r="T899">
        <v>-4.3</v>
      </c>
    </row>
    <row r="900" spans="1:20" x14ac:dyDescent="0.25">
      <c r="A900" s="90" t="s">
        <v>126</v>
      </c>
      <c r="B900" s="10">
        <v>46124</v>
      </c>
      <c r="C900" t="s">
        <v>104</v>
      </c>
      <c r="D900" t="s">
        <v>102</v>
      </c>
      <c r="E900" t="s">
        <v>103</v>
      </c>
      <c r="F900">
        <v>123.9</v>
      </c>
      <c r="G900">
        <v>136.5</v>
      </c>
      <c r="H900">
        <v>90</v>
      </c>
      <c r="I900">
        <v>30</v>
      </c>
      <c r="J900">
        <v>-2.6</v>
      </c>
      <c r="K900">
        <v>80.5</v>
      </c>
      <c r="L900">
        <v>18.600000000000001</v>
      </c>
      <c r="M900">
        <v>78.5</v>
      </c>
      <c r="N900">
        <v>1.1499999999999999</v>
      </c>
      <c r="O900">
        <v>46.9</v>
      </c>
      <c r="P900">
        <v>-2.4</v>
      </c>
      <c r="Q900">
        <v>-3.9</v>
      </c>
      <c r="R900">
        <v>0</v>
      </c>
      <c r="S900">
        <v>2980</v>
      </c>
      <c r="T900">
        <v>36.299999999999997</v>
      </c>
    </row>
    <row r="901" spans="1:20" x14ac:dyDescent="0.25">
      <c r="A901" s="90" t="s">
        <v>126</v>
      </c>
      <c r="B901" s="10">
        <v>46124</v>
      </c>
      <c r="C901" t="s">
        <v>104</v>
      </c>
      <c r="D901" t="s">
        <v>102</v>
      </c>
      <c r="E901" t="s">
        <v>103</v>
      </c>
      <c r="F901">
        <v>107.9</v>
      </c>
      <c r="G901">
        <v>112.2</v>
      </c>
      <c r="H901">
        <v>87.7</v>
      </c>
      <c r="I901">
        <v>29.5</v>
      </c>
      <c r="J901">
        <v>-2.9</v>
      </c>
      <c r="K901">
        <v>81.5</v>
      </c>
      <c r="L901">
        <v>0.4</v>
      </c>
      <c r="M901">
        <v>81.8</v>
      </c>
      <c r="N901">
        <v>1.07</v>
      </c>
      <c r="O901">
        <v>51.9</v>
      </c>
      <c r="P901">
        <v>-4.8</v>
      </c>
      <c r="Q901">
        <v>-1.9</v>
      </c>
      <c r="R901">
        <v>0</v>
      </c>
      <c r="S901">
        <v>12580</v>
      </c>
      <c r="T901">
        <v>8</v>
      </c>
    </row>
    <row r="902" spans="1:20" x14ac:dyDescent="0.25">
      <c r="A902" s="90" t="s">
        <v>126</v>
      </c>
      <c r="B902" s="10">
        <v>46124</v>
      </c>
      <c r="C902" t="s">
        <v>104</v>
      </c>
      <c r="D902" t="s">
        <v>102</v>
      </c>
      <c r="E902" t="s">
        <v>103</v>
      </c>
      <c r="F902">
        <v>113.7</v>
      </c>
      <c r="G902">
        <v>126.6</v>
      </c>
      <c r="H902">
        <v>82.5</v>
      </c>
      <c r="I902">
        <v>30.2</v>
      </c>
      <c r="J902">
        <v>-0.9</v>
      </c>
      <c r="K902">
        <v>71.099999999999994</v>
      </c>
      <c r="L902">
        <v>8</v>
      </c>
      <c r="M902">
        <v>77.900000000000006</v>
      </c>
      <c r="N902">
        <v>1.06</v>
      </c>
      <c r="O902">
        <v>44.6</v>
      </c>
      <c r="P902">
        <v>-0.5</v>
      </c>
      <c r="Q902">
        <v>1.2</v>
      </c>
      <c r="R902">
        <v>0</v>
      </c>
      <c r="S902">
        <v>2470</v>
      </c>
      <c r="T902">
        <v>17.5</v>
      </c>
    </row>
    <row r="903" spans="1:20" x14ac:dyDescent="0.25">
      <c r="A903" s="90" t="s">
        <v>126</v>
      </c>
      <c r="B903" s="10">
        <v>46124</v>
      </c>
      <c r="C903" t="s">
        <v>104</v>
      </c>
      <c r="D903" t="s">
        <v>102</v>
      </c>
      <c r="E903" t="s">
        <v>103</v>
      </c>
      <c r="F903">
        <v>122.9</v>
      </c>
      <c r="G903">
        <v>142.1</v>
      </c>
      <c r="H903">
        <v>87.8</v>
      </c>
      <c r="I903">
        <v>25.4</v>
      </c>
      <c r="J903">
        <v>-2.5</v>
      </c>
      <c r="K903">
        <v>54.4</v>
      </c>
      <c r="L903">
        <v>6.7</v>
      </c>
      <c r="M903">
        <v>78.5</v>
      </c>
      <c r="N903">
        <v>1.1200000000000001</v>
      </c>
      <c r="O903">
        <v>34.5</v>
      </c>
      <c r="P903">
        <v>-4.8</v>
      </c>
      <c r="Q903">
        <v>-2.2999999999999998</v>
      </c>
      <c r="R903">
        <v>0</v>
      </c>
      <c r="S903">
        <v>1037</v>
      </c>
      <c r="T903">
        <v>33.4</v>
      </c>
    </row>
    <row r="904" spans="1:20" x14ac:dyDescent="0.25">
      <c r="A904" s="90" t="s">
        <v>126</v>
      </c>
      <c r="B904" s="10">
        <v>46124</v>
      </c>
      <c r="C904" t="s">
        <v>104</v>
      </c>
      <c r="D904" t="s">
        <v>102</v>
      </c>
      <c r="E904" t="s">
        <v>103</v>
      </c>
      <c r="F904">
        <v>131.30000000000001</v>
      </c>
      <c r="G904">
        <v>148.1</v>
      </c>
      <c r="H904">
        <v>88.7</v>
      </c>
      <c r="I904">
        <v>28.1</v>
      </c>
      <c r="J904">
        <v>-2.5</v>
      </c>
      <c r="K904">
        <v>70.8</v>
      </c>
      <c r="L904">
        <v>-0.6</v>
      </c>
      <c r="M904">
        <v>79.599999999999994</v>
      </c>
      <c r="N904">
        <v>1.1200000000000001</v>
      </c>
      <c r="O904">
        <v>40.299999999999997</v>
      </c>
      <c r="P904">
        <v>-3.6</v>
      </c>
      <c r="Q904">
        <v>-1.8</v>
      </c>
      <c r="R904">
        <v>0</v>
      </c>
      <c r="S904">
        <v>1418</v>
      </c>
      <c r="T904">
        <v>9.1999999999999993</v>
      </c>
    </row>
    <row r="905" spans="1:20" x14ac:dyDescent="0.25">
      <c r="A905" s="90" t="s">
        <v>126</v>
      </c>
      <c r="B905" s="10">
        <v>46124</v>
      </c>
      <c r="C905" t="s">
        <v>104</v>
      </c>
      <c r="D905" t="s">
        <v>102</v>
      </c>
      <c r="E905" t="s">
        <v>103</v>
      </c>
      <c r="F905">
        <v>120.6</v>
      </c>
      <c r="G905">
        <v>134.19999999999999</v>
      </c>
      <c r="H905">
        <v>84.1</v>
      </c>
      <c r="I905">
        <v>33.299999999999997</v>
      </c>
      <c r="J905">
        <v>-0.8</v>
      </c>
      <c r="K905">
        <v>82.4</v>
      </c>
      <c r="L905">
        <v>-0.7</v>
      </c>
      <c r="M905">
        <v>76.2</v>
      </c>
      <c r="N905">
        <v>1.1000000000000001</v>
      </c>
      <c r="O905">
        <v>46.4</v>
      </c>
      <c r="P905">
        <v>-2.5</v>
      </c>
      <c r="Q905">
        <v>-1.9</v>
      </c>
      <c r="R905">
        <v>0</v>
      </c>
      <c r="S905">
        <v>1564</v>
      </c>
      <c r="T905">
        <v>1.4</v>
      </c>
    </row>
    <row r="906" spans="1:20" x14ac:dyDescent="0.25">
      <c r="A906" s="90" t="s">
        <v>126</v>
      </c>
      <c r="B906" s="10">
        <v>46124</v>
      </c>
      <c r="C906" t="s">
        <v>104</v>
      </c>
      <c r="D906" t="s">
        <v>102</v>
      </c>
      <c r="E906" t="s">
        <v>103</v>
      </c>
      <c r="F906">
        <v>108.6</v>
      </c>
      <c r="G906">
        <v>121.4</v>
      </c>
      <c r="H906">
        <v>79.8</v>
      </c>
      <c r="I906">
        <v>30.6</v>
      </c>
      <c r="J906">
        <v>-3</v>
      </c>
      <c r="K906">
        <v>67.8</v>
      </c>
      <c r="L906">
        <v>1</v>
      </c>
      <c r="M906">
        <v>74.599999999999994</v>
      </c>
      <c r="N906">
        <v>1.07</v>
      </c>
      <c r="O906">
        <v>44.3</v>
      </c>
      <c r="P906">
        <v>-0.5</v>
      </c>
      <c r="Q906">
        <v>-1.4</v>
      </c>
      <c r="R906">
        <v>0</v>
      </c>
      <c r="S906">
        <v>2349</v>
      </c>
      <c r="T906">
        <v>13</v>
      </c>
    </row>
    <row r="907" spans="1:20" x14ac:dyDescent="0.25">
      <c r="A907" s="90" t="s">
        <v>126</v>
      </c>
      <c r="B907" s="10">
        <v>46124</v>
      </c>
      <c r="C907" t="s">
        <v>104</v>
      </c>
      <c r="D907" t="s">
        <v>102</v>
      </c>
      <c r="E907" t="s">
        <v>103</v>
      </c>
      <c r="F907">
        <v>115.4</v>
      </c>
      <c r="G907">
        <v>131.30000000000001</v>
      </c>
      <c r="H907">
        <v>81.8</v>
      </c>
      <c r="I907">
        <v>29.3</v>
      </c>
      <c r="J907">
        <v>-4.4000000000000004</v>
      </c>
      <c r="K907">
        <v>64.3</v>
      </c>
      <c r="L907">
        <v>-7.6</v>
      </c>
      <c r="M907">
        <v>75.099999999999994</v>
      </c>
      <c r="N907">
        <v>1.0900000000000001</v>
      </c>
      <c r="O907">
        <v>40.700000000000003</v>
      </c>
      <c r="P907">
        <v>0.8</v>
      </c>
      <c r="Q907">
        <v>-0.3</v>
      </c>
      <c r="R907">
        <v>0</v>
      </c>
      <c r="S907">
        <v>1453</v>
      </c>
      <c r="T907">
        <v>2.5</v>
      </c>
    </row>
    <row r="908" spans="1:20" x14ac:dyDescent="0.25">
      <c r="A908" s="90" t="s">
        <v>126</v>
      </c>
      <c r="B908" s="10">
        <v>46124</v>
      </c>
      <c r="C908" t="s">
        <v>104</v>
      </c>
      <c r="D908" t="s">
        <v>102</v>
      </c>
      <c r="E908" t="s">
        <v>103</v>
      </c>
      <c r="F908">
        <v>107.7</v>
      </c>
      <c r="G908">
        <v>111.1</v>
      </c>
      <c r="H908">
        <v>87.4</v>
      </c>
      <c r="I908">
        <v>30.5</v>
      </c>
      <c r="J908">
        <v>-0.8</v>
      </c>
      <c r="K908">
        <v>84.2</v>
      </c>
      <c r="L908">
        <v>8.5</v>
      </c>
      <c r="M908">
        <v>80.099999999999994</v>
      </c>
      <c r="N908">
        <v>1.0900000000000001</v>
      </c>
      <c r="O908">
        <v>52.5</v>
      </c>
      <c r="P908">
        <v>-4.5</v>
      </c>
      <c r="Q908">
        <v>-3.7</v>
      </c>
      <c r="R908">
        <v>0</v>
      </c>
      <c r="S908">
        <v>11247</v>
      </c>
      <c r="T908">
        <v>13.6</v>
      </c>
    </row>
    <row r="909" spans="1:20" x14ac:dyDescent="0.25">
      <c r="A909" s="90" t="s">
        <v>126</v>
      </c>
      <c r="B909" s="10">
        <v>46124</v>
      </c>
      <c r="C909" t="s">
        <v>104</v>
      </c>
      <c r="D909" t="s">
        <v>102</v>
      </c>
      <c r="E909" t="s">
        <v>103</v>
      </c>
      <c r="F909">
        <v>131.4</v>
      </c>
      <c r="G909">
        <v>149.5</v>
      </c>
      <c r="H909">
        <v>89.5</v>
      </c>
      <c r="I909">
        <v>26.4</v>
      </c>
      <c r="J909">
        <v>-4.8</v>
      </c>
      <c r="K909">
        <v>62.4</v>
      </c>
      <c r="L909">
        <v>-3</v>
      </c>
      <c r="M909">
        <v>80.099999999999994</v>
      </c>
      <c r="N909">
        <v>1.1200000000000001</v>
      </c>
      <c r="O909">
        <v>36.5</v>
      </c>
      <c r="P909">
        <v>-3.4</v>
      </c>
      <c r="Q909">
        <v>-2.4</v>
      </c>
      <c r="R909">
        <v>0</v>
      </c>
      <c r="S909">
        <v>1013</v>
      </c>
      <c r="T909">
        <v>18.7</v>
      </c>
    </row>
    <row r="910" spans="1:20" x14ac:dyDescent="0.25">
      <c r="A910" s="90" t="s">
        <v>126</v>
      </c>
      <c r="B910" s="10">
        <v>46124</v>
      </c>
      <c r="C910" t="s">
        <v>104</v>
      </c>
      <c r="D910" t="s">
        <v>102</v>
      </c>
      <c r="E910" t="s">
        <v>103</v>
      </c>
      <c r="F910">
        <v>126.4</v>
      </c>
      <c r="G910">
        <v>141.5</v>
      </c>
      <c r="H910">
        <v>86.9</v>
      </c>
      <c r="I910">
        <v>29.1</v>
      </c>
      <c r="J910">
        <v>-2</v>
      </c>
      <c r="K910">
        <v>74.5</v>
      </c>
      <c r="L910">
        <v>-4.9000000000000004</v>
      </c>
      <c r="M910">
        <v>76.8</v>
      </c>
      <c r="N910">
        <v>1.1299999999999999</v>
      </c>
      <c r="O910">
        <v>43</v>
      </c>
      <c r="P910">
        <v>-2.8</v>
      </c>
      <c r="Q910">
        <v>-3.4</v>
      </c>
      <c r="R910">
        <v>0</v>
      </c>
      <c r="S910">
        <v>1916</v>
      </c>
      <c r="T910">
        <v>-0.8</v>
      </c>
    </row>
    <row r="911" spans="1:20" x14ac:dyDescent="0.25">
      <c r="A911" s="90" t="s">
        <v>126</v>
      </c>
      <c r="B911" s="10">
        <v>46124</v>
      </c>
      <c r="C911" t="s">
        <v>104</v>
      </c>
      <c r="D911" t="s">
        <v>102</v>
      </c>
      <c r="E911" t="s">
        <v>103</v>
      </c>
      <c r="F911">
        <v>133.1</v>
      </c>
      <c r="G911">
        <v>150.19999999999999</v>
      </c>
      <c r="H911">
        <v>90.4</v>
      </c>
      <c r="I911">
        <v>27.2</v>
      </c>
      <c r="J911">
        <v>-6</v>
      </c>
      <c r="K911">
        <v>67.2</v>
      </c>
      <c r="L911">
        <v>-2.4</v>
      </c>
      <c r="M911">
        <v>75.099999999999994</v>
      </c>
      <c r="N911">
        <v>1.2</v>
      </c>
      <c r="O911">
        <v>38.5</v>
      </c>
      <c r="P911">
        <v>-4.3</v>
      </c>
      <c r="Q911">
        <v>-3.8</v>
      </c>
      <c r="R911">
        <v>0</v>
      </c>
      <c r="S911">
        <v>1243</v>
      </c>
      <c r="T911">
        <v>23.6</v>
      </c>
    </row>
    <row r="912" spans="1:20" x14ac:dyDescent="0.25">
      <c r="A912" s="90" t="s">
        <v>126</v>
      </c>
      <c r="B912" s="10">
        <v>46124</v>
      </c>
      <c r="C912" t="s">
        <v>104</v>
      </c>
      <c r="D912" t="s">
        <v>102</v>
      </c>
      <c r="E912" t="s">
        <v>103</v>
      </c>
      <c r="F912">
        <v>124.2</v>
      </c>
      <c r="G912">
        <v>141.9</v>
      </c>
      <c r="H912">
        <v>86.2</v>
      </c>
      <c r="I912">
        <v>28.2</v>
      </c>
      <c r="J912">
        <v>-3.2</v>
      </c>
      <c r="K912">
        <v>62.8</v>
      </c>
      <c r="L912">
        <v>-16.7</v>
      </c>
      <c r="M912">
        <v>77.900000000000006</v>
      </c>
      <c r="N912">
        <v>1.1100000000000001</v>
      </c>
      <c r="O912">
        <v>38</v>
      </c>
      <c r="P912">
        <v>-4.2</v>
      </c>
      <c r="Q912">
        <v>-2.4</v>
      </c>
      <c r="R912">
        <v>0</v>
      </c>
      <c r="S912">
        <v>933</v>
      </c>
      <c r="T912">
        <v>-26.8</v>
      </c>
    </row>
    <row r="913" spans="1:20" x14ac:dyDescent="0.25">
      <c r="A913" s="90" t="s">
        <v>126</v>
      </c>
      <c r="B913" s="10">
        <v>46124</v>
      </c>
      <c r="C913" t="s">
        <v>104</v>
      </c>
      <c r="D913" t="s">
        <v>102</v>
      </c>
      <c r="E913" t="s">
        <v>103</v>
      </c>
      <c r="F913">
        <v>85.2</v>
      </c>
      <c r="G913">
        <v>103.1</v>
      </c>
      <c r="H913">
        <v>70.900000000000006</v>
      </c>
      <c r="I913">
        <v>24.6</v>
      </c>
      <c r="J913">
        <v>16.600000000000001</v>
      </c>
      <c r="K913">
        <v>35.1</v>
      </c>
      <c r="L913">
        <v>22.7</v>
      </c>
      <c r="M913">
        <v>79.599999999999994</v>
      </c>
      <c r="N913">
        <v>0.89</v>
      </c>
      <c r="O913">
        <v>31.6</v>
      </c>
      <c r="P913">
        <v>-4.0999999999999996</v>
      </c>
      <c r="Q913">
        <v>-4.0999999999999996</v>
      </c>
      <c r="R913">
        <v>0</v>
      </c>
      <c r="S913">
        <v>1076</v>
      </c>
      <c r="T913">
        <v>-8.5</v>
      </c>
    </row>
    <row r="914" spans="1:20" x14ac:dyDescent="0.25">
      <c r="A914" s="90" t="s">
        <v>126</v>
      </c>
      <c r="B914" s="10">
        <v>46124</v>
      </c>
      <c r="C914" t="s">
        <v>104</v>
      </c>
      <c r="D914" t="s">
        <v>102</v>
      </c>
      <c r="E914" t="s">
        <v>103</v>
      </c>
      <c r="F914">
        <v>134.1</v>
      </c>
      <c r="G914">
        <v>151.9</v>
      </c>
      <c r="H914">
        <v>90.2</v>
      </c>
      <c r="I914">
        <v>27.4</v>
      </c>
      <c r="J914">
        <v>-2.5</v>
      </c>
      <c r="K914">
        <v>68.7</v>
      </c>
      <c r="L914">
        <v>2</v>
      </c>
      <c r="M914">
        <v>78.5</v>
      </c>
      <c r="N914">
        <v>1.1499999999999999</v>
      </c>
      <c r="O914">
        <v>38.9</v>
      </c>
      <c r="P914">
        <v>-2.9</v>
      </c>
      <c r="Q914">
        <v>-0.4</v>
      </c>
      <c r="R914">
        <v>0</v>
      </c>
      <c r="S914">
        <v>1210</v>
      </c>
      <c r="T914">
        <v>15.6</v>
      </c>
    </row>
    <row r="915" spans="1:20" x14ac:dyDescent="0.25">
      <c r="A915" s="90" t="s">
        <v>126</v>
      </c>
      <c r="B915" s="10">
        <v>46124</v>
      </c>
      <c r="C915" t="s">
        <v>104</v>
      </c>
      <c r="D915" t="s">
        <v>102</v>
      </c>
      <c r="E915" t="s">
        <v>103</v>
      </c>
      <c r="F915">
        <v>103.4</v>
      </c>
      <c r="G915">
        <v>107</v>
      </c>
      <c r="H915">
        <v>84.1</v>
      </c>
      <c r="I915">
        <v>28</v>
      </c>
      <c r="J915">
        <v>-5.6</v>
      </c>
      <c r="K915">
        <v>69.900000000000006</v>
      </c>
      <c r="L915">
        <v>-18.3</v>
      </c>
      <c r="M915">
        <v>78.5</v>
      </c>
      <c r="N915">
        <v>1.07</v>
      </c>
      <c r="O915">
        <v>48.7</v>
      </c>
      <c r="P915">
        <v>-8.1</v>
      </c>
      <c r="Q915">
        <v>-1.3</v>
      </c>
      <c r="R915">
        <v>0</v>
      </c>
      <c r="S915">
        <v>11644</v>
      </c>
      <c r="T915">
        <v>-13.3</v>
      </c>
    </row>
    <row r="916" spans="1:20" x14ac:dyDescent="0.25">
      <c r="A916" s="90" t="s">
        <v>126</v>
      </c>
      <c r="B916" s="10">
        <v>46124</v>
      </c>
      <c r="C916" t="s">
        <v>104</v>
      </c>
      <c r="D916" t="s">
        <v>102</v>
      </c>
      <c r="E916" t="s">
        <v>103</v>
      </c>
      <c r="F916">
        <v>125.8</v>
      </c>
      <c r="G916">
        <v>141.69999999999999</v>
      </c>
      <c r="H916">
        <v>86.1</v>
      </c>
      <c r="I916">
        <v>29</v>
      </c>
      <c r="J916">
        <v>-8</v>
      </c>
      <c r="K916">
        <v>69.400000000000006</v>
      </c>
      <c r="L916">
        <v>-17.5</v>
      </c>
      <c r="M916">
        <v>76.8</v>
      </c>
      <c r="N916">
        <v>1.1200000000000001</v>
      </c>
      <c r="O916">
        <v>40.700000000000003</v>
      </c>
      <c r="P916">
        <v>-0.7</v>
      </c>
      <c r="Q916">
        <v>-1.8</v>
      </c>
      <c r="R916">
        <v>0</v>
      </c>
      <c r="S916">
        <v>1264</v>
      </c>
      <c r="T916">
        <v>-0.3</v>
      </c>
    </row>
    <row r="917" spans="1:20" x14ac:dyDescent="0.25">
      <c r="A917" s="90" t="s">
        <v>126</v>
      </c>
      <c r="B917" s="10">
        <v>46124</v>
      </c>
      <c r="C917" t="s">
        <v>104</v>
      </c>
      <c r="D917" t="s">
        <v>102</v>
      </c>
      <c r="E917" t="s">
        <v>103</v>
      </c>
      <c r="F917">
        <v>113.1</v>
      </c>
      <c r="G917">
        <v>126.6</v>
      </c>
      <c r="H917">
        <v>83.7</v>
      </c>
      <c r="I917">
        <v>28.8</v>
      </c>
      <c r="J917">
        <v>-1.6</v>
      </c>
      <c r="K917">
        <v>66.8</v>
      </c>
      <c r="L917">
        <v>13.5</v>
      </c>
      <c r="M917">
        <v>75.099999999999994</v>
      </c>
      <c r="N917">
        <v>1.1100000000000001</v>
      </c>
      <c r="O917">
        <v>43.5</v>
      </c>
      <c r="P917">
        <v>-2.6</v>
      </c>
      <c r="Q917">
        <v>-0.3</v>
      </c>
      <c r="R917">
        <v>0</v>
      </c>
      <c r="S917">
        <v>2773</v>
      </c>
      <c r="T917">
        <v>30.2</v>
      </c>
    </row>
    <row r="918" spans="1:20" x14ac:dyDescent="0.25">
      <c r="A918" s="90" t="s">
        <v>126</v>
      </c>
      <c r="B918" s="10">
        <v>46124</v>
      </c>
      <c r="C918" t="s">
        <v>104</v>
      </c>
      <c r="D918" t="s">
        <v>102</v>
      </c>
      <c r="E918" t="s">
        <v>103</v>
      </c>
      <c r="F918">
        <v>127.6</v>
      </c>
      <c r="G918">
        <v>144.4</v>
      </c>
      <c r="H918">
        <v>87.6</v>
      </c>
      <c r="I918">
        <v>29.4</v>
      </c>
      <c r="J918">
        <v>-8.1999999999999993</v>
      </c>
      <c r="K918">
        <v>69.400000000000006</v>
      </c>
      <c r="L918">
        <v>-5.4</v>
      </c>
      <c r="M918">
        <v>77.900000000000006</v>
      </c>
      <c r="N918">
        <v>1.1200000000000001</v>
      </c>
      <c r="O918">
        <v>40.299999999999997</v>
      </c>
      <c r="P918">
        <v>-3.1</v>
      </c>
      <c r="Q918">
        <v>-3.6</v>
      </c>
      <c r="R918">
        <v>0</v>
      </c>
      <c r="S918">
        <v>1076</v>
      </c>
      <c r="T918">
        <v>29.7</v>
      </c>
    </row>
    <row r="919" spans="1:20" x14ac:dyDescent="0.25">
      <c r="A919" s="90" t="s">
        <v>126</v>
      </c>
      <c r="B919" s="10">
        <v>46124</v>
      </c>
      <c r="C919" t="s">
        <v>104</v>
      </c>
      <c r="D919" t="s">
        <v>102</v>
      </c>
      <c r="E919" t="s">
        <v>103</v>
      </c>
      <c r="F919">
        <v>120.5</v>
      </c>
      <c r="G919">
        <v>138.5</v>
      </c>
      <c r="H919">
        <v>84.2</v>
      </c>
      <c r="I919">
        <v>27.5</v>
      </c>
      <c r="J919">
        <v>1.7</v>
      </c>
      <c r="K919">
        <v>59.2</v>
      </c>
      <c r="L919">
        <v>7.7</v>
      </c>
      <c r="M919">
        <v>78.5</v>
      </c>
      <c r="N919">
        <v>1.07</v>
      </c>
      <c r="O919">
        <v>37.1</v>
      </c>
      <c r="P919">
        <v>-3.6</v>
      </c>
      <c r="Q919">
        <v>-2.5</v>
      </c>
      <c r="R919">
        <v>0</v>
      </c>
      <c r="S919">
        <v>953</v>
      </c>
      <c r="T919">
        <v>10.199999999999999</v>
      </c>
    </row>
    <row r="920" spans="1:20" x14ac:dyDescent="0.25">
      <c r="A920" s="90" t="s">
        <v>126</v>
      </c>
      <c r="B920" s="10">
        <v>46124</v>
      </c>
      <c r="C920" t="s">
        <v>104</v>
      </c>
      <c r="D920" t="s">
        <v>102</v>
      </c>
      <c r="E920" t="s">
        <v>103</v>
      </c>
      <c r="F920">
        <v>111.1</v>
      </c>
      <c r="G920">
        <v>116.2</v>
      </c>
      <c r="H920">
        <v>90.3</v>
      </c>
      <c r="I920">
        <v>24.9</v>
      </c>
      <c r="J920">
        <v>-5.8</v>
      </c>
      <c r="K920">
        <v>67.2</v>
      </c>
      <c r="L920">
        <v>-29.2</v>
      </c>
      <c r="M920">
        <v>77.900000000000006</v>
      </c>
      <c r="N920">
        <v>1.1599999999999999</v>
      </c>
      <c r="O920">
        <v>46.6</v>
      </c>
      <c r="P920">
        <v>-4.7</v>
      </c>
      <c r="Q920">
        <v>-4.3</v>
      </c>
      <c r="R920">
        <v>0</v>
      </c>
      <c r="S920">
        <v>11518</v>
      </c>
      <c r="T920">
        <v>-26.1</v>
      </c>
    </row>
    <row r="921" spans="1:20" x14ac:dyDescent="0.25">
      <c r="A921" s="90" t="s">
        <v>126</v>
      </c>
      <c r="B921" s="10">
        <v>46124</v>
      </c>
      <c r="C921" t="s">
        <v>104</v>
      </c>
      <c r="D921" t="s">
        <v>102</v>
      </c>
      <c r="E921" t="s">
        <v>103</v>
      </c>
      <c r="F921">
        <v>133.1</v>
      </c>
      <c r="G921">
        <v>149.80000000000001</v>
      </c>
      <c r="H921">
        <v>89.2</v>
      </c>
      <c r="I921">
        <v>28.2</v>
      </c>
      <c r="J921">
        <v>-4</v>
      </c>
      <c r="K921">
        <v>71.400000000000006</v>
      </c>
      <c r="L921">
        <v>-8.1</v>
      </c>
      <c r="M921">
        <v>75.7</v>
      </c>
      <c r="N921">
        <v>1.18</v>
      </c>
      <c r="O921">
        <v>40.1</v>
      </c>
      <c r="P921">
        <v>-4.3</v>
      </c>
      <c r="Q921">
        <v>-2.6</v>
      </c>
      <c r="R921">
        <v>0</v>
      </c>
      <c r="S921">
        <v>1267</v>
      </c>
      <c r="T921">
        <v>2</v>
      </c>
    </row>
    <row r="922" spans="1:20" x14ac:dyDescent="0.25">
      <c r="A922" s="90" t="s">
        <v>126</v>
      </c>
      <c r="B922" s="10">
        <v>46124</v>
      </c>
      <c r="C922" t="s">
        <v>97</v>
      </c>
      <c r="D922" t="s">
        <v>98</v>
      </c>
      <c r="E922" t="s">
        <v>99</v>
      </c>
      <c r="F922">
        <v>36.700000000000003</v>
      </c>
      <c r="G922">
        <v>44.9</v>
      </c>
      <c r="H922">
        <v>41.4</v>
      </c>
      <c r="I922">
        <v>39.1</v>
      </c>
      <c r="J922">
        <v>-1.2</v>
      </c>
      <c r="K922">
        <v>25.1</v>
      </c>
      <c r="L922">
        <v>0.3</v>
      </c>
      <c r="M922">
        <v>47.4</v>
      </c>
      <c r="N922">
        <v>0.87</v>
      </c>
      <c r="O922">
        <v>43.6</v>
      </c>
      <c r="P922">
        <v>-3.1</v>
      </c>
      <c r="Q922">
        <v>-0.8</v>
      </c>
      <c r="R922">
        <v>0</v>
      </c>
      <c r="S922">
        <v>929</v>
      </c>
      <c r="T922">
        <v>14.1</v>
      </c>
    </row>
    <row r="923" spans="1:20" x14ac:dyDescent="0.25">
      <c r="A923" s="90" t="s">
        <v>126</v>
      </c>
      <c r="B923" s="10">
        <v>46124</v>
      </c>
      <c r="C923" t="s">
        <v>97</v>
      </c>
      <c r="D923" t="s">
        <v>98</v>
      </c>
      <c r="E923" t="s">
        <v>99</v>
      </c>
      <c r="F923">
        <v>33.799999999999997</v>
      </c>
      <c r="G923">
        <v>42.1</v>
      </c>
      <c r="H923">
        <v>39.9</v>
      </c>
      <c r="I923">
        <v>35.5</v>
      </c>
      <c r="J923">
        <v>-0.5</v>
      </c>
      <c r="K923">
        <v>20</v>
      </c>
      <c r="L923">
        <v>0.3</v>
      </c>
      <c r="M923">
        <v>40.700000000000003</v>
      </c>
      <c r="N923">
        <v>0.98</v>
      </c>
      <c r="O923">
        <v>39.4</v>
      </c>
      <c r="P923">
        <v>-2.2000000000000002</v>
      </c>
      <c r="Q923">
        <v>3.7</v>
      </c>
      <c r="R923">
        <v>0</v>
      </c>
      <c r="S923">
        <v>984</v>
      </c>
      <c r="T923">
        <v>9.1</v>
      </c>
    </row>
    <row r="924" spans="1:20" x14ac:dyDescent="0.25">
      <c r="A924" s="90" t="s">
        <v>126</v>
      </c>
      <c r="B924" s="10">
        <v>46124</v>
      </c>
      <c r="C924" t="s">
        <v>97</v>
      </c>
      <c r="D924" t="s">
        <v>98</v>
      </c>
      <c r="E924" t="s">
        <v>99</v>
      </c>
      <c r="F924">
        <v>19.2</v>
      </c>
      <c r="G924">
        <v>24</v>
      </c>
      <c r="H924">
        <v>29.1</v>
      </c>
      <c r="I924">
        <v>38.299999999999997</v>
      </c>
      <c r="J924">
        <v>-0.5</v>
      </c>
      <c r="K924">
        <v>12.1</v>
      </c>
      <c r="L924">
        <v>0.1</v>
      </c>
      <c r="M924">
        <v>30.8</v>
      </c>
      <c r="N924">
        <v>0.94</v>
      </c>
      <c r="O924">
        <v>40.700000000000003</v>
      </c>
      <c r="P924">
        <v>-2</v>
      </c>
      <c r="Q924">
        <v>2.4</v>
      </c>
      <c r="R924">
        <v>0</v>
      </c>
      <c r="S924">
        <v>792</v>
      </c>
      <c r="T924">
        <v>13.7</v>
      </c>
    </row>
    <row r="925" spans="1:20" x14ac:dyDescent="0.25">
      <c r="A925" s="90" t="s">
        <v>126</v>
      </c>
      <c r="B925" s="10">
        <v>46124</v>
      </c>
      <c r="C925" t="s">
        <v>97</v>
      </c>
      <c r="D925" t="s">
        <v>98</v>
      </c>
      <c r="E925" t="s">
        <v>99</v>
      </c>
      <c r="F925">
        <v>14.3</v>
      </c>
      <c r="G925">
        <v>19.3</v>
      </c>
      <c r="H925">
        <v>25.3</v>
      </c>
      <c r="I925">
        <v>35</v>
      </c>
      <c r="J925">
        <v>1</v>
      </c>
      <c r="K925">
        <v>7.8</v>
      </c>
      <c r="L925">
        <v>0.4</v>
      </c>
      <c r="M925">
        <v>25.1</v>
      </c>
      <c r="N925">
        <v>1.01</v>
      </c>
      <c r="O925">
        <v>36.9</v>
      </c>
      <c r="P925">
        <v>1</v>
      </c>
      <c r="Q925">
        <v>7.7</v>
      </c>
      <c r="R925">
        <v>0</v>
      </c>
      <c r="S925">
        <v>11561</v>
      </c>
      <c r="T925">
        <v>8.3000000000000007</v>
      </c>
    </row>
    <row r="926" spans="1:20" x14ac:dyDescent="0.25">
      <c r="A926" s="90" t="s">
        <v>126</v>
      </c>
      <c r="B926" s="10">
        <v>46124</v>
      </c>
      <c r="C926" t="s">
        <v>97</v>
      </c>
      <c r="D926" t="s">
        <v>98</v>
      </c>
      <c r="E926" t="s">
        <v>99</v>
      </c>
      <c r="F926">
        <v>13.4</v>
      </c>
      <c r="G926">
        <v>18.2</v>
      </c>
      <c r="H926">
        <v>24.4</v>
      </c>
      <c r="I926">
        <v>35.4</v>
      </c>
      <c r="J926">
        <v>2.9</v>
      </c>
      <c r="K926">
        <v>7.5</v>
      </c>
      <c r="L926">
        <v>0.7</v>
      </c>
      <c r="M926">
        <v>24.3</v>
      </c>
      <c r="N926">
        <v>1</v>
      </c>
      <c r="O926">
        <v>37.200000000000003</v>
      </c>
      <c r="P926">
        <v>-0.2</v>
      </c>
      <c r="Q926">
        <v>11.2</v>
      </c>
      <c r="R926">
        <v>0</v>
      </c>
      <c r="S926">
        <v>11402</v>
      </c>
      <c r="T926">
        <v>0.6</v>
      </c>
    </row>
    <row r="927" spans="1:20" x14ac:dyDescent="0.25">
      <c r="A927" s="90" t="s">
        <v>126</v>
      </c>
      <c r="B927" s="10">
        <v>46124</v>
      </c>
      <c r="C927" t="s">
        <v>97</v>
      </c>
      <c r="D927" t="s">
        <v>98</v>
      </c>
      <c r="E927" t="s">
        <v>99</v>
      </c>
      <c r="F927">
        <v>35.1</v>
      </c>
      <c r="G927">
        <v>43.3</v>
      </c>
      <c r="H927">
        <v>40.4</v>
      </c>
      <c r="I927">
        <v>38.9</v>
      </c>
      <c r="J927">
        <v>-2.8</v>
      </c>
      <c r="K927">
        <v>23.7</v>
      </c>
      <c r="L927">
        <v>-1</v>
      </c>
      <c r="M927">
        <v>39.700000000000003</v>
      </c>
      <c r="N927">
        <v>1.02</v>
      </c>
      <c r="O927">
        <v>43.2</v>
      </c>
      <c r="P927">
        <v>-0.8</v>
      </c>
      <c r="Q927">
        <v>3.2</v>
      </c>
      <c r="R927">
        <v>0</v>
      </c>
      <c r="S927">
        <v>940</v>
      </c>
      <c r="T927">
        <v>11.4</v>
      </c>
    </row>
    <row r="928" spans="1:20" x14ac:dyDescent="0.25">
      <c r="A928" s="90" t="s">
        <v>126</v>
      </c>
      <c r="B928" s="10">
        <v>46124</v>
      </c>
      <c r="C928" t="s">
        <v>97</v>
      </c>
      <c r="D928" t="s">
        <v>98</v>
      </c>
      <c r="E928" t="s">
        <v>99</v>
      </c>
      <c r="F928">
        <v>40.6</v>
      </c>
      <c r="G928">
        <v>43.5</v>
      </c>
      <c r="H928">
        <v>44.9</v>
      </c>
      <c r="I928">
        <v>34.9</v>
      </c>
      <c r="J928">
        <v>-2.2999999999999998</v>
      </c>
      <c r="K928">
        <v>25.4</v>
      </c>
      <c r="L928">
        <v>-2.6</v>
      </c>
      <c r="M928">
        <v>44.1</v>
      </c>
      <c r="N928">
        <v>1.02</v>
      </c>
      <c r="O928">
        <v>42</v>
      </c>
      <c r="P928">
        <v>-1.5</v>
      </c>
      <c r="Q928">
        <v>2.4</v>
      </c>
      <c r="R928">
        <v>0</v>
      </c>
      <c r="S928">
        <v>11721</v>
      </c>
      <c r="T928">
        <v>-10.6</v>
      </c>
    </row>
    <row r="929" spans="1:20" x14ac:dyDescent="0.25">
      <c r="A929" s="90" t="s">
        <v>126</v>
      </c>
      <c r="B929" s="10">
        <v>46124</v>
      </c>
      <c r="C929" t="s">
        <v>97</v>
      </c>
      <c r="D929" t="s">
        <v>98</v>
      </c>
      <c r="E929" t="s">
        <v>99</v>
      </c>
      <c r="F929">
        <v>36.1</v>
      </c>
      <c r="G929">
        <v>43.9</v>
      </c>
      <c r="H929">
        <v>41.1</v>
      </c>
      <c r="I929">
        <v>37.9</v>
      </c>
      <c r="J929">
        <v>-1.8</v>
      </c>
      <c r="K929">
        <v>23.6</v>
      </c>
      <c r="L929">
        <v>-0.3</v>
      </c>
      <c r="M929">
        <v>48.5</v>
      </c>
      <c r="N929">
        <v>0.85</v>
      </c>
      <c r="O929">
        <v>42.2</v>
      </c>
      <c r="P929">
        <v>-1</v>
      </c>
      <c r="Q929">
        <v>1.1000000000000001</v>
      </c>
      <c r="R929">
        <v>0</v>
      </c>
      <c r="S929">
        <v>908</v>
      </c>
      <c r="T929">
        <v>11.8</v>
      </c>
    </row>
    <row r="930" spans="1:20" x14ac:dyDescent="0.25">
      <c r="A930" s="90" t="s">
        <v>126</v>
      </c>
      <c r="B930" s="10">
        <v>46124</v>
      </c>
      <c r="C930" t="s">
        <v>97</v>
      </c>
      <c r="D930" t="s">
        <v>98</v>
      </c>
      <c r="E930" t="s">
        <v>99</v>
      </c>
      <c r="F930">
        <v>32.700000000000003</v>
      </c>
      <c r="G930">
        <v>36.799999999999997</v>
      </c>
      <c r="H930">
        <v>39.799999999999997</v>
      </c>
      <c r="I930">
        <v>34.200000000000003</v>
      </c>
      <c r="J930">
        <v>-1.9</v>
      </c>
      <c r="K930">
        <v>19</v>
      </c>
      <c r="L930">
        <v>-0.3</v>
      </c>
      <c r="M930">
        <v>40.299999999999997</v>
      </c>
      <c r="N930">
        <v>0.99</v>
      </c>
      <c r="O930">
        <v>39.5</v>
      </c>
      <c r="P930">
        <v>-3.5</v>
      </c>
      <c r="Q930">
        <v>2.7</v>
      </c>
      <c r="R930">
        <v>0</v>
      </c>
      <c r="S930">
        <v>12151</v>
      </c>
      <c r="T930">
        <v>11.5</v>
      </c>
    </row>
    <row r="931" spans="1:20" x14ac:dyDescent="0.25">
      <c r="A931" s="90" t="s">
        <v>126</v>
      </c>
      <c r="B931" s="10">
        <v>46124</v>
      </c>
      <c r="C931" t="s">
        <v>97</v>
      </c>
      <c r="D931" t="s">
        <v>98</v>
      </c>
      <c r="E931" t="s">
        <v>99</v>
      </c>
      <c r="F931">
        <v>34.4</v>
      </c>
      <c r="G931">
        <v>54.3</v>
      </c>
      <c r="H931">
        <v>46.2</v>
      </c>
      <c r="I931">
        <v>20.7</v>
      </c>
      <c r="J931">
        <v>14.8</v>
      </c>
      <c r="K931">
        <v>10.5</v>
      </c>
      <c r="L931">
        <v>9.1999999999999993</v>
      </c>
      <c r="M931">
        <v>52.9</v>
      </c>
      <c r="N931">
        <v>0.87</v>
      </c>
      <c r="O931">
        <v>23.3</v>
      </c>
      <c r="P931">
        <v>-4.7</v>
      </c>
      <c r="Q931">
        <v>-1.4</v>
      </c>
      <c r="R931">
        <v>0</v>
      </c>
      <c r="S931">
        <v>1080</v>
      </c>
      <c r="T931">
        <v>7.5</v>
      </c>
    </row>
    <row r="932" spans="1:20" x14ac:dyDescent="0.25">
      <c r="A932" s="90" t="s">
        <v>126</v>
      </c>
      <c r="B932" s="10">
        <v>46124</v>
      </c>
      <c r="C932" t="s">
        <v>97</v>
      </c>
      <c r="D932" t="s">
        <v>98</v>
      </c>
      <c r="E932" t="s">
        <v>99</v>
      </c>
      <c r="F932">
        <v>35.299999999999997</v>
      </c>
      <c r="G932">
        <v>44.2</v>
      </c>
      <c r="H932">
        <v>41.3</v>
      </c>
      <c r="I932">
        <v>32.4</v>
      </c>
      <c r="J932">
        <v>-3.2</v>
      </c>
      <c r="K932">
        <v>18.5</v>
      </c>
      <c r="L932">
        <v>-2.2000000000000002</v>
      </c>
      <c r="M932">
        <v>47.4</v>
      </c>
      <c r="N932">
        <v>0.87</v>
      </c>
      <c r="O932">
        <v>36.200000000000003</v>
      </c>
      <c r="P932">
        <v>-3.1</v>
      </c>
      <c r="Q932">
        <v>3.6</v>
      </c>
      <c r="R932">
        <v>0</v>
      </c>
      <c r="S932">
        <v>951</v>
      </c>
      <c r="T932">
        <v>-4.5</v>
      </c>
    </row>
    <row r="933" spans="1:20" x14ac:dyDescent="0.25">
      <c r="A933" s="90" t="s">
        <v>126</v>
      </c>
      <c r="B933" s="10">
        <v>46124</v>
      </c>
      <c r="C933" t="s">
        <v>97</v>
      </c>
      <c r="D933" t="s">
        <v>98</v>
      </c>
      <c r="E933" t="s">
        <v>99</v>
      </c>
      <c r="F933">
        <v>61.1</v>
      </c>
      <c r="G933">
        <v>71.3</v>
      </c>
      <c r="H933">
        <v>55.6</v>
      </c>
      <c r="I933">
        <v>36</v>
      </c>
      <c r="J933">
        <v>-0.8</v>
      </c>
      <c r="K933">
        <v>39.5</v>
      </c>
      <c r="L933">
        <v>-0.5</v>
      </c>
      <c r="M933">
        <v>64</v>
      </c>
      <c r="N933">
        <v>0.87</v>
      </c>
      <c r="O933">
        <v>42.9</v>
      </c>
      <c r="P933">
        <v>-4.5</v>
      </c>
      <c r="Q933">
        <v>1</v>
      </c>
      <c r="R933">
        <v>0</v>
      </c>
      <c r="S933">
        <v>1239</v>
      </c>
      <c r="T933">
        <v>1.9</v>
      </c>
    </row>
    <row r="934" spans="1:20" x14ac:dyDescent="0.25">
      <c r="A934" s="90" t="s">
        <v>126</v>
      </c>
      <c r="B934" s="10">
        <v>46124</v>
      </c>
      <c r="C934" t="s">
        <v>97</v>
      </c>
      <c r="D934" t="s">
        <v>98</v>
      </c>
      <c r="E934" t="s">
        <v>99</v>
      </c>
      <c r="F934">
        <v>28.6</v>
      </c>
      <c r="G934">
        <v>36.700000000000003</v>
      </c>
      <c r="H934">
        <v>36.299999999999997</v>
      </c>
      <c r="I934">
        <v>36.9</v>
      </c>
      <c r="J934">
        <v>1.5</v>
      </c>
      <c r="K934">
        <v>17.600000000000001</v>
      </c>
      <c r="L934">
        <v>1.5</v>
      </c>
      <c r="M934">
        <v>41.5</v>
      </c>
      <c r="N934">
        <v>0.88</v>
      </c>
      <c r="O934">
        <v>40.4</v>
      </c>
      <c r="P934">
        <v>-1</v>
      </c>
      <c r="Q934">
        <v>-1</v>
      </c>
      <c r="R934">
        <v>5</v>
      </c>
      <c r="S934">
        <v>966</v>
      </c>
      <c r="T934">
        <v>17.5</v>
      </c>
    </row>
    <row r="935" spans="1:20" x14ac:dyDescent="0.25">
      <c r="A935" s="90" t="s">
        <v>126</v>
      </c>
      <c r="B935" s="10">
        <v>46124</v>
      </c>
      <c r="C935" t="s">
        <v>97</v>
      </c>
      <c r="D935" t="s">
        <v>98</v>
      </c>
      <c r="E935" t="s">
        <v>99</v>
      </c>
      <c r="F935">
        <v>31</v>
      </c>
      <c r="G935">
        <v>39.4</v>
      </c>
      <c r="H935">
        <v>37.9</v>
      </c>
      <c r="I935">
        <v>36.299999999999997</v>
      </c>
      <c r="J935">
        <v>0.5</v>
      </c>
      <c r="K935">
        <v>18.7</v>
      </c>
      <c r="L935">
        <v>0.3</v>
      </c>
      <c r="M935">
        <v>39</v>
      </c>
      <c r="N935">
        <v>0.97</v>
      </c>
      <c r="O935">
        <v>39.799999999999997</v>
      </c>
      <c r="P935">
        <v>-0.4</v>
      </c>
      <c r="Q935">
        <v>3.9</v>
      </c>
      <c r="R935">
        <v>0</v>
      </c>
      <c r="S935">
        <v>765</v>
      </c>
      <c r="T935">
        <v>-1.4</v>
      </c>
    </row>
    <row r="936" spans="1:20" x14ac:dyDescent="0.25">
      <c r="A936" s="90" t="s">
        <v>126</v>
      </c>
      <c r="B936" s="10">
        <v>46124</v>
      </c>
      <c r="C936" t="s">
        <v>97</v>
      </c>
      <c r="D936" t="s">
        <v>98</v>
      </c>
      <c r="E936" t="s">
        <v>99</v>
      </c>
      <c r="F936">
        <v>37.5</v>
      </c>
      <c r="G936">
        <v>41.8</v>
      </c>
      <c r="H936">
        <v>43.2</v>
      </c>
      <c r="I936">
        <v>32.9</v>
      </c>
      <c r="J936">
        <v>-0.2</v>
      </c>
      <c r="K936">
        <v>21.3</v>
      </c>
      <c r="L936">
        <v>0.6</v>
      </c>
      <c r="M936">
        <v>44.6</v>
      </c>
      <c r="N936">
        <v>0.97</v>
      </c>
      <c r="O936">
        <v>39.299999999999997</v>
      </c>
      <c r="P936">
        <v>-4.0999999999999996</v>
      </c>
      <c r="Q936">
        <v>3.2</v>
      </c>
      <c r="R936">
        <v>0</v>
      </c>
      <c r="S936">
        <v>12469</v>
      </c>
      <c r="T936">
        <v>7.5</v>
      </c>
    </row>
    <row r="937" spans="1:20" x14ac:dyDescent="0.25">
      <c r="A937" s="90" t="s">
        <v>126</v>
      </c>
      <c r="B937" s="10">
        <v>46124</v>
      </c>
      <c r="C937" t="s">
        <v>97</v>
      </c>
      <c r="D937" t="s">
        <v>98</v>
      </c>
      <c r="E937" t="s">
        <v>99</v>
      </c>
      <c r="F937">
        <v>23.9</v>
      </c>
      <c r="G937">
        <v>30.3</v>
      </c>
      <c r="H937">
        <v>33</v>
      </c>
      <c r="I937">
        <v>36.5</v>
      </c>
      <c r="J937">
        <v>1.1000000000000001</v>
      </c>
      <c r="K937">
        <v>14.3</v>
      </c>
      <c r="L937">
        <v>0.8</v>
      </c>
      <c r="M937">
        <v>31.9</v>
      </c>
      <c r="N937">
        <v>1.03</v>
      </c>
      <c r="O937">
        <v>39.5</v>
      </c>
      <c r="P937">
        <v>0.5</v>
      </c>
      <c r="Q937">
        <v>8.1999999999999993</v>
      </c>
      <c r="R937">
        <v>0</v>
      </c>
      <c r="S937">
        <v>1041</v>
      </c>
      <c r="T937">
        <v>10.3</v>
      </c>
    </row>
    <row r="938" spans="1:20" x14ac:dyDescent="0.25">
      <c r="A938" s="90" t="s">
        <v>126</v>
      </c>
      <c r="B938" s="10">
        <v>46124</v>
      </c>
      <c r="C938" t="s">
        <v>97</v>
      </c>
      <c r="D938" t="s">
        <v>98</v>
      </c>
      <c r="E938" t="s">
        <v>99</v>
      </c>
      <c r="F938">
        <v>38.700000000000003</v>
      </c>
      <c r="G938">
        <v>47.2</v>
      </c>
      <c r="H938">
        <v>42.9</v>
      </c>
      <c r="I938">
        <v>36.6</v>
      </c>
      <c r="J938">
        <v>-2.5</v>
      </c>
      <c r="K938">
        <v>24.1</v>
      </c>
      <c r="L938">
        <v>-0.5</v>
      </c>
      <c r="M938">
        <v>44.7</v>
      </c>
      <c r="N938">
        <v>0.96</v>
      </c>
      <c r="O938">
        <v>41.1</v>
      </c>
      <c r="P938">
        <v>-2.6</v>
      </c>
      <c r="Q938">
        <v>0.9</v>
      </c>
      <c r="R938">
        <v>0</v>
      </c>
      <c r="S938">
        <v>986</v>
      </c>
      <c r="T938">
        <v>17.899999999999999</v>
      </c>
    </row>
    <row r="939" spans="1:20" x14ac:dyDescent="0.25">
      <c r="A939" s="90" t="s">
        <v>126</v>
      </c>
      <c r="B939" s="10">
        <v>46124</v>
      </c>
      <c r="C939" t="s">
        <v>97</v>
      </c>
      <c r="D939" t="s">
        <v>98</v>
      </c>
      <c r="E939" t="s">
        <v>99</v>
      </c>
      <c r="F939">
        <v>48</v>
      </c>
      <c r="G939">
        <v>50.8</v>
      </c>
      <c r="H939">
        <v>49.8</v>
      </c>
      <c r="I939">
        <v>37.4</v>
      </c>
      <c r="J939">
        <v>-2.2000000000000002</v>
      </c>
      <c r="K939">
        <v>34.299999999999997</v>
      </c>
      <c r="L939">
        <v>-4.9000000000000004</v>
      </c>
      <c r="M939">
        <v>56.3</v>
      </c>
      <c r="N939">
        <v>0.88</v>
      </c>
      <c r="O939">
        <v>46.2</v>
      </c>
      <c r="P939">
        <v>-2.6</v>
      </c>
      <c r="Q939">
        <v>0.6</v>
      </c>
      <c r="R939">
        <v>0</v>
      </c>
      <c r="S939">
        <v>11520</v>
      </c>
      <c r="T939">
        <v>-22.1</v>
      </c>
    </row>
    <row r="940" spans="1:20" x14ac:dyDescent="0.25">
      <c r="A940" s="90" t="s">
        <v>126</v>
      </c>
      <c r="B940" s="10">
        <v>46124</v>
      </c>
      <c r="C940" t="s">
        <v>105</v>
      </c>
      <c r="D940" t="s">
        <v>102</v>
      </c>
      <c r="E940" t="s">
        <v>106</v>
      </c>
      <c r="F940">
        <v>123.3</v>
      </c>
      <c r="G940">
        <v>145.1</v>
      </c>
      <c r="H940">
        <v>88.3</v>
      </c>
      <c r="I940">
        <v>22.6</v>
      </c>
      <c r="J940">
        <v>-9.6</v>
      </c>
      <c r="K940">
        <v>47.7</v>
      </c>
      <c r="L940">
        <v>-18.7</v>
      </c>
      <c r="M940">
        <v>74.599999999999994</v>
      </c>
      <c r="N940">
        <v>1.18</v>
      </c>
      <c r="O940">
        <v>31</v>
      </c>
      <c r="P940">
        <v>-2.5</v>
      </c>
      <c r="Q940">
        <v>-4</v>
      </c>
      <c r="R940">
        <v>0</v>
      </c>
      <c r="S940">
        <v>985</v>
      </c>
      <c r="T940">
        <v>4.4000000000000004</v>
      </c>
    </row>
    <row r="941" spans="1:20" x14ac:dyDescent="0.25">
      <c r="A941" s="90" t="s">
        <v>126</v>
      </c>
      <c r="B941" s="10">
        <v>46124</v>
      </c>
      <c r="C941" t="s">
        <v>105</v>
      </c>
      <c r="D941" t="s">
        <v>102</v>
      </c>
      <c r="E941" t="s">
        <v>106</v>
      </c>
      <c r="F941">
        <v>125.6</v>
      </c>
      <c r="G941">
        <v>130.6</v>
      </c>
      <c r="H941">
        <v>98.3</v>
      </c>
      <c r="I941">
        <v>23.2</v>
      </c>
      <c r="J941">
        <v>-9.8000000000000007</v>
      </c>
      <c r="K941">
        <v>79.8</v>
      </c>
      <c r="L941">
        <v>-28.6</v>
      </c>
      <c r="M941">
        <v>79.599999999999994</v>
      </c>
      <c r="N941">
        <v>1.24</v>
      </c>
      <c r="O941">
        <v>48.7</v>
      </c>
      <c r="P941">
        <v>-5</v>
      </c>
      <c r="Q941">
        <v>-5</v>
      </c>
      <c r="R941">
        <v>0</v>
      </c>
      <c r="S941">
        <v>11447</v>
      </c>
      <c r="T941">
        <v>-8.1999999999999993</v>
      </c>
    </row>
    <row r="942" spans="1:20" x14ac:dyDescent="0.25">
      <c r="A942" s="90" t="s">
        <v>126</v>
      </c>
      <c r="B942" s="10">
        <v>46124</v>
      </c>
      <c r="C942" t="s">
        <v>105</v>
      </c>
      <c r="D942" t="s">
        <v>102</v>
      </c>
      <c r="E942" t="s">
        <v>106</v>
      </c>
      <c r="F942">
        <v>147.30000000000001</v>
      </c>
      <c r="G942">
        <v>167.1</v>
      </c>
      <c r="H942">
        <v>97.6</v>
      </c>
      <c r="I942">
        <v>24.4</v>
      </c>
      <c r="J942">
        <v>-5.0999999999999996</v>
      </c>
      <c r="K942">
        <v>65.5</v>
      </c>
      <c r="L942">
        <v>-2.6</v>
      </c>
      <c r="M942">
        <v>77.900000000000006</v>
      </c>
      <c r="N942">
        <v>1.25</v>
      </c>
      <c r="O942">
        <v>35.4</v>
      </c>
      <c r="P942">
        <v>-4.2</v>
      </c>
      <c r="Q942">
        <v>-5.8</v>
      </c>
      <c r="R942">
        <v>0</v>
      </c>
      <c r="S942">
        <v>1191</v>
      </c>
      <c r="T942">
        <v>19.8</v>
      </c>
    </row>
    <row r="943" spans="1:20" x14ac:dyDescent="0.25">
      <c r="A943" s="90" t="s">
        <v>126</v>
      </c>
      <c r="B943" s="10">
        <v>46124</v>
      </c>
      <c r="C943" t="s">
        <v>105</v>
      </c>
      <c r="D943" t="s">
        <v>102</v>
      </c>
      <c r="E943" t="s">
        <v>106</v>
      </c>
      <c r="F943">
        <v>136.9</v>
      </c>
      <c r="G943">
        <v>155.5</v>
      </c>
      <c r="H943">
        <v>92.4</v>
      </c>
      <c r="I943">
        <v>24.3</v>
      </c>
      <c r="J943">
        <v>-6.4</v>
      </c>
      <c r="K943">
        <v>63.5</v>
      </c>
      <c r="L943">
        <v>-17.399999999999999</v>
      </c>
      <c r="M943">
        <v>80.7</v>
      </c>
      <c r="N943">
        <v>1.1499999999999999</v>
      </c>
      <c r="O943">
        <v>36.9</v>
      </c>
      <c r="P943">
        <v>-3.3</v>
      </c>
      <c r="Q943">
        <v>-5.6</v>
      </c>
      <c r="R943">
        <v>0</v>
      </c>
      <c r="S943">
        <v>1699</v>
      </c>
      <c r="T943">
        <v>-4.3</v>
      </c>
    </row>
    <row r="944" spans="1:20" x14ac:dyDescent="0.25">
      <c r="A944" s="90" t="s">
        <v>126</v>
      </c>
      <c r="B944" s="10">
        <v>46124</v>
      </c>
      <c r="C944" t="s">
        <v>105</v>
      </c>
      <c r="D944" t="s">
        <v>102</v>
      </c>
      <c r="E944" t="s">
        <v>106</v>
      </c>
      <c r="F944">
        <v>140.6</v>
      </c>
      <c r="G944">
        <v>161.19999999999999</v>
      </c>
      <c r="H944">
        <v>94.4</v>
      </c>
      <c r="I944">
        <v>23.9</v>
      </c>
      <c r="J944">
        <v>-8.9</v>
      </c>
      <c r="K944">
        <v>58.8</v>
      </c>
      <c r="L944">
        <v>-24.8</v>
      </c>
      <c r="M944">
        <v>81.2</v>
      </c>
      <c r="N944">
        <v>1.1599999999999999</v>
      </c>
      <c r="O944">
        <v>33.299999999999997</v>
      </c>
      <c r="P944">
        <v>-6.1</v>
      </c>
      <c r="Q944">
        <v>-7.3</v>
      </c>
      <c r="R944">
        <v>0</v>
      </c>
      <c r="S944">
        <v>905</v>
      </c>
      <c r="T944">
        <v>-7.8</v>
      </c>
    </row>
    <row r="945" spans="1:20" x14ac:dyDescent="0.25">
      <c r="A945" s="90" t="s">
        <v>126</v>
      </c>
      <c r="B945" s="10">
        <v>46116</v>
      </c>
      <c r="C945" t="s">
        <v>116</v>
      </c>
      <c r="D945" t="s">
        <v>102</v>
      </c>
      <c r="E945" t="s">
        <v>115</v>
      </c>
      <c r="F945">
        <v>246.9</v>
      </c>
      <c r="G945">
        <v>271.2</v>
      </c>
      <c r="H945">
        <v>145.69999999999999</v>
      </c>
      <c r="I945">
        <v>14.5</v>
      </c>
      <c r="J945">
        <v>-3.7</v>
      </c>
      <c r="K945">
        <v>84.7</v>
      </c>
      <c r="L945">
        <v>-24</v>
      </c>
      <c r="M945">
        <v>104</v>
      </c>
      <c r="N945">
        <v>1.4</v>
      </c>
      <c r="O945">
        <v>33.4</v>
      </c>
      <c r="P945">
        <v>-1</v>
      </c>
      <c r="Q945">
        <v>-1</v>
      </c>
      <c r="R945">
        <v>1</v>
      </c>
      <c r="S945">
        <v>1894</v>
      </c>
      <c r="T945">
        <v>-5.9</v>
      </c>
    </row>
    <row r="946" spans="1:20" x14ac:dyDescent="0.25">
      <c r="A946" s="90" t="s">
        <v>126</v>
      </c>
      <c r="B946" s="10">
        <v>46116</v>
      </c>
      <c r="C946" t="s">
        <v>116</v>
      </c>
      <c r="D946" t="s">
        <v>102</v>
      </c>
      <c r="E946" t="s">
        <v>115</v>
      </c>
      <c r="F946">
        <v>233.6</v>
      </c>
      <c r="G946">
        <v>262.7</v>
      </c>
      <c r="H946">
        <v>147.19999999999999</v>
      </c>
      <c r="I946">
        <v>11</v>
      </c>
      <c r="J946">
        <v>-9</v>
      </c>
      <c r="K946">
        <v>59.6</v>
      </c>
      <c r="L946">
        <v>-47.6</v>
      </c>
      <c r="M946">
        <v>104</v>
      </c>
      <c r="N946">
        <v>1.41</v>
      </c>
      <c r="O946">
        <v>26.2</v>
      </c>
      <c r="P946">
        <v>-1</v>
      </c>
      <c r="Q946">
        <v>-1</v>
      </c>
      <c r="R946">
        <v>4</v>
      </c>
      <c r="S946">
        <v>1811</v>
      </c>
      <c r="T946">
        <v>-9.6999999999999993</v>
      </c>
    </row>
    <row r="947" spans="1:20" x14ac:dyDescent="0.25">
      <c r="A947" s="90" t="s">
        <v>126</v>
      </c>
      <c r="B947" s="10">
        <v>46128</v>
      </c>
      <c r="C947" t="s">
        <v>97</v>
      </c>
      <c r="D947" t="s">
        <v>98</v>
      </c>
      <c r="E947" t="s">
        <v>99</v>
      </c>
      <c r="F947">
        <v>33.200000000000003</v>
      </c>
      <c r="G947">
        <v>42.2</v>
      </c>
      <c r="H947">
        <v>40</v>
      </c>
      <c r="I947">
        <v>32.299999999999997</v>
      </c>
      <c r="J947">
        <v>-0.2</v>
      </c>
      <c r="K947">
        <v>17.3</v>
      </c>
      <c r="L947">
        <v>0</v>
      </c>
      <c r="M947">
        <v>49</v>
      </c>
      <c r="N947">
        <v>0.82</v>
      </c>
      <c r="O947">
        <v>35.9</v>
      </c>
      <c r="P947">
        <v>-6.8</v>
      </c>
      <c r="Q947">
        <v>-0.2</v>
      </c>
      <c r="R947">
        <v>0</v>
      </c>
      <c r="S947">
        <v>982</v>
      </c>
      <c r="T947">
        <v>2.7</v>
      </c>
    </row>
    <row r="948" spans="1:20" x14ac:dyDescent="0.25">
      <c r="A948" s="90" t="s">
        <v>126</v>
      </c>
      <c r="B948" s="10">
        <v>46128</v>
      </c>
      <c r="C948" t="s">
        <v>97</v>
      </c>
      <c r="D948" t="s">
        <v>98</v>
      </c>
      <c r="E948" t="s">
        <v>99</v>
      </c>
      <c r="F948">
        <v>49.6</v>
      </c>
      <c r="G948">
        <v>59.6</v>
      </c>
      <c r="H948">
        <v>49.3</v>
      </c>
      <c r="I948">
        <v>34.700000000000003</v>
      </c>
      <c r="J948">
        <v>-1.7</v>
      </c>
      <c r="K948">
        <v>29.3</v>
      </c>
      <c r="L948">
        <v>-1.4</v>
      </c>
      <c r="M948">
        <v>60.7</v>
      </c>
      <c r="N948">
        <v>0.81</v>
      </c>
      <c r="O948">
        <v>39.9</v>
      </c>
      <c r="P948">
        <v>-6.6</v>
      </c>
      <c r="Q948">
        <v>-3</v>
      </c>
      <c r="R948">
        <v>0</v>
      </c>
      <c r="S948">
        <v>912</v>
      </c>
      <c r="T948">
        <v>0.5</v>
      </c>
    </row>
    <row r="949" spans="1:20" x14ac:dyDescent="0.25">
      <c r="A949" s="90" t="s">
        <v>126</v>
      </c>
      <c r="B949" s="10">
        <v>46128</v>
      </c>
      <c r="C949" t="s">
        <v>101</v>
      </c>
      <c r="D949" t="s">
        <v>102</v>
      </c>
      <c r="E949" t="s">
        <v>103</v>
      </c>
      <c r="F949">
        <v>103.3</v>
      </c>
      <c r="G949">
        <v>119.5</v>
      </c>
      <c r="H949">
        <v>76.3</v>
      </c>
      <c r="I949">
        <v>30.8</v>
      </c>
      <c r="J949">
        <v>-5.7</v>
      </c>
      <c r="K949">
        <v>58.1</v>
      </c>
      <c r="L949">
        <v>-13.3</v>
      </c>
      <c r="M949">
        <v>72.900000000000006</v>
      </c>
      <c r="N949">
        <v>1.05</v>
      </c>
      <c r="O949">
        <v>40.299999999999997</v>
      </c>
      <c r="P949">
        <v>-6</v>
      </c>
      <c r="Q949">
        <v>-5.7</v>
      </c>
      <c r="R949">
        <v>0</v>
      </c>
      <c r="S949">
        <v>1052</v>
      </c>
      <c r="T949">
        <v>-10.199999999999999</v>
      </c>
    </row>
    <row r="950" spans="1:20" x14ac:dyDescent="0.25">
      <c r="A950" s="90" t="s">
        <v>126</v>
      </c>
      <c r="B950" s="10">
        <v>46128</v>
      </c>
      <c r="C950" t="s">
        <v>101</v>
      </c>
      <c r="D950" t="s">
        <v>102</v>
      </c>
      <c r="E950" t="s">
        <v>103</v>
      </c>
      <c r="F950">
        <v>91.3</v>
      </c>
      <c r="G950">
        <v>107.4</v>
      </c>
      <c r="H950">
        <v>89.6</v>
      </c>
      <c r="I950">
        <v>9.6999999999999993</v>
      </c>
      <c r="J950">
        <v>9.9</v>
      </c>
      <c r="K950">
        <v>20.2</v>
      </c>
      <c r="L950">
        <v>20.6</v>
      </c>
      <c r="M950">
        <v>77.400000000000006</v>
      </c>
      <c r="N950">
        <v>1.1599999999999999</v>
      </c>
      <c r="O950">
        <v>22.4</v>
      </c>
      <c r="P950">
        <v>-16.8</v>
      </c>
      <c r="Q950">
        <v>-6</v>
      </c>
      <c r="R950">
        <v>0</v>
      </c>
      <c r="S950">
        <v>12434</v>
      </c>
      <c r="T950">
        <v>10.9</v>
      </c>
    </row>
    <row r="951" spans="1:20" x14ac:dyDescent="0.25">
      <c r="A951" s="90" t="s">
        <v>126</v>
      </c>
      <c r="B951" s="10">
        <v>46128</v>
      </c>
      <c r="C951" t="s">
        <v>101</v>
      </c>
      <c r="D951" t="s">
        <v>102</v>
      </c>
      <c r="E951" t="s">
        <v>103</v>
      </c>
      <c r="F951">
        <v>111.4</v>
      </c>
      <c r="G951">
        <v>128.6</v>
      </c>
      <c r="H951">
        <v>80.099999999999994</v>
      </c>
      <c r="I951">
        <v>27.9</v>
      </c>
      <c r="J951">
        <v>-0.2</v>
      </c>
      <c r="K951">
        <v>54.4</v>
      </c>
      <c r="L951">
        <v>-1.2</v>
      </c>
      <c r="M951">
        <v>79</v>
      </c>
      <c r="N951">
        <v>1.01</v>
      </c>
      <c r="O951">
        <v>36.5</v>
      </c>
      <c r="P951">
        <v>-6.1</v>
      </c>
      <c r="Q951">
        <v>-2.2999999999999998</v>
      </c>
      <c r="R951">
        <v>0</v>
      </c>
      <c r="S951">
        <v>829</v>
      </c>
      <c r="T951">
        <v>-2.2000000000000002</v>
      </c>
    </row>
    <row r="952" spans="1:20" x14ac:dyDescent="0.25">
      <c r="A952" s="90" t="s">
        <v>126</v>
      </c>
      <c r="B952" s="10">
        <v>46128</v>
      </c>
      <c r="C952" t="s">
        <v>101</v>
      </c>
      <c r="D952" t="s">
        <v>102</v>
      </c>
      <c r="E952" t="s">
        <v>103</v>
      </c>
      <c r="F952">
        <v>106.3</v>
      </c>
      <c r="G952">
        <v>134.19999999999999</v>
      </c>
      <c r="H952">
        <v>84.7</v>
      </c>
      <c r="I952">
        <v>19.3</v>
      </c>
      <c r="J952">
        <v>-2.6</v>
      </c>
      <c r="K952">
        <v>33.1</v>
      </c>
      <c r="L952">
        <v>-5.3</v>
      </c>
      <c r="M952">
        <v>75.7</v>
      </c>
      <c r="N952">
        <v>1.1200000000000001</v>
      </c>
      <c r="O952">
        <v>25.3</v>
      </c>
      <c r="P952">
        <v>-6.8</v>
      </c>
      <c r="Q952">
        <v>-6.8</v>
      </c>
      <c r="R952">
        <v>0</v>
      </c>
      <c r="S952">
        <v>951</v>
      </c>
      <c r="T952">
        <v>-2.7</v>
      </c>
    </row>
    <row r="953" spans="1:20" x14ac:dyDescent="0.25">
      <c r="A953" s="90" t="s">
        <v>126</v>
      </c>
      <c r="B953" s="10">
        <v>46128</v>
      </c>
      <c r="C953" t="s">
        <v>101</v>
      </c>
      <c r="D953" t="s">
        <v>102</v>
      </c>
      <c r="E953" t="s">
        <v>103</v>
      </c>
      <c r="F953">
        <v>86.3</v>
      </c>
      <c r="G953">
        <v>89.2</v>
      </c>
      <c r="H953">
        <v>73.7</v>
      </c>
      <c r="I953">
        <v>34.1</v>
      </c>
      <c r="J953">
        <v>-3.7</v>
      </c>
      <c r="K953">
        <v>68.400000000000006</v>
      </c>
      <c r="L953">
        <v>-1.4</v>
      </c>
      <c r="M953">
        <v>77.900000000000006</v>
      </c>
      <c r="N953">
        <v>0.95</v>
      </c>
      <c r="O953">
        <v>51.4</v>
      </c>
      <c r="P953">
        <v>-1</v>
      </c>
      <c r="Q953">
        <v>-1</v>
      </c>
      <c r="R953">
        <v>1</v>
      </c>
      <c r="S953">
        <v>11070</v>
      </c>
      <c r="T953">
        <v>8.4</v>
      </c>
    </row>
    <row r="954" spans="1:20" x14ac:dyDescent="0.25">
      <c r="A954" s="90" t="s">
        <v>126</v>
      </c>
      <c r="B954" s="10">
        <v>46128</v>
      </c>
      <c r="C954" t="s">
        <v>101</v>
      </c>
      <c r="D954" t="s">
        <v>102</v>
      </c>
      <c r="E954" t="s">
        <v>103</v>
      </c>
      <c r="F954">
        <v>110.7</v>
      </c>
      <c r="G954">
        <v>122.2</v>
      </c>
      <c r="H954">
        <v>95.6</v>
      </c>
      <c r="I954">
        <v>14.2</v>
      </c>
      <c r="J954">
        <v>-4.9000000000000004</v>
      </c>
      <c r="K954">
        <v>38.1</v>
      </c>
      <c r="L954">
        <v>-24.7</v>
      </c>
      <c r="M954">
        <v>76.8</v>
      </c>
      <c r="N954">
        <v>1.24</v>
      </c>
      <c r="O954">
        <v>32.799999999999997</v>
      </c>
      <c r="P954">
        <v>-6.3</v>
      </c>
      <c r="Q954">
        <v>-4.3</v>
      </c>
      <c r="R954">
        <v>0</v>
      </c>
      <c r="S954">
        <v>11551</v>
      </c>
      <c r="T954">
        <v>-23.7</v>
      </c>
    </row>
    <row r="955" spans="1:20" x14ac:dyDescent="0.25">
      <c r="A955" s="90" t="s">
        <v>126</v>
      </c>
      <c r="B955" s="10">
        <v>46128</v>
      </c>
      <c r="C955" t="s">
        <v>101</v>
      </c>
      <c r="D955" t="s">
        <v>102</v>
      </c>
      <c r="E955" t="s">
        <v>103</v>
      </c>
      <c r="F955">
        <v>87.2</v>
      </c>
      <c r="G955">
        <v>89.6</v>
      </c>
      <c r="H955">
        <v>76.3</v>
      </c>
      <c r="I955">
        <v>36.799999999999997</v>
      </c>
      <c r="J955">
        <v>-3.3</v>
      </c>
      <c r="K955">
        <v>75</v>
      </c>
      <c r="L955">
        <v>11.6</v>
      </c>
      <c r="M955">
        <v>75.7</v>
      </c>
      <c r="N955">
        <v>1.01</v>
      </c>
      <c r="O955">
        <v>54</v>
      </c>
      <c r="P955">
        <v>-3.6</v>
      </c>
      <c r="Q955">
        <v>-5.7</v>
      </c>
      <c r="R955">
        <v>0</v>
      </c>
      <c r="S955">
        <v>11637</v>
      </c>
      <c r="T955">
        <v>35.700000000000003</v>
      </c>
    </row>
    <row r="956" spans="1:20" x14ac:dyDescent="0.25">
      <c r="A956" s="90" t="s">
        <v>126</v>
      </c>
      <c r="B956" s="10">
        <v>46128</v>
      </c>
      <c r="C956" t="s">
        <v>101</v>
      </c>
      <c r="D956" t="s">
        <v>102</v>
      </c>
      <c r="E956" t="s">
        <v>103</v>
      </c>
      <c r="F956">
        <v>64.900000000000006</v>
      </c>
      <c r="G956">
        <v>79.8</v>
      </c>
      <c r="H956">
        <v>59.6</v>
      </c>
      <c r="I956">
        <v>28</v>
      </c>
      <c r="J956">
        <v>22.2</v>
      </c>
      <c r="K956">
        <v>29.7</v>
      </c>
      <c r="L956">
        <v>26.7</v>
      </c>
      <c r="M956">
        <v>79</v>
      </c>
      <c r="N956">
        <v>0.75</v>
      </c>
      <c r="O956">
        <v>33.6</v>
      </c>
      <c r="P956">
        <v>-7.1</v>
      </c>
      <c r="Q956">
        <v>-4</v>
      </c>
      <c r="R956">
        <v>0</v>
      </c>
      <c r="S956">
        <v>888</v>
      </c>
      <c r="T956">
        <v>17.5</v>
      </c>
    </row>
    <row r="957" spans="1:20" x14ac:dyDescent="0.25">
      <c r="A957" s="90" t="s">
        <v>126</v>
      </c>
      <c r="B957" s="10">
        <v>46128</v>
      </c>
      <c r="C957" t="s">
        <v>104</v>
      </c>
      <c r="D957" t="s">
        <v>102</v>
      </c>
      <c r="E957" t="s">
        <v>103</v>
      </c>
      <c r="F957">
        <v>119.7</v>
      </c>
      <c r="G957">
        <v>135.6</v>
      </c>
      <c r="H957">
        <v>83.8</v>
      </c>
      <c r="I957">
        <v>29.3</v>
      </c>
      <c r="J957">
        <v>-2.6</v>
      </c>
      <c r="K957">
        <v>67.3</v>
      </c>
      <c r="L957">
        <v>-11.2</v>
      </c>
      <c r="M957">
        <v>79.599999999999994</v>
      </c>
      <c r="N957">
        <v>1.05</v>
      </c>
      <c r="O957">
        <v>41.2</v>
      </c>
      <c r="P957">
        <v>-1</v>
      </c>
      <c r="Q957">
        <v>-1</v>
      </c>
      <c r="R957">
        <v>4</v>
      </c>
      <c r="S957">
        <v>1491</v>
      </c>
      <c r="T957">
        <v>-12.7</v>
      </c>
    </row>
    <row r="958" spans="1:20" x14ac:dyDescent="0.25">
      <c r="A958" s="90" t="s">
        <v>126</v>
      </c>
      <c r="B958" s="10">
        <v>46128</v>
      </c>
      <c r="C958" t="s">
        <v>104</v>
      </c>
      <c r="D958" t="s">
        <v>102</v>
      </c>
      <c r="E958" t="s">
        <v>103</v>
      </c>
      <c r="F958">
        <v>116.2</v>
      </c>
      <c r="G958">
        <v>135.19999999999999</v>
      </c>
      <c r="H958">
        <v>83.2</v>
      </c>
      <c r="I958">
        <v>25.6</v>
      </c>
      <c r="J958">
        <v>-3.7</v>
      </c>
      <c r="K958">
        <v>51.9</v>
      </c>
      <c r="L958">
        <v>-6.9</v>
      </c>
      <c r="M958">
        <v>78.5</v>
      </c>
      <c r="N958">
        <v>1.06</v>
      </c>
      <c r="O958">
        <v>34.4</v>
      </c>
      <c r="P958">
        <v>-6.9</v>
      </c>
      <c r="Q958">
        <v>-5.9</v>
      </c>
      <c r="R958">
        <v>0</v>
      </c>
      <c r="S958">
        <v>955</v>
      </c>
      <c r="T958">
        <v>1.2</v>
      </c>
    </row>
    <row r="959" spans="1:20" x14ac:dyDescent="0.25">
      <c r="A959" s="90" t="s">
        <v>126</v>
      </c>
      <c r="B959" s="10">
        <v>46128</v>
      </c>
      <c r="C959" t="s">
        <v>104</v>
      </c>
      <c r="D959" t="s">
        <v>102</v>
      </c>
      <c r="E959" t="s">
        <v>103</v>
      </c>
      <c r="F959">
        <v>120.2</v>
      </c>
      <c r="G959">
        <v>135.6</v>
      </c>
      <c r="H959">
        <v>83.6</v>
      </c>
      <c r="I959">
        <v>30.9</v>
      </c>
      <c r="J959">
        <v>-2.2000000000000002</v>
      </c>
      <c r="K959">
        <v>72.5</v>
      </c>
      <c r="L959">
        <v>-5.4</v>
      </c>
      <c r="M959">
        <v>79</v>
      </c>
      <c r="N959">
        <v>1.06</v>
      </c>
      <c r="O959">
        <v>43</v>
      </c>
      <c r="P959">
        <v>-1</v>
      </c>
      <c r="Q959">
        <v>-1</v>
      </c>
      <c r="R959">
        <v>1</v>
      </c>
      <c r="S959">
        <v>1415</v>
      </c>
      <c r="T959">
        <v>-2</v>
      </c>
    </row>
    <row r="960" spans="1:20" x14ac:dyDescent="0.25">
      <c r="A960" s="90" t="s">
        <v>126</v>
      </c>
      <c r="B960" s="10">
        <v>46128</v>
      </c>
      <c r="C960" t="s">
        <v>104</v>
      </c>
      <c r="D960" t="s">
        <v>102</v>
      </c>
      <c r="E960" t="s">
        <v>103</v>
      </c>
      <c r="F960">
        <v>119.3</v>
      </c>
      <c r="G960">
        <v>130.9</v>
      </c>
      <c r="H960">
        <v>87.2</v>
      </c>
      <c r="I960">
        <v>31.5</v>
      </c>
      <c r="J960">
        <v>-4.2</v>
      </c>
      <c r="K960">
        <v>86.2</v>
      </c>
      <c r="L960">
        <v>-21.7</v>
      </c>
      <c r="M960">
        <v>76.2</v>
      </c>
      <c r="N960">
        <v>1.1399999999999999</v>
      </c>
      <c r="O960">
        <v>49.3</v>
      </c>
      <c r="P960">
        <v>-3.7</v>
      </c>
      <c r="Q960">
        <v>-1.8</v>
      </c>
      <c r="R960">
        <v>0</v>
      </c>
      <c r="S960">
        <v>3184</v>
      </c>
      <c r="T960">
        <v>-19</v>
      </c>
    </row>
    <row r="961" spans="1:20" x14ac:dyDescent="0.25">
      <c r="A961" s="90" t="s">
        <v>126</v>
      </c>
      <c r="B961" s="10">
        <v>46128</v>
      </c>
      <c r="C961" t="s">
        <v>105</v>
      </c>
      <c r="D961" t="s">
        <v>102</v>
      </c>
      <c r="E961" t="s">
        <v>106</v>
      </c>
      <c r="F961">
        <v>138.1</v>
      </c>
      <c r="G961">
        <v>155.9</v>
      </c>
      <c r="H961">
        <v>91.5</v>
      </c>
      <c r="I961">
        <v>27.3</v>
      </c>
      <c r="J961">
        <v>-2.8</v>
      </c>
      <c r="K961">
        <v>70.7</v>
      </c>
      <c r="L961">
        <v>-8.9</v>
      </c>
      <c r="M961">
        <v>81.099999999999994</v>
      </c>
      <c r="N961">
        <v>1.1299999999999999</v>
      </c>
      <c r="O961">
        <v>38.9</v>
      </c>
      <c r="P961">
        <v>-6.6</v>
      </c>
      <c r="Q961">
        <v>-8.1999999999999993</v>
      </c>
      <c r="R961">
        <v>0</v>
      </c>
      <c r="S961">
        <v>1164</v>
      </c>
      <c r="T961">
        <v>-4.5999999999999996</v>
      </c>
    </row>
    <row r="962" spans="1:20" x14ac:dyDescent="0.25">
      <c r="A962" s="90" t="s">
        <v>126</v>
      </c>
      <c r="B962" s="10">
        <v>46128</v>
      </c>
      <c r="C962" t="s">
        <v>105</v>
      </c>
      <c r="D962" t="s">
        <v>102</v>
      </c>
      <c r="E962" t="s">
        <v>106</v>
      </c>
      <c r="F962">
        <v>141.80000000000001</v>
      </c>
      <c r="G962">
        <v>159.30000000000001</v>
      </c>
      <c r="H962">
        <v>92.9</v>
      </c>
      <c r="I962">
        <v>28.1</v>
      </c>
      <c r="J962">
        <v>-4.8</v>
      </c>
      <c r="K962">
        <v>75.400000000000006</v>
      </c>
      <c r="L962">
        <v>-5.5</v>
      </c>
      <c r="M962">
        <v>80</v>
      </c>
      <c r="N962">
        <v>1.1599999999999999</v>
      </c>
      <c r="O962">
        <v>40</v>
      </c>
      <c r="P962">
        <v>-5.8</v>
      </c>
      <c r="Q962">
        <v>-7.4</v>
      </c>
      <c r="R962">
        <v>0</v>
      </c>
      <c r="S962">
        <v>1150</v>
      </c>
      <c r="T962">
        <v>11.8</v>
      </c>
    </row>
    <row r="963" spans="1:20" x14ac:dyDescent="0.25">
      <c r="A963" s="90" t="s">
        <v>126</v>
      </c>
      <c r="B963" s="10">
        <v>46128</v>
      </c>
      <c r="C963" t="s">
        <v>105</v>
      </c>
      <c r="D963" t="s">
        <v>102</v>
      </c>
      <c r="E963" t="s">
        <v>106</v>
      </c>
      <c r="F963">
        <v>145.19999999999999</v>
      </c>
      <c r="G963">
        <v>162</v>
      </c>
      <c r="H963">
        <v>94.4</v>
      </c>
      <c r="I963">
        <v>29.5</v>
      </c>
      <c r="J963">
        <v>-2.1</v>
      </c>
      <c r="K963">
        <v>82.2</v>
      </c>
      <c r="L963">
        <v>-16.600000000000001</v>
      </c>
      <c r="M963">
        <v>80.5</v>
      </c>
      <c r="N963">
        <v>1.17</v>
      </c>
      <c r="O963">
        <v>41.8</v>
      </c>
      <c r="P963">
        <v>-3.8</v>
      </c>
      <c r="Q963">
        <v>-5.8</v>
      </c>
      <c r="R963">
        <v>0</v>
      </c>
      <c r="S963">
        <v>1105</v>
      </c>
      <c r="T963">
        <v>-21.5</v>
      </c>
    </row>
    <row r="964" spans="1:20" x14ac:dyDescent="0.25">
      <c r="A964" s="90" t="s">
        <v>126</v>
      </c>
      <c r="B964" s="10">
        <v>46128</v>
      </c>
      <c r="C964" t="s">
        <v>107</v>
      </c>
      <c r="D964" t="s">
        <v>102</v>
      </c>
      <c r="E964" t="s">
        <v>106</v>
      </c>
      <c r="F964">
        <v>163.19999999999999</v>
      </c>
      <c r="G964">
        <v>183.1</v>
      </c>
      <c r="H964">
        <v>103.8</v>
      </c>
      <c r="I964">
        <v>24.8</v>
      </c>
      <c r="J964">
        <v>-6</v>
      </c>
      <c r="K964">
        <v>79</v>
      </c>
      <c r="L964">
        <v>-3.6</v>
      </c>
      <c r="M964">
        <v>83.8</v>
      </c>
      <c r="N964">
        <v>1.24</v>
      </c>
      <c r="O964">
        <v>38.6</v>
      </c>
      <c r="P964">
        <v>-6.1</v>
      </c>
      <c r="Q964">
        <v>-9</v>
      </c>
      <c r="R964">
        <v>0</v>
      </c>
      <c r="S964">
        <v>1485</v>
      </c>
      <c r="T964">
        <v>19.2</v>
      </c>
    </row>
    <row r="965" spans="1:20" x14ac:dyDescent="0.25">
      <c r="A965" s="90" t="s">
        <v>126</v>
      </c>
      <c r="B965" s="10">
        <v>46128</v>
      </c>
      <c r="C965" t="s">
        <v>107</v>
      </c>
      <c r="D965" t="s">
        <v>102</v>
      </c>
      <c r="E965" t="s">
        <v>106</v>
      </c>
      <c r="F965">
        <v>140.30000000000001</v>
      </c>
      <c r="G965">
        <v>156.4</v>
      </c>
      <c r="H965">
        <v>92.8</v>
      </c>
      <c r="I965">
        <v>28</v>
      </c>
      <c r="J965">
        <v>0.7</v>
      </c>
      <c r="K965">
        <v>79.599999999999994</v>
      </c>
      <c r="L965">
        <v>-3</v>
      </c>
      <c r="M965">
        <v>81.5</v>
      </c>
      <c r="N965">
        <v>1.1399999999999999</v>
      </c>
      <c r="O965">
        <v>42.3</v>
      </c>
      <c r="P965">
        <v>-5</v>
      </c>
      <c r="Q965">
        <v>-7.8</v>
      </c>
      <c r="R965">
        <v>0</v>
      </c>
      <c r="S965">
        <v>1771</v>
      </c>
      <c r="T965">
        <v>-7.3</v>
      </c>
    </row>
    <row r="966" spans="1:20" x14ac:dyDescent="0.25">
      <c r="A966" s="90" t="s">
        <v>126</v>
      </c>
      <c r="B966" s="10">
        <v>46128</v>
      </c>
      <c r="C966" t="s">
        <v>107</v>
      </c>
      <c r="D966" t="s">
        <v>102</v>
      </c>
      <c r="E966" t="s">
        <v>106</v>
      </c>
      <c r="F966">
        <v>151.5</v>
      </c>
      <c r="G966">
        <v>167.8</v>
      </c>
      <c r="H966">
        <v>99.8</v>
      </c>
      <c r="I966">
        <v>25.1</v>
      </c>
      <c r="J966">
        <v>-3.2</v>
      </c>
      <c r="K966">
        <v>81</v>
      </c>
      <c r="L966">
        <v>-23.4</v>
      </c>
      <c r="M966">
        <v>83.2</v>
      </c>
      <c r="N966">
        <v>1.2</v>
      </c>
      <c r="O966">
        <v>41.9</v>
      </c>
      <c r="P966">
        <v>-4.0999999999999996</v>
      </c>
      <c r="Q966">
        <v>-7.7</v>
      </c>
      <c r="R966">
        <v>0</v>
      </c>
      <c r="S966">
        <v>2339</v>
      </c>
      <c r="T966">
        <v>-18.3</v>
      </c>
    </row>
    <row r="967" spans="1:20" x14ac:dyDescent="0.25">
      <c r="A967" s="90" t="s">
        <v>126</v>
      </c>
      <c r="B967" s="10">
        <v>46128</v>
      </c>
      <c r="C967" t="s">
        <v>108</v>
      </c>
      <c r="D967" t="s">
        <v>102</v>
      </c>
      <c r="E967" t="s">
        <v>106</v>
      </c>
      <c r="F967">
        <v>153.4</v>
      </c>
      <c r="G967">
        <v>172.8</v>
      </c>
      <c r="H967">
        <v>98.8</v>
      </c>
      <c r="I967">
        <v>26.7</v>
      </c>
      <c r="J967">
        <v>-2.2999999999999998</v>
      </c>
      <c r="K967">
        <v>77.599999999999994</v>
      </c>
      <c r="L967">
        <v>-17.7</v>
      </c>
      <c r="M967">
        <v>81.5</v>
      </c>
      <c r="N967">
        <v>1.21</v>
      </c>
      <c r="O967">
        <v>39.1</v>
      </c>
      <c r="P967">
        <v>-5.3</v>
      </c>
      <c r="Q967">
        <v>-10.199999999999999</v>
      </c>
      <c r="R967">
        <v>0</v>
      </c>
      <c r="S967">
        <v>1198</v>
      </c>
      <c r="T967">
        <v>-20.3</v>
      </c>
    </row>
    <row r="968" spans="1:20" x14ac:dyDescent="0.25">
      <c r="A968" s="90" t="s">
        <v>126</v>
      </c>
      <c r="B968" s="10">
        <v>46128</v>
      </c>
      <c r="C968" t="s">
        <v>108</v>
      </c>
      <c r="D968" t="s">
        <v>102</v>
      </c>
      <c r="E968" t="s">
        <v>106</v>
      </c>
      <c r="F968">
        <v>160.30000000000001</v>
      </c>
      <c r="G968">
        <v>181.7</v>
      </c>
      <c r="H968">
        <v>102.8</v>
      </c>
      <c r="I968">
        <v>23.5</v>
      </c>
      <c r="J968">
        <v>-7.9</v>
      </c>
      <c r="K968">
        <v>69.3</v>
      </c>
      <c r="L968">
        <v>-17.399999999999999</v>
      </c>
      <c r="M968">
        <v>84.7</v>
      </c>
      <c r="N968">
        <v>1.21</v>
      </c>
      <c r="O968">
        <v>35</v>
      </c>
      <c r="P968">
        <v>-1</v>
      </c>
      <c r="Q968">
        <v>-1</v>
      </c>
      <c r="R968">
        <v>4</v>
      </c>
      <c r="S968">
        <v>1139</v>
      </c>
      <c r="T968">
        <v>7.5</v>
      </c>
    </row>
    <row r="969" spans="1:20" x14ac:dyDescent="0.25">
      <c r="A969" s="90" t="s">
        <v>126</v>
      </c>
      <c r="B969" s="10">
        <v>46128</v>
      </c>
      <c r="C969" t="s">
        <v>108</v>
      </c>
      <c r="D969" t="s">
        <v>102</v>
      </c>
      <c r="E969" t="s">
        <v>106</v>
      </c>
      <c r="F969">
        <v>149.4</v>
      </c>
      <c r="G969">
        <v>175</v>
      </c>
      <c r="H969">
        <v>101.9</v>
      </c>
      <c r="I969">
        <v>20</v>
      </c>
      <c r="J969">
        <v>-3.3</v>
      </c>
      <c r="K969">
        <v>51.8</v>
      </c>
      <c r="L969">
        <v>-7.6</v>
      </c>
      <c r="M969">
        <v>85.2</v>
      </c>
      <c r="N969">
        <v>1.2</v>
      </c>
      <c r="O969">
        <v>28.9</v>
      </c>
      <c r="P969">
        <v>-3.8</v>
      </c>
      <c r="Q969">
        <v>-7.3</v>
      </c>
      <c r="R969">
        <v>0</v>
      </c>
      <c r="S969">
        <v>1062</v>
      </c>
      <c r="T969">
        <v>1.9</v>
      </c>
    </row>
    <row r="970" spans="1:20" x14ac:dyDescent="0.25">
      <c r="A970" s="90" t="s">
        <v>126</v>
      </c>
      <c r="B970" s="10">
        <v>46128</v>
      </c>
      <c r="C970" t="s">
        <v>108</v>
      </c>
      <c r="D970" t="s">
        <v>102</v>
      </c>
      <c r="E970" t="s">
        <v>106</v>
      </c>
      <c r="F970">
        <v>157.4</v>
      </c>
      <c r="G970">
        <v>175.4</v>
      </c>
      <c r="H970">
        <v>100.3</v>
      </c>
      <c r="I970">
        <v>26.7</v>
      </c>
      <c r="J970">
        <v>-3.1</v>
      </c>
      <c r="K970">
        <v>86.6</v>
      </c>
      <c r="L970">
        <v>-2.6</v>
      </c>
      <c r="M970">
        <v>82.5</v>
      </c>
      <c r="N970">
        <v>1.22</v>
      </c>
      <c r="O970">
        <v>42</v>
      </c>
      <c r="P970">
        <v>-4.2</v>
      </c>
      <c r="Q970">
        <v>-10.7</v>
      </c>
      <c r="R970">
        <v>0</v>
      </c>
      <c r="S970">
        <v>1775</v>
      </c>
      <c r="T970">
        <v>7.5</v>
      </c>
    </row>
    <row r="971" spans="1:20" x14ac:dyDescent="0.25">
      <c r="A971" s="90" t="s">
        <v>126</v>
      </c>
      <c r="B971" s="10">
        <v>46128</v>
      </c>
      <c r="C971" t="s">
        <v>108</v>
      </c>
      <c r="D971" t="s">
        <v>102</v>
      </c>
      <c r="E971" t="s">
        <v>106</v>
      </c>
      <c r="F971">
        <v>164.4</v>
      </c>
      <c r="G971">
        <v>180.3</v>
      </c>
      <c r="H971">
        <v>105.9</v>
      </c>
      <c r="I971">
        <v>24</v>
      </c>
      <c r="J971">
        <v>-5.0999999999999996</v>
      </c>
      <c r="K971">
        <v>87.5</v>
      </c>
      <c r="L971">
        <v>2.1</v>
      </c>
      <c r="M971">
        <v>84.7</v>
      </c>
      <c r="N971">
        <v>1.25</v>
      </c>
      <c r="O971">
        <v>42.3</v>
      </c>
      <c r="P971">
        <v>-4.8</v>
      </c>
      <c r="Q971">
        <v>-8.8000000000000007</v>
      </c>
      <c r="R971">
        <v>0</v>
      </c>
      <c r="S971">
        <v>2461</v>
      </c>
      <c r="T971">
        <v>17.3</v>
      </c>
    </row>
    <row r="972" spans="1:20" x14ac:dyDescent="0.25">
      <c r="A972" s="90" t="s">
        <v>126</v>
      </c>
      <c r="B972" s="10">
        <v>46128</v>
      </c>
      <c r="C972" t="s">
        <v>109</v>
      </c>
      <c r="D972" t="s">
        <v>102</v>
      </c>
      <c r="E972" t="s">
        <v>106</v>
      </c>
      <c r="F972">
        <v>163.5</v>
      </c>
      <c r="G972">
        <v>185.3</v>
      </c>
      <c r="H972">
        <v>104.9</v>
      </c>
      <c r="I972">
        <v>22.4</v>
      </c>
      <c r="J972">
        <v>-4.5</v>
      </c>
      <c r="K972">
        <v>67.900000000000006</v>
      </c>
      <c r="L972">
        <v>-8</v>
      </c>
      <c r="M972">
        <v>82.4</v>
      </c>
      <c r="N972">
        <v>1.27</v>
      </c>
      <c r="O972">
        <v>34.1</v>
      </c>
      <c r="P972">
        <v>-3.8</v>
      </c>
      <c r="Q972">
        <v>-10.3</v>
      </c>
      <c r="R972">
        <v>0</v>
      </c>
      <c r="S972">
        <v>1239</v>
      </c>
      <c r="T972">
        <v>7.6</v>
      </c>
    </row>
    <row r="973" spans="1:20" x14ac:dyDescent="0.25">
      <c r="A973" s="90" t="s">
        <v>126</v>
      </c>
      <c r="B973" s="10">
        <v>46128</v>
      </c>
      <c r="C973" t="s">
        <v>109</v>
      </c>
      <c r="D973" t="s">
        <v>102</v>
      </c>
      <c r="E973" t="s">
        <v>106</v>
      </c>
      <c r="F973">
        <v>157.5</v>
      </c>
      <c r="G973">
        <v>178.2</v>
      </c>
      <c r="H973">
        <v>102.3</v>
      </c>
      <c r="I973">
        <v>22.8</v>
      </c>
      <c r="J973">
        <v>-5.0999999999999996</v>
      </c>
      <c r="K973">
        <v>67</v>
      </c>
      <c r="L973">
        <v>-6.2</v>
      </c>
      <c r="M973">
        <v>80.7</v>
      </c>
      <c r="N973">
        <v>1.27</v>
      </c>
      <c r="O973">
        <v>34.799999999999997</v>
      </c>
      <c r="P973">
        <v>-2.2000000000000002</v>
      </c>
      <c r="Q973">
        <v>-9.8000000000000007</v>
      </c>
      <c r="R973">
        <v>0</v>
      </c>
      <c r="S973">
        <v>1335</v>
      </c>
      <c r="T973">
        <v>12.6</v>
      </c>
    </row>
    <row r="974" spans="1:20" x14ac:dyDescent="0.25">
      <c r="A974" s="90" t="s">
        <v>126</v>
      </c>
      <c r="B974" s="10">
        <v>46128</v>
      </c>
      <c r="C974" t="s">
        <v>109</v>
      </c>
      <c r="D974" t="s">
        <v>102</v>
      </c>
      <c r="E974" t="s">
        <v>106</v>
      </c>
      <c r="F974">
        <v>157</v>
      </c>
      <c r="G974">
        <v>178.4</v>
      </c>
      <c r="H974">
        <v>103.2</v>
      </c>
      <c r="I974">
        <v>20.6</v>
      </c>
      <c r="J974">
        <v>-8.8000000000000007</v>
      </c>
      <c r="K974">
        <v>61.3</v>
      </c>
      <c r="L974">
        <v>-26.7</v>
      </c>
      <c r="M974">
        <v>86.3</v>
      </c>
      <c r="N974">
        <v>1.2</v>
      </c>
      <c r="O974">
        <v>33</v>
      </c>
      <c r="P974">
        <v>-1</v>
      </c>
      <c r="Q974">
        <v>-1</v>
      </c>
      <c r="R974">
        <v>8</v>
      </c>
      <c r="S974">
        <v>1595</v>
      </c>
      <c r="T974">
        <v>-4.2</v>
      </c>
    </row>
    <row r="975" spans="1:20" x14ac:dyDescent="0.25">
      <c r="A975" s="90" t="s">
        <v>126</v>
      </c>
      <c r="B975" s="10">
        <v>46128</v>
      </c>
      <c r="C975" t="s">
        <v>112</v>
      </c>
      <c r="D975" t="s">
        <v>102</v>
      </c>
      <c r="E975" t="s">
        <v>113</v>
      </c>
      <c r="F975">
        <v>175.9</v>
      </c>
      <c r="G975">
        <v>199.3</v>
      </c>
      <c r="H975">
        <v>114.2</v>
      </c>
      <c r="I975">
        <v>18</v>
      </c>
      <c r="J975">
        <v>-8.9</v>
      </c>
      <c r="K975">
        <v>62.6</v>
      </c>
      <c r="L975">
        <v>-41.8</v>
      </c>
      <c r="M975">
        <v>88.3</v>
      </c>
      <c r="N975">
        <v>1.29</v>
      </c>
      <c r="O975">
        <v>31.7</v>
      </c>
      <c r="P975">
        <v>-3.5</v>
      </c>
      <c r="Q975">
        <v>-11.9</v>
      </c>
      <c r="R975">
        <v>0</v>
      </c>
      <c r="S975">
        <v>1827</v>
      </c>
      <c r="T975">
        <v>-18.7</v>
      </c>
    </row>
    <row r="976" spans="1:20" x14ac:dyDescent="0.25">
      <c r="A976" s="90" t="s">
        <v>126</v>
      </c>
      <c r="B976" s="10">
        <v>46128</v>
      </c>
      <c r="C976" t="s">
        <v>112</v>
      </c>
      <c r="D976" t="s">
        <v>102</v>
      </c>
      <c r="E976" t="s">
        <v>113</v>
      </c>
      <c r="F976">
        <v>194</v>
      </c>
      <c r="G976">
        <v>225.5</v>
      </c>
      <c r="H976">
        <v>127.7</v>
      </c>
      <c r="I976">
        <v>16.2</v>
      </c>
      <c r="J976">
        <v>-5.9</v>
      </c>
      <c r="K976">
        <v>59.6</v>
      </c>
      <c r="L976">
        <v>-1.4</v>
      </c>
      <c r="M976">
        <v>92.1</v>
      </c>
      <c r="N976">
        <v>1.39</v>
      </c>
      <c r="O976">
        <v>27.4</v>
      </c>
      <c r="P976">
        <v>-4.3</v>
      </c>
      <c r="Q976">
        <v>-10.1</v>
      </c>
      <c r="R976">
        <v>0</v>
      </c>
      <c r="S976">
        <v>1171</v>
      </c>
      <c r="T976">
        <v>26.3</v>
      </c>
    </row>
    <row r="977" spans="1:20" x14ac:dyDescent="0.25">
      <c r="A977" s="90" t="s">
        <v>126</v>
      </c>
      <c r="B977" s="10">
        <v>46128</v>
      </c>
      <c r="C977" t="s">
        <v>112</v>
      </c>
      <c r="D977" t="s">
        <v>102</v>
      </c>
      <c r="E977" t="s">
        <v>113</v>
      </c>
      <c r="F977">
        <v>162.19999999999999</v>
      </c>
      <c r="G977">
        <v>204</v>
      </c>
      <c r="H977">
        <v>123.1</v>
      </c>
      <c r="I977">
        <v>12.2</v>
      </c>
      <c r="J977">
        <v>-8.1</v>
      </c>
      <c r="K977">
        <v>34.799999999999997</v>
      </c>
      <c r="L977">
        <v>-17.2</v>
      </c>
      <c r="M977">
        <v>90.3</v>
      </c>
      <c r="N977">
        <v>1.36</v>
      </c>
      <c r="O977">
        <v>19.2</v>
      </c>
      <c r="P977">
        <v>-6.2</v>
      </c>
      <c r="Q977">
        <v>-9.6</v>
      </c>
      <c r="R977">
        <v>0</v>
      </c>
      <c r="S977">
        <v>905</v>
      </c>
      <c r="T977">
        <v>12.7</v>
      </c>
    </row>
    <row r="978" spans="1:20" x14ac:dyDescent="0.25">
      <c r="A978" s="90" t="s">
        <v>126</v>
      </c>
      <c r="B978" s="10">
        <v>46128</v>
      </c>
      <c r="C978" t="s">
        <v>112</v>
      </c>
      <c r="D978" t="s">
        <v>102</v>
      </c>
      <c r="E978" t="s">
        <v>113</v>
      </c>
      <c r="F978">
        <v>155.19999999999999</v>
      </c>
      <c r="G978">
        <v>192</v>
      </c>
      <c r="H978">
        <v>121.3</v>
      </c>
      <c r="I978">
        <v>8.6</v>
      </c>
      <c r="J978">
        <v>-12.6</v>
      </c>
      <c r="K978">
        <v>26.1</v>
      </c>
      <c r="L978">
        <v>-36.5</v>
      </c>
      <c r="M978">
        <v>89.2</v>
      </c>
      <c r="N978">
        <v>1.36</v>
      </c>
      <c r="O978">
        <v>16.600000000000001</v>
      </c>
      <c r="P978">
        <v>-9.5</v>
      </c>
      <c r="Q978">
        <v>-13.8</v>
      </c>
      <c r="R978">
        <v>0</v>
      </c>
      <c r="S978">
        <v>2030</v>
      </c>
      <c r="T978">
        <v>-4.5999999999999996</v>
      </c>
    </row>
    <row r="979" spans="1:20" x14ac:dyDescent="0.25">
      <c r="A979" s="90" t="s">
        <v>126</v>
      </c>
      <c r="B979" s="10">
        <v>46128</v>
      </c>
      <c r="C979" t="s">
        <v>112</v>
      </c>
      <c r="D979" t="s">
        <v>102</v>
      </c>
      <c r="E979" t="s">
        <v>113</v>
      </c>
      <c r="F979">
        <v>161.6</v>
      </c>
      <c r="G979">
        <v>202.9</v>
      </c>
      <c r="H979">
        <v>132</v>
      </c>
      <c r="I979">
        <v>12.1</v>
      </c>
      <c r="J979">
        <v>-9.3000000000000007</v>
      </c>
      <c r="K979">
        <v>33</v>
      </c>
      <c r="L979">
        <v>-9.1</v>
      </c>
      <c r="M979">
        <v>91.9</v>
      </c>
      <c r="N979">
        <v>1.44</v>
      </c>
      <c r="O979">
        <v>18.3</v>
      </c>
      <c r="P979">
        <v>-8.1</v>
      </c>
      <c r="Q979">
        <v>-11.6</v>
      </c>
      <c r="R979">
        <v>0</v>
      </c>
      <c r="S979">
        <v>810</v>
      </c>
      <c r="T979">
        <v>47.3</v>
      </c>
    </row>
    <row r="980" spans="1:20" x14ac:dyDescent="0.25">
      <c r="A980" s="90" t="s">
        <v>126</v>
      </c>
      <c r="B980" s="10">
        <v>46128</v>
      </c>
      <c r="C980" t="s">
        <v>112</v>
      </c>
      <c r="D980" t="s">
        <v>102</v>
      </c>
      <c r="E980" t="s">
        <v>113</v>
      </c>
      <c r="F980">
        <v>194.5</v>
      </c>
      <c r="G980">
        <v>216.2</v>
      </c>
      <c r="H980">
        <v>123.8</v>
      </c>
      <c r="I980">
        <v>14.6</v>
      </c>
      <c r="J980">
        <v>-9.1999999999999993</v>
      </c>
      <c r="K980">
        <v>62.2</v>
      </c>
      <c r="L980">
        <v>-35.299999999999997</v>
      </c>
      <c r="M980">
        <v>90.8</v>
      </c>
      <c r="N980">
        <v>1.36</v>
      </c>
      <c r="O980">
        <v>30.6</v>
      </c>
      <c r="P980">
        <v>-4.5999999999999996</v>
      </c>
      <c r="Q980">
        <v>-10</v>
      </c>
      <c r="R980">
        <v>0</v>
      </c>
      <c r="S980">
        <v>2207</v>
      </c>
      <c r="T980">
        <v>-4.2</v>
      </c>
    </row>
    <row r="981" spans="1:20" x14ac:dyDescent="0.25">
      <c r="A981" s="90" t="s">
        <v>126</v>
      </c>
      <c r="B981" s="10">
        <v>46128</v>
      </c>
      <c r="C981" t="s">
        <v>112</v>
      </c>
      <c r="D981" t="s">
        <v>102</v>
      </c>
      <c r="E981" t="s">
        <v>113</v>
      </c>
      <c r="F981">
        <v>177.8</v>
      </c>
      <c r="G981">
        <v>219</v>
      </c>
      <c r="H981">
        <v>129.6</v>
      </c>
      <c r="I981">
        <v>12.2</v>
      </c>
      <c r="J981">
        <v>-8.1</v>
      </c>
      <c r="K981">
        <v>39.5</v>
      </c>
      <c r="L981">
        <v>-16.600000000000001</v>
      </c>
      <c r="M981">
        <v>93.4</v>
      </c>
      <c r="N981">
        <v>1.39</v>
      </c>
      <c r="O981">
        <v>20.2</v>
      </c>
      <c r="P981">
        <v>-1</v>
      </c>
      <c r="Q981">
        <v>-1</v>
      </c>
      <c r="R981">
        <v>1</v>
      </c>
      <c r="S981">
        <v>916</v>
      </c>
      <c r="T981">
        <v>16.100000000000001</v>
      </c>
    </row>
    <row r="982" spans="1:20" x14ac:dyDescent="0.25">
      <c r="A982" s="90" t="s">
        <v>126</v>
      </c>
      <c r="B982" s="10">
        <v>46128</v>
      </c>
      <c r="C982" t="s">
        <v>116</v>
      </c>
      <c r="D982" t="s">
        <v>102</v>
      </c>
      <c r="E982" t="s">
        <v>115</v>
      </c>
      <c r="F982">
        <v>178.8</v>
      </c>
      <c r="G982">
        <v>197.6</v>
      </c>
      <c r="H982">
        <v>119.6</v>
      </c>
      <c r="I982">
        <v>14.6</v>
      </c>
      <c r="J982">
        <v>-5.5</v>
      </c>
      <c r="K982">
        <v>79</v>
      </c>
      <c r="L982">
        <v>-17.2</v>
      </c>
      <c r="M982">
        <v>92.9</v>
      </c>
      <c r="N982">
        <v>1.29</v>
      </c>
      <c r="O982">
        <v>41.2</v>
      </c>
      <c r="P982">
        <v>-4.3</v>
      </c>
      <c r="Q982">
        <v>-11.5</v>
      </c>
      <c r="R982">
        <v>0</v>
      </c>
      <c r="S982">
        <v>4549</v>
      </c>
      <c r="T982">
        <v>0</v>
      </c>
    </row>
    <row r="983" spans="1:20" x14ac:dyDescent="0.25">
      <c r="A983" s="90" t="s">
        <v>126</v>
      </c>
      <c r="B983" s="10">
        <v>46128</v>
      </c>
      <c r="C983" t="s">
        <v>112</v>
      </c>
      <c r="D983" t="s">
        <v>102</v>
      </c>
      <c r="E983" t="s">
        <v>113</v>
      </c>
      <c r="F983">
        <v>189.4</v>
      </c>
      <c r="G983">
        <v>208.2</v>
      </c>
      <c r="H983">
        <v>124.2</v>
      </c>
      <c r="I983">
        <v>14.4</v>
      </c>
      <c r="J983">
        <v>-9.1999999999999993</v>
      </c>
      <c r="K983">
        <v>84.1</v>
      </c>
      <c r="L983">
        <v>-30.3</v>
      </c>
      <c r="M983">
        <v>88.4</v>
      </c>
      <c r="N983">
        <v>1.4</v>
      </c>
      <c r="O983">
        <v>41.6</v>
      </c>
      <c r="P983">
        <v>-6</v>
      </c>
      <c r="Q983">
        <v>-11.5</v>
      </c>
      <c r="R983">
        <v>0</v>
      </c>
      <c r="S983">
        <v>4128</v>
      </c>
      <c r="T983">
        <v>0</v>
      </c>
    </row>
    <row r="984" spans="1:20" x14ac:dyDescent="0.25">
      <c r="A984" s="90" t="s">
        <v>126</v>
      </c>
      <c r="B984" s="10">
        <v>46128</v>
      </c>
      <c r="C984" t="s">
        <v>97</v>
      </c>
      <c r="D984" t="s">
        <v>98</v>
      </c>
      <c r="E984" t="s">
        <v>99</v>
      </c>
      <c r="F984">
        <v>36.700000000000003</v>
      </c>
      <c r="G984">
        <v>46</v>
      </c>
      <c r="H984">
        <v>43.1</v>
      </c>
      <c r="I984">
        <v>29.8</v>
      </c>
      <c r="J984">
        <v>-10.7</v>
      </c>
      <c r="K984">
        <v>18</v>
      </c>
      <c r="L984">
        <v>-6.8</v>
      </c>
      <c r="M984">
        <v>48.4</v>
      </c>
      <c r="N984">
        <v>0.89</v>
      </c>
      <c r="O984">
        <v>34.9</v>
      </c>
      <c r="P984">
        <v>-5.7</v>
      </c>
      <c r="Q984">
        <v>-6.7</v>
      </c>
      <c r="R984">
        <v>0</v>
      </c>
      <c r="S984">
        <v>4982</v>
      </c>
      <c r="T984">
        <v>0</v>
      </c>
    </row>
    <row r="985" spans="1:20" x14ac:dyDescent="0.25">
      <c r="A985" s="90" t="s">
        <v>126</v>
      </c>
      <c r="B985" s="10">
        <v>46128</v>
      </c>
      <c r="C985" t="s">
        <v>108</v>
      </c>
      <c r="D985" t="s">
        <v>102</v>
      </c>
      <c r="E985" t="s">
        <v>106</v>
      </c>
      <c r="F985">
        <v>138.5</v>
      </c>
      <c r="G985">
        <v>152.30000000000001</v>
      </c>
      <c r="H985">
        <v>99.4</v>
      </c>
      <c r="I985">
        <v>26.7</v>
      </c>
      <c r="J985">
        <v>-3.7</v>
      </c>
      <c r="K985">
        <v>98.2</v>
      </c>
      <c r="L985">
        <v>-8.6</v>
      </c>
      <c r="M985">
        <v>84.9</v>
      </c>
      <c r="N985">
        <v>1.17</v>
      </c>
      <c r="O985">
        <v>50.6</v>
      </c>
      <c r="P985">
        <v>-3.6</v>
      </c>
      <c r="Q985">
        <v>-8.6</v>
      </c>
      <c r="R985">
        <v>0</v>
      </c>
      <c r="S985">
        <v>4644</v>
      </c>
      <c r="T985">
        <v>0</v>
      </c>
    </row>
    <row r="986" spans="1:20" x14ac:dyDescent="0.25">
      <c r="A986" s="90" t="s">
        <v>126</v>
      </c>
      <c r="B986" s="10">
        <v>46128</v>
      </c>
      <c r="C986" t="s">
        <v>97</v>
      </c>
      <c r="D986" t="s">
        <v>98</v>
      </c>
      <c r="E986" t="s">
        <v>99</v>
      </c>
      <c r="F986">
        <v>36.200000000000003</v>
      </c>
      <c r="G986">
        <v>43.5</v>
      </c>
      <c r="H986">
        <v>41.5</v>
      </c>
      <c r="I986">
        <v>35.9</v>
      </c>
      <c r="J986">
        <v>-6.7</v>
      </c>
      <c r="K986">
        <v>22.5</v>
      </c>
      <c r="L986">
        <v>-4.0999999999999996</v>
      </c>
      <c r="M986">
        <v>46.1</v>
      </c>
      <c r="N986">
        <v>0.9</v>
      </c>
      <c r="O986">
        <v>41.2</v>
      </c>
      <c r="P986">
        <v>-2.6</v>
      </c>
      <c r="Q986">
        <v>-2.2000000000000002</v>
      </c>
      <c r="R986">
        <v>0</v>
      </c>
      <c r="S986">
        <v>4275</v>
      </c>
      <c r="T986">
        <v>0</v>
      </c>
    </row>
    <row r="987" spans="1:20" x14ac:dyDescent="0.25">
      <c r="A987" s="90" t="s">
        <v>126</v>
      </c>
      <c r="B987" s="10">
        <v>46128</v>
      </c>
      <c r="C987" t="s">
        <v>116</v>
      </c>
      <c r="D987" t="s">
        <v>102</v>
      </c>
      <c r="E987" t="s">
        <v>115</v>
      </c>
      <c r="F987">
        <v>207.3</v>
      </c>
      <c r="G987">
        <v>226.7</v>
      </c>
      <c r="H987">
        <v>133.80000000000001</v>
      </c>
      <c r="I987">
        <v>14.3</v>
      </c>
      <c r="J987">
        <v>-5.4</v>
      </c>
      <c r="K987">
        <v>100.7</v>
      </c>
      <c r="L987">
        <v>-18.899999999999999</v>
      </c>
      <c r="M987">
        <v>96.4</v>
      </c>
      <c r="N987">
        <v>1.39</v>
      </c>
      <c r="O987">
        <v>44.7</v>
      </c>
      <c r="P987">
        <v>-1</v>
      </c>
      <c r="Q987">
        <v>-1</v>
      </c>
      <c r="R987">
        <v>1</v>
      </c>
      <c r="S987">
        <v>4348</v>
      </c>
      <c r="T987">
        <v>0</v>
      </c>
    </row>
    <row r="988" spans="1:20" x14ac:dyDescent="0.25">
      <c r="A988" s="90" t="s">
        <v>126</v>
      </c>
      <c r="B988" s="10">
        <v>46128</v>
      </c>
      <c r="C988" t="s">
        <v>116</v>
      </c>
      <c r="D988" t="s">
        <v>102</v>
      </c>
      <c r="E988" t="s">
        <v>115</v>
      </c>
      <c r="F988">
        <v>225.1</v>
      </c>
      <c r="G988">
        <v>247</v>
      </c>
      <c r="H988">
        <v>140.30000000000001</v>
      </c>
      <c r="I988">
        <v>11.3</v>
      </c>
      <c r="J988">
        <v>-8.6999999999999993</v>
      </c>
      <c r="K988">
        <v>80.099999999999994</v>
      </c>
      <c r="L988">
        <v>-33.5</v>
      </c>
      <c r="M988">
        <v>97.5</v>
      </c>
      <c r="N988">
        <v>1.44</v>
      </c>
      <c r="O988">
        <v>36.799999999999997</v>
      </c>
      <c r="P988">
        <v>-1</v>
      </c>
      <c r="Q988">
        <v>-1</v>
      </c>
      <c r="R988">
        <v>4</v>
      </c>
      <c r="S988">
        <v>3272</v>
      </c>
      <c r="T988">
        <v>0</v>
      </c>
    </row>
    <row r="989" spans="1:20" x14ac:dyDescent="0.25">
      <c r="A989" s="90" t="s">
        <v>126</v>
      </c>
      <c r="B989" s="10">
        <v>46128</v>
      </c>
      <c r="C989" t="s">
        <v>97</v>
      </c>
      <c r="D989" t="s">
        <v>98</v>
      </c>
      <c r="E989" t="s">
        <v>99</v>
      </c>
      <c r="F989">
        <v>65.8</v>
      </c>
      <c r="G989">
        <v>75.2</v>
      </c>
      <c r="H989">
        <v>59.6</v>
      </c>
      <c r="I989">
        <v>34.799999999999997</v>
      </c>
      <c r="J989">
        <v>-10.8</v>
      </c>
      <c r="K989">
        <v>45.3</v>
      </c>
      <c r="L989">
        <v>-12.2</v>
      </c>
      <c r="M989">
        <v>69.599999999999994</v>
      </c>
      <c r="N989">
        <v>0.86</v>
      </c>
      <c r="O989">
        <v>45.6</v>
      </c>
      <c r="P989">
        <v>-5.5</v>
      </c>
      <c r="Q989">
        <v>-7.8</v>
      </c>
      <c r="R989">
        <v>0</v>
      </c>
      <c r="S989">
        <v>4349</v>
      </c>
      <c r="T989">
        <v>0</v>
      </c>
    </row>
    <row r="990" spans="1:20" x14ac:dyDescent="0.25">
      <c r="A990" s="90" t="s">
        <v>126</v>
      </c>
      <c r="B990" s="10">
        <v>46128</v>
      </c>
      <c r="C990" t="s">
        <v>97</v>
      </c>
      <c r="D990" t="s">
        <v>98</v>
      </c>
      <c r="E990" t="s">
        <v>99</v>
      </c>
      <c r="F990">
        <v>12.7</v>
      </c>
      <c r="G990">
        <v>17.5</v>
      </c>
      <c r="H990">
        <v>23.7</v>
      </c>
      <c r="I990">
        <v>34.700000000000003</v>
      </c>
      <c r="J990">
        <v>-2.4</v>
      </c>
      <c r="K990">
        <v>6.8</v>
      </c>
      <c r="L990">
        <v>-0.5</v>
      </c>
      <c r="M990">
        <v>24.6</v>
      </c>
      <c r="N990">
        <v>0.96</v>
      </c>
      <c r="O990">
        <v>36.200000000000003</v>
      </c>
      <c r="P990">
        <v>-3</v>
      </c>
      <c r="Q990">
        <v>10.3</v>
      </c>
      <c r="R990">
        <v>0</v>
      </c>
      <c r="S990">
        <v>4033</v>
      </c>
      <c r="T990">
        <v>0</v>
      </c>
    </row>
    <row r="991" spans="1:20" x14ac:dyDescent="0.25">
      <c r="A991" s="90" t="s">
        <v>126</v>
      </c>
      <c r="B991" s="10">
        <v>46128</v>
      </c>
      <c r="C991" t="s">
        <v>116</v>
      </c>
      <c r="D991" t="s">
        <v>102</v>
      </c>
      <c r="E991" t="s">
        <v>115</v>
      </c>
      <c r="F991">
        <v>217.8</v>
      </c>
      <c r="G991">
        <v>246.9</v>
      </c>
      <c r="H991">
        <v>142.30000000000001</v>
      </c>
      <c r="I991">
        <v>7.5</v>
      </c>
      <c r="J991">
        <v>-10.7</v>
      </c>
      <c r="K991">
        <v>52.8</v>
      </c>
      <c r="L991">
        <v>-40</v>
      </c>
      <c r="M991">
        <v>96.9</v>
      </c>
      <c r="N991">
        <v>1.47</v>
      </c>
      <c r="O991">
        <v>28</v>
      </c>
      <c r="P991">
        <v>-1</v>
      </c>
      <c r="Q991">
        <v>-1</v>
      </c>
      <c r="R991">
        <v>1</v>
      </c>
      <c r="S991">
        <v>3094</v>
      </c>
      <c r="T991">
        <v>0</v>
      </c>
    </row>
    <row r="992" spans="1:20" x14ac:dyDescent="0.25">
      <c r="A992" s="90" t="s">
        <v>126</v>
      </c>
      <c r="B992" s="10">
        <v>46128</v>
      </c>
      <c r="C992" t="s">
        <v>116</v>
      </c>
      <c r="D992" t="s">
        <v>102</v>
      </c>
      <c r="E992" t="s">
        <v>115</v>
      </c>
      <c r="F992">
        <v>206.2</v>
      </c>
      <c r="G992">
        <v>226.1</v>
      </c>
      <c r="H992">
        <v>133</v>
      </c>
      <c r="I992">
        <v>13.4</v>
      </c>
      <c r="J992">
        <v>-7.2</v>
      </c>
      <c r="K992">
        <v>92.9</v>
      </c>
      <c r="L992">
        <v>-25.4</v>
      </c>
      <c r="M992">
        <v>95.2</v>
      </c>
      <c r="N992">
        <v>1.4</v>
      </c>
      <c r="O992">
        <v>42.8</v>
      </c>
      <c r="P992">
        <v>-6.5</v>
      </c>
      <c r="Q992">
        <v>-10.1</v>
      </c>
      <c r="R992">
        <v>0</v>
      </c>
      <c r="S992">
        <v>4247</v>
      </c>
      <c r="T992">
        <v>0</v>
      </c>
    </row>
    <row r="993" spans="1:20" x14ac:dyDescent="0.25">
      <c r="A993" s="90" t="s">
        <v>126</v>
      </c>
      <c r="B993" s="10">
        <v>46128</v>
      </c>
      <c r="C993" t="s">
        <v>105</v>
      </c>
      <c r="D993" t="s">
        <v>102</v>
      </c>
      <c r="E993" t="s">
        <v>106</v>
      </c>
      <c r="F993">
        <v>113.2</v>
      </c>
      <c r="G993">
        <v>125.9</v>
      </c>
      <c r="H993">
        <v>85.8</v>
      </c>
      <c r="I993">
        <v>30.1</v>
      </c>
      <c r="J993">
        <v>-5.9</v>
      </c>
      <c r="K993">
        <v>82</v>
      </c>
      <c r="L993">
        <v>-11.6</v>
      </c>
      <c r="M993">
        <v>81.5</v>
      </c>
      <c r="N993">
        <v>1.05</v>
      </c>
      <c r="O993">
        <v>49.8</v>
      </c>
      <c r="P993">
        <v>-3.8</v>
      </c>
      <c r="Q993">
        <v>-3.2</v>
      </c>
      <c r="R993">
        <v>0</v>
      </c>
      <c r="S993">
        <v>4563</v>
      </c>
      <c r="T993">
        <v>0</v>
      </c>
    </row>
    <row r="994" spans="1:20" x14ac:dyDescent="0.25">
      <c r="A994" s="90" t="s">
        <v>126</v>
      </c>
      <c r="B994" s="10">
        <v>46128</v>
      </c>
      <c r="C994" t="s">
        <v>116</v>
      </c>
      <c r="D994" t="s">
        <v>102</v>
      </c>
      <c r="E994" t="s">
        <v>115</v>
      </c>
      <c r="F994">
        <v>219.9</v>
      </c>
      <c r="G994">
        <v>240.1</v>
      </c>
      <c r="H994">
        <v>138.19999999999999</v>
      </c>
      <c r="I994">
        <v>12.9</v>
      </c>
      <c r="J994">
        <v>-6.5</v>
      </c>
      <c r="K994">
        <v>93.6</v>
      </c>
      <c r="L994">
        <v>-24.7</v>
      </c>
      <c r="M994">
        <v>98.4</v>
      </c>
      <c r="N994">
        <v>1.4</v>
      </c>
      <c r="O994">
        <v>41.4</v>
      </c>
      <c r="P994">
        <v>-1</v>
      </c>
      <c r="Q994">
        <v>-1</v>
      </c>
      <c r="R994">
        <v>4</v>
      </c>
      <c r="S994">
        <v>3791</v>
      </c>
      <c r="T994">
        <v>0</v>
      </c>
    </row>
    <row r="995" spans="1:20" x14ac:dyDescent="0.25">
      <c r="A995" s="90" t="s">
        <v>126</v>
      </c>
      <c r="B995" s="10">
        <v>46128</v>
      </c>
      <c r="C995" t="s">
        <v>107</v>
      </c>
      <c r="D995" t="s">
        <v>102</v>
      </c>
      <c r="E995" t="s">
        <v>106</v>
      </c>
      <c r="F995">
        <v>142.69999999999999</v>
      </c>
      <c r="G995">
        <v>157.5</v>
      </c>
      <c r="H995">
        <v>102</v>
      </c>
      <c r="I995">
        <v>23.1</v>
      </c>
      <c r="J995">
        <v>-6.6</v>
      </c>
      <c r="K995">
        <v>88.5</v>
      </c>
      <c r="L995">
        <v>-16.399999999999999</v>
      </c>
      <c r="M995">
        <v>84.2</v>
      </c>
      <c r="N995">
        <v>1.21</v>
      </c>
      <c r="O995">
        <v>47.8</v>
      </c>
      <c r="P995">
        <v>-4.4000000000000004</v>
      </c>
      <c r="Q995">
        <v>-3.3</v>
      </c>
      <c r="R995">
        <v>0</v>
      </c>
      <c r="S995">
        <v>5084</v>
      </c>
      <c r="T995">
        <v>0</v>
      </c>
    </row>
    <row r="996" spans="1:20" x14ac:dyDescent="0.25">
      <c r="A996" s="90" t="s">
        <v>126</v>
      </c>
      <c r="B996" s="10">
        <v>46128</v>
      </c>
      <c r="C996" t="s">
        <v>97</v>
      </c>
      <c r="D996" t="s">
        <v>98</v>
      </c>
      <c r="E996" t="s">
        <v>99</v>
      </c>
      <c r="F996">
        <v>10.7</v>
      </c>
      <c r="G996">
        <v>15.5</v>
      </c>
      <c r="H996">
        <v>21.8</v>
      </c>
      <c r="I996">
        <v>33.9</v>
      </c>
      <c r="J996">
        <v>1.2</v>
      </c>
      <c r="K996">
        <v>5.5</v>
      </c>
      <c r="L996">
        <v>0.2</v>
      </c>
      <c r="M996">
        <v>24.6</v>
      </c>
      <c r="N996">
        <v>0.88</v>
      </c>
      <c r="O996">
        <v>35.1</v>
      </c>
      <c r="P996">
        <v>0.7</v>
      </c>
      <c r="Q996">
        <v>9.8000000000000007</v>
      </c>
      <c r="R996">
        <v>0</v>
      </c>
      <c r="S996">
        <v>4053</v>
      </c>
      <c r="T996">
        <v>0</v>
      </c>
    </row>
    <row r="997" spans="1:20" x14ac:dyDescent="0.25">
      <c r="A997" s="90" t="s">
        <v>126</v>
      </c>
      <c r="B997" s="10">
        <v>46128</v>
      </c>
      <c r="C997" t="s">
        <v>116</v>
      </c>
      <c r="D997" t="s">
        <v>102</v>
      </c>
      <c r="E997" t="s">
        <v>115</v>
      </c>
      <c r="F997">
        <v>224.9</v>
      </c>
      <c r="G997">
        <v>247.5</v>
      </c>
      <c r="H997">
        <v>141.19999999999999</v>
      </c>
      <c r="I997">
        <v>10.199999999999999</v>
      </c>
      <c r="J997">
        <v>-5.7</v>
      </c>
      <c r="K997">
        <v>71.7</v>
      </c>
      <c r="L997">
        <v>-22.4</v>
      </c>
      <c r="M997">
        <v>98.4</v>
      </c>
      <c r="N997">
        <v>1.44</v>
      </c>
      <c r="O997">
        <v>34.1</v>
      </c>
      <c r="P997">
        <v>-1</v>
      </c>
      <c r="Q997">
        <v>-1</v>
      </c>
      <c r="R997">
        <v>6</v>
      </c>
      <c r="S997">
        <v>3194</v>
      </c>
      <c r="T997">
        <v>0</v>
      </c>
    </row>
    <row r="998" spans="1:20" x14ac:dyDescent="0.25">
      <c r="A998" s="90" t="s">
        <v>126</v>
      </c>
      <c r="B998" s="10">
        <v>46128</v>
      </c>
      <c r="C998" t="s">
        <v>105</v>
      </c>
      <c r="D998" t="s">
        <v>102</v>
      </c>
      <c r="E998" t="s">
        <v>106</v>
      </c>
      <c r="F998">
        <v>125.2</v>
      </c>
      <c r="G998">
        <v>139.69999999999999</v>
      </c>
      <c r="H998">
        <v>92.5</v>
      </c>
      <c r="I998">
        <v>23.5</v>
      </c>
      <c r="J998">
        <v>-6.9</v>
      </c>
      <c r="K998">
        <v>71.900000000000006</v>
      </c>
      <c r="L998">
        <v>-15.1</v>
      </c>
      <c r="M998">
        <v>86.6</v>
      </c>
      <c r="N998">
        <v>1.07</v>
      </c>
      <c r="O998">
        <v>44.9</v>
      </c>
      <c r="P998">
        <v>-2.4</v>
      </c>
      <c r="Q998">
        <v>-4</v>
      </c>
      <c r="R998">
        <v>0</v>
      </c>
      <c r="S998">
        <v>5058</v>
      </c>
      <c r="T998">
        <v>0</v>
      </c>
    </row>
    <row r="999" spans="1:20" x14ac:dyDescent="0.25">
      <c r="A999" s="90" t="s">
        <v>126</v>
      </c>
      <c r="B999" s="10">
        <v>46128</v>
      </c>
      <c r="C999" t="s">
        <v>105</v>
      </c>
      <c r="D999" t="s">
        <v>102</v>
      </c>
      <c r="E999" t="s">
        <v>106</v>
      </c>
      <c r="F999">
        <v>126.8</v>
      </c>
      <c r="G999">
        <v>140.30000000000001</v>
      </c>
      <c r="H999">
        <v>93.1</v>
      </c>
      <c r="I999">
        <v>27.5</v>
      </c>
      <c r="J999">
        <v>-2.1</v>
      </c>
      <c r="K999">
        <v>88.1</v>
      </c>
      <c r="L999">
        <v>-4.4000000000000004</v>
      </c>
      <c r="M999">
        <v>83</v>
      </c>
      <c r="N999">
        <v>1.1200000000000001</v>
      </c>
      <c r="O999">
        <v>49.6</v>
      </c>
      <c r="P999">
        <v>-4.5999999999999996</v>
      </c>
      <c r="Q999">
        <v>-3.2</v>
      </c>
      <c r="R999">
        <v>0</v>
      </c>
      <c r="S999">
        <v>4795</v>
      </c>
      <c r="T999">
        <v>0</v>
      </c>
    </row>
    <row r="1000" spans="1:20" x14ac:dyDescent="0.25">
      <c r="A1000" s="90" t="s">
        <v>126</v>
      </c>
      <c r="B1000" s="10">
        <v>46128</v>
      </c>
      <c r="C1000" t="s">
        <v>105</v>
      </c>
      <c r="D1000" t="s">
        <v>102</v>
      </c>
      <c r="E1000" t="s">
        <v>106</v>
      </c>
      <c r="F1000">
        <v>124</v>
      </c>
      <c r="G1000">
        <v>138.5</v>
      </c>
      <c r="H1000">
        <v>91.9</v>
      </c>
      <c r="I1000">
        <v>23.8</v>
      </c>
      <c r="J1000">
        <v>-6</v>
      </c>
      <c r="K1000">
        <v>71.8</v>
      </c>
      <c r="L1000">
        <v>-12.8</v>
      </c>
      <c r="M1000">
        <v>84.6</v>
      </c>
      <c r="N1000">
        <v>1.0900000000000001</v>
      </c>
      <c r="O1000">
        <v>45</v>
      </c>
      <c r="P1000">
        <v>-3.9</v>
      </c>
      <c r="Q1000">
        <v>-5.0999999999999996</v>
      </c>
      <c r="R1000">
        <v>0</v>
      </c>
      <c r="S1000">
        <v>5092</v>
      </c>
      <c r="T1000">
        <v>0</v>
      </c>
    </row>
    <row r="1001" spans="1:20" x14ac:dyDescent="0.25">
      <c r="A1001" s="90" t="s">
        <v>126</v>
      </c>
      <c r="B1001" s="10">
        <v>46128</v>
      </c>
      <c r="C1001" t="s">
        <v>105</v>
      </c>
      <c r="D1001" t="s">
        <v>102</v>
      </c>
      <c r="E1001" t="s">
        <v>106</v>
      </c>
      <c r="F1001">
        <v>138.9</v>
      </c>
      <c r="G1001">
        <v>153.5</v>
      </c>
      <c r="H1001">
        <v>99.9</v>
      </c>
      <c r="I1001">
        <v>24.9</v>
      </c>
      <c r="J1001">
        <v>-1.8</v>
      </c>
      <c r="K1001">
        <v>91.9</v>
      </c>
      <c r="L1001">
        <v>-4.3</v>
      </c>
      <c r="M1001">
        <v>85.7</v>
      </c>
      <c r="N1001">
        <v>1.1599999999999999</v>
      </c>
      <c r="O1001">
        <v>49.1</v>
      </c>
      <c r="P1001">
        <v>-4.5</v>
      </c>
      <c r="Q1001">
        <v>-3.7</v>
      </c>
      <c r="R1001">
        <v>0</v>
      </c>
      <c r="S1001">
        <v>5004</v>
      </c>
      <c r="T1001">
        <v>0</v>
      </c>
    </row>
    <row r="1002" spans="1:20" x14ac:dyDescent="0.25">
      <c r="A1002" s="90" t="s">
        <v>126</v>
      </c>
      <c r="B1002" s="10">
        <v>46128</v>
      </c>
      <c r="C1002" t="s">
        <v>116</v>
      </c>
      <c r="D1002" t="s">
        <v>102</v>
      </c>
      <c r="E1002" t="s">
        <v>115</v>
      </c>
      <c r="F1002">
        <v>219.3</v>
      </c>
      <c r="G1002">
        <v>248.4</v>
      </c>
      <c r="H1002">
        <v>142.80000000000001</v>
      </c>
      <c r="I1002">
        <v>7.4</v>
      </c>
      <c r="J1002">
        <v>-6.4</v>
      </c>
      <c r="K1002">
        <v>56.1</v>
      </c>
      <c r="L1002">
        <v>-24.1</v>
      </c>
      <c r="M1002">
        <v>102.6</v>
      </c>
      <c r="N1002">
        <v>1.39</v>
      </c>
      <c r="O1002">
        <v>29.6</v>
      </c>
      <c r="P1002">
        <v>-1</v>
      </c>
      <c r="Q1002">
        <v>-1</v>
      </c>
      <c r="R1002">
        <v>1</v>
      </c>
      <c r="S1002">
        <v>3350</v>
      </c>
      <c r="T1002">
        <v>0</v>
      </c>
    </row>
    <row r="1003" spans="1:20" x14ac:dyDescent="0.25">
      <c r="A1003" s="90" t="s">
        <v>126</v>
      </c>
      <c r="B1003" s="10">
        <v>46128</v>
      </c>
      <c r="C1003" t="s">
        <v>116</v>
      </c>
      <c r="D1003" t="s">
        <v>102</v>
      </c>
      <c r="E1003" t="s">
        <v>115</v>
      </c>
      <c r="F1003">
        <v>220.8</v>
      </c>
      <c r="G1003">
        <v>242.7</v>
      </c>
      <c r="H1003">
        <v>138.69999999999999</v>
      </c>
      <c r="I1003">
        <v>11.3</v>
      </c>
      <c r="J1003">
        <v>-3.9</v>
      </c>
      <c r="K1003">
        <v>80.2</v>
      </c>
      <c r="L1003">
        <v>-14.8</v>
      </c>
      <c r="M1003">
        <v>97.7</v>
      </c>
      <c r="N1003">
        <v>1.42</v>
      </c>
      <c r="O1003">
        <v>37.4</v>
      </c>
      <c r="P1003">
        <v>-1</v>
      </c>
      <c r="Q1003">
        <v>-1</v>
      </c>
      <c r="R1003">
        <v>1</v>
      </c>
      <c r="S1003">
        <v>3556</v>
      </c>
      <c r="T1003">
        <v>0</v>
      </c>
    </row>
    <row r="1004" spans="1:20" x14ac:dyDescent="0.25">
      <c r="A1004" s="90" t="s">
        <v>126</v>
      </c>
      <c r="B1004" s="10">
        <v>46128</v>
      </c>
      <c r="C1004" t="s">
        <v>97</v>
      </c>
      <c r="D1004" t="s">
        <v>98</v>
      </c>
      <c r="E1004" t="s">
        <v>99</v>
      </c>
      <c r="F1004">
        <v>40.799999999999997</v>
      </c>
      <c r="G1004">
        <v>63.2</v>
      </c>
      <c r="H1004">
        <v>55.7</v>
      </c>
      <c r="I1004">
        <v>14</v>
      </c>
      <c r="J1004">
        <v>-4.7</v>
      </c>
      <c r="K1004">
        <v>8.6</v>
      </c>
      <c r="L1004">
        <v>-3.3</v>
      </c>
      <c r="M1004">
        <v>49.2</v>
      </c>
      <c r="N1004">
        <v>1.1299999999999999</v>
      </c>
      <c r="O1004">
        <v>17.2</v>
      </c>
      <c r="P1004">
        <v>-5.2</v>
      </c>
      <c r="Q1004">
        <v>-4.5999999999999996</v>
      </c>
      <c r="R1004">
        <v>0</v>
      </c>
      <c r="S1004">
        <v>3367</v>
      </c>
      <c r="T1004">
        <v>0</v>
      </c>
    </row>
    <row r="1005" spans="1:20" x14ac:dyDescent="0.25">
      <c r="A1005" s="90" t="s">
        <v>126</v>
      </c>
      <c r="B1005" s="10">
        <v>46128</v>
      </c>
      <c r="C1005" t="s">
        <v>97</v>
      </c>
      <c r="D1005" t="s">
        <v>98</v>
      </c>
      <c r="E1005" t="s">
        <v>99</v>
      </c>
      <c r="F1005">
        <v>38.9</v>
      </c>
      <c r="G1005">
        <v>46.5</v>
      </c>
      <c r="H1005">
        <v>43.2</v>
      </c>
      <c r="I1005">
        <v>37.200000000000003</v>
      </c>
      <c r="J1005">
        <v>-2.8</v>
      </c>
      <c r="K1005">
        <v>25.8</v>
      </c>
      <c r="L1005">
        <v>-1.8</v>
      </c>
      <c r="M1005">
        <v>52.5</v>
      </c>
      <c r="N1005">
        <v>0.82</v>
      </c>
      <c r="O1005">
        <v>43.1</v>
      </c>
      <c r="P1005">
        <v>-3.1</v>
      </c>
      <c r="Q1005">
        <v>-2.9</v>
      </c>
      <c r="R1005">
        <v>0</v>
      </c>
      <c r="S1005">
        <v>4396</v>
      </c>
      <c r="T1005">
        <v>0</v>
      </c>
    </row>
    <row r="1006" spans="1:20" x14ac:dyDescent="0.25">
      <c r="A1006" s="90" t="s">
        <v>126</v>
      </c>
      <c r="B1006" s="10">
        <v>46128</v>
      </c>
      <c r="C1006" t="s">
        <v>107</v>
      </c>
      <c r="D1006" t="s">
        <v>102</v>
      </c>
      <c r="E1006" t="s">
        <v>106</v>
      </c>
      <c r="F1006">
        <v>137.19999999999999</v>
      </c>
      <c r="G1006">
        <v>153.9</v>
      </c>
      <c r="H1006">
        <v>99.7</v>
      </c>
      <c r="I1006">
        <v>19.5</v>
      </c>
      <c r="J1006">
        <v>-2</v>
      </c>
      <c r="K1006">
        <v>69.5</v>
      </c>
      <c r="L1006">
        <v>-4.7</v>
      </c>
      <c r="M1006">
        <v>83.6</v>
      </c>
      <c r="N1006">
        <v>1.19</v>
      </c>
      <c r="O1006">
        <v>42.6</v>
      </c>
      <c r="P1006">
        <v>-6</v>
      </c>
      <c r="Q1006">
        <v>-5.0999999999999996</v>
      </c>
      <c r="R1006">
        <v>0</v>
      </c>
      <c r="S1006">
        <v>5410</v>
      </c>
      <c r="T1006">
        <v>0</v>
      </c>
    </row>
    <row r="1007" spans="1:20" x14ac:dyDescent="0.25">
      <c r="A1007" s="90" t="s">
        <v>126</v>
      </c>
      <c r="B1007" s="10">
        <v>46128</v>
      </c>
      <c r="C1007" t="s">
        <v>107</v>
      </c>
      <c r="D1007" t="s">
        <v>102</v>
      </c>
      <c r="E1007" t="s">
        <v>106</v>
      </c>
      <c r="F1007">
        <v>140.9</v>
      </c>
      <c r="G1007">
        <v>155.6</v>
      </c>
      <c r="H1007">
        <v>101.2</v>
      </c>
      <c r="I1007">
        <v>23.9</v>
      </c>
      <c r="J1007">
        <v>-0.8</v>
      </c>
      <c r="K1007">
        <v>90</v>
      </c>
      <c r="L1007">
        <v>-2</v>
      </c>
      <c r="M1007">
        <v>84.7</v>
      </c>
      <c r="N1007">
        <v>1.19</v>
      </c>
      <c r="O1007">
        <v>48.4</v>
      </c>
      <c r="P1007">
        <v>-7.3</v>
      </c>
      <c r="Q1007">
        <v>-6.5</v>
      </c>
      <c r="R1007">
        <v>0</v>
      </c>
      <c r="S1007">
        <v>5134</v>
      </c>
      <c r="T1007">
        <v>0</v>
      </c>
    </row>
    <row r="1008" spans="1:20" x14ac:dyDescent="0.25">
      <c r="A1008" s="90" t="s">
        <v>126</v>
      </c>
      <c r="B1008" s="10">
        <v>46128</v>
      </c>
      <c r="C1008" t="s">
        <v>107</v>
      </c>
      <c r="D1008" t="s">
        <v>102</v>
      </c>
      <c r="E1008" t="s">
        <v>106</v>
      </c>
      <c r="F1008">
        <v>135.6</v>
      </c>
      <c r="G1008">
        <v>151.69999999999999</v>
      </c>
      <c r="H1008">
        <v>98.5</v>
      </c>
      <c r="I1008">
        <v>21.6</v>
      </c>
      <c r="J1008">
        <v>-4.9000000000000004</v>
      </c>
      <c r="K1008">
        <v>75.8</v>
      </c>
      <c r="L1008">
        <v>-11.4</v>
      </c>
      <c r="M1008">
        <v>85.8</v>
      </c>
      <c r="N1008">
        <v>1.1499999999999999</v>
      </c>
      <c r="O1008">
        <v>44.9</v>
      </c>
      <c r="P1008">
        <v>-5.2</v>
      </c>
      <c r="Q1008">
        <v>-6.2</v>
      </c>
      <c r="R1008">
        <v>0</v>
      </c>
      <c r="S1008">
        <v>5294</v>
      </c>
      <c r="T1008">
        <v>0</v>
      </c>
    </row>
    <row r="1009" spans="1:20" x14ac:dyDescent="0.25">
      <c r="A1009" s="90" t="s">
        <v>126</v>
      </c>
      <c r="B1009" s="10">
        <v>46128</v>
      </c>
      <c r="C1009" t="s">
        <v>107</v>
      </c>
      <c r="D1009" t="s">
        <v>102</v>
      </c>
      <c r="E1009" t="s">
        <v>106</v>
      </c>
      <c r="F1009">
        <v>145.5</v>
      </c>
      <c r="G1009">
        <v>160.1</v>
      </c>
      <c r="H1009">
        <v>103.6</v>
      </c>
      <c r="I1009">
        <v>24.8</v>
      </c>
      <c r="J1009">
        <v>0.4</v>
      </c>
      <c r="K1009">
        <v>99.2</v>
      </c>
      <c r="L1009">
        <v>0.9</v>
      </c>
      <c r="M1009">
        <v>86.3</v>
      </c>
      <c r="N1009">
        <v>1.2</v>
      </c>
      <c r="O1009">
        <v>50.2</v>
      </c>
      <c r="P1009">
        <v>-5.7</v>
      </c>
      <c r="Q1009">
        <v>-5.0999999999999996</v>
      </c>
      <c r="R1009">
        <v>0</v>
      </c>
      <c r="S1009">
        <v>4933</v>
      </c>
      <c r="T1009">
        <v>0</v>
      </c>
    </row>
    <row r="1010" spans="1:20" x14ac:dyDescent="0.25">
      <c r="A1010" s="90" t="s">
        <v>126</v>
      </c>
      <c r="B1010" s="10">
        <v>46128</v>
      </c>
      <c r="C1010" t="s">
        <v>116</v>
      </c>
      <c r="D1010" t="s">
        <v>102</v>
      </c>
      <c r="E1010" t="s">
        <v>115</v>
      </c>
      <c r="F1010">
        <v>205.9</v>
      </c>
      <c r="G1010">
        <v>225.5</v>
      </c>
      <c r="H1010">
        <v>134.5</v>
      </c>
      <c r="I1010">
        <v>14</v>
      </c>
      <c r="J1010">
        <v>-5.8</v>
      </c>
      <c r="K1010">
        <v>102.8</v>
      </c>
      <c r="L1010">
        <v>-20.6</v>
      </c>
      <c r="M1010">
        <v>100.5</v>
      </c>
      <c r="N1010">
        <v>1.34</v>
      </c>
      <c r="O1010">
        <v>45.9</v>
      </c>
      <c r="P1010">
        <v>-1</v>
      </c>
      <c r="Q1010">
        <v>-1</v>
      </c>
      <c r="R1010">
        <v>1</v>
      </c>
      <c r="S1010">
        <v>4676</v>
      </c>
      <c r="T1010">
        <v>0</v>
      </c>
    </row>
    <row r="1011" spans="1:20" x14ac:dyDescent="0.25">
      <c r="A1011" s="90" t="s">
        <v>126</v>
      </c>
      <c r="B1011" s="10">
        <v>46128</v>
      </c>
      <c r="C1011" t="s">
        <v>105</v>
      </c>
      <c r="D1011" t="s">
        <v>102</v>
      </c>
      <c r="E1011" t="s">
        <v>106</v>
      </c>
      <c r="F1011">
        <v>129.5</v>
      </c>
      <c r="G1011">
        <v>167.8</v>
      </c>
      <c r="H1011">
        <v>110.1</v>
      </c>
      <c r="I1011">
        <v>4.9000000000000004</v>
      </c>
      <c r="J1011">
        <v>-4.8</v>
      </c>
      <c r="K1011">
        <v>18.600000000000001</v>
      </c>
      <c r="L1011">
        <v>-10.7</v>
      </c>
      <c r="M1011">
        <v>84.1</v>
      </c>
      <c r="N1011">
        <v>1.31</v>
      </c>
      <c r="O1011">
        <v>16.8</v>
      </c>
      <c r="P1011">
        <v>-5.8</v>
      </c>
      <c r="Q1011">
        <v>-2.2999999999999998</v>
      </c>
      <c r="R1011">
        <v>0</v>
      </c>
      <c r="S1011">
        <v>4452</v>
      </c>
      <c r="T1011">
        <v>0</v>
      </c>
    </row>
    <row r="1012" spans="1:20" x14ac:dyDescent="0.25">
      <c r="A1012" s="91" t="s">
        <v>126</v>
      </c>
      <c r="B1012" s="10">
        <v>46150</v>
      </c>
      <c r="C1012" t="s">
        <v>97</v>
      </c>
      <c r="D1012" t="s">
        <v>98</v>
      </c>
      <c r="E1012" t="s">
        <v>99</v>
      </c>
      <c r="F1012">
        <v>42.7</v>
      </c>
      <c r="G1012">
        <v>47</v>
      </c>
      <c r="H1012">
        <v>45.7</v>
      </c>
      <c r="I1012">
        <v>35.200000000000003</v>
      </c>
      <c r="J1012">
        <v>0.7</v>
      </c>
      <c r="K1012">
        <v>26.8</v>
      </c>
      <c r="L1012">
        <v>0.2</v>
      </c>
      <c r="M1012">
        <v>50.7</v>
      </c>
      <c r="N1012">
        <v>0.9</v>
      </c>
      <c r="O1012">
        <v>42.1</v>
      </c>
      <c r="P1012">
        <v>-3.8</v>
      </c>
      <c r="Q1012">
        <v>3.2</v>
      </c>
      <c r="R1012">
        <v>0</v>
      </c>
      <c r="S1012">
        <v>7340</v>
      </c>
      <c r="T1012">
        <v>-3.6</v>
      </c>
    </row>
    <row r="1013" spans="1:20" x14ac:dyDescent="0.25">
      <c r="A1013" s="91" t="s">
        <v>126</v>
      </c>
      <c r="B1013" s="10">
        <v>46150</v>
      </c>
      <c r="C1013" t="s">
        <v>97</v>
      </c>
      <c r="D1013" t="s">
        <v>98</v>
      </c>
      <c r="E1013" t="s">
        <v>99</v>
      </c>
      <c r="F1013">
        <v>53.6</v>
      </c>
      <c r="G1013">
        <v>58</v>
      </c>
      <c r="H1013">
        <v>53.4</v>
      </c>
      <c r="I1013">
        <v>38.799999999999997</v>
      </c>
      <c r="J1013">
        <v>-6.3</v>
      </c>
      <c r="K1013">
        <v>42.1</v>
      </c>
      <c r="L1013">
        <v>-6.8</v>
      </c>
      <c r="M1013">
        <v>67.400000000000006</v>
      </c>
      <c r="N1013">
        <v>0.79</v>
      </c>
      <c r="O1013">
        <v>48.3</v>
      </c>
      <c r="P1013">
        <v>-1.3</v>
      </c>
      <c r="Q1013">
        <v>-1.6</v>
      </c>
      <c r="R1013">
        <v>0</v>
      </c>
      <c r="S1013">
        <v>7098</v>
      </c>
      <c r="T1013">
        <v>-5.0999999999999996</v>
      </c>
    </row>
    <row r="1014" spans="1:20" x14ac:dyDescent="0.25">
      <c r="A1014" s="91" t="s">
        <v>126</v>
      </c>
      <c r="B1014" s="10">
        <v>46150</v>
      </c>
      <c r="C1014" t="s">
        <v>97</v>
      </c>
      <c r="D1014" t="s">
        <v>98</v>
      </c>
      <c r="E1014" t="s">
        <v>99</v>
      </c>
      <c r="F1014">
        <v>67.8</v>
      </c>
      <c r="G1014">
        <v>71.099999999999994</v>
      </c>
      <c r="H1014">
        <v>62.9</v>
      </c>
      <c r="I1014">
        <v>38.6</v>
      </c>
      <c r="J1014">
        <v>-8.4</v>
      </c>
      <c r="K1014">
        <v>57.3</v>
      </c>
      <c r="L1014">
        <v>-15.2</v>
      </c>
      <c r="M1014">
        <v>72.400000000000006</v>
      </c>
      <c r="N1014">
        <v>0.87</v>
      </c>
      <c r="O1014">
        <v>51</v>
      </c>
      <c r="P1014">
        <v>3.1</v>
      </c>
      <c r="Q1014">
        <v>0.2</v>
      </c>
      <c r="R1014">
        <v>0</v>
      </c>
      <c r="S1014">
        <v>6731</v>
      </c>
      <c r="T1014">
        <v>-18.100000000000001</v>
      </c>
    </row>
    <row r="1015" spans="1:20" x14ac:dyDescent="0.25">
      <c r="A1015" s="91" t="s">
        <v>126</v>
      </c>
      <c r="B1015" s="10">
        <v>46150</v>
      </c>
      <c r="C1015" t="s">
        <v>97</v>
      </c>
      <c r="D1015" t="s">
        <v>98</v>
      </c>
      <c r="E1015" t="s">
        <v>99</v>
      </c>
      <c r="F1015">
        <v>68.900000000000006</v>
      </c>
      <c r="G1015">
        <v>71.099999999999994</v>
      </c>
      <c r="H1015">
        <v>62.9</v>
      </c>
      <c r="I1015">
        <v>38</v>
      </c>
      <c r="J1015">
        <v>-6.4</v>
      </c>
      <c r="K1015">
        <v>56.8</v>
      </c>
      <c r="L1015">
        <v>-11.2</v>
      </c>
      <c r="M1015">
        <v>72.400000000000006</v>
      </c>
      <c r="N1015">
        <v>0.87</v>
      </c>
      <c r="O1015">
        <v>51.1</v>
      </c>
      <c r="P1015">
        <v>-2.7</v>
      </c>
      <c r="Q1015">
        <v>0.3</v>
      </c>
      <c r="R1015">
        <v>0</v>
      </c>
      <c r="S1015">
        <v>9017</v>
      </c>
      <c r="T1015">
        <v>-11.6</v>
      </c>
    </row>
    <row r="1016" spans="1:20" x14ac:dyDescent="0.25">
      <c r="A1016" s="91" t="s">
        <v>126</v>
      </c>
      <c r="B1016" s="10">
        <v>46150</v>
      </c>
      <c r="C1016" t="s">
        <v>97</v>
      </c>
      <c r="D1016" t="s">
        <v>98</v>
      </c>
      <c r="E1016" t="s">
        <v>99</v>
      </c>
      <c r="F1016">
        <v>60.2</v>
      </c>
      <c r="G1016">
        <v>62.4</v>
      </c>
      <c r="H1016">
        <v>57.6</v>
      </c>
      <c r="I1016">
        <v>38.1</v>
      </c>
      <c r="J1016">
        <v>-1.8</v>
      </c>
      <c r="K1016">
        <v>48.1</v>
      </c>
      <c r="L1016">
        <v>-3</v>
      </c>
      <c r="M1016">
        <v>72.400000000000006</v>
      </c>
      <c r="N1016">
        <v>0.8</v>
      </c>
      <c r="O1016">
        <v>49.7</v>
      </c>
      <c r="P1016">
        <v>-4.3</v>
      </c>
      <c r="Q1016">
        <v>-1.6</v>
      </c>
      <c r="R1016">
        <v>0</v>
      </c>
      <c r="S1016">
        <v>10119</v>
      </c>
      <c r="T1016">
        <v>-4.9000000000000004</v>
      </c>
    </row>
    <row r="1017" spans="1:20" x14ac:dyDescent="0.25">
      <c r="A1017" s="91" t="s">
        <v>126</v>
      </c>
      <c r="B1017" s="10">
        <v>46150</v>
      </c>
      <c r="C1017" t="s">
        <v>97</v>
      </c>
      <c r="D1017" t="s">
        <v>98</v>
      </c>
      <c r="E1017" t="s">
        <v>99</v>
      </c>
      <c r="F1017">
        <v>66.7</v>
      </c>
      <c r="G1017">
        <v>70</v>
      </c>
      <c r="H1017">
        <v>61.7</v>
      </c>
      <c r="I1017">
        <v>35.6</v>
      </c>
      <c r="J1017">
        <v>-8</v>
      </c>
      <c r="K1017">
        <v>50.4</v>
      </c>
      <c r="L1017">
        <v>-10.8</v>
      </c>
      <c r="M1017">
        <v>74</v>
      </c>
      <c r="N1017">
        <v>0.83</v>
      </c>
      <c r="O1017">
        <v>48.5</v>
      </c>
      <c r="P1017">
        <v>-3.2</v>
      </c>
      <c r="Q1017">
        <v>-4.3</v>
      </c>
      <c r="R1017">
        <v>0</v>
      </c>
      <c r="S1017">
        <v>9996</v>
      </c>
      <c r="T1017">
        <v>-5.5</v>
      </c>
    </row>
    <row r="1018" spans="1:20" x14ac:dyDescent="0.25">
      <c r="A1018" s="91" t="s">
        <v>126</v>
      </c>
      <c r="B1018" s="10">
        <v>46150</v>
      </c>
      <c r="C1018" t="s">
        <v>97</v>
      </c>
      <c r="D1018" t="s">
        <v>98</v>
      </c>
      <c r="E1018" t="s">
        <v>99</v>
      </c>
      <c r="F1018">
        <v>58</v>
      </c>
      <c r="G1018">
        <v>60.2</v>
      </c>
      <c r="H1018">
        <v>56.8</v>
      </c>
      <c r="I1018">
        <v>41.9</v>
      </c>
      <c r="J1018">
        <v>0.5</v>
      </c>
      <c r="K1018">
        <v>53.1</v>
      </c>
      <c r="L1018">
        <v>-0.2</v>
      </c>
      <c r="M1018">
        <v>72.900000000000006</v>
      </c>
      <c r="N1018">
        <v>0.78</v>
      </c>
      <c r="O1018">
        <v>53</v>
      </c>
      <c r="P1018">
        <v>-4.5</v>
      </c>
      <c r="Q1018">
        <v>-0.3</v>
      </c>
      <c r="R1018">
        <v>0</v>
      </c>
      <c r="S1018">
        <v>8966</v>
      </c>
      <c r="T1018">
        <v>-3.1</v>
      </c>
    </row>
    <row r="1019" spans="1:20" x14ac:dyDescent="0.25">
      <c r="A1019" s="91" t="s">
        <v>126</v>
      </c>
      <c r="B1019" s="10">
        <v>46150</v>
      </c>
      <c r="C1019" t="s">
        <v>97</v>
      </c>
      <c r="D1019" t="s">
        <v>98</v>
      </c>
      <c r="E1019" t="s">
        <v>99</v>
      </c>
      <c r="F1019">
        <v>62.4</v>
      </c>
      <c r="G1019">
        <v>64.5</v>
      </c>
      <c r="H1019">
        <v>59.2</v>
      </c>
      <c r="I1019">
        <v>40.700000000000003</v>
      </c>
      <c r="J1019">
        <v>-6.2</v>
      </c>
      <c r="K1019">
        <v>55.4</v>
      </c>
      <c r="L1019">
        <v>-7.8</v>
      </c>
      <c r="M1019">
        <v>76.8</v>
      </c>
      <c r="N1019">
        <v>0.77</v>
      </c>
      <c r="O1019">
        <v>52.5</v>
      </c>
      <c r="P1019">
        <v>-5.7</v>
      </c>
      <c r="Q1019">
        <v>-4.5999999999999996</v>
      </c>
      <c r="R1019">
        <v>0</v>
      </c>
      <c r="S1019">
        <v>8658</v>
      </c>
      <c r="T1019">
        <v>-4.2</v>
      </c>
    </row>
    <row r="1020" spans="1:20" x14ac:dyDescent="0.25">
      <c r="A1020" s="91" t="s">
        <v>126</v>
      </c>
      <c r="B1020" s="10">
        <v>46150</v>
      </c>
      <c r="C1020" t="s">
        <v>97</v>
      </c>
      <c r="D1020" t="s">
        <v>98</v>
      </c>
      <c r="E1020" t="s">
        <v>99</v>
      </c>
      <c r="F1020">
        <v>23</v>
      </c>
      <c r="G1020">
        <v>31.7</v>
      </c>
      <c r="H1020">
        <v>35.1</v>
      </c>
      <c r="I1020">
        <v>25.9</v>
      </c>
      <c r="J1020">
        <v>-4.2</v>
      </c>
      <c r="K1020">
        <v>9.1999999999999993</v>
      </c>
      <c r="L1020">
        <v>-1.6</v>
      </c>
      <c r="M1020">
        <v>38</v>
      </c>
      <c r="N1020">
        <v>0.92</v>
      </c>
      <c r="O1020">
        <v>28.6</v>
      </c>
      <c r="P1020">
        <v>-10</v>
      </c>
      <c r="Q1020">
        <v>2.1</v>
      </c>
      <c r="R1020">
        <v>0</v>
      </c>
      <c r="S1020">
        <v>5710</v>
      </c>
      <c r="T1020">
        <v>1.6</v>
      </c>
    </row>
    <row r="1021" spans="1:20" x14ac:dyDescent="0.25">
      <c r="A1021" s="91" t="s">
        <v>126</v>
      </c>
      <c r="B1021" s="10">
        <v>46150</v>
      </c>
      <c r="C1021" t="s">
        <v>100</v>
      </c>
      <c r="D1021" t="s">
        <v>98</v>
      </c>
      <c r="E1021" t="s">
        <v>99</v>
      </c>
      <c r="F1021">
        <v>79.900000000000006</v>
      </c>
      <c r="G1021">
        <v>82.1</v>
      </c>
      <c r="H1021">
        <v>70.099999999999994</v>
      </c>
      <c r="I1021">
        <v>35</v>
      </c>
      <c r="J1021">
        <v>-8</v>
      </c>
      <c r="K1021">
        <v>64.099999999999994</v>
      </c>
      <c r="L1021">
        <v>-13</v>
      </c>
      <c r="M1021">
        <v>74.599999999999994</v>
      </c>
      <c r="N1021">
        <v>0.94</v>
      </c>
      <c r="O1021">
        <v>51</v>
      </c>
      <c r="P1021">
        <v>-2.2000000000000002</v>
      </c>
      <c r="Q1021">
        <v>-4.7</v>
      </c>
      <c r="R1021">
        <v>0</v>
      </c>
      <c r="S1021">
        <v>10209</v>
      </c>
      <c r="T1021">
        <v>-4.5</v>
      </c>
    </row>
    <row r="1022" spans="1:20" x14ac:dyDescent="0.25">
      <c r="A1022" s="91" t="s">
        <v>126</v>
      </c>
      <c r="B1022" s="10">
        <v>46150</v>
      </c>
      <c r="C1022" t="s">
        <v>100</v>
      </c>
      <c r="D1022" t="s">
        <v>98</v>
      </c>
      <c r="E1022" t="s">
        <v>99</v>
      </c>
      <c r="F1022">
        <v>74.400000000000006</v>
      </c>
      <c r="G1022">
        <v>76.599999999999994</v>
      </c>
      <c r="H1022">
        <v>66.599999999999994</v>
      </c>
      <c r="I1022">
        <v>34.6</v>
      </c>
      <c r="J1022">
        <v>-2.2000000000000002</v>
      </c>
      <c r="K1022">
        <v>56.6</v>
      </c>
      <c r="L1022">
        <v>-4.7</v>
      </c>
      <c r="M1022">
        <v>74.599999999999994</v>
      </c>
      <c r="N1022">
        <v>0.89</v>
      </c>
      <c r="O1022">
        <v>49.3</v>
      </c>
      <c r="P1022">
        <v>-4.2</v>
      </c>
      <c r="Q1022">
        <v>1.4</v>
      </c>
      <c r="R1022">
        <v>0</v>
      </c>
      <c r="S1022">
        <v>10707</v>
      </c>
      <c r="T1022">
        <v>-5.4</v>
      </c>
    </row>
    <row r="1023" spans="1:20" x14ac:dyDescent="0.25">
      <c r="A1023" s="91" t="s">
        <v>126</v>
      </c>
      <c r="B1023" s="10">
        <v>46150</v>
      </c>
      <c r="C1023" t="s">
        <v>100</v>
      </c>
      <c r="D1023" t="s">
        <v>98</v>
      </c>
      <c r="E1023" t="s">
        <v>99</v>
      </c>
      <c r="F1023">
        <v>77.7</v>
      </c>
      <c r="G1023">
        <v>79.900000000000006</v>
      </c>
      <c r="H1023">
        <v>68.5</v>
      </c>
      <c r="I1023">
        <v>35</v>
      </c>
      <c r="J1023">
        <v>-8.6</v>
      </c>
      <c r="K1023">
        <v>61.1</v>
      </c>
      <c r="L1023">
        <v>-13.6</v>
      </c>
      <c r="M1023">
        <v>74</v>
      </c>
      <c r="N1023">
        <v>0.93</v>
      </c>
      <c r="O1023">
        <v>50.5</v>
      </c>
      <c r="P1023">
        <v>-4.9000000000000004</v>
      </c>
      <c r="Q1023">
        <v>-4.2</v>
      </c>
      <c r="R1023">
        <v>0</v>
      </c>
      <c r="S1023">
        <v>10551</v>
      </c>
      <c r="T1023">
        <v>-5.0999999999999996</v>
      </c>
    </row>
    <row r="1024" spans="1:20" x14ac:dyDescent="0.25">
      <c r="A1024" s="91" t="s">
        <v>126</v>
      </c>
      <c r="B1024" s="10">
        <v>46150</v>
      </c>
      <c r="C1024" t="s">
        <v>100</v>
      </c>
      <c r="D1024" t="s">
        <v>98</v>
      </c>
      <c r="E1024" t="s">
        <v>99</v>
      </c>
      <c r="F1024">
        <v>73.3</v>
      </c>
      <c r="G1024">
        <v>74.400000000000006</v>
      </c>
      <c r="H1024">
        <v>65.5</v>
      </c>
      <c r="I1024">
        <v>37.299999999999997</v>
      </c>
      <c r="J1024">
        <v>-6.4</v>
      </c>
      <c r="K1024">
        <v>60.3</v>
      </c>
      <c r="L1024">
        <v>-9.9</v>
      </c>
      <c r="M1024">
        <v>75.7</v>
      </c>
      <c r="N1024">
        <v>0.86</v>
      </c>
      <c r="O1024">
        <v>51.4</v>
      </c>
      <c r="P1024">
        <v>-3.8</v>
      </c>
      <c r="Q1024">
        <v>-5</v>
      </c>
      <c r="R1024">
        <v>0</v>
      </c>
      <c r="S1024">
        <v>9500</v>
      </c>
      <c r="T1024">
        <v>-5.5</v>
      </c>
    </row>
    <row r="1025" spans="1:20" x14ac:dyDescent="0.25">
      <c r="A1025" s="91" t="s">
        <v>126</v>
      </c>
      <c r="B1025" s="10">
        <v>46150</v>
      </c>
      <c r="C1025" t="s">
        <v>100</v>
      </c>
      <c r="D1025" t="s">
        <v>98</v>
      </c>
      <c r="E1025" t="s">
        <v>99</v>
      </c>
      <c r="F1025">
        <v>67.8</v>
      </c>
      <c r="G1025">
        <v>70</v>
      </c>
      <c r="H1025">
        <v>62.4</v>
      </c>
      <c r="I1025">
        <v>37.6</v>
      </c>
      <c r="J1025">
        <v>-6.3</v>
      </c>
      <c r="K1025">
        <v>55.3</v>
      </c>
      <c r="L1025">
        <v>-9.3000000000000007</v>
      </c>
      <c r="M1025">
        <v>70.099999999999994</v>
      </c>
      <c r="N1025">
        <v>0.89</v>
      </c>
      <c r="O1025">
        <v>50.4</v>
      </c>
      <c r="P1025">
        <v>-3.1</v>
      </c>
      <c r="Q1025">
        <v>-2</v>
      </c>
      <c r="R1025">
        <v>0</v>
      </c>
      <c r="S1025">
        <v>8418</v>
      </c>
      <c r="T1025">
        <v>-6.3</v>
      </c>
    </row>
    <row r="1026" spans="1:20" x14ac:dyDescent="0.25">
      <c r="A1026" s="91" t="s">
        <v>126</v>
      </c>
      <c r="B1026" s="10">
        <v>46150</v>
      </c>
      <c r="C1026" t="s">
        <v>101</v>
      </c>
      <c r="D1026" t="s">
        <v>102</v>
      </c>
      <c r="E1026" t="s">
        <v>103</v>
      </c>
      <c r="F1026">
        <v>100.6</v>
      </c>
      <c r="G1026">
        <v>103.9</v>
      </c>
      <c r="H1026">
        <v>81.3</v>
      </c>
      <c r="I1026">
        <v>27.1</v>
      </c>
      <c r="J1026">
        <v>-6.8</v>
      </c>
      <c r="K1026">
        <v>63.9</v>
      </c>
      <c r="L1026">
        <v>-13</v>
      </c>
      <c r="M1026">
        <v>79</v>
      </c>
      <c r="N1026">
        <v>1.03</v>
      </c>
      <c r="O1026">
        <v>46.5</v>
      </c>
      <c r="P1026">
        <v>-3.5</v>
      </c>
      <c r="Q1026">
        <v>-3.7</v>
      </c>
      <c r="R1026">
        <v>0</v>
      </c>
      <c r="S1026">
        <v>9864</v>
      </c>
      <c r="T1026">
        <v>-2</v>
      </c>
    </row>
    <row r="1027" spans="1:20" x14ac:dyDescent="0.25">
      <c r="A1027" s="91" t="s">
        <v>126</v>
      </c>
      <c r="B1027" s="10">
        <v>46150</v>
      </c>
      <c r="C1027" t="s">
        <v>101</v>
      </c>
      <c r="D1027" t="s">
        <v>102</v>
      </c>
      <c r="E1027" t="s">
        <v>103</v>
      </c>
      <c r="F1027">
        <v>101.7</v>
      </c>
      <c r="G1027">
        <v>102.8</v>
      </c>
      <c r="H1027">
        <v>83.2</v>
      </c>
      <c r="I1027">
        <v>31.2</v>
      </c>
      <c r="J1027">
        <v>-2.6</v>
      </c>
      <c r="K1027">
        <v>79.2</v>
      </c>
      <c r="L1027">
        <v>-5.4</v>
      </c>
      <c r="M1027">
        <v>82.9</v>
      </c>
      <c r="N1027">
        <v>1</v>
      </c>
      <c r="O1027">
        <v>51.9</v>
      </c>
      <c r="P1027">
        <v>-3.5</v>
      </c>
      <c r="Q1027">
        <v>-1.7</v>
      </c>
      <c r="R1027">
        <v>0</v>
      </c>
      <c r="S1027">
        <v>11070</v>
      </c>
      <c r="T1027">
        <v>-1.4</v>
      </c>
    </row>
    <row r="1028" spans="1:20" x14ac:dyDescent="0.25">
      <c r="A1028" s="91" t="s">
        <v>126</v>
      </c>
      <c r="B1028" s="10">
        <v>46150</v>
      </c>
      <c r="C1028" t="s">
        <v>101</v>
      </c>
      <c r="D1028" t="s">
        <v>102</v>
      </c>
      <c r="E1028" t="s">
        <v>103</v>
      </c>
      <c r="F1028">
        <v>100.6</v>
      </c>
      <c r="G1028">
        <v>101.7</v>
      </c>
      <c r="H1028">
        <v>82.3</v>
      </c>
      <c r="I1028">
        <v>31</v>
      </c>
      <c r="J1028">
        <v>-2.7</v>
      </c>
      <c r="K1028">
        <v>76.599999999999994</v>
      </c>
      <c r="L1028">
        <v>-3.1</v>
      </c>
      <c r="M1028">
        <v>80.2</v>
      </c>
      <c r="N1028">
        <v>1.03</v>
      </c>
      <c r="O1028">
        <v>51.3</v>
      </c>
      <c r="P1028">
        <v>-6.4</v>
      </c>
      <c r="Q1028">
        <v>-3.6</v>
      </c>
      <c r="R1028">
        <v>0</v>
      </c>
      <c r="S1028">
        <v>11153</v>
      </c>
      <c r="T1028">
        <v>2.6</v>
      </c>
    </row>
    <row r="1029" spans="1:20" x14ac:dyDescent="0.25">
      <c r="A1029" s="91" t="s">
        <v>126</v>
      </c>
      <c r="B1029" s="10">
        <v>46150</v>
      </c>
      <c r="C1029" t="s">
        <v>101</v>
      </c>
      <c r="D1029" t="s">
        <v>102</v>
      </c>
      <c r="E1029" t="s">
        <v>103</v>
      </c>
      <c r="F1029">
        <v>94.1</v>
      </c>
      <c r="G1029">
        <v>96.3</v>
      </c>
      <c r="H1029">
        <v>78.2</v>
      </c>
      <c r="I1029">
        <v>30.6</v>
      </c>
      <c r="J1029">
        <v>-3.6</v>
      </c>
      <c r="K1029">
        <v>68</v>
      </c>
      <c r="L1029">
        <v>-4.8</v>
      </c>
      <c r="M1029">
        <v>81.2</v>
      </c>
      <c r="N1029">
        <v>0.96</v>
      </c>
      <c r="O1029">
        <v>49.4</v>
      </c>
      <c r="P1029">
        <v>-7.5</v>
      </c>
      <c r="Q1029">
        <v>-4.7</v>
      </c>
      <c r="R1029">
        <v>0</v>
      </c>
      <c r="S1029">
        <v>10867</v>
      </c>
      <c r="T1029">
        <v>2</v>
      </c>
    </row>
    <row r="1030" spans="1:20" x14ac:dyDescent="0.25">
      <c r="A1030" s="91" t="s">
        <v>126</v>
      </c>
      <c r="B1030" s="10">
        <v>46150</v>
      </c>
      <c r="C1030" t="s">
        <v>101</v>
      </c>
      <c r="D1030" t="s">
        <v>102</v>
      </c>
      <c r="E1030" t="s">
        <v>103</v>
      </c>
      <c r="F1030">
        <v>105</v>
      </c>
      <c r="G1030">
        <v>107.2</v>
      </c>
      <c r="H1030">
        <v>84.5</v>
      </c>
      <c r="I1030">
        <v>29.9</v>
      </c>
      <c r="J1030">
        <v>-5.8</v>
      </c>
      <c r="K1030">
        <v>77.8</v>
      </c>
      <c r="L1030">
        <v>-15.6</v>
      </c>
      <c r="M1030">
        <v>78.5</v>
      </c>
      <c r="N1030">
        <v>1.08</v>
      </c>
      <c r="O1030">
        <v>50.7</v>
      </c>
      <c r="P1030">
        <v>-4.4000000000000004</v>
      </c>
      <c r="Q1030">
        <v>-1.7</v>
      </c>
      <c r="R1030">
        <v>0</v>
      </c>
      <c r="S1030">
        <v>9421</v>
      </c>
      <c r="T1030">
        <v>-7.6</v>
      </c>
    </row>
    <row r="1031" spans="1:20" x14ac:dyDescent="0.25">
      <c r="A1031" s="91" t="s">
        <v>126</v>
      </c>
      <c r="B1031" s="10">
        <v>46150</v>
      </c>
      <c r="C1031" t="s">
        <v>101</v>
      </c>
      <c r="D1031" t="s">
        <v>102</v>
      </c>
      <c r="E1031" t="s">
        <v>103</v>
      </c>
      <c r="F1031">
        <v>98.5</v>
      </c>
      <c r="G1031">
        <v>99.6</v>
      </c>
      <c r="H1031">
        <v>80.7</v>
      </c>
      <c r="I1031">
        <v>28.7</v>
      </c>
      <c r="J1031">
        <v>-5.3</v>
      </c>
      <c r="K1031">
        <v>66.7</v>
      </c>
      <c r="L1031">
        <v>-7.9</v>
      </c>
      <c r="M1031">
        <v>80.7</v>
      </c>
      <c r="N1031">
        <v>1</v>
      </c>
      <c r="O1031">
        <v>48.4</v>
      </c>
      <c r="P1031">
        <v>-8</v>
      </c>
      <c r="Q1031">
        <v>-7.2</v>
      </c>
      <c r="R1031">
        <v>0</v>
      </c>
      <c r="S1031">
        <v>11832</v>
      </c>
      <c r="T1031">
        <v>1.9</v>
      </c>
    </row>
    <row r="1032" spans="1:20" x14ac:dyDescent="0.25">
      <c r="A1032" s="91" t="s">
        <v>126</v>
      </c>
      <c r="B1032" s="10">
        <v>46150</v>
      </c>
      <c r="C1032" t="s">
        <v>101</v>
      </c>
      <c r="D1032" t="s">
        <v>102</v>
      </c>
      <c r="E1032" t="s">
        <v>103</v>
      </c>
      <c r="F1032">
        <v>102.8</v>
      </c>
      <c r="G1032">
        <v>105</v>
      </c>
      <c r="H1032">
        <v>83.1</v>
      </c>
      <c r="I1032">
        <v>29.7</v>
      </c>
      <c r="J1032">
        <v>-7.2</v>
      </c>
      <c r="K1032">
        <v>74.7</v>
      </c>
      <c r="L1032">
        <v>-16.5</v>
      </c>
      <c r="M1032">
        <v>80.099999999999994</v>
      </c>
      <c r="N1032">
        <v>1.04</v>
      </c>
      <c r="O1032">
        <v>49.9</v>
      </c>
      <c r="P1032">
        <v>-4.3</v>
      </c>
      <c r="Q1032">
        <v>-3.8</v>
      </c>
      <c r="R1032">
        <v>0</v>
      </c>
      <c r="S1032">
        <v>9254</v>
      </c>
      <c r="T1032">
        <v>-5.8</v>
      </c>
    </row>
    <row r="1033" spans="1:20" x14ac:dyDescent="0.25">
      <c r="A1033" s="91" t="s">
        <v>126</v>
      </c>
      <c r="B1033" s="10">
        <v>46150</v>
      </c>
      <c r="C1033" t="s">
        <v>101</v>
      </c>
      <c r="D1033" t="s">
        <v>102</v>
      </c>
      <c r="E1033" t="s">
        <v>103</v>
      </c>
      <c r="F1033">
        <v>95.2</v>
      </c>
      <c r="G1033">
        <v>101.7</v>
      </c>
      <c r="H1033">
        <v>79.599999999999994</v>
      </c>
      <c r="I1033">
        <v>22.3</v>
      </c>
      <c r="J1033">
        <v>2.2999999999999998</v>
      </c>
      <c r="K1033">
        <v>45.6</v>
      </c>
      <c r="L1033">
        <v>13.2</v>
      </c>
      <c r="M1033">
        <v>79</v>
      </c>
      <c r="N1033">
        <v>1.01</v>
      </c>
      <c r="O1033">
        <v>39</v>
      </c>
      <c r="P1033">
        <v>-5</v>
      </c>
      <c r="Q1033">
        <v>-3.8</v>
      </c>
      <c r="R1033">
        <v>0</v>
      </c>
      <c r="S1033">
        <v>9274</v>
      </c>
      <c r="T1033">
        <v>18.3</v>
      </c>
    </row>
    <row r="1034" spans="1:20" x14ac:dyDescent="0.25">
      <c r="A1034" s="91" t="s">
        <v>126</v>
      </c>
      <c r="B1034" s="10">
        <v>46150</v>
      </c>
      <c r="C1034" t="s">
        <v>101</v>
      </c>
      <c r="D1034" t="s">
        <v>102</v>
      </c>
      <c r="E1034" t="s">
        <v>103</v>
      </c>
      <c r="F1034">
        <v>100.6</v>
      </c>
      <c r="G1034">
        <v>107.2</v>
      </c>
      <c r="H1034">
        <v>81.7</v>
      </c>
      <c r="I1034">
        <v>24.1</v>
      </c>
      <c r="J1034">
        <v>-7</v>
      </c>
      <c r="K1034">
        <v>55.5</v>
      </c>
      <c r="L1034">
        <v>-12.2</v>
      </c>
      <c r="M1034">
        <v>76.2</v>
      </c>
      <c r="N1034">
        <v>1.07</v>
      </c>
      <c r="O1034">
        <v>42.8</v>
      </c>
      <c r="P1034">
        <v>-6.8</v>
      </c>
      <c r="Q1034">
        <v>-3.6</v>
      </c>
      <c r="R1034">
        <v>0</v>
      </c>
      <c r="S1034">
        <v>9418</v>
      </c>
      <c r="T1034">
        <v>0.2</v>
      </c>
    </row>
    <row r="1035" spans="1:20" x14ac:dyDescent="0.25">
      <c r="A1035" s="91" t="s">
        <v>126</v>
      </c>
      <c r="B1035" s="10">
        <v>46150</v>
      </c>
      <c r="C1035" t="s">
        <v>101</v>
      </c>
      <c r="D1035" t="s">
        <v>102</v>
      </c>
      <c r="E1035" t="s">
        <v>103</v>
      </c>
      <c r="F1035">
        <v>96.3</v>
      </c>
      <c r="G1035">
        <v>99.6</v>
      </c>
      <c r="H1035">
        <v>79.2</v>
      </c>
      <c r="I1035">
        <v>27.8</v>
      </c>
      <c r="J1035">
        <v>-5.0999999999999996</v>
      </c>
      <c r="K1035">
        <v>62</v>
      </c>
      <c r="L1035">
        <v>-7</v>
      </c>
      <c r="M1035">
        <v>79.599999999999994</v>
      </c>
      <c r="N1035">
        <v>1</v>
      </c>
      <c r="O1035">
        <v>46.5</v>
      </c>
      <c r="P1035">
        <v>-6.7</v>
      </c>
      <c r="Q1035">
        <v>-3.9</v>
      </c>
      <c r="R1035">
        <v>0</v>
      </c>
      <c r="S1035">
        <v>10258</v>
      </c>
      <c r="T1035">
        <v>2.7</v>
      </c>
    </row>
    <row r="1036" spans="1:20" x14ac:dyDescent="0.25">
      <c r="A1036" s="91" t="s">
        <v>126</v>
      </c>
      <c r="B1036" s="10">
        <v>46150</v>
      </c>
      <c r="C1036" t="s">
        <v>101</v>
      </c>
      <c r="D1036" t="s">
        <v>102</v>
      </c>
      <c r="E1036" t="s">
        <v>103</v>
      </c>
      <c r="F1036">
        <v>86.4</v>
      </c>
      <c r="G1036">
        <v>95.2</v>
      </c>
      <c r="H1036">
        <v>84.8</v>
      </c>
      <c r="I1036">
        <v>15.6</v>
      </c>
      <c r="J1036">
        <v>15.4</v>
      </c>
      <c r="K1036">
        <v>26.6</v>
      </c>
      <c r="L1036">
        <v>38.799999999999997</v>
      </c>
      <c r="M1036">
        <v>79.599999999999994</v>
      </c>
      <c r="N1036">
        <v>1.07</v>
      </c>
      <c r="O1036">
        <v>27.8</v>
      </c>
      <c r="P1036">
        <v>-6.9</v>
      </c>
      <c r="Q1036">
        <v>-2.7</v>
      </c>
      <c r="R1036">
        <v>0</v>
      </c>
      <c r="S1036">
        <v>10102</v>
      </c>
      <c r="T1036">
        <v>43.3</v>
      </c>
    </row>
    <row r="1037" spans="1:20" x14ac:dyDescent="0.25">
      <c r="A1037" s="91" t="s">
        <v>126</v>
      </c>
      <c r="B1037" s="10">
        <v>46150</v>
      </c>
      <c r="C1037" t="s">
        <v>101</v>
      </c>
      <c r="D1037" t="s">
        <v>102</v>
      </c>
      <c r="E1037" t="s">
        <v>103</v>
      </c>
      <c r="F1037">
        <v>94.1</v>
      </c>
      <c r="G1037">
        <v>97.4</v>
      </c>
      <c r="H1037">
        <v>78.2</v>
      </c>
      <c r="I1037">
        <v>29.8</v>
      </c>
      <c r="J1037">
        <v>-5.0999999999999996</v>
      </c>
      <c r="K1037">
        <v>65.7</v>
      </c>
      <c r="L1037">
        <v>-7.8</v>
      </c>
      <c r="M1037">
        <v>81.2</v>
      </c>
      <c r="N1037">
        <v>0.96</v>
      </c>
      <c r="O1037">
        <v>48.5</v>
      </c>
      <c r="P1037">
        <v>-7.8</v>
      </c>
      <c r="Q1037">
        <v>-4.7</v>
      </c>
      <c r="R1037">
        <v>0</v>
      </c>
      <c r="S1037">
        <v>10608</v>
      </c>
      <c r="T1037">
        <v>1.1000000000000001</v>
      </c>
    </row>
    <row r="1038" spans="1:20" x14ac:dyDescent="0.25">
      <c r="A1038" s="91" t="s">
        <v>126</v>
      </c>
      <c r="B1038" s="10">
        <v>46150</v>
      </c>
      <c r="C1038" t="s">
        <v>101</v>
      </c>
      <c r="D1038" t="s">
        <v>102</v>
      </c>
      <c r="E1038" t="s">
        <v>103</v>
      </c>
      <c r="F1038">
        <v>101.7</v>
      </c>
      <c r="G1038">
        <v>107.2</v>
      </c>
      <c r="H1038">
        <v>82.4</v>
      </c>
      <c r="I1038">
        <v>23.2</v>
      </c>
      <c r="J1038">
        <v>-7.7</v>
      </c>
      <c r="K1038">
        <v>53.9</v>
      </c>
      <c r="L1038">
        <v>-14.3</v>
      </c>
      <c r="M1038">
        <v>76.8</v>
      </c>
      <c r="N1038">
        <v>1.07</v>
      </c>
      <c r="O1038">
        <v>41.9</v>
      </c>
      <c r="P1038">
        <v>-8.1999999999999993</v>
      </c>
      <c r="Q1038">
        <v>-3.7</v>
      </c>
      <c r="R1038">
        <v>0</v>
      </c>
      <c r="S1038">
        <v>9251</v>
      </c>
      <c r="T1038">
        <v>-1.3</v>
      </c>
    </row>
    <row r="1039" spans="1:20" x14ac:dyDescent="0.25">
      <c r="A1039" s="91" t="s">
        <v>126</v>
      </c>
      <c r="B1039" s="10">
        <v>46150</v>
      </c>
      <c r="C1039" t="s">
        <v>101</v>
      </c>
      <c r="D1039" t="s">
        <v>102</v>
      </c>
      <c r="E1039" t="s">
        <v>103</v>
      </c>
      <c r="F1039">
        <v>100.6</v>
      </c>
      <c r="G1039">
        <v>105</v>
      </c>
      <c r="H1039">
        <v>82.2</v>
      </c>
      <c r="I1039">
        <v>24</v>
      </c>
      <c r="J1039">
        <v>-7.1</v>
      </c>
      <c r="K1039">
        <v>55.9</v>
      </c>
      <c r="L1039">
        <v>-14.3</v>
      </c>
      <c r="M1039">
        <v>77.900000000000006</v>
      </c>
      <c r="N1039">
        <v>1.06</v>
      </c>
      <c r="O1039">
        <v>43.1</v>
      </c>
      <c r="P1039">
        <v>-7.5</v>
      </c>
      <c r="Q1039">
        <v>-4.7</v>
      </c>
      <c r="R1039">
        <v>0</v>
      </c>
      <c r="S1039">
        <v>10335</v>
      </c>
      <c r="T1039">
        <v>-3.2</v>
      </c>
    </row>
    <row r="1040" spans="1:20" x14ac:dyDescent="0.25">
      <c r="A1040" s="91" t="s">
        <v>126</v>
      </c>
      <c r="B1040" s="10">
        <v>46150</v>
      </c>
      <c r="C1040" t="s">
        <v>101</v>
      </c>
      <c r="D1040" t="s">
        <v>102</v>
      </c>
      <c r="E1040" t="s">
        <v>103</v>
      </c>
      <c r="F1040">
        <v>106.1</v>
      </c>
      <c r="G1040">
        <v>108.3</v>
      </c>
      <c r="H1040">
        <v>85.9</v>
      </c>
      <c r="I1040">
        <v>29</v>
      </c>
      <c r="J1040">
        <v>-7.8</v>
      </c>
      <c r="K1040">
        <v>77.599999999999994</v>
      </c>
      <c r="L1040">
        <v>-17.3</v>
      </c>
      <c r="M1040">
        <v>79.599999999999994</v>
      </c>
      <c r="N1040">
        <v>1.08</v>
      </c>
      <c r="O1040">
        <v>50.5</v>
      </c>
      <c r="P1040">
        <v>-7.1</v>
      </c>
      <c r="Q1040">
        <v>-5.4</v>
      </c>
      <c r="R1040">
        <v>0</v>
      </c>
      <c r="S1040">
        <v>10854</v>
      </c>
      <c r="T1040">
        <v>-4</v>
      </c>
    </row>
    <row r="1041" spans="1:20" x14ac:dyDescent="0.25">
      <c r="A1041" s="91" t="s">
        <v>126</v>
      </c>
      <c r="B1041" s="10">
        <v>46150</v>
      </c>
      <c r="C1041" t="s">
        <v>104</v>
      </c>
      <c r="D1041" t="s">
        <v>102</v>
      </c>
      <c r="E1041" t="s">
        <v>103</v>
      </c>
      <c r="F1041">
        <v>116</v>
      </c>
      <c r="G1041">
        <v>118.2</v>
      </c>
      <c r="H1041">
        <v>90.5</v>
      </c>
      <c r="I1041">
        <v>27.3</v>
      </c>
      <c r="J1041">
        <v>-7.8</v>
      </c>
      <c r="K1041">
        <v>81.400000000000006</v>
      </c>
      <c r="L1041">
        <v>-18.7</v>
      </c>
      <c r="M1041">
        <v>77.900000000000006</v>
      </c>
      <c r="N1041">
        <v>1.1599999999999999</v>
      </c>
      <c r="O1041">
        <v>49.9</v>
      </c>
      <c r="P1041">
        <v>-6</v>
      </c>
      <c r="Q1041">
        <v>-4.9000000000000004</v>
      </c>
      <c r="R1041">
        <v>0</v>
      </c>
      <c r="S1041">
        <v>8818</v>
      </c>
      <c r="T1041">
        <v>-4</v>
      </c>
    </row>
    <row r="1042" spans="1:20" x14ac:dyDescent="0.25">
      <c r="A1042" s="91" t="s">
        <v>126</v>
      </c>
      <c r="B1042" s="10">
        <v>46150</v>
      </c>
      <c r="C1042" t="s">
        <v>104</v>
      </c>
      <c r="D1042" t="s">
        <v>102</v>
      </c>
      <c r="E1042" t="s">
        <v>103</v>
      </c>
      <c r="F1042">
        <v>117.1</v>
      </c>
      <c r="G1042">
        <v>126.9</v>
      </c>
      <c r="H1042">
        <v>93.1</v>
      </c>
      <c r="I1042">
        <v>14</v>
      </c>
      <c r="J1042">
        <v>-10.9</v>
      </c>
      <c r="K1042">
        <v>39.299999999999997</v>
      </c>
      <c r="L1042">
        <v>-21.7</v>
      </c>
      <c r="M1042">
        <v>78.5</v>
      </c>
      <c r="N1042">
        <v>1.19</v>
      </c>
      <c r="O1042">
        <v>31.8</v>
      </c>
      <c r="P1042">
        <v>-7.4</v>
      </c>
      <c r="Q1042">
        <v>-6.8</v>
      </c>
      <c r="R1042">
        <v>0</v>
      </c>
      <c r="S1042">
        <v>6362</v>
      </c>
      <c r="T1042">
        <v>0.2</v>
      </c>
    </row>
    <row r="1043" spans="1:20" x14ac:dyDescent="0.25">
      <c r="A1043" s="91" t="s">
        <v>126</v>
      </c>
      <c r="B1043" s="10">
        <v>46150</v>
      </c>
      <c r="C1043" t="s">
        <v>104</v>
      </c>
      <c r="D1043" t="s">
        <v>102</v>
      </c>
      <c r="E1043" t="s">
        <v>103</v>
      </c>
      <c r="F1043">
        <v>120.3</v>
      </c>
      <c r="G1043">
        <v>125.8</v>
      </c>
      <c r="H1043">
        <v>93.9</v>
      </c>
      <c r="I1043">
        <v>24.1</v>
      </c>
      <c r="J1043">
        <v>-9.5</v>
      </c>
      <c r="K1043">
        <v>76</v>
      </c>
      <c r="L1043">
        <v>-28</v>
      </c>
      <c r="M1043">
        <v>80.7</v>
      </c>
      <c r="N1043">
        <v>1.1599999999999999</v>
      </c>
      <c r="O1043">
        <v>47.4</v>
      </c>
      <c r="P1043">
        <v>-5.7</v>
      </c>
      <c r="Q1043">
        <v>-2.7</v>
      </c>
      <c r="R1043">
        <v>0</v>
      </c>
      <c r="S1043">
        <v>8405</v>
      </c>
      <c r="T1043">
        <v>-9.5</v>
      </c>
    </row>
    <row r="1044" spans="1:20" x14ac:dyDescent="0.25">
      <c r="A1044" s="91" t="s">
        <v>126</v>
      </c>
      <c r="B1044" s="10">
        <v>46150</v>
      </c>
      <c r="C1044" t="s">
        <v>104</v>
      </c>
      <c r="D1044" t="s">
        <v>102</v>
      </c>
      <c r="E1044" t="s">
        <v>103</v>
      </c>
      <c r="F1044">
        <v>112.7</v>
      </c>
      <c r="G1044">
        <v>118.2</v>
      </c>
      <c r="H1044">
        <v>88.5</v>
      </c>
      <c r="I1044">
        <v>21.7</v>
      </c>
      <c r="J1044">
        <v>-4.7</v>
      </c>
      <c r="K1044">
        <v>58.7</v>
      </c>
      <c r="L1044">
        <v>-7.8</v>
      </c>
      <c r="M1044">
        <v>79.599999999999994</v>
      </c>
      <c r="N1044">
        <v>1.1100000000000001</v>
      </c>
      <c r="O1044">
        <v>42.4</v>
      </c>
      <c r="P1044">
        <v>-7.3</v>
      </c>
      <c r="Q1044">
        <v>-3.4</v>
      </c>
      <c r="R1044">
        <v>0</v>
      </c>
      <c r="S1044">
        <v>9034</v>
      </c>
      <c r="T1044">
        <v>1.9</v>
      </c>
    </row>
    <row r="1045" spans="1:20" x14ac:dyDescent="0.25">
      <c r="A1045" s="91" t="s">
        <v>126</v>
      </c>
      <c r="B1045" s="10">
        <v>46150</v>
      </c>
      <c r="C1045" t="s">
        <v>104</v>
      </c>
      <c r="D1045" t="s">
        <v>102</v>
      </c>
      <c r="E1045" t="s">
        <v>103</v>
      </c>
      <c r="F1045">
        <v>110.5</v>
      </c>
      <c r="G1045">
        <v>118.2</v>
      </c>
      <c r="H1045">
        <v>88.3</v>
      </c>
      <c r="I1045">
        <v>19.2</v>
      </c>
      <c r="J1045">
        <v>-4</v>
      </c>
      <c r="K1045">
        <v>49.7</v>
      </c>
      <c r="L1045">
        <v>0.1</v>
      </c>
      <c r="M1045">
        <v>80.099999999999994</v>
      </c>
      <c r="N1045">
        <v>1.1000000000000001</v>
      </c>
      <c r="O1045">
        <v>38.4</v>
      </c>
      <c r="P1045">
        <v>-8.4</v>
      </c>
      <c r="Q1045">
        <v>-4.0999999999999996</v>
      </c>
      <c r="R1045">
        <v>0</v>
      </c>
      <c r="S1045">
        <v>8133</v>
      </c>
      <c r="T1045">
        <v>11.4</v>
      </c>
    </row>
    <row r="1046" spans="1:20" x14ac:dyDescent="0.25">
      <c r="A1046" s="91" t="s">
        <v>126</v>
      </c>
      <c r="B1046" s="10">
        <v>46150</v>
      </c>
      <c r="C1046" t="s">
        <v>104</v>
      </c>
      <c r="D1046" t="s">
        <v>102</v>
      </c>
      <c r="E1046" t="s">
        <v>103</v>
      </c>
      <c r="F1046">
        <v>112.7</v>
      </c>
      <c r="G1046">
        <v>116</v>
      </c>
      <c r="H1046">
        <v>89.4</v>
      </c>
      <c r="I1046">
        <v>27.4</v>
      </c>
      <c r="J1046">
        <v>-3.5</v>
      </c>
      <c r="K1046">
        <v>79.5</v>
      </c>
      <c r="L1046">
        <v>-6.7</v>
      </c>
      <c r="M1046">
        <v>79.599999999999994</v>
      </c>
      <c r="N1046">
        <v>1.1200000000000001</v>
      </c>
      <c r="O1046">
        <v>49.9</v>
      </c>
      <c r="P1046">
        <v>-5.0999999999999996</v>
      </c>
      <c r="Q1046">
        <v>-2.7</v>
      </c>
      <c r="R1046">
        <v>0</v>
      </c>
      <c r="S1046">
        <v>9935</v>
      </c>
      <c r="T1046">
        <v>0.1</v>
      </c>
    </row>
    <row r="1047" spans="1:20" x14ac:dyDescent="0.25">
      <c r="A1047" s="91" t="s">
        <v>126</v>
      </c>
      <c r="B1047" s="10">
        <v>46150</v>
      </c>
      <c r="C1047" t="s">
        <v>104</v>
      </c>
      <c r="D1047" t="s">
        <v>102</v>
      </c>
      <c r="E1047" t="s">
        <v>103</v>
      </c>
      <c r="F1047">
        <v>113.8</v>
      </c>
      <c r="G1047">
        <v>114.9</v>
      </c>
      <c r="H1047">
        <v>89.8</v>
      </c>
      <c r="I1047">
        <v>28</v>
      </c>
      <c r="J1047">
        <v>-3.7</v>
      </c>
      <c r="K1047">
        <v>82</v>
      </c>
      <c r="L1047">
        <v>-9.3000000000000007</v>
      </c>
      <c r="M1047">
        <v>82.9</v>
      </c>
      <c r="N1047">
        <v>1.08</v>
      </c>
      <c r="O1047">
        <v>50.6</v>
      </c>
      <c r="P1047">
        <v>-6.1</v>
      </c>
      <c r="Q1047">
        <v>-3.2</v>
      </c>
      <c r="R1047">
        <v>0</v>
      </c>
      <c r="S1047">
        <v>10090</v>
      </c>
      <c r="T1047">
        <v>-2.6</v>
      </c>
    </row>
    <row r="1048" spans="1:20" x14ac:dyDescent="0.25">
      <c r="A1048" s="91" t="s">
        <v>126</v>
      </c>
      <c r="B1048" s="10">
        <v>46150</v>
      </c>
      <c r="C1048" t="s">
        <v>104</v>
      </c>
      <c r="D1048" t="s">
        <v>102</v>
      </c>
      <c r="E1048" t="s">
        <v>103</v>
      </c>
      <c r="F1048">
        <v>114.9</v>
      </c>
      <c r="G1048">
        <v>117.1</v>
      </c>
      <c r="H1048">
        <v>90.4</v>
      </c>
      <c r="I1048">
        <v>26.5</v>
      </c>
      <c r="J1048">
        <v>-5.2</v>
      </c>
      <c r="K1048">
        <v>78.2</v>
      </c>
      <c r="L1048">
        <v>-12.5</v>
      </c>
      <c r="M1048">
        <v>83.5</v>
      </c>
      <c r="N1048">
        <v>1.08</v>
      </c>
      <c r="O1048">
        <v>49.3</v>
      </c>
      <c r="P1048">
        <v>-6.9</v>
      </c>
      <c r="Q1048">
        <v>-4.0999999999999996</v>
      </c>
      <c r="R1048">
        <v>0</v>
      </c>
      <c r="S1048">
        <v>10314</v>
      </c>
      <c r="T1048">
        <v>-2.7</v>
      </c>
    </row>
    <row r="1049" spans="1:20" x14ac:dyDescent="0.25">
      <c r="A1049" s="91" t="s">
        <v>126</v>
      </c>
      <c r="B1049" s="10">
        <v>46150</v>
      </c>
      <c r="C1049" t="s">
        <v>104</v>
      </c>
      <c r="D1049" t="s">
        <v>102</v>
      </c>
      <c r="E1049" t="s">
        <v>103</v>
      </c>
      <c r="F1049">
        <v>113.8</v>
      </c>
      <c r="G1049">
        <v>119.2</v>
      </c>
      <c r="H1049">
        <v>89.6</v>
      </c>
      <c r="I1049">
        <v>21.7</v>
      </c>
      <c r="J1049">
        <v>-10.6</v>
      </c>
      <c r="K1049">
        <v>60.5</v>
      </c>
      <c r="L1049">
        <v>-24.3</v>
      </c>
      <c r="M1049">
        <v>80.099999999999994</v>
      </c>
      <c r="N1049">
        <v>1.1200000000000001</v>
      </c>
      <c r="O1049">
        <v>42.9</v>
      </c>
      <c r="P1049">
        <v>-8.1999999999999993</v>
      </c>
      <c r="Q1049">
        <v>-4.7</v>
      </c>
      <c r="R1049">
        <v>0</v>
      </c>
      <c r="S1049">
        <v>8977</v>
      </c>
      <c r="T1049">
        <v>-4.9000000000000004</v>
      </c>
    </row>
    <row r="1050" spans="1:20" x14ac:dyDescent="0.25">
      <c r="A1050" s="91" t="s">
        <v>126</v>
      </c>
      <c r="B1050" s="10">
        <v>46150</v>
      </c>
      <c r="C1050" t="s">
        <v>104</v>
      </c>
      <c r="D1050" t="s">
        <v>102</v>
      </c>
      <c r="E1050" t="s">
        <v>103</v>
      </c>
      <c r="F1050">
        <v>118.2</v>
      </c>
      <c r="G1050">
        <v>120.3</v>
      </c>
      <c r="H1050">
        <v>92</v>
      </c>
      <c r="I1050">
        <v>26.1</v>
      </c>
      <c r="J1050">
        <v>-6.7</v>
      </c>
      <c r="K1050">
        <v>79.900000000000006</v>
      </c>
      <c r="L1050">
        <v>-18.2</v>
      </c>
      <c r="M1050">
        <v>79.5</v>
      </c>
      <c r="N1050">
        <v>1.1599999999999999</v>
      </c>
      <c r="O1050">
        <v>49.2</v>
      </c>
      <c r="P1050">
        <v>-6.1</v>
      </c>
      <c r="Q1050">
        <v>-3.6</v>
      </c>
      <c r="R1050">
        <v>0</v>
      </c>
      <c r="S1050">
        <v>9105</v>
      </c>
      <c r="T1050">
        <v>-5.4</v>
      </c>
    </row>
    <row r="1051" spans="1:20" x14ac:dyDescent="0.25">
      <c r="A1051" s="91" t="s">
        <v>126</v>
      </c>
      <c r="B1051" s="10">
        <v>46150</v>
      </c>
      <c r="C1051" t="s">
        <v>104</v>
      </c>
      <c r="D1051" t="s">
        <v>102</v>
      </c>
      <c r="E1051" t="s">
        <v>103</v>
      </c>
      <c r="F1051">
        <v>118.2</v>
      </c>
      <c r="G1051">
        <v>121.4</v>
      </c>
      <c r="H1051">
        <v>92.4</v>
      </c>
      <c r="I1051">
        <v>24.9</v>
      </c>
      <c r="J1051">
        <v>-6.5</v>
      </c>
      <c r="K1051">
        <v>76.3</v>
      </c>
      <c r="L1051">
        <v>-19.7</v>
      </c>
      <c r="M1051">
        <v>81.2</v>
      </c>
      <c r="N1051">
        <v>1.1399999999999999</v>
      </c>
      <c r="O1051">
        <v>48.1</v>
      </c>
      <c r="P1051">
        <v>-4.5999999999999996</v>
      </c>
      <c r="Q1051">
        <v>-3</v>
      </c>
      <c r="R1051">
        <v>0</v>
      </c>
      <c r="S1051">
        <v>9359</v>
      </c>
      <c r="T1051">
        <v>-7.7</v>
      </c>
    </row>
    <row r="1052" spans="1:20" x14ac:dyDescent="0.25">
      <c r="A1052" s="91" t="s">
        <v>126</v>
      </c>
      <c r="B1052" s="10">
        <v>46150</v>
      </c>
      <c r="C1052" t="s">
        <v>104</v>
      </c>
      <c r="D1052" t="s">
        <v>102</v>
      </c>
      <c r="E1052" t="s">
        <v>103</v>
      </c>
      <c r="F1052">
        <v>110.5</v>
      </c>
      <c r="G1052">
        <v>114.9</v>
      </c>
      <c r="H1052">
        <v>87.5</v>
      </c>
      <c r="I1052">
        <v>23.8</v>
      </c>
      <c r="J1052">
        <v>-7.4</v>
      </c>
      <c r="K1052">
        <v>63.4</v>
      </c>
      <c r="L1052">
        <v>-22.1</v>
      </c>
      <c r="M1052">
        <v>80.599999999999994</v>
      </c>
      <c r="N1052">
        <v>1.08</v>
      </c>
      <c r="O1052">
        <v>44.7</v>
      </c>
      <c r="P1052">
        <v>0</v>
      </c>
      <c r="Q1052">
        <v>0</v>
      </c>
      <c r="R1052">
        <v>-1</v>
      </c>
      <c r="S1052">
        <v>9343</v>
      </c>
      <c r="T1052">
        <v>-11.1</v>
      </c>
    </row>
    <row r="1053" spans="1:20" x14ac:dyDescent="0.25">
      <c r="A1053" s="91" t="s">
        <v>126</v>
      </c>
      <c r="B1053" s="10">
        <v>46150</v>
      </c>
      <c r="C1053" t="s">
        <v>104</v>
      </c>
      <c r="D1053" t="s">
        <v>102</v>
      </c>
      <c r="E1053" t="s">
        <v>103</v>
      </c>
      <c r="F1053">
        <v>118.2</v>
      </c>
      <c r="G1053">
        <v>120.3</v>
      </c>
      <c r="H1053">
        <v>91.6</v>
      </c>
      <c r="I1053">
        <v>25.2</v>
      </c>
      <c r="J1053">
        <v>-4.5</v>
      </c>
      <c r="K1053">
        <v>76</v>
      </c>
      <c r="L1053">
        <v>-12</v>
      </c>
      <c r="M1053">
        <v>79.599999999999994</v>
      </c>
      <c r="N1053">
        <v>1.1499999999999999</v>
      </c>
      <c r="O1053">
        <v>48</v>
      </c>
      <c r="P1053">
        <v>-4.5999999999999996</v>
      </c>
      <c r="Q1053">
        <v>-0.7</v>
      </c>
      <c r="R1053">
        <v>0</v>
      </c>
      <c r="S1053">
        <v>9258</v>
      </c>
      <c r="T1053">
        <v>-3.5</v>
      </c>
    </row>
    <row r="1054" spans="1:20" x14ac:dyDescent="0.25">
      <c r="A1054" s="91" t="s">
        <v>126</v>
      </c>
      <c r="B1054" s="10">
        <v>46150</v>
      </c>
      <c r="C1054" t="s">
        <v>104</v>
      </c>
      <c r="D1054" t="s">
        <v>102</v>
      </c>
      <c r="E1054" t="s">
        <v>103</v>
      </c>
      <c r="F1054">
        <v>122.5</v>
      </c>
      <c r="G1054">
        <v>123.6</v>
      </c>
      <c r="H1054">
        <v>95.3</v>
      </c>
      <c r="I1054">
        <v>25.9</v>
      </c>
      <c r="J1054">
        <v>-10.199999999999999</v>
      </c>
      <c r="K1054">
        <v>84.3</v>
      </c>
      <c r="L1054">
        <v>-33.799999999999997</v>
      </c>
      <c r="M1054">
        <v>80.599999999999994</v>
      </c>
      <c r="N1054">
        <v>1.18</v>
      </c>
      <c r="O1054">
        <v>49.9</v>
      </c>
      <c r="P1054">
        <v>-4</v>
      </c>
      <c r="Q1054">
        <v>-0.4</v>
      </c>
      <c r="R1054">
        <v>0</v>
      </c>
      <c r="S1054">
        <v>8640</v>
      </c>
      <c r="T1054">
        <v>-14.1</v>
      </c>
    </row>
    <row r="1055" spans="1:20" x14ac:dyDescent="0.25">
      <c r="A1055" s="91" t="s">
        <v>126</v>
      </c>
      <c r="B1055" s="10">
        <v>46150</v>
      </c>
      <c r="C1055" t="s">
        <v>104</v>
      </c>
      <c r="D1055" t="s">
        <v>102</v>
      </c>
      <c r="E1055" t="s">
        <v>103</v>
      </c>
      <c r="F1055">
        <v>101.7</v>
      </c>
      <c r="G1055">
        <v>111.6</v>
      </c>
      <c r="H1055">
        <v>85.3</v>
      </c>
      <c r="I1055">
        <v>16.3</v>
      </c>
      <c r="J1055">
        <v>-7.5</v>
      </c>
      <c r="K1055">
        <v>36.9</v>
      </c>
      <c r="L1055">
        <v>-10.4</v>
      </c>
      <c r="M1055">
        <v>75.5</v>
      </c>
      <c r="N1055">
        <v>1.1299999999999999</v>
      </c>
      <c r="O1055">
        <v>32.700000000000003</v>
      </c>
      <c r="P1055">
        <v>-10.4</v>
      </c>
      <c r="Q1055">
        <v>-8.5</v>
      </c>
      <c r="R1055">
        <v>0</v>
      </c>
      <c r="S1055">
        <v>8405</v>
      </c>
      <c r="T1055">
        <v>4.8</v>
      </c>
    </row>
    <row r="1056" spans="1:20" x14ac:dyDescent="0.25">
      <c r="A1056" s="91" t="s">
        <v>126</v>
      </c>
      <c r="B1056" s="10">
        <v>46150</v>
      </c>
      <c r="C1056" t="s">
        <v>105</v>
      </c>
      <c r="D1056" t="s">
        <v>102</v>
      </c>
      <c r="E1056" t="s">
        <v>106</v>
      </c>
      <c r="F1056">
        <v>130.19999999999999</v>
      </c>
      <c r="G1056">
        <v>134.6</v>
      </c>
      <c r="H1056">
        <v>98.8</v>
      </c>
      <c r="I1056">
        <v>22.9</v>
      </c>
      <c r="J1056">
        <v>-5.8</v>
      </c>
      <c r="K1056">
        <v>81</v>
      </c>
      <c r="L1056">
        <v>-21.1</v>
      </c>
      <c r="M1056">
        <v>79.3</v>
      </c>
      <c r="N1056">
        <v>1.25</v>
      </c>
      <c r="O1056">
        <v>47.7</v>
      </c>
      <c r="P1056">
        <v>-5.2</v>
      </c>
      <c r="Q1056">
        <v>-2.7</v>
      </c>
      <c r="R1056">
        <v>0</v>
      </c>
      <c r="S1056">
        <v>7844</v>
      </c>
      <c r="T1056">
        <v>-8.1999999999999993</v>
      </c>
    </row>
    <row r="1057" spans="1:20" x14ac:dyDescent="0.25">
      <c r="A1057" s="91" t="s">
        <v>126</v>
      </c>
      <c r="B1057" s="10">
        <v>46150</v>
      </c>
      <c r="C1057" t="s">
        <v>105</v>
      </c>
      <c r="D1057" t="s">
        <v>102</v>
      </c>
      <c r="E1057" t="s">
        <v>106</v>
      </c>
      <c r="F1057">
        <v>134.6</v>
      </c>
      <c r="G1057">
        <v>138.9</v>
      </c>
      <c r="H1057">
        <v>101.4</v>
      </c>
      <c r="I1057">
        <v>20.8</v>
      </c>
      <c r="J1057">
        <v>-9.5</v>
      </c>
      <c r="K1057">
        <v>77.8</v>
      </c>
      <c r="L1057">
        <v>-27.9</v>
      </c>
      <c r="M1057">
        <v>81.5</v>
      </c>
      <c r="N1057">
        <v>1.24</v>
      </c>
      <c r="O1057">
        <v>46.4</v>
      </c>
      <c r="P1057">
        <v>-6.9</v>
      </c>
      <c r="Q1057">
        <v>-4.4000000000000004</v>
      </c>
      <c r="R1057">
        <v>0</v>
      </c>
      <c r="S1057">
        <v>8167</v>
      </c>
      <c r="T1057">
        <v>-5.7</v>
      </c>
    </row>
    <row r="1058" spans="1:20" x14ac:dyDescent="0.25">
      <c r="A1058" s="91" t="s">
        <v>126</v>
      </c>
      <c r="B1058" s="10">
        <v>46150</v>
      </c>
      <c r="C1058" t="s">
        <v>105</v>
      </c>
      <c r="D1058" t="s">
        <v>102</v>
      </c>
      <c r="E1058" t="s">
        <v>106</v>
      </c>
      <c r="F1058">
        <v>130.19999999999999</v>
      </c>
      <c r="G1058">
        <v>136.80000000000001</v>
      </c>
      <c r="H1058">
        <v>98.4</v>
      </c>
      <c r="I1058">
        <v>18.8</v>
      </c>
      <c r="J1058">
        <v>-6.6</v>
      </c>
      <c r="K1058">
        <v>64.599999999999994</v>
      </c>
      <c r="L1058">
        <v>-19.600000000000001</v>
      </c>
      <c r="M1058">
        <v>82.6</v>
      </c>
      <c r="N1058">
        <v>1.19</v>
      </c>
      <c r="O1058">
        <v>42.3</v>
      </c>
      <c r="P1058">
        <v>-6</v>
      </c>
      <c r="Q1058">
        <v>-1.1000000000000001</v>
      </c>
      <c r="R1058">
        <v>0</v>
      </c>
      <c r="S1058">
        <v>7458</v>
      </c>
      <c r="T1058">
        <v>-5.0999999999999996</v>
      </c>
    </row>
    <row r="1059" spans="1:20" x14ac:dyDescent="0.25">
      <c r="A1059" s="91" t="s">
        <v>126</v>
      </c>
      <c r="B1059" s="10">
        <v>46150</v>
      </c>
      <c r="C1059" t="s">
        <v>105</v>
      </c>
      <c r="D1059" t="s">
        <v>102</v>
      </c>
      <c r="E1059" t="s">
        <v>106</v>
      </c>
      <c r="F1059">
        <v>133.5</v>
      </c>
      <c r="G1059">
        <v>135.69999999999999</v>
      </c>
      <c r="H1059">
        <v>101.2</v>
      </c>
      <c r="I1059">
        <v>22.7</v>
      </c>
      <c r="J1059">
        <v>-8.4</v>
      </c>
      <c r="K1059">
        <v>84.7</v>
      </c>
      <c r="L1059">
        <v>-26.2</v>
      </c>
      <c r="M1059">
        <v>80.900000000000006</v>
      </c>
      <c r="N1059">
        <v>1.25</v>
      </c>
      <c r="O1059">
        <v>48.5</v>
      </c>
      <c r="P1059">
        <v>-6</v>
      </c>
      <c r="Q1059">
        <v>-4.2</v>
      </c>
      <c r="R1059">
        <v>0</v>
      </c>
      <c r="S1059">
        <v>8287</v>
      </c>
      <c r="T1059">
        <v>-6.6</v>
      </c>
    </row>
    <row r="1060" spans="1:20" x14ac:dyDescent="0.25">
      <c r="A1060" s="91" t="s">
        <v>126</v>
      </c>
      <c r="B1060" s="10">
        <v>46150</v>
      </c>
      <c r="C1060" t="s">
        <v>105</v>
      </c>
      <c r="D1060" t="s">
        <v>102</v>
      </c>
      <c r="E1060" t="s">
        <v>106</v>
      </c>
      <c r="F1060">
        <v>129.1</v>
      </c>
      <c r="G1060">
        <v>133.5</v>
      </c>
      <c r="H1060">
        <v>98.2</v>
      </c>
      <c r="I1060">
        <v>23.4</v>
      </c>
      <c r="J1060">
        <v>-4.2</v>
      </c>
      <c r="K1060">
        <v>81.5</v>
      </c>
      <c r="L1060">
        <v>-18.600000000000001</v>
      </c>
      <c r="M1060">
        <v>81.400000000000006</v>
      </c>
      <c r="N1060">
        <v>1.21</v>
      </c>
      <c r="O1060">
        <v>48</v>
      </c>
      <c r="P1060">
        <v>-3.7</v>
      </c>
      <c r="Q1060">
        <v>0.7</v>
      </c>
      <c r="R1060">
        <v>0</v>
      </c>
      <c r="S1060">
        <v>8007</v>
      </c>
      <c r="T1060">
        <v>-9.6</v>
      </c>
    </row>
    <row r="1061" spans="1:20" x14ac:dyDescent="0.25">
      <c r="A1061" s="91" t="s">
        <v>126</v>
      </c>
      <c r="B1061" s="10">
        <v>46150</v>
      </c>
      <c r="C1061" t="s">
        <v>105</v>
      </c>
      <c r="D1061" t="s">
        <v>102</v>
      </c>
      <c r="E1061" t="s">
        <v>106</v>
      </c>
      <c r="F1061">
        <v>124.7</v>
      </c>
      <c r="G1061">
        <v>145.5</v>
      </c>
      <c r="H1061">
        <v>107.6</v>
      </c>
      <c r="I1061">
        <v>5.6</v>
      </c>
      <c r="J1061">
        <v>-3.7</v>
      </c>
      <c r="K1061">
        <v>17.5</v>
      </c>
      <c r="L1061">
        <v>-7.3</v>
      </c>
      <c r="M1061">
        <v>83.7</v>
      </c>
      <c r="N1061">
        <v>1.29</v>
      </c>
      <c r="O1061">
        <v>15.7</v>
      </c>
      <c r="P1061">
        <v>-3.2</v>
      </c>
      <c r="Q1061">
        <v>0.9</v>
      </c>
      <c r="R1061">
        <v>0</v>
      </c>
      <c r="S1061">
        <v>3911</v>
      </c>
      <c r="T1061">
        <v>1.1000000000000001</v>
      </c>
    </row>
    <row r="1062" spans="1:20" x14ac:dyDescent="0.25">
      <c r="A1062" s="91" t="s">
        <v>126</v>
      </c>
      <c r="B1062" s="10">
        <v>46150</v>
      </c>
      <c r="C1062" t="s">
        <v>105</v>
      </c>
      <c r="D1062" t="s">
        <v>102</v>
      </c>
      <c r="E1062" t="s">
        <v>106</v>
      </c>
      <c r="F1062">
        <v>117.1</v>
      </c>
      <c r="G1062">
        <v>122.5</v>
      </c>
      <c r="H1062">
        <v>91.3</v>
      </c>
      <c r="I1062">
        <v>21.3</v>
      </c>
      <c r="J1062">
        <v>-5</v>
      </c>
      <c r="K1062">
        <v>61</v>
      </c>
      <c r="L1062">
        <v>-19.2</v>
      </c>
      <c r="M1062">
        <v>84.8</v>
      </c>
      <c r="N1062">
        <v>1.08</v>
      </c>
      <c r="O1062">
        <v>42.6</v>
      </c>
      <c r="P1062">
        <v>-5.3</v>
      </c>
      <c r="Q1062">
        <v>0.7</v>
      </c>
      <c r="R1062">
        <v>0</v>
      </c>
      <c r="S1062">
        <v>8397</v>
      </c>
      <c r="T1062">
        <v>-11.6</v>
      </c>
    </row>
    <row r="1063" spans="1:20" x14ac:dyDescent="0.25">
      <c r="A1063" s="91" t="s">
        <v>126</v>
      </c>
      <c r="B1063" s="10">
        <v>46150</v>
      </c>
      <c r="C1063" t="s">
        <v>107</v>
      </c>
      <c r="D1063" t="s">
        <v>102</v>
      </c>
      <c r="E1063" t="s">
        <v>106</v>
      </c>
      <c r="F1063">
        <v>152.1</v>
      </c>
      <c r="G1063">
        <v>153.19999999999999</v>
      </c>
      <c r="H1063">
        <v>108.7</v>
      </c>
      <c r="I1063">
        <v>21.1</v>
      </c>
      <c r="J1063">
        <v>-5.2</v>
      </c>
      <c r="K1063">
        <v>90.7</v>
      </c>
      <c r="L1063">
        <v>-32</v>
      </c>
      <c r="M1063">
        <v>82</v>
      </c>
      <c r="N1063">
        <v>1.33</v>
      </c>
      <c r="O1063">
        <v>48.1</v>
      </c>
      <c r="P1063">
        <v>-4</v>
      </c>
      <c r="Q1063">
        <v>1.2</v>
      </c>
      <c r="R1063">
        <v>0</v>
      </c>
      <c r="S1063">
        <v>5860</v>
      </c>
      <c r="T1063">
        <v>-15.4</v>
      </c>
    </row>
    <row r="1064" spans="1:20" x14ac:dyDescent="0.25">
      <c r="A1064" s="91" t="s">
        <v>126</v>
      </c>
      <c r="B1064" s="10">
        <v>46150</v>
      </c>
      <c r="C1064" t="s">
        <v>107</v>
      </c>
      <c r="D1064" t="s">
        <v>102</v>
      </c>
      <c r="E1064" t="s">
        <v>106</v>
      </c>
      <c r="F1064">
        <v>136.80000000000001</v>
      </c>
      <c r="G1064">
        <v>140</v>
      </c>
      <c r="H1064">
        <v>102</v>
      </c>
      <c r="I1064">
        <v>23.7</v>
      </c>
      <c r="J1064">
        <v>-4.5</v>
      </c>
      <c r="K1064">
        <v>90.7</v>
      </c>
      <c r="L1064">
        <v>-21</v>
      </c>
      <c r="M1064">
        <v>82</v>
      </c>
      <c r="N1064">
        <v>1.24</v>
      </c>
      <c r="O1064">
        <v>49.5</v>
      </c>
      <c r="P1064">
        <v>-2.9</v>
      </c>
      <c r="Q1064">
        <v>-1.1000000000000001</v>
      </c>
      <c r="R1064">
        <v>0</v>
      </c>
      <c r="S1064">
        <v>6896</v>
      </c>
      <c r="T1064">
        <v>-9.6</v>
      </c>
    </row>
    <row r="1065" spans="1:20" x14ac:dyDescent="0.25">
      <c r="A1065" s="91" t="s">
        <v>126</v>
      </c>
      <c r="B1065" s="10">
        <v>46150</v>
      </c>
      <c r="C1065" t="s">
        <v>107</v>
      </c>
      <c r="D1065" t="s">
        <v>102</v>
      </c>
      <c r="E1065" t="s">
        <v>106</v>
      </c>
      <c r="F1065">
        <v>141.1</v>
      </c>
      <c r="G1065">
        <v>145.5</v>
      </c>
      <c r="H1065">
        <v>104.6</v>
      </c>
      <c r="I1065">
        <v>19.7</v>
      </c>
      <c r="J1065">
        <v>-3.3</v>
      </c>
      <c r="K1065">
        <v>78.7</v>
      </c>
      <c r="L1065">
        <v>-17.3</v>
      </c>
      <c r="M1065">
        <v>83</v>
      </c>
      <c r="N1065">
        <v>1.26</v>
      </c>
      <c r="O1065">
        <v>45.8</v>
      </c>
      <c r="P1065">
        <v>-3.4</v>
      </c>
      <c r="Q1065">
        <v>0.5</v>
      </c>
      <c r="R1065">
        <v>0</v>
      </c>
      <c r="S1065">
        <v>7347</v>
      </c>
      <c r="T1065">
        <v>-8.3000000000000007</v>
      </c>
    </row>
    <row r="1066" spans="1:20" x14ac:dyDescent="0.25">
      <c r="A1066" s="91" t="s">
        <v>126</v>
      </c>
      <c r="B1066" s="10">
        <v>46150</v>
      </c>
      <c r="C1066" t="s">
        <v>107</v>
      </c>
      <c r="D1066" t="s">
        <v>102</v>
      </c>
      <c r="E1066" t="s">
        <v>106</v>
      </c>
      <c r="F1066">
        <v>141.1</v>
      </c>
      <c r="G1066">
        <v>149.9</v>
      </c>
      <c r="H1066">
        <v>105</v>
      </c>
      <c r="I1066">
        <v>16</v>
      </c>
      <c r="J1066">
        <v>-4.5</v>
      </c>
      <c r="K1066">
        <v>64.400000000000006</v>
      </c>
      <c r="L1066">
        <v>-14.4</v>
      </c>
      <c r="M1066">
        <v>83</v>
      </c>
      <c r="N1066">
        <v>1.26</v>
      </c>
      <c r="O1066">
        <v>40.799999999999997</v>
      </c>
      <c r="P1066">
        <v>-5.6</v>
      </c>
      <c r="Q1066">
        <v>-0.5</v>
      </c>
      <c r="R1066">
        <v>0</v>
      </c>
      <c r="S1066">
        <v>6718</v>
      </c>
      <c r="T1066">
        <v>-3.1</v>
      </c>
    </row>
    <row r="1067" spans="1:20" x14ac:dyDescent="0.25">
      <c r="A1067" s="91" t="s">
        <v>126</v>
      </c>
      <c r="B1067" s="10">
        <v>46150</v>
      </c>
      <c r="C1067" t="s">
        <v>107</v>
      </c>
      <c r="D1067" t="s">
        <v>102</v>
      </c>
      <c r="E1067" t="s">
        <v>106</v>
      </c>
      <c r="F1067">
        <v>134.6</v>
      </c>
      <c r="G1067">
        <v>142.19999999999999</v>
      </c>
      <c r="H1067">
        <v>100.1</v>
      </c>
      <c r="I1067">
        <v>17.100000000000001</v>
      </c>
      <c r="J1067">
        <v>-6.8</v>
      </c>
      <c r="K1067">
        <v>60.6</v>
      </c>
      <c r="L1067">
        <v>-21.3</v>
      </c>
      <c r="M1067">
        <v>80.3</v>
      </c>
      <c r="N1067">
        <v>1.25</v>
      </c>
      <c r="O1067">
        <v>39.9</v>
      </c>
      <c r="P1067">
        <v>-5.5</v>
      </c>
      <c r="Q1067">
        <v>-1.3</v>
      </c>
      <c r="R1067">
        <v>0</v>
      </c>
      <c r="S1067">
        <v>6173</v>
      </c>
      <c r="T1067">
        <v>-5.7</v>
      </c>
    </row>
    <row r="1068" spans="1:20" x14ac:dyDescent="0.25">
      <c r="A1068" s="91" t="s">
        <v>126</v>
      </c>
      <c r="B1068" s="10">
        <v>46150</v>
      </c>
      <c r="C1068" t="s">
        <v>107</v>
      </c>
      <c r="D1068" t="s">
        <v>102</v>
      </c>
      <c r="E1068" t="s">
        <v>106</v>
      </c>
      <c r="F1068">
        <v>142.19999999999999</v>
      </c>
      <c r="G1068">
        <v>147.69999999999999</v>
      </c>
      <c r="H1068">
        <v>105.1</v>
      </c>
      <c r="I1068">
        <v>20.9</v>
      </c>
      <c r="J1068">
        <v>-6.6</v>
      </c>
      <c r="K1068">
        <v>85</v>
      </c>
      <c r="L1068">
        <v>-27.5</v>
      </c>
      <c r="M1068">
        <v>81.900000000000006</v>
      </c>
      <c r="N1068">
        <v>1.28</v>
      </c>
      <c r="O1068">
        <v>47.5</v>
      </c>
      <c r="P1068">
        <v>-3.5</v>
      </c>
      <c r="Q1068">
        <v>-1.2</v>
      </c>
      <c r="R1068">
        <v>0</v>
      </c>
      <c r="S1068">
        <v>6806</v>
      </c>
      <c r="T1068">
        <v>-10.1</v>
      </c>
    </row>
    <row r="1069" spans="1:20" x14ac:dyDescent="0.25">
      <c r="A1069" s="91" t="s">
        <v>126</v>
      </c>
      <c r="B1069" s="10">
        <v>46150</v>
      </c>
      <c r="C1069" t="s">
        <v>107</v>
      </c>
      <c r="D1069" t="s">
        <v>102</v>
      </c>
      <c r="E1069" t="s">
        <v>106</v>
      </c>
      <c r="F1069">
        <v>130.19999999999999</v>
      </c>
      <c r="G1069">
        <v>140</v>
      </c>
      <c r="H1069">
        <v>98.3</v>
      </c>
      <c r="I1069">
        <v>15</v>
      </c>
      <c r="J1069">
        <v>-6.3</v>
      </c>
      <c r="K1069">
        <v>49.5</v>
      </c>
      <c r="L1069">
        <v>-14.5</v>
      </c>
      <c r="M1069">
        <v>80.8</v>
      </c>
      <c r="N1069">
        <v>1.22</v>
      </c>
      <c r="O1069">
        <v>35.299999999999997</v>
      </c>
      <c r="P1069">
        <v>-5.0999999999999996</v>
      </c>
      <c r="Q1069">
        <v>-4.5999999999999996</v>
      </c>
      <c r="R1069">
        <v>0</v>
      </c>
      <c r="S1069">
        <v>5642</v>
      </c>
      <c r="T1069">
        <v>-0.3</v>
      </c>
    </row>
    <row r="1070" spans="1:20" x14ac:dyDescent="0.25">
      <c r="A1070" s="91" t="s">
        <v>126</v>
      </c>
      <c r="B1070" s="10">
        <v>46150</v>
      </c>
      <c r="C1070" t="s">
        <v>107</v>
      </c>
      <c r="D1070" t="s">
        <v>102</v>
      </c>
      <c r="E1070" t="s">
        <v>106</v>
      </c>
      <c r="F1070">
        <v>140</v>
      </c>
      <c r="G1070">
        <v>145.5</v>
      </c>
      <c r="H1070">
        <v>101.6</v>
      </c>
      <c r="I1070">
        <v>21</v>
      </c>
      <c r="J1070">
        <v>-8.9</v>
      </c>
      <c r="K1070">
        <v>79.2</v>
      </c>
      <c r="L1070">
        <v>-27.7</v>
      </c>
      <c r="M1070">
        <v>82.8</v>
      </c>
      <c r="N1070">
        <v>1.23</v>
      </c>
      <c r="O1070">
        <v>45.8</v>
      </c>
      <c r="P1070">
        <v>-4.0999999999999996</v>
      </c>
      <c r="Q1070">
        <v>-6</v>
      </c>
      <c r="R1070">
        <v>0</v>
      </c>
      <c r="S1070">
        <v>5769</v>
      </c>
      <c r="T1070">
        <v>-6.1</v>
      </c>
    </row>
    <row r="1071" spans="1:20" x14ac:dyDescent="0.25">
      <c r="A1071" s="91" t="s">
        <v>126</v>
      </c>
      <c r="B1071" s="10">
        <v>46150</v>
      </c>
      <c r="C1071" t="s">
        <v>107</v>
      </c>
      <c r="D1071" t="s">
        <v>102</v>
      </c>
      <c r="E1071" t="s">
        <v>106</v>
      </c>
      <c r="F1071">
        <v>152.1</v>
      </c>
      <c r="G1071">
        <v>153.19999999999999</v>
      </c>
      <c r="H1071">
        <v>109.4</v>
      </c>
      <c r="I1071">
        <v>19.899999999999999</v>
      </c>
      <c r="J1071">
        <v>-8.4</v>
      </c>
      <c r="K1071">
        <v>88.3</v>
      </c>
      <c r="L1071">
        <v>-35.1</v>
      </c>
      <c r="M1071">
        <v>83.9</v>
      </c>
      <c r="N1071">
        <v>1.3</v>
      </c>
      <c r="O1071">
        <v>47.8</v>
      </c>
      <c r="P1071">
        <v>-5.7</v>
      </c>
      <c r="Q1071">
        <v>-3</v>
      </c>
      <c r="R1071">
        <v>0</v>
      </c>
      <c r="S1071">
        <v>6810</v>
      </c>
      <c r="T1071">
        <v>-11</v>
      </c>
    </row>
    <row r="1072" spans="1:20" x14ac:dyDescent="0.25">
      <c r="A1072" s="91" t="s">
        <v>126</v>
      </c>
      <c r="B1072" s="10">
        <v>46150</v>
      </c>
      <c r="C1072" t="s">
        <v>107</v>
      </c>
      <c r="D1072" t="s">
        <v>102</v>
      </c>
      <c r="E1072" t="s">
        <v>106</v>
      </c>
      <c r="F1072">
        <v>145.5</v>
      </c>
      <c r="G1072">
        <v>148.80000000000001</v>
      </c>
      <c r="H1072">
        <v>107.1</v>
      </c>
      <c r="I1072">
        <v>24.4</v>
      </c>
      <c r="J1072">
        <v>-3.2</v>
      </c>
      <c r="K1072">
        <v>105.2</v>
      </c>
      <c r="L1072">
        <v>-10.1</v>
      </c>
      <c r="M1072">
        <v>83.4</v>
      </c>
      <c r="N1072">
        <v>1.28</v>
      </c>
      <c r="O1072">
        <v>51.8</v>
      </c>
      <c r="P1072">
        <v>-2.6</v>
      </c>
      <c r="Q1072">
        <v>-3.2</v>
      </c>
      <c r="R1072">
        <v>0</v>
      </c>
      <c r="S1072">
        <v>6346</v>
      </c>
      <c r="T1072">
        <v>-1.9</v>
      </c>
    </row>
    <row r="1073" spans="1:20" x14ac:dyDescent="0.25">
      <c r="A1073" s="91" t="s">
        <v>126</v>
      </c>
      <c r="B1073" s="10">
        <v>46150</v>
      </c>
      <c r="C1073" t="s">
        <v>108</v>
      </c>
      <c r="D1073" t="s">
        <v>102</v>
      </c>
      <c r="E1073" t="s">
        <v>106</v>
      </c>
      <c r="F1073">
        <v>155.30000000000001</v>
      </c>
      <c r="G1073">
        <v>160.80000000000001</v>
      </c>
      <c r="H1073">
        <v>110.5</v>
      </c>
      <c r="I1073">
        <v>20.399999999999999</v>
      </c>
      <c r="J1073">
        <v>-6.1</v>
      </c>
      <c r="K1073">
        <v>93.8</v>
      </c>
      <c r="L1073">
        <v>-19.899999999999999</v>
      </c>
      <c r="M1073">
        <v>83.3</v>
      </c>
      <c r="N1073">
        <v>1.33</v>
      </c>
      <c r="O1073">
        <v>48.1</v>
      </c>
      <c r="P1073">
        <v>-4.5999999999999996</v>
      </c>
      <c r="Q1073">
        <v>-4.8</v>
      </c>
      <c r="R1073">
        <v>0</v>
      </c>
      <c r="S1073">
        <v>5646</v>
      </c>
      <c r="T1073">
        <v>-2.8</v>
      </c>
    </row>
    <row r="1074" spans="1:20" x14ac:dyDescent="0.25">
      <c r="A1074" s="91" t="s">
        <v>126</v>
      </c>
      <c r="B1074" s="10">
        <v>46150</v>
      </c>
      <c r="C1074" t="s">
        <v>108</v>
      </c>
      <c r="D1074" t="s">
        <v>102</v>
      </c>
      <c r="E1074" t="s">
        <v>106</v>
      </c>
      <c r="F1074">
        <v>151</v>
      </c>
      <c r="G1074">
        <v>155.30000000000001</v>
      </c>
      <c r="H1074">
        <v>108.8</v>
      </c>
      <c r="I1074">
        <v>20.8</v>
      </c>
      <c r="J1074">
        <v>-7.4</v>
      </c>
      <c r="K1074">
        <v>92.4</v>
      </c>
      <c r="L1074">
        <v>-22.6</v>
      </c>
      <c r="M1074">
        <v>82.8</v>
      </c>
      <c r="N1074">
        <v>1.31</v>
      </c>
      <c r="O1074">
        <v>48.3</v>
      </c>
      <c r="P1074">
        <v>-4.8</v>
      </c>
      <c r="Q1074">
        <v>-6.2</v>
      </c>
      <c r="R1074">
        <v>0</v>
      </c>
      <c r="S1074">
        <v>6048</v>
      </c>
      <c r="T1074">
        <v>-2.5</v>
      </c>
    </row>
    <row r="1075" spans="1:20" x14ac:dyDescent="0.25">
      <c r="A1075" s="91" t="s">
        <v>126</v>
      </c>
      <c r="B1075" s="10">
        <v>46150</v>
      </c>
      <c r="C1075" t="s">
        <v>108</v>
      </c>
      <c r="D1075" t="s">
        <v>102</v>
      </c>
      <c r="E1075" t="s">
        <v>106</v>
      </c>
      <c r="F1075">
        <v>129.1</v>
      </c>
      <c r="G1075">
        <v>136.80000000000001</v>
      </c>
      <c r="H1075">
        <v>95.6</v>
      </c>
      <c r="I1075">
        <v>20.3</v>
      </c>
      <c r="J1075">
        <v>-3.8</v>
      </c>
      <c r="K1075">
        <v>65.099999999999994</v>
      </c>
      <c r="L1075">
        <v>-16.600000000000001</v>
      </c>
      <c r="M1075">
        <v>81.599999999999994</v>
      </c>
      <c r="N1075">
        <v>1.17</v>
      </c>
      <c r="O1075">
        <v>42.1</v>
      </c>
      <c r="P1075">
        <v>-1.9</v>
      </c>
      <c r="Q1075">
        <v>-0.1</v>
      </c>
      <c r="R1075">
        <v>0</v>
      </c>
      <c r="S1075">
        <v>5437</v>
      </c>
      <c r="T1075">
        <v>-9.3000000000000007</v>
      </c>
    </row>
    <row r="1076" spans="1:20" x14ac:dyDescent="0.25">
      <c r="A1076" s="91" t="s">
        <v>126</v>
      </c>
      <c r="B1076" s="10">
        <v>46150</v>
      </c>
      <c r="C1076" t="s">
        <v>108</v>
      </c>
      <c r="D1076" t="s">
        <v>102</v>
      </c>
      <c r="E1076" t="s">
        <v>106</v>
      </c>
      <c r="F1076">
        <v>149.9</v>
      </c>
      <c r="G1076">
        <v>157.5</v>
      </c>
      <c r="H1076">
        <v>108.2</v>
      </c>
      <c r="I1076">
        <v>16.7</v>
      </c>
      <c r="J1076">
        <v>-7.3</v>
      </c>
      <c r="K1076">
        <v>72.5</v>
      </c>
      <c r="L1076">
        <v>-26.4</v>
      </c>
      <c r="M1076">
        <v>82.3</v>
      </c>
      <c r="N1076">
        <v>1.32</v>
      </c>
      <c r="O1076">
        <v>42.8</v>
      </c>
      <c r="P1076">
        <v>-5.2</v>
      </c>
      <c r="Q1076">
        <v>-4.0999999999999996</v>
      </c>
      <c r="R1076">
        <v>0</v>
      </c>
      <c r="S1076">
        <v>6089</v>
      </c>
      <c r="T1076">
        <v>-6.4</v>
      </c>
    </row>
    <row r="1077" spans="1:20" x14ac:dyDescent="0.25">
      <c r="A1077" s="91" t="s">
        <v>126</v>
      </c>
      <c r="B1077" s="10">
        <v>46150</v>
      </c>
      <c r="C1077" t="s">
        <v>108</v>
      </c>
      <c r="D1077" t="s">
        <v>102</v>
      </c>
      <c r="E1077" t="s">
        <v>106</v>
      </c>
      <c r="F1077">
        <v>156.4</v>
      </c>
      <c r="G1077">
        <v>159.69999999999999</v>
      </c>
      <c r="H1077">
        <v>111.2</v>
      </c>
      <c r="I1077">
        <v>18.899999999999999</v>
      </c>
      <c r="J1077">
        <v>-6.2</v>
      </c>
      <c r="K1077">
        <v>86.6</v>
      </c>
      <c r="L1077">
        <v>-31</v>
      </c>
      <c r="M1077">
        <v>85</v>
      </c>
      <c r="N1077">
        <v>1.31</v>
      </c>
      <c r="O1077">
        <v>46.3</v>
      </c>
      <c r="P1077">
        <v>-4.5</v>
      </c>
      <c r="Q1077">
        <v>-2</v>
      </c>
      <c r="R1077">
        <v>0</v>
      </c>
      <c r="S1077">
        <v>5612</v>
      </c>
      <c r="T1077">
        <v>-11.3</v>
      </c>
    </row>
    <row r="1078" spans="1:20" x14ac:dyDescent="0.25">
      <c r="A1078" s="91" t="s">
        <v>126</v>
      </c>
      <c r="B1078" s="10">
        <v>46150</v>
      </c>
      <c r="C1078" t="s">
        <v>108</v>
      </c>
      <c r="D1078" t="s">
        <v>102</v>
      </c>
      <c r="E1078" t="s">
        <v>106</v>
      </c>
      <c r="F1078">
        <v>158.6</v>
      </c>
      <c r="G1078">
        <v>159.69999999999999</v>
      </c>
      <c r="H1078">
        <v>111.6</v>
      </c>
      <c r="I1078">
        <v>19.3</v>
      </c>
      <c r="J1078">
        <v>-7.8</v>
      </c>
      <c r="K1078">
        <v>89.5</v>
      </c>
      <c r="L1078">
        <v>-35.1</v>
      </c>
      <c r="M1078">
        <v>83.4</v>
      </c>
      <c r="N1078">
        <v>1.34</v>
      </c>
      <c r="O1078">
        <v>47.1</v>
      </c>
      <c r="P1078">
        <v>-4.7</v>
      </c>
      <c r="Q1078">
        <v>-4</v>
      </c>
      <c r="R1078">
        <v>0</v>
      </c>
      <c r="S1078">
        <v>5645</v>
      </c>
      <c r="T1078">
        <v>-11</v>
      </c>
    </row>
    <row r="1079" spans="1:20" x14ac:dyDescent="0.25">
      <c r="A1079" s="91" t="s">
        <v>126</v>
      </c>
      <c r="B1079" s="10">
        <v>46150</v>
      </c>
      <c r="C1079" t="s">
        <v>108</v>
      </c>
      <c r="D1079" t="s">
        <v>102</v>
      </c>
      <c r="E1079" t="s">
        <v>106</v>
      </c>
      <c r="F1079">
        <v>149.9</v>
      </c>
      <c r="G1079">
        <v>154.30000000000001</v>
      </c>
      <c r="H1079">
        <v>108.4</v>
      </c>
      <c r="I1079">
        <v>22.1</v>
      </c>
      <c r="J1079">
        <v>-3.3</v>
      </c>
      <c r="K1079">
        <v>97.9</v>
      </c>
      <c r="L1079">
        <v>-6.1</v>
      </c>
      <c r="M1079">
        <v>83.9</v>
      </c>
      <c r="N1079">
        <v>1.29</v>
      </c>
      <c r="O1079">
        <v>49.7</v>
      </c>
      <c r="P1079">
        <v>-4.2</v>
      </c>
      <c r="Q1079">
        <v>-3.7</v>
      </c>
      <c r="R1079">
        <v>0</v>
      </c>
      <c r="S1079">
        <v>6142</v>
      </c>
      <c r="T1079">
        <v>1.9</v>
      </c>
    </row>
    <row r="1080" spans="1:20" x14ac:dyDescent="0.25">
      <c r="A1080" s="91" t="s">
        <v>126</v>
      </c>
      <c r="B1080" s="10">
        <v>46150</v>
      </c>
      <c r="C1080" t="s">
        <v>112</v>
      </c>
      <c r="D1080" t="s">
        <v>102</v>
      </c>
      <c r="E1080" t="s">
        <v>113</v>
      </c>
      <c r="F1080">
        <v>180.5</v>
      </c>
      <c r="G1080">
        <v>190.4</v>
      </c>
      <c r="H1080">
        <v>125.2</v>
      </c>
      <c r="I1080">
        <v>10.7</v>
      </c>
      <c r="J1080">
        <v>-7.5</v>
      </c>
      <c r="K1080">
        <v>63</v>
      </c>
      <c r="L1080">
        <v>-45.6</v>
      </c>
      <c r="M1080">
        <v>88.3</v>
      </c>
      <c r="N1080">
        <v>1.42</v>
      </c>
      <c r="O1080">
        <v>36.5</v>
      </c>
      <c r="P1080">
        <v>-0.8</v>
      </c>
      <c r="Q1080">
        <v>-5.0999999999999996</v>
      </c>
      <c r="R1080">
        <v>0</v>
      </c>
      <c r="S1080">
        <v>4648</v>
      </c>
      <c r="T1080">
        <v>-15.6</v>
      </c>
    </row>
    <row r="1081" spans="1:20" x14ac:dyDescent="0.25">
      <c r="A1081" s="91" t="s">
        <v>126</v>
      </c>
      <c r="B1081" s="10">
        <v>46150</v>
      </c>
      <c r="C1081" t="s">
        <v>112</v>
      </c>
      <c r="D1081" t="s">
        <v>102</v>
      </c>
      <c r="E1081" t="s">
        <v>113</v>
      </c>
      <c r="F1081">
        <v>187.1</v>
      </c>
      <c r="G1081">
        <v>200.2</v>
      </c>
      <c r="H1081">
        <v>131.19999999999999</v>
      </c>
      <c r="I1081">
        <v>6</v>
      </c>
      <c r="J1081">
        <v>-8.4</v>
      </c>
      <c r="K1081">
        <v>45</v>
      </c>
      <c r="L1081">
        <v>-26.5</v>
      </c>
      <c r="M1081">
        <v>92.1</v>
      </c>
      <c r="N1081">
        <v>1.42</v>
      </c>
      <c r="O1081">
        <v>28.7</v>
      </c>
      <c r="P1081">
        <v>-1</v>
      </c>
      <c r="Q1081">
        <v>-4.5</v>
      </c>
      <c r="R1081">
        <v>0</v>
      </c>
      <c r="S1081">
        <v>4352</v>
      </c>
      <c r="T1081">
        <v>0.4</v>
      </c>
    </row>
    <row r="1082" spans="1:20" x14ac:dyDescent="0.25">
      <c r="A1082" s="91" t="s">
        <v>126</v>
      </c>
      <c r="B1082" s="10">
        <v>46150</v>
      </c>
      <c r="C1082" t="s">
        <v>112</v>
      </c>
      <c r="D1082" t="s">
        <v>102</v>
      </c>
      <c r="E1082" t="s">
        <v>113</v>
      </c>
      <c r="F1082">
        <v>178.3</v>
      </c>
      <c r="G1082">
        <v>190.4</v>
      </c>
      <c r="H1082">
        <v>116.5</v>
      </c>
      <c r="I1082">
        <v>16.3</v>
      </c>
      <c r="J1082">
        <v>-4.8</v>
      </c>
      <c r="K1082">
        <v>66.5</v>
      </c>
      <c r="L1082">
        <v>-34.4</v>
      </c>
      <c r="M1082">
        <v>88.9</v>
      </c>
      <c r="N1082">
        <v>1.31</v>
      </c>
      <c r="O1082">
        <v>34.6</v>
      </c>
      <c r="P1082">
        <v>-1.3</v>
      </c>
      <c r="Q1082">
        <v>-3.6</v>
      </c>
      <c r="R1082">
        <v>0</v>
      </c>
      <c r="S1082">
        <v>2728</v>
      </c>
      <c r="T1082">
        <v>-18.100000000000001</v>
      </c>
    </row>
    <row r="1083" spans="1:20" x14ac:dyDescent="0.25">
      <c r="A1083" s="91" t="s">
        <v>126</v>
      </c>
      <c r="B1083" s="10">
        <v>46150</v>
      </c>
      <c r="C1083" t="s">
        <v>112</v>
      </c>
      <c r="D1083" t="s">
        <v>102</v>
      </c>
      <c r="E1083" t="s">
        <v>113</v>
      </c>
      <c r="F1083">
        <v>173.9</v>
      </c>
      <c r="G1083">
        <v>188.2</v>
      </c>
      <c r="H1083">
        <v>126.7</v>
      </c>
      <c r="I1083">
        <v>5.3</v>
      </c>
      <c r="J1083">
        <v>-7.9</v>
      </c>
      <c r="K1083">
        <v>36.6</v>
      </c>
      <c r="L1083">
        <v>-24.8</v>
      </c>
      <c r="M1083">
        <v>90</v>
      </c>
      <c r="N1083">
        <v>1.41</v>
      </c>
      <c r="O1083">
        <v>25.5</v>
      </c>
      <c r="P1083">
        <v>-4</v>
      </c>
      <c r="Q1083">
        <v>-3.1</v>
      </c>
      <c r="R1083">
        <v>0</v>
      </c>
      <c r="S1083">
        <v>4519</v>
      </c>
      <c r="T1083">
        <v>-0.9</v>
      </c>
    </row>
    <row r="1084" spans="1:20" x14ac:dyDescent="0.25">
      <c r="A1084" s="91" t="s">
        <v>126</v>
      </c>
      <c r="B1084" s="10">
        <v>46150</v>
      </c>
      <c r="C1084" t="s">
        <v>112</v>
      </c>
      <c r="D1084" t="s">
        <v>102</v>
      </c>
      <c r="E1084" t="s">
        <v>113</v>
      </c>
      <c r="F1084">
        <v>198</v>
      </c>
      <c r="G1084">
        <v>205.7</v>
      </c>
      <c r="H1084">
        <v>130.19999999999999</v>
      </c>
      <c r="I1084">
        <v>13.9</v>
      </c>
      <c r="J1084">
        <v>-3.6</v>
      </c>
      <c r="K1084">
        <v>93.9</v>
      </c>
      <c r="L1084">
        <v>-8</v>
      </c>
      <c r="M1084">
        <v>92.2</v>
      </c>
      <c r="N1084">
        <v>1.41</v>
      </c>
      <c r="O1084">
        <v>44.1</v>
      </c>
      <c r="P1084">
        <v>-5.5</v>
      </c>
      <c r="Q1084">
        <v>-4.7</v>
      </c>
      <c r="R1084">
        <v>0</v>
      </c>
      <c r="S1084">
        <v>4494</v>
      </c>
      <c r="T1084">
        <v>2.2999999999999998</v>
      </c>
    </row>
    <row r="1085" spans="1:20" x14ac:dyDescent="0.25">
      <c r="A1085" s="91" t="s">
        <v>126</v>
      </c>
      <c r="B1085" s="10">
        <v>46150</v>
      </c>
      <c r="C1085" t="s">
        <v>116</v>
      </c>
      <c r="D1085" t="s">
        <v>102</v>
      </c>
      <c r="E1085" t="s">
        <v>115</v>
      </c>
      <c r="F1085">
        <v>189.3</v>
      </c>
      <c r="G1085">
        <v>196.9</v>
      </c>
      <c r="H1085">
        <v>124.2</v>
      </c>
      <c r="I1085">
        <v>17.100000000000001</v>
      </c>
      <c r="J1085">
        <v>0.1</v>
      </c>
      <c r="K1085">
        <v>97.8</v>
      </c>
      <c r="L1085">
        <v>18</v>
      </c>
      <c r="M1085">
        <v>92.1</v>
      </c>
      <c r="N1085">
        <v>1.35</v>
      </c>
      <c r="O1085">
        <v>45.1</v>
      </c>
      <c r="P1085">
        <v>0.8</v>
      </c>
      <c r="Q1085">
        <v>-9.3000000000000007</v>
      </c>
      <c r="R1085">
        <v>0</v>
      </c>
      <c r="S1085">
        <v>4067</v>
      </c>
      <c r="T1085">
        <v>10.9</v>
      </c>
    </row>
    <row r="1086" spans="1:20" x14ac:dyDescent="0.25">
      <c r="A1086" s="91" t="s">
        <v>126</v>
      </c>
      <c r="B1086" s="10">
        <v>46150</v>
      </c>
      <c r="C1086" t="s">
        <v>116</v>
      </c>
      <c r="D1086" t="s">
        <v>102</v>
      </c>
      <c r="E1086" t="s">
        <v>115</v>
      </c>
      <c r="F1086">
        <v>211.1</v>
      </c>
      <c r="G1086">
        <v>223.2</v>
      </c>
      <c r="H1086">
        <v>138.4</v>
      </c>
      <c r="I1086">
        <v>10.3</v>
      </c>
      <c r="J1086">
        <v>-11.1</v>
      </c>
      <c r="K1086">
        <v>76.3</v>
      </c>
      <c r="L1086">
        <v>-20.6</v>
      </c>
      <c r="M1086">
        <v>97.1</v>
      </c>
      <c r="N1086">
        <v>1.43</v>
      </c>
      <c r="O1086">
        <v>37.6</v>
      </c>
      <c r="P1086">
        <v>-1</v>
      </c>
      <c r="Q1086">
        <v>-1</v>
      </c>
      <c r="R1086">
        <v>1</v>
      </c>
      <c r="S1086">
        <v>3898</v>
      </c>
      <c r="T1086">
        <v>11.3</v>
      </c>
    </row>
    <row r="1087" spans="1:20" x14ac:dyDescent="0.25">
      <c r="A1087" s="91" t="s">
        <v>126</v>
      </c>
      <c r="B1087" s="10">
        <v>46150</v>
      </c>
      <c r="C1087" t="s">
        <v>116</v>
      </c>
      <c r="D1087" t="s">
        <v>102</v>
      </c>
      <c r="E1087" t="s">
        <v>115</v>
      </c>
      <c r="F1087">
        <v>203.5</v>
      </c>
      <c r="G1087">
        <v>215.5</v>
      </c>
      <c r="H1087">
        <v>135.6</v>
      </c>
      <c r="I1087">
        <v>8.1</v>
      </c>
      <c r="J1087">
        <v>-10.4</v>
      </c>
      <c r="K1087">
        <v>60</v>
      </c>
      <c r="L1087">
        <v>-36.299999999999997</v>
      </c>
      <c r="M1087">
        <v>93.2</v>
      </c>
      <c r="N1087">
        <v>1.46</v>
      </c>
      <c r="O1087">
        <v>32.9</v>
      </c>
      <c r="P1087">
        <v>-1</v>
      </c>
      <c r="Q1087">
        <v>-1</v>
      </c>
      <c r="R1087">
        <v>1</v>
      </c>
      <c r="S1087">
        <v>3902</v>
      </c>
      <c r="T1087">
        <v>0.3</v>
      </c>
    </row>
    <row r="1088" spans="1:20" x14ac:dyDescent="0.25">
      <c r="A1088" s="91" t="s">
        <v>126</v>
      </c>
      <c r="B1088" s="10">
        <v>46150</v>
      </c>
      <c r="C1088" t="s">
        <v>116</v>
      </c>
      <c r="D1088" t="s">
        <v>102</v>
      </c>
      <c r="E1088" t="s">
        <v>115</v>
      </c>
      <c r="F1088">
        <v>218.8</v>
      </c>
      <c r="G1088">
        <v>226.5</v>
      </c>
      <c r="H1088">
        <v>140.80000000000001</v>
      </c>
      <c r="I1088">
        <v>12.7</v>
      </c>
      <c r="J1088">
        <v>-5.8</v>
      </c>
      <c r="K1088">
        <v>100.6</v>
      </c>
      <c r="L1088">
        <v>-5.7</v>
      </c>
      <c r="M1088">
        <v>96.4</v>
      </c>
      <c r="N1088">
        <v>1.46</v>
      </c>
      <c r="O1088">
        <v>44</v>
      </c>
      <c r="P1088">
        <v>-1</v>
      </c>
      <c r="Q1088">
        <v>-1</v>
      </c>
      <c r="R1088">
        <v>5</v>
      </c>
      <c r="S1088">
        <v>4169</v>
      </c>
      <c r="T1088">
        <v>8</v>
      </c>
    </row>
    <row r="1089" spans="1:20" x14ac:dyDescent="0.25">
      <c r="A1089" s="105" t="s">
        <v>126</v>
      </c>
      <c r="B1089" s="10">
        <v>46161</v>
      </c>
      <c r="C1089" t="s">
        <v>97</v>
      </c>
      <c r="D1089" t="s">
        <v>98</v>
      </c>
      <c r="E1089" t="s">
        <v>99</v>
      </c>
      <c r="F1089">
        <v>26.3</v>
      </c>
      <c r="G1089">
        <v>31.7</v>
      </c>
      <c r="H1089">
        <v>35</v>
      </c>
      <c r="I1089">
        <v>35.1</v>
      </c>
      <c r="J1089">
        <v>0.9</v>
      </c>
      <c r="K1089">
        <v>15.3</v>
      </c>
      <c r="L1089">
        <v>0.4</v>
      </c>
      <c r="M1089">
        <v>40.9</v>
      </c>
      <c r="N1089">
        <v>0.86</v>
      </c>
      <c r="O1089">
        <v>38.799999999999997</v>
      </c>
      <c r="P1089">
        <v>-5.5</v>
      </c>
      <c r="Q1089">
        <v>4.3</v>
      </c>
      <c r="R1089">
        <v>0</v>
      </c>
      <c r="S1089">
        <v>5736</v>
      </c>
      <c r="T1089">
        <v>-1.4</v>
      </c>
    </row>
    <row r="1090" spans="1:20" x14ac:dyDescent="0.25">
      <c r="A1090" s="105" t="s">
        <v>126</v>
      </c>
      <c r="B1090" s="10">
        <v>46161</v>
      </c>
      <c r="C1090" t="s">
        <v>97</v>
      </c>
      <c r="D1090" t="s">
        <v>98</v>
      </c>
      <c r="E1090" t="s">
        <v>99</v>
      </c>
      <c r="F1090">
        <v>15.3</v>
      </c>
      <c r="G1090">
        <v>19.7</v>
      </c>
      <c r="H1090">
        <v>25.9</v>
      </c>
      <c r="I1090">
        <v>35.5</v>
      </c>
      <c r="J1090">
        <v>4.5</v>
      </c>
      <c r="K1090">
        <v>8.4</v>
      </c>
      <c r="L1090">
        <v>1</v>
      </c>
      <c r="M1090">
        <v>29.4</v>
      </c>
      <c r="N1090">
        <v>0.88</v>
      </c>
      <c r="O1090">
        <v>37.4</v>
      </c>
      <c r="P1090">
        <v>0</v>
      </c>
      <c r="Q1090">
        <v>0</v>
      </c>
      <c r="R1090">
        <v>-1</v>
      </c>
      <c r="S1090">
        <v>2935</v>
      </c>
      <c r="T1090">
        <v>-14.6</v>
      </c>
    </row>
    <row r="1091" spans="1:20" x14ac:dyDescent="0.25">
      <c r="A1091" s="105" t="s">
        <v>126</v>
      </c>
      <c r="B1091" s="10">
        <v>46161</v>
      </c>
      <c r="C1091" t="s">
        <v>97</v>
      </c>
      <c r="D1091" t="s">
        <v>98</v>
      </c>
      <c r="E1091" t="s">
        <v>99</v>
      </c>
      <c r="F1091">
        <v>30.6</v>
      </c>
      <c r="G1091">
        <v>36.1</v>
      </c>
      <c r="H1091">
        <v>38.299999999999997</v>
      </c>
      <c r="I1091">
        <v>34.700000000000003</v>
      </c>
      <c r="J1091">
        <v>-1</v>
      </c>
      <c r="K1091">
        <v>18</v>
      </c>
      <c r="L1091">
        <v>-1.1000000000000001</v>
      </c>
      <c r="M1091">
        <v>42.1</v>
      </c>
      <c r="N1091">
        <v>0.91</v>
      </c>
      <c r="O1091">
        <v>39</v>
      </c>
      <c r="P1091">
        <v>-0.6</v>
      </c>
      <c r="Q1091">
        <v>3.8</v>
      </c>
      <c r="R1091">
        <v>0</v>
      </c>
      <c r="S1091">
        <v>4875</v>
      </c>
      <c r="T1091">
        <v>-11.7</v>
      </c>
    </row>
    <row r="1092" spans="1:20" x14ac:dyDescent="0.25">
      <c r="A1092" s="105" t="s">
        <v>126</v>
      </c>
      <c r="B1092" s="10">
        <v>46161</v>
      </c>
      <c r="C1092" t="s">
        <v>97</v>
      </c>
      <c r="D1092" t="s">
        <v>98</v>
      </c>
      <c r="E1092" t="s">
        <v>99</v>
      </c>
      <c r="F1092">
        <v>33.9</v>
      </c>
      <c r="G1092">
        <v>38.299999999999997</v>
      </c>
      <c r="H1092">
        <v>40</v>
      </c>
      <c r="I1092">
        <v>40.4</v>
      </c>
      <c r="J1092">
        <v>0.4</v>
      </c>
      <c r="K1092">
        <v>25</v>
      </c>
      <c r="L1092">
        <v>-0.3</v>
      </c>
      <c r="M1092">
        <v>47.9</v>
      </c>
      <c r="N1092">
        <v>0.83</v>
      </c>
      <c r="O1092">
        <v>45.6</v>
      </c>
      <c r="P1092">
        <v>-1.3</v>
      </c>
      <c r="Q1092">
        <v>3.9</v>
      </c>
      <c r="R1092">
        <v>0</v>
      </c>
      <c r="S1092">
        <v>5480</v>
      </c>
      <c r="T1092">
        <v>-8.5</v>
      </c>
    </row>
    <row r="1093" spans="1:20" x14ac:dyDescent="0.25">
      <c r="A1093" s="105" t="s">
        <v>126</v>
      </c>
      <c r="B1093" s="10">
        <v>46161</v>
      </c>
      <c r="C1093" t="s">
        <v>97</v>
      </c>
      <c r="D1093" t="s">
        <v>98</v>
      </c>
      <c r="E1093" t="s">
        <v>99</v>
      </c>
      <c r="F1093">
        <v>32.799999999999997</v>
      </c>
      <c r="G1093">
        <v>37.200000000000003</v>
      </c>
      <c r="H1093">
        <v>39</v>
      </c>
      <c r="I1093">
        <v>39.200000000000003</v>
      </c>
      <c r="J1093">
        <v>2.7</v>
      </c>
      <c r="K1093">
        <v>22.7</v>
      </c>
      <c r="L1093">
        <v>1.2</v>
      </c>
      <c r="M1093">
        <v>47.9</v>
      </c>
      <c r="N1093">
        <v>0.81</v>
      </c>
      <c r="O1093">
        <v>44</v>
      </c>
      <c r="P1093">
        <v>-0.9</v>
      </c>
      <c r="Q1093">
        <v>3.7</v>
      </c>
      <c r="R1093">
        <v>0</v>
      </c>
      <c r="S1093">
        <v>5223</v>
      </c>
      <c r="T1093">
        <v>-5.8</v>
      </c>
    </row>
    <row r="1094" spans="1:20" x14ac:dyDescent="0.25">
      <c r="A1094" s="105" t="s">
        <v>126</v>
      </c>
      <c r="B1094" s="10">
        <v>46161</v>
      </c>
      <c r="C1094" t="s">
        <v>97</v>
      </c>
      <c r="D1094" t="s">
        <v>98</v>
      </c>
      <c r="E1094" t="s">
        <v>99</v>
      </c>
      <c r="F1094">
        <v>33.9</v>
      </c>
      <c r="G1094">
        <v>38.299999999999997</v>
      </c>
      <c r="H1094">
        <v>40.1</v>
      </c>
      <c r="I1094">
        <v>36.200000000000003</v>
      </c>
      <c r="J1094">
        <v>-0.5</v>
      </c>
      <c r="K1094">
        <v>21.3</v>
      </c>
      <c r="L1094">
        <v>-0.3</v>
      </c>
      <c r="M1094">
        <v>51.8</v>
      </c>
      <c r="N1094">
        <v>0.77</v>
      </c>
      <c r="O1094">
        <v>41.4</v>
      </c>
      <c r="P1094">
        <v>-4.2</v>
      </c>
      <c r="Q1094">
        <v>-0.5</v>
      </c>
      <c r="R1094">
        <v>0</v>
      </c>
      <c r="S1094">
        <v>6722</v>
      </c>
      <c r="T1094">
        <v>-0.6</v>
      </c>
    </row>
    <row r="1095" spans="1:20" x14ac:dyDescent="0.25">
      <c r="A1095" s="105" t="s">
        <v>126</v>
      </c>
      <c r="B1095" s="10">
        <v>46161</v>
      </c>
      <c r="C1095" t="s">
        <v>97</v>
      </c>
      <c r="D1095" t="s">
        <v>98</v>
      </c>
      <c r="E1095" t="s">
        <v>99</v>
      </c>
      <c r="F1095">
        <v>40.5</v>
      </c>
      <c r="G1095">
        <v>43.8</v>
      </c>
      <c r="H1095">
        <v>44.7</v>
      </c>
      <c r="I1095">
        <v>40.6</v>
      </c>
      <c r="J1095">
        <v>-0.4</v>
      </c>
      <c r="K1095">
        <v>31.6</v>
      </c>
      <c r="L1095">
        <v>-0.6</v>
      </c>
      <c r="M1095">
        <v>53.5</v>
      </c>
      <c r="N1095">
        <v>0.84</v>
      </c>
      <c r="O1095">
        <v>47.3</v>
      </c>
      <c r="P1095">
        <v>-2.4</v>
      </c>
      <c r="Q1095">
        <v>1.4</v>
      </c>
      <c r="R1095">
        <v>0</v>
      </c>
      <c r="S1095">
        <v>6518</v>
      </c>
      <c r="T1095">
        <v>-3.5</v>
      </c>
    </row>
    <row r="1096" spans="1:20" x14ac:dyDescent="0.25">
      <c r="A1096" s="105" t="s">
        <v>126</v>
      </c>
      <c r="B1096" s="10">
        <v>46161</v>
      </c>
      <c r="C1096" t="s">
        <v>97</v>
      </c>
      <c r="D1096" t="s">
        <v>98</v>
      </c>
      <c r="E1096" t="s">
        <v>99</v>
      </c>
      <c r="F1096">
        <v>48.1</v>
      </c>
      <c r="G1096">
        <v>52.5</v>
      </c>
      <c r="H1096">
        <v>49.6</v>
      </c>
      <c r="I1096">
        <v>38.200000000000003</v>
      </c>
      <c r="J1096">
        <v>-1.6</v>
      </c>
      <c r="K1096">
        <v>35.6</v>
      </c>
      <c r="L1096">
        <v>-2.2000000000000002</v>
      </c>
      <c r="M1096">
        <v>58.5</v>
      </c>
      <c r="N1096">
        <v>0.85</v>
      </c>
      <c r="O1096">
        <v>46.4</v>
      </c>
      <c r="P1096">
        <v>-0.7</v>
      </c>
      <c r="Q1096">
        <v>0.1</v>
      </c>
      <c r="R1096">
        <v>0</v>
      </c>
      <c r="S1096">
        <v>6380</v>
      </c>
      <c r="T1096">
        <v>-6.1</v>
      </c>
    </row>
    <row r="1097" spans="1:20" x14ac:dyDescent="0.25">
      <c r="A1097" s="105" t="s">
        <v>126</v>
      </c>
      <c r="B1097" s="10">
        <v>46161</v>
      </c>
      <c r="C1097" t="s">
        <v>97</v>
      </c>
      <c r="D1097" t="s">
        <v>98</v>
      </c>
      <c r="E1097" t="s">
        <v>99</v>
      </c>
      <c r="F1097">
        <v>65.599999999999994</v>
      </c>
      <c r="G1097">
        <v>68.900000000000006</v>
      </c>
      <c r="H1097">
        <v>60.5</v>
      </c>
      <c r="I1097">
        <v>33.1</v>
      </c>
      <c r="J1097">
        <v>-3</v>
      </c>
      <c r="K1097">
        <v>43.9</v>
      </c>
      <c r="L1097">
        <v>-3.5</v>
      </c>
      <c r="M1097">
        <v>76.2</v>
      </c>
      <c r="N1097">
        <v>0.79</v>
      </c>
      <c r="O1097">
        <v>45.4</v>
      </c>
      <c r="P1097">
        <v>-6.9</v>
      </c>
      <c r="Q1097">
        <v>-1.2</v>
      </c>
      <c r="R1097">
        <v>0</v>
      </c>
      <c r="S1097">
        <v>9909</v>
      </c>
      <c r="T1097">
        <v>-0.8</v>
      </c>
    </row>
    <row r="1098" spans="1:20" x14ac:dyDescent="0.25">
      <c r="A1098" s="105" t="s">
        <v>126</v>
      </c>
      <c r="B1098" s="10">
        <v>46161</v>
      </c>
      <c r="C1098" t="s">
        <v>97</v>
      </c>
      <c r="D1098" t="s">
        <v>98</v>
      </c>
      <c r="E1098" t="s">
        <v>99</v>
      </c>
      <c r="F1098">
        <v>61.3</v>
      </c>
      <c r="G1098">
        <v>63.5</v>
      </c>
      <c r="H1098">
        <v>58.2</v>
      </c>
      <c r="I1098">
        <v>37.799999999999997</v>
      </c>
      <c r="J1098">
        <v>-0.2</v>
      </c>
      <c r="K1098">
        <v>48.5</v>
      </c>
      <c r="L1098">
        <v>-1.2</v>
      </c>
      <c r="M1098">
        <v>73.5</v>
      </c>
      <c r="N1098">
        <v>0.79</v>
      </c>
      <c r="O1098">
        <v>49.4</v>
      </c>
      <c r="P1098">
        <v>-1</v>
      </c>
      <c r="Q1098">
        <v>0.1</v>
      </c>
      <c r="R1098">
        <v>0</v>
      </c>
      <c r="S1098">
        <v>9278</v>
      </c>
      <c r="T1098">
        <v>-4.7</v>
      </c>
    </row>
    <row r="1099" spans="1:20" x14ac:dyDescent="0.25">
      <c r="A1099" s="105" t="s">
        <v>126</v>
      </c>
      <c r="B1099" s="10">
        <v>46161</v>
      </c>
      <c r="C1099" t="s">
        <v>97</v>
      </c>
      <c r="D1099" t="s">
        <v>98</v>
      </c>
      <c r="E1099" t="s">
        <v>99</v>
      </c>
      <c r="F1099">
        <v>63.5</v>
      </c>
      <c r="G1099">
        <v>64.5</v>
      </c>
      <c r="H1099">
        <v>59.5</v>
      </c>
      <c r="I1099">
        <v>38.700000000000003</v>
      </c>
      <c r="J1099">
        <v>-4.5</v>
      </c>
      <c r="K1099">
        <v>52.5</v>
      </c>
      <c r="L1099">
        <v>-5.9</v>
      </c>
      <c r="M1099">
        <v>76.8</v>
      </c>
      <c r="N1099">
        <v>0.77</v>
      </c>
      <c r="O1099">
        <v>50.9</v>
      </c>
      <c r="P1099">
        <v>-3.2</v>
      </c>
      <c r="Q1099">
        <v>-3.5</v>
      </c>
      <c r="R1099">
        <v>0</v>
      </c>
      <c r="S1099">
        <v>9633</v>
      </c>
      <c r="T1099">
        <v>-4</v>
      </c>
    </row>
    <row r="1100" spans="1:20" x14ac:dyDescent="0.25">
      <c r="A1100" s="105" t="s">
        <v>126</v>
      </c>
      <c r="B1100" s="10">
        <v>46161</v>
      </c>
      <c r="C1100" t="s">
        <v>97</v>
      </c>
      <c r="D1100" t="s">
        <v>98</v>
      </c>
      <c r="E1100" t="s">
        <v>99</v>
      </c>
      <c r="F1100">
        <v>63.5</v>
      </c>
      <c r="G1100">
        <v>71.099999999999994</v>
      </c>
      <c r="H1100">
        <v>63.9</v>
      </c>
      <c r="I1100">
        <v>23.4</v>
      </c>
      <c r="J1100">
        <v>26.3</v>
      </c>
      <c r="K1100">
        <v>26.5</v>
      </c>
      <c r="L1100">
        <v>36.200000000000003</v>
      </c>
      <c r="M1100">
        <v>77.400000000000006</v>
      </c>
      <c r="N1100">
        <v>0.83</v>
      </c>
      <c r="O1100">
        <v>33.1</v>
      </c>
      <c r="P1100">
        <v>-4.2</v>
      </c>
      <c r="Q1100">
        <v>-3.4</v>
      </c>
      <c r="R1100">
        <v>0</v>
      </c>
      <c r="S1100">
        <v>9047</v>
      </c>
      <c r="T1100">
        <v>42.5</v>
      </c>
    </row>
    <row r="1101" spans="1:20" x14ac:dyDescent="0.25">
      <c r="A1101" s="105" t="s">
        <v>126</v>
      </c>
      <c r="B1101" s="10">
        <v>46161</v>
      </c>
      <c r="C1101" t="s">
        <v>97</v>
      </c>
      <c r="D1101" t="s">
        <v>98</v>
      </c>
      <c r="E1101" t="s">
        <v>99</v>
      </c>
      <c r="F1101">
        <v>54.7</v>
      </c>
      <c r="G1101">
        <v>55.8</v>
      </c>
      <c r="H1101">
        <v>54.7</v>
      </c>
      <c r="I1101">
        <v>42.5</v>
      </c>
      <c r="J1101">
        <v>-0.7</v>
      </c>
      <c r="K1101">
        <v>50.2</v>
      </c>
      <c r="L1101">
        <v>-1.1000000000000001</v>
      </c>
      <c r="M1101">
        <v>74.599999999999994</v>
      </c>
      <c r="N1101">
        <v>0.73</v>
      </c>
      <c r="O1101">
        <v>52.7</v>
      </c>
      <c r="P1101">
        <v>-3.3</v>
      </c>
      <c r="Q1101">
        <v>-0.9</v>
      </c>
      <c r="R1101">
        <v>0</v>
      </c>
      <c r="S1101">
        <v>8161</v>
      </c>
      <c r="T1101">
        <v>-2.6</v>
      </c>
    </row>
    <row r="1102" spans="1:20" x14ac:dyDescent="0.25">
      <c r="A1102" s="105" t="s">
        <v>126</v>
      </c>
      <c r="B1102" s="10">
        <v>46161</v>
      </c>
      <c r="C1102" t="s">
        <v>97</v>
      </c>
      <c r="D1102" t="s">
        <v>98</v>
      </c>
      <c r="E1102" t="s">
        <v>99</v>
      </c>
      <c r="F1102">
        <v>26.3</v>
      </c>
      <c r="G1102">
        <v>64.5</v>
      </c>
      <c r="H1102">
        <v>75.3</v>
      </c>
      <c r="I1102">
        <v>5</v>
      </c>
      <c r="J1102">
        <v>14.7</v>
      </c>
      <c r="K1102">
        <v>2</v>
      </c>
      <c r="L1102">
        <v>9</v>
      </c>
      <c r="M1102">
        <v>79</v>
      </c>
      <c r="N1102">
        <v>0.95</v>
      </c>
      <c r="O1102">
        <v>5.9</v>
      </c>
      <c r="P1102">
        <v>-6.8</v>
      </c>
      <c r="Q1102">
        <v>-1.8</v>
      </c>
      <c r="R1102">
        <v>0</v>
      </c>
      <c r="S1102">
        <v>7506</v>
      </c>
      <c r="T1102">
        <v>65.2</v>
      </c>
    </row>
    <row r="1103" spans="1:20" x14ac:dyDescent="0.25">
      <c r="A1103" s="105" t="s">
        <v>126</v>
      </c>
      <c r="B1103" s="10">
        <v>46161</v>
      </c>
      <c r="C1103" t="s">
        <v>97</v>
      </c>
      <c r="D1103" t="s">
        <v>98</v>
      </c>
      <c r="E1103" t="s">
        <v>99</v>
      </c>
      <c r="F1103">
        <v>61.3</v>
      </c>
      <c r="G1103">
        <v>62.4</v>
      </c>
      <c r="H1103">
        <v>59</v>
      </c>
      <c r="I1103">
        <v>42.1</v>
      </c>
      <c r="J1103">
        <v>1.8</v>
      </c>
      <c r="K1103">
        <v>57.5</v>
      </c>
      <c r="L1103">
        <v>1.3</v>
      </c>
      <c r="M1103">
        <v>74</v>
      </c>
      <c r="N1103">
        <v>0.8</v>
      </c>
      <c r="O1103">
        <v>53.9</v>
      </c>
      <c r="P1103">
        <v>-4.3</v>
      </c>
      <c r="Q1103">
        <v>1.1000000000000001</v>
      </c>
      <c r="R1103">
        <v>0</v>
      </c>
      <c r="S1103">
        <v>9243</v>
      </c>
      <c r="T1103">
        <v>-2.7</v>
      </c>
    </row>
    <row r="1104" spans="1:20" x14ac:dyDescent="0.25">
      <c r="A1104" s="105" t="s">
        <v>126</v>
      </c>
      <c r="B1104" s="10">
        <v>46161</v>
      </c>
      <c r="C1104" t="s">
        <v>97</v>
      </c>
      <c r="D1104" t="s">
        <v>98</v>
      </c>
      <c r="E1104" t="s">
        <v>99</v>
      </c>
      <c r="F1104">
        <v>44.9</v>
      </c>
      <c r="G1104">
        <v>45.9</v>
      </c>
      <c r="H1104">
        <v>48.9</v>
      </c>
      <c r="I1104">
        <v>48.4</v>
      </c>
      <c r="J1104">
        <v>-0.4</v>
      </c>
      <c r="K1104">
        <v>47.8</v>
      </c>
      <c r="L1104">
        <v>-0.8</v>
      </c>
      <c r="M1104">
        <v>77.400000000000006</v>
      </c>
      <c r="N1104">
        <v>0.63</v>
      </c>
      <c r="O1104">
        <v>56.1</v>
      </c>
      <c r="P1104">
        <v>-2</v>
      </c>
      <c r="Q1104">
        <v>-1.8</v>
      </c>
      <c r="R1104">
        <v>0</v>
      </c>
      <c r="S1104">
        <v>6162</v>
      </c>
      <c r="T1104">
        <v>-3.4</v>
      </c>
    </row>
    <row r="1105" spans="1:20" x14ac:dyDescent="0.25">
      <c r="A1105" s="105" t="s">
        <v>126</v>
      </c>
      <c r="B1105" s="10">
        <v>46161</v>
      </c>
      <c r="C1105" t="s">
        <v>97</v>
      </c>
      <c r="D1105" t="s">
        <v>98</v>
      </c>
      <c r="E1105" t="s">
        <v>99</v>
      </c>
      <c r="F1105">
        <v>65.599999999999994</v>
      </c>
      <c r="G1105">
        <v>67.8</v>
      </c>
      <c r="H1105">
        <v>60.7</v>
      </c>
      <c r="I1105">
        <v>37.799999999999997</v>
      </c>
      <c r="J1105">
        <v>-3</v>
      </c>
      <c r="K1105">
        <v>52.6</v>
      </c>
      <c r="L1105">
        <v>-5.6</v>
      </c>
      <c r="M1105">
        <v>76.8</v>
      </c>
      <c r="N1105">
        <v>0.79</v>
      </c>
      <c r="O1105">
        <v>50.1</v>
      </c>
      <c r="P1105">
        <v>-3.7</v>
      </c>
      <c r="Q1105">
        <v>1.2</v>
      </c>
      <c r="R1105">
        <v>0</v>
      </c>
      <c r="S1105">
        <v>8809</v>
      </c>
      <c r="T1105">
        <v>-7.8</v>
      </c>
    </row>
    <row r="1106" spans="1:20" x14ac:dyDescent="0.25">
      <c r="A1106" s="105" t="s">
        <v>126</v>
      </c>
      <c r="B1106" s="10">
        <v>46161</v>
      </c>
      <c r="C1106" t="s">
        <v>97</v>
      </c>
      <c r="D1106" t="s">
        <v>98</v>
      </c>
      <c r="E1106" t="s">
        <v>99</v>
      </c>
      <c r="F1106">
        <v>61.3</v>
      </c>
      <c r="G1106">
        <v>65.599999999999994</v>
      </c>
      <c r="H1106">
        <v>61.8</v>
      </c>
      <c r="I1106">
        <v>41.3</v>
      </c>
      <c r="J1106">
        <v>1.3</v>
      </c>
      <c r="K1106">
        <v>61.4</v>
      </c>
      <c r="L1106">
        <v>1.6</v>
      </c>
      <c r="M1106">
        <v>76.8</v>
      </c>
      <c r="N1106">
        <v>0.81</v>
      </c>
      <c r="O1106">
        <v>54.2</v>
      </c>
      <c r="P1106">
        <v>0.5</v>
      </c>
      <c r="Q1106">
        <v>0.5</v>
      </c>
      <c r="R1106">
        <v>0</v>
      </c>
      <c r="S1106">
        <v>10030</v>
      </c>
      <c r="T1106">
        <v>0.1</v>
      </c>
    </row>
    <row r="1107" spans="1:20" x14ac:dyDescent="0.25">
      <c r="A1107" s="105" t="s">
        <v>126</v>
      </c>
      <c r="B1107" s="10">
        <v>46161</v>
      </c>
      <c r="C1107" t="s">
        <v>97</v>
      </c>
      <c r="D1107" t="s">
        <v>98</v>
      </c>
      <c r="E1107" t="s">
        <v>99</v>
      </c>
      <c r="F1107">
        <v>14.2</v>
      </c>
      <c r="G1107">
        <v>18.600000000000001</v>
      </c>
      <c r="H1107">
        <v>24.8</v>
      </c>
      <c r="I1107">
        <v>34.6</v>
      </c>
      <c r="J1107">
        <v>0.7</v>
      </c>
      <c r="K1107">
        <v>7.5</v>
      </c>
      <c r="L1107">
        <v>0</v>
      </c>
      <c r="M1107">
        <v>28.2</v>
      </c>
      <c r="N1107">
        <v>0.88</v>
      </c>
      <c r="O1107">
        <v>36.299999999999997</v>
      </c>
      <c r="P1107">
        <v>-0.8</v>
      </c>
      <c r="Q1107">
        <v>5.6</v>
      </c>
      <c r="R1107">
        <v>0</v>
      </c>
      <c r="S1107">
        <v>2890</v>
      </c>
      <c r="T1107">
        <v>-15.7</v>
      </c>
    </row>
    <row r="1108" spans="1:20" x14ac:dyDescent="0.25">
      <c r="A1108" s="105" t="s">
        <v>126</v>
      </c>
      <c r="B1108" s="10">
        <v>46161</v>
      </c>
      <c r="C1108" t="s">
        <v>97</v>
      </c>
      <c r="D1108" t="s">
        <v>98</v>
      </c>
      <c r="E1108" t="s">
        <v>99</v>
      </c>
      <c r="F1108">
        <v>27.4</v>
      </c>
      <c r="G1108">
        <v>32.799999999999997</v>
      </c>
      <c r="H1108">
        <v>35.799999999999997</v>
      </c>
      <c r="I1108">
        <v>35.299999999999997</v>
      </c>
      <c r="J1108">
        <v>-4.0999999999999996</v>
      </c>
      <c r="K1108">
        <v>16.2</v>
      </c>
      <c r="L1108">
        <v>-2</v>
      </c>
      <c r="M1108">
        <v>40.9</v>
      </c>
      <c r="N1108">
        <v>0.88</v>
      </c>
      <c r="O1108">
        <v>39.200000000000003</v>
      </c>
      <c r="P1108">
        <v>-5.0999999999999996</v>
      </c>
      <c r="Q1108">
        <v>-3.2</v>
      </c>
      <c r="R1108">
        <v>0</v>
      </c>
      <c r="S1108">
        <v>5533</v>
      </c>
      <c r="T1108">
        <v>-0.7</v>
      </c>
    </row>
    <row r="1109" spans="1:20" x14ac:dyDescent="0.25">
      <c r="A1109" s="105" t="s">
        <v>126</v>
      </c>
      <c r="B1109" s="10">
        <v>46161</v>
      </c>
      <c r="C1109" t="s">
        <v>97</v>
      </c>
      <c r="D1109" t="s">
        <v>98</v>
      </c>
      <c r="E1109" t="s">
        <v>99</v>
      </c>
      <c r="F1109">
        <v>52.5</v>
      </c>
      <c r="G1109">
        <v>56.9</v>
      </c>
      <c r="H1109">
        <v>52.6</v>
      </c>
      <c r="I1109">
        <v>35.799999999999997</v>
      </c>
      <c r="J1109">
        <v>-3.8</v>
      </c>
      <c r="K1109">
        <v>36.6</v>
      </c>
      <c r="L1109">
        <v>-3.4</v>
      </c>
      <c r="M1109">
        <v>65.099999999999994</v>
      </c>
      <c r="N1109">
        <v>0.81</v>
      </c>
      <c r="O1109">
        <v>45.2</v>
      </c>
      <c r="P1109">
        <v>-4.5999999999999996</v>
      </c>
      <c r="Q1109">
        <v>-3.2</v>
      </c>
      <c r="R1109">
        <v>0</v>
      </c>
      <c r="S1109">
        <v>8422</v>
      </c>
      <c r="T1109">
        <v>0.3</v>
      </c>
    </row>
    <row r="1110" spans="1:20" x14ac:dyDescent="0.25">
      <c r="A1110" s="105" t="s">
        <v>126</v>
      </c>
      <c r="B1110" s="10">
        <v>46161</v>
      </c>
      <c r="C1110" t="s">
        <v>97</v>
      </c>
      <c r="D1110" t="s">
        <v>98</v>
      </c>
      <c r="E1110" t="s">
        <v>99</v>
      </c>
      <c r="F1110">
        <v>37.200000000000003</v>
      </c>
      <c r="G1110">
        <v>39.4</v>
      </c>
      <c r="H1110">
        <v>41.9</v>
      </c>
      <c r="I1110">
        <v>42.9</v>
      </c>
      <c r="J1110">
        <v>-0.8</v>
      </c>
      <c r="K1110">
        <v>30</v>
      </c>
      <c r="L1110">
        <v>-0.8</v>
      </c>
      <c r="M1110">
        <v>54</v>
      </c>
      <c r="N1110">
        <v>0.78</v>
      </c>
      <c r="O1110">
        <v>48.7</v>
      </c>
      <c r="P1110">
        <v>-0.9</v>
      </c>
      <c r="Q1110">
        <v>-1.8</v>
      </c>
      <c r="R1110">
        <v>0</v>
      </c>
      <c r="S1110">
        <v>5923</v>
      </c>
      <c r="T1110">
        <v>-4.2</v>
      </c>
    </row>
    <row r="1111" spans="1:20" x14ac:dyDescent="0.25">
      <c r="A1111" s="105" t="s">
        <v>126</v>
      </c>
      <c r="B1111" s="10">
        <v>46161</v>
      </c>
      <c r="C1111" t="s">
        <v>97</v>
      </c>
      <c r="D1111" t="s">
        <v>98</v>
      </c>
      <c r="E1111" t="s">
        <v>99</v>
      </c>
      <c r="F1111">
        <v>42.7</v>
      </c>
      <c r="G1111">
        <v>47</v>
      </c>
      <c r="H1111">
        <v>45.5</v>
      </c>
      <c r="I1111">
        <v>37.200000000000003</v>
      </c>
      <c r="J1111">
        <v>-1.6</v>
      </c>
      <c r="K1111">
        <v>28.6</v>
      </c>
      <c r="L1111">
        <v>-2.1</v>
      </c>
      <c r="M1111">
        <v>53.5</v>
      </c>
      <c r="N1111">
        <v>0.85</v>
      </c>
      <c r="O1111">
        <v>43.8</v>
      </c>
      <c r="P1111">
        <v>-0.6</v>
      </c>
      <c r="Q1111">
        <v>1.8</v>
      </c>
      <c r="R1111">
        <v>0</v>
      </c>
      <c r="S1111">
        <v>5849</v>
      </c>
      <c r="T1111">
        <v>-8.5</v>
      </c>
    </row>
    <row r="1112" spans="1:20" x14ac:dyDescent="0.25">
      <c r="A1112" s="105" t="s">
        <v>126</v>
      </c>
      <c r="B1112" s="10">
        <v>46161</v>
      </c>
      <c r="C1112" t="s">
        <v>100</v>
      </c>
      <c r="D1112" t="s">
        <v>98</v>
      </c>
      <c r="E1112" t="s">
        <v>99</v>
      </c>
      <c r="F1112">
        <v>89.7</v>
      </c>
      <c r="G1112">
        <v>91.9</v>
      </c>
      <c r="H1112">
        <v>75.099999999999994</v>
      </c>
      <c r="I1112">
        <v>31.8</v>
      </c>
      <c r="J1112">
        <v>-4.8</v>
      </c>
      <c r="K1112">
        <v>65.3</v>
      </c>
      <c r="L1112">
        <v>-10.4</v>
      </c>
      <c r="M1112">
        <v>80.7</v>
      </c>
      <c r="N1112">
        <v>0.93</v>
      </c>
      <c r="O1112">
        <v>49.4</v>
      </c>
      <c r="P1112">
        <v>-2.4</v>
      </c>
      <c r="Q1112">
        <v>-1.6</v>
      </c>
      <c r="R1112">
        <v>0</v>
      </c>
      <c r="S1112">
        <v>10399</v>
      </c>
      <c r="T1112">
        <v>-5.8</v>
      </c>
    </row>
    <row r="1113" spans="1:20" x14ac:dyDescent="0.25">
      <c r="A1113" s="105" t="s">
        <v>126</v>
      </c>
      <c r="B1113" s="10">
        <v>46161</v>
      </c>
      <c r="C1113" t="s">
        <v>100</v>
      </c>
      <c r="D1113" t="s">
        <v>98</v>
      </c>
      <c r="E1113" t="s">
        <v>99</v>
      </c>
      <c r="F1113">
        <v>83.1</v>
      </c>
      <c r="G1113">
        <v>85.3</v>
      </c>
      <c r="H1113">
        <v>71.8</v>
      </c>
      <c r="I1113">
        <v>34.1</v>
      </c>
      <c r="J1113">
        <v>-7.7</v>
      </c>
      <c r="K1113">
        <v>64.8</v>
      </c>
      <c r="L1113">
        <v>-13.6</v>
      </c>
      <c r="M1113">
        <v>80.5</v>
      </c>
      <c r="N1113">
        <v>0.89</v>
      </c>
      <c r="O1113">
        <v>50.5</v>
      </c>
      <c r="P1113">
        <v>-2.8</v>
      </c>
      <c r="Q1113">
        <v>-3.9</v>
      </c>
      <c r="R1113">
        <v>0</v>
      </c>
      <c r="S1113">
        <v>10202</v>
      </c>
      <c r="T1113">
        <v>-5.7</v>
      </c>
    </row>
    <row r="1114" spans="1:20" x14ac:dyDescent="0.25">
      <c r="A1114" s="105" t="s">
        <v>126</v>
      </c>
      <c r="B1114" s="10">
        <v>46161</v>
      </c>
      <c r="C1114" t="s">
        <v>100</v>
      </c>
      <c r="D1114" t="s">
        <v>98</v>
      </c>
      <c r="E1114" t="s">
        <v>99</v>
      </c>
      <c r="F1114">
        <v>75.5</v>
      </c>
      <c r="G1114">
        <v>75.5</v>
      </c>
      <c r="H1114">
        <v>67.900000000000006</v>
      </c>
      <c r="I1114">
        <v>39.1</v>
      </c>
      <c r="J1114">
        <v>-1.3</v>
      </c>
      <c r="K1114">
        <v>68.900000000000006</v>
      </c>
      <c r="L1114">
        <v>-0.9</v>
      </c>
      <c r="M1114">
        <v>81.599999999999994</v>
      </c>
      <c r="N1114">
        <v>0.83</v>
      </c>
      <c r="O1114">
        <v>54.4</v>
      </c>
      <c r="P1114">
        <v>-4.2</v>
      </c>
      <c r="Q1114">
        <v>-1.9</v>
      </c>
      <c r="R1114">
        <v>0</v>
      </c>
      <c r="S1114">
        <v>11095</v>
      </c>
      <c r="T1114">
        <v>1.8</v>
      </c>
    </row>
    <row r="1115" spans="1:20" x14ac:dyDescent="0.25">
      <c r="A1115" s="105" t="s">
        <v>126</v>
      </c>
      <c r="B1115" s="10">
        <v>46161</v>
      </c>
      <c r="C1115" t="s">
        <v>100</v>
      </c>
      <c r="D1115" t="s">
        <v>98</v>
      </c>
      <c r="E1115" t="s">
        <v>99</v>
      </c>
      <c r="F1115">
        <v>78.8</v>
      </c>
      <c r="G1115">
        <v>79.900000000000006</v>
      </c>
      <c r="H1115">
        <v>69.2</v>
      </c>
      <c r="I1115">
        <v>35.700000000000003</v>
      </c>
      <c r="J1115">
        <v>-1.9</v>
      </c>
      <c r="K1115">
        <v>64</v>
      </c>
      <c r="L1115">
        <v>-2.9</v>
      </c>
      <c r="M1115">
        <v>78.8</v>
      </c>
      <c r="N1115">
        <v>0.88</v>
      </c>
      <c r="O1115">
        <v>51.6</v>
      </c>
      <c r="P1115">
        <v>-4.8</v>
      </c>
      <c r="Q1115">
        <v>-1.5</v>
      </c>
      <c r="R1115">
        <v>0</v>
      </c>
      <c r="S1115">
        <v>11358</v>
      </c>
      <c r="T1115">
        <v>-0.7</v>
      </c>
    </row>
    <row r="1116" spans="1:20" x14ac:dyDescent="0.25">
      <c r="A1116" s="105" t="s">
        <v>126</v>
      </c>
      <c r="B1116" s="10">
        <v>46161</v>
      </c>
      <c r="C1116" t="s">
        <v>100</v>
      </c>
      <c r="D1116" t="s">
        <v>98</v>
      </c>
      <c r="E1116" t="s">
        <v>99</v>
      </c>
      <c r="F1116">
        <v>74.400000000000006</v>
      </c>
      <c r="G1116">
        <v>75.5</v>
      </c>
      <c r="H1116">
        <v>66.7</v>
      </c>
      <c r="I1116">
        <v>36</v>
      </c>
      <c r="J1116">
        <v>0.5</v>
      </c>
      <c r="K1116">
        <v>59.9</v>
      </c>
      <c r="L1116">
        <v>1.9</v>
      </c>
      <c r="M1116">
        <v>81.599999999999994</v>
      </c>
      <c r="N1116">
        <v>0.82</v>
      </c>
      <c r="O1116">
        <v>50.9</v>
      </c>
      <c r="P1116">
        <v>-4.5999999999999996</v>
      </c>
      <c r="Q1116">
        <v>-2.2000000000000002</v>
      </c>
      <c r="R1116">
        <v>0</v>
      </c>
      <c r="S1116">
        <v>11322</v>
      </c>
      <c r="T1116">
        <v>3.1</v>
      </c>
    </row>
    <row r="1117" spans="1:20" x14ac:dyDescent="0.25">
      <c r="A1117" s="105" t="s">
        <v>126</v>
      </c>
      <c r="B1117" s="10">
        <v>46161</v>
      </c>
      <c r="C1117" t="s">
        <v>100</v>
      </c>
      <c r="D1117" t="s">
        <v>98</v>
      </c>
      <c r="E1117" t="s">
        <v>99</v>
      </c>
      <c r="F1117">
        <v>79.900000000000006</v>
      </c>
      <c r="G1117">
        <v>83.1</v>
      </c>
      <c r="H1117">
        <v>69</v>
      </c>
      <c r="I1117">
        <v>31.8</v>
      </c>
      <c r="J1117">
        <v>-2.9</v>
      </c>
      <c r="K1117">
        <v>54.6</v>
      </c>
      <c r="L1117">
        <v>-5.0999999999999996</v>
      </c>
      <c r="M1117">
        <v>78.400000000000006</v>
      </c>
      <c r="N1117">
        <v>0.88</v>
      </c>
      <c r="O1117">
        <v>47</v>
      </c>
      <c r="P1117">
        <v>-3.4</v>
      </c>
      <c r="Q1117">
        <v>-0.5</v>
      </c>
      <c r="R1117">
        <v>0</v>
      </c>
      <c r="S1117">
        <v>9621</v>
      </c>
      <c r="T1117">
        <v>-2.9</v>
      </c>
    </row>
    <row r="1118" spans="1:20" x14ac:dyDescent="0.25">
      <c r="A1118" s="105" t="s">
        <v>126</v>
      </c>
      <c r="B1118" s="10">
        <v>46161</v>
      </c>
      <c r="C1118" t="s">
        <v>100</v>
      </c>
      <c r="D1118" t="s">
        <v>98</v>
      </c>
      <c r="E1118" t="s">
        <v>99</v>
      </c>
      <c r="F1118">
        <v>82.1</v>
      </c>
      <c r="G1118">
        <v>83.1</v>
      </c>
      <c r="H1118">
        <v>71.099999999999994</v>
      </c>
      <c r="I1118">
        <v>34.799999999999997</v>
      </c>
      <c r="J1118">
        <v>0.4</v>
      </c>
      <c r="K1118">
        <v>65.3</v>
      </c>
      <c r="L1118">
        <v>-0.3</v>
      </c>
      <c r="M1118">
        <v>80.400000000000006</v>
      </c>
      <c r="N1118">
        <v>0.88</v>
      </c>
      <c r="O1118">
        <v>51.3</v>
      </c>
      <c r="P1118">
        <v>-4.3</v>
      </c>
      <c r="Q1118">
        <v>0.9</v>
      </c>
      <c r="R1118">
        <v>0</v>
      </c>
      <c r="S1118">
        <v>11545</v>
      </c>
      <c r="T1118">
        <v>-2.2999999999999998</v>
      </c>
    </row>
    <row r="1119" spans="1:20" x14ac:dyDescent="0.25">
      <c r="A1119" s="105" t="s">
        <v>126</v>
      </c>
      <c r="B1119" s="10">
        <v>46161</v>
      </c>
      <c r="C1119" t="s">
        <v>100</v>
      </c>
      <c r="D1119" t="s">
        <v>98</v>
      </c>
      <c r="E1119" t="s">
        <v>99</v>
      </c>
      <c r="F1119">
        <v>84.2</v>
      </c>
      <c r="G1119">
        <v>84.2</v>
      </c>
      <c r="H1119">
        <v>72.7</v>
      </c>
      <c r="I1119">
        <v>35.9</v>
      </c>
      <c r="J1119">
        <v>-3.3</v>
      </c>
      <c r="K1119">
        <v>70.900000000000006</v>
      </c>
      <c r="L1119">
        <v>-6.1</v>
      </c>
      <c r="M1119">
        <v>80.400000000000006</v>
      </c>
      <c r="N1119">
        <v>0.9</v>
      </c>
      <c r="O1119">
        <v>52.8</v>
      </c>
      <c r="P1119">
        <v>-4.0999999999999996</v>
      </c>
      <c r="Q1119">
        <v>-0.7</v>
      </c>
      <c r="R1119">
        <v>0</v>
      </c>
      <c r="S1119">
        <v>10583</v>
      </c>
      <c r="T1119">
        <v>-3.2</v>
      </c>
    </row>
    <row r="1120" spans="1:20" x14ac:dyDescent="0.25">
      <c r="A1120" s="105" t="s">
        <v>126</v>
      </c>
      <c r="B1120" s="10">
        <v>46161</v>
      </c>
      <c r="C1120" t="s">
        <v>100</v>
      </c>
      <c r="D1120" t="s">
        <v>98</v>
      </c>
      <c r="E1120" t="s">
        <v>99</v>
      </c>
      <c r="F1120">
        <v>81</v>
      </c>
      <c r="G1120">
        <v>82.1</v>
      </c>
      <c r="H1120">
        <v>70.099999999999994</v>
      </c>
      <c r="I1120">
        <v>37.4</v>
      </c>
      <c r="J1120">
        <v>-1.9</v>
      </c>
      <c r="K1120">
        <v>69.2</v>
      </c>
      <c r="L1120">
        <v>-6.3</v>
      </c>
      <c r="M1120">
        <v>80.099999999999994</v>
      </c>
      <c r="N1120">
        <v>0.88</v>
      </c>
      <c r="O1120">
        <v>52.5</v>
      </c>
      <c r="P1120">
        <v>1.1000000000000001</v>
      </c>
      <c r="Q1120">
        <v>0.8</v>
      </c>
      <c r="R1120">
        <v>0</v>
      </c>
      <c r="S1120">
        <v>7016</v>
      </c>
      <c r="T1120">
        <v>-9.3000000000000007</v>
      </c>
    </row>
    <row r="1121" spans="1:20" x14ac:dyDescent="0.25">
      <c r="A1121" s="105" t="s">
        <v>126</v>
      </c>
      <c r="B1121" s="10">
        <v>46161</v>
      </c>
      <c r="C1121" t="s">
        <v>100</v>
      </c>
      <c r="D1121" t="s">
        <v>98</v>
      </c>
      <c r="E1121" t="s">
        <v>99</v>
      </c>
      <c r="F1121">
        <v>83.1</v>
      </c>
      <c r="G1121">
        <v>85.3</v>
      </c>
      <c r="H1121">
        <v>71</v>
      </c>
      <c r="I1121">
        <v>31.2</v>
      </c>
      <c r="J1121">
        <v>-2</v>
      </c>
      <c r="K1121">
        <v>56.7</v>
      </c>
      <c r="L1121">
        <v>-2.5</v>
      </c>
      <c r="M1121">
        <v>79.8</v>
      </c>
      <c r="N1121">
        <v>0.89</v>
      </c>
      <c r="O1121">
        <v>47.3</v>
      </c>
      <c r="P1121">
        <v>-5.6</v>
      </c>
      <c r="Q1121">
        <v>-3.8</v>
      </c>
      <c r="R1121">
        <v>0</v>
      </c>
      <c r="S1121">
        <v>10670</v>
      </c>
      <c r="T1121">
        <v>0.6</v>
      </c>
    </row>
    <row r="1122" spans="1:20" x14ac:dyDescent="0.25">
      <c r="A1122" s="105" t="s">
        <v>126</v>
      </c>
      <c r="B1122" s="10">
        <v>46161</v>
      </c>
      <c r="C1122" t="s">
        <v>100</v>
      </c>
      <c r="D1122" t="s">
        <v>98</v>
      </c>
      <c r="E1122" t="s">
        <v>99</v>
      </c>
      <c r="F1122">
        <v>87.5</v>
      </c>
      <c r="G1122">
        <v>90.8</v>
      </c>
      <c r="H1122">
        <v>74.2</v>
      </c>
      <c r="I1122">
        <v>31.8</v>
      </c>
      <c r="J1122">
        <v>-4.7</v>
      </c>
      <c r="K1122">
        <v>63.7</v>
      </c>
      <c r="L1122">
        <v>-7.9</v>
      </c>
      <c r="M1122">
        <v>80.400000000000006</v>
      </c>
      <c r="N1122">
        <v>0.92</v>
      </c>
      <c r="O1122">
        <v>49</v>
      </c>
      <c r="P1122">
        <v>-3.9</v>
      </c>
      <c r="Q1122">
        <v>-4.5</v>
      </c>
      <c r="R1122">
        <v>0</v>
      </c>
      <c r="S1122">
        <v>10236</v>
      </c>
      <c r="T1122">
        <v>-1.6</v>
      </c>
    </row>
    <row r="1123" spans="1:20" x14ac:dyDescent="0.25">
      <c r="A1123" s="105" t="s">
        <v>126</v>
      </c>
      <c r="B1123" s="10">
        <v>46161</v>
      </c>
      <c r="C1123" t="s">
        <v>100</v>
      </c>
      <c r="D1123" t="s">
        <v>98</v>
      </c>
      <c r="E1123" t="s">
        <v>99</v>
      </c>
      <c r="F1123">
        <v>77.7</v>
      </c>
      <c r="G1123">
        <v>78.8</v>
      </c>
      <c r="H1123">
        <v>67.900000000000006</v>
      </c>
      <c r="I1123">
        <v>35.1</v>
      </c>
      <c r="J1123">
        <v>-1.6</v>
      </c>
      <c r="K1123">
        <v>60.1</v>
      </c>
      <c r="L1123">
        <v>-2.2999999999999998</v>
      </c>
      <c r="M1123">
        <v>80.900000000000006</v>
      </c>
      <c r="N1123">
        <v>0.84</v>
      </c>
      <c r="O1123">
        <v>50.1</v>
      </c>
      <c r="P1123">
        <v>-2.7</v>
      </c>
      <c r="Q1123">
        <v>-1.3</v>
      </c>
      <c r="R1123">
        <v>0</v>
      </c>
      <c r="S1123">
        <v>9826</v>
      </c>
      <c r="T1123">
        <v>-0.7</v>
      </c>
    </row>
    <row r="1124" spans="1:20" x14ac:dyDescent="0.25">
      <c r="A1124" s="105" t="s">
        <v>126</v>
      </c>
      <c r="B1124" s="10">
        <v>46161</v>
      </c>
      <c r="C1124" t="s">
        <v>100</v>
      </c>
      <c r="D1124" t="s">
        <v>98</v>
      </c>
      <c r="E1124" t="s">
        <v>99</v>
      </c>
      <c r="F1124">
        <v>77.7</v>
      </c>
      <c r="G1124">
        <v>79.900000000000006</v>
      </c>
      <c r="H1124">
        <v>68.099999999999994</v>
      </c>
      <c r="I1124">
        <v>33.1</v>
      </c>
      <c r="J1124">
        <v>-0.5</v>
      </c>
      <c r="K1124">
        <v>56</v>
      </c>
      <c r="L1124">
        <v>0.7</v>
      </c>
      <c r="M1124">
        <v>81.400000000000006</v>
      </c>
      <c r="N1124">
        <v>0.84</v>
      </c>
      <c r="O1124">
        <v>48.2</v>
      </c>
      <c r="P1124">
        <v>-4.5</v>
      </c>
      <c r="Q1124">
        <v>-0.5</v>
      </c>
      <c r="R1124">
        <v>0</v>
      </c>
      <c r="S1124">
        <v>10499</v>
      </c>
      <c r="T1124">
        <v>3.1</v>
      </c>
    </row>
    <row r="1125" spans="1:20" x14ac:dyDescent="0.25">
      <c r="A1125" s="105" t="s">
        <v>126</v>
      </c>
      <c r="B1125" s="10">
        <v>46161</v>
      </c>
      <c r="C1125" t="s">
        <v>100</v>
      </c>
      <c r="D1125" t="s">
        <v>98</v>
      </c>
      <c r="E1125" t="s">
        <v>99</v>
      </c>
      <c r="F1125">
        <v>84.2</v>
      </c>
      <c r="G1125">
        <v>86.4</v>
      </c>
      <c r="H1125">
        <v>71.599999999999994</v>
      </c>
      <c r="I1125">
        <v>33.200000000000003</v>
      </c>
      <c r="J1125">
        <v>-3.4</v>
      </c>
      <c r="K1125">
        <v>62.5</v>
      </c>
      <c r="L1125">
        <v>-6</v>
      </c>
      <c r="M1125">
        <v>80.900000000000006</v>
      </c>
      <c r="N1125">
        <v>0.88</v>
      </c>
      <c r="O1125">
        <v>49.3</v>
      </c>
      <c r="P1125">
        <v>-2.8</v>
      </c>
      <c r="Q1125">
        <v>-0.7</v>
      </c>
      <c r="R1125">
        <v>0</v>
      </c>
      <c r="S1125">
        <v>9042</v>
      </c>
      <c r="T1125">
        <v>-2.6</v>
      </c>
    </row>
    <row r="1126" spans="1:20" x14ac:dyDescent="0.25">
      <c r="A1126" s="105" t="s">
        <v>126</v>
      </c>
      <c r="B1126" s="10">
        <v>46161</v>
      </c>
      <c r="C1126" t="s">
        <v>100</v>
      </c>
      <c r="D1126" t="s">
        <v>98</v>
      </c>
      <c r="E1126" t="s">
        <v>99</v>
      </c>
      <c r="F1126">
        <v>76.599999999999994</v>
      </c>
      <c r="G1126">
        <v>77.7</v>
      </c>
      <c r="H1126">
        <v>67.599999999999994</v>
      </c>
      <c r="I1126">
        <v>35.700000000000003</v>
      </c>
      <c r="J1126">
        <v>2.6</v>
      </c>
      <c r="K1126">
        <v>60.9</v>
      </c>
      <c r="L1126">
        <v>3.8</v>
      </c>
      <c r="M1126">
        <v>80.3</v>
      </c>
      <c r="N1126">
        <v>0.84</v>
      </c>
      <c r="O1126">
        <v>51</v>
      </c>
      <c r="P1126">
        <v>-4.9000000000000004</v>
      </c>
      <c r="Q1126">
        <v>0.3</v>
      </c>
      <c r="R1126">
        <v>0</v>
      </c>
      <c r="S1126">
        <v>11396</v>
      </c>
      <c r="T1126">
        <v>0.9</v>
      </c>
    </row>
    <row r="1127" spans="1:20" x14ac:dyDescent="0.25">
      <c r="A1127" s="105" t="s">
        <v>126</v>
      </c>
      <c r="B1127" s="10">
        <v>46161</v>
      </c>
      <c r="C1127" t="s">
        <v>100</v>
      </c>
      <c r="D1127" t="s">
        <v>98</v>
      </c>
      <c r="E1127" t="s">
        <v>99</v>
      </c>
      <c r="F1127">
        <v>74.400000000000006</v>
      </c>
      <c r="G1127">
        <v>76.599999999999994</v>
      </c>
      <c r="H1127">
        <v>65.900000000000006</v>
      </c>
      <c r="I1127">
        <v>35.5</v>
      </c>
      <c r="J1127">
        <v>-3</v>
      </c>
      <c r="K1127">
        <v>57.5</v>
      </c>
      <c r="L1127">
        <v>-3.2</v>
      </c>
      <c r="M1127">
        <v>80.900000000000006</v>
      </c>
      <c r="N1127">
        <v>0.82</v>
      </c>
      <c r="O1127">
        <v>49.8</v>
      </c>
      <c r="P1127">
        <v>-2.2999999999999998</v>
      </c>
      <c r="Q1127">
        <v>-2.7</v>
      </c>
      <c r="R1127">
        <v>0</v>
      </c>
      <c r="S1127">
        <v>9475</v>
      </c>
      <c r="T1127">
        <v>1.7</v>
      </c>
    </row>
    <row r="1128" spans="1:20" x14ac:dyDescent="0.25">
      <c r="A1128" s="105" t="s">
        <v>126</v>
      </c>
      <c r="B1128" s="10">
        <v>46161</v>
      </c>
      <c r="C1128" t="s">
        <v>100</v>
      </c>
      <c r="D1128" t="s">
        <v>98</v>
      </c>
      <c r="E1128" t="s">
        <v>99</v>
      </c>
      <c r="F1128">
        <v>74.400000000000006</v>
      </c>
      <c r="G1128">
        <v>75.5</v>
      </c>
      <c r="H1128">
        <v>67.099999999999994</v>
      </c>
      <c r="I1128">
        <v>37.1</v>
      </c>
      <c r="J1128">
        <v>4.5999999999999996</v>
      </c>
      <c r="K1128">
        <v>62.8</v>
      </c>
      <c r="L1128">
        <v>8.4</v>
      </c>
      <c r="M1128">
        <v>79.7</v>
      </c>
      <c r="N1128">
        <v>0.84</v>
      </c>
      <c r="O1128">
        <v>52.3</v>
      </c>
      <c r="P1128">
        <v>-3.3</v>
      </c>
      <c r="Q1128">
        <v>-0.4</v>
      </c>
      <c r="R1128">
        <v>0</v>
      </c>
      <c r="S1128">
        <v>11706</v>
      </c>
      <c r="T1128">
        <v>6.4</v>
      </c>
    </row>
    <row r="1129" spans="1:20" x14ac:dyDescent="0.25">
      <c r="A1129" s="105" t="s">
        <v>126</v>
      </c>
      <c r="B1129" s="10">
        <v>46161</v>
      </c>
      <c r="C1129" t="s">
        <v>100</v>
      </c>
      <c r="D1129" t="s">
        <v>98</v>
      </c>
      <c r="E1129" t="s">
        <v>99</v>
      </c>
      <c r="F1129">
        <v>78.8</v>
      </c>
      <c r="G1129">
        <v>81</v>
      </c>
      <c r="H1129">
        <v>68.8</v>
      </c>
      <c r="I1129">
        <v>33.799999999999997</v>
      </c>
      <c r="J1129">
        <v>-4.0999999999999996</v>
      </c>
      <c r="K1129">
        <v>58.9</v>
      </c>
      <c r="L1129">
        <v>-6</v>
      </c>
      <c r="M1129">
        <v>80.8</v>
      </c>
      <c r="N1129">
        <v>0.85</v>
      </c>
      <c r="O1129">
        <v>49.2</v>
      </c>
      <c r="P1129">
        <v>-4.3</v>
      </c>
      <c r="Q1129">
        <v>-2.7</v>
      </c>
      <c r="R1129">
        <v>0</v>
      </c>
      <c r="S1129">
        <v>10426</v>
      </c>
      <c r="T1129">
        <v>-0.8</v>
      </c>
    </row>
    <row r="1130" spans="1:20" x14ac:dyDescent="0.25">
      <c r="A1130" s="105" t="s">
        <v>126</v>
      </c>
      <c r="B1130" s="10">
        <v>46161</v>
      </c>
      <c r="C1130" t="s">
        <v>100</v>
      </c>
      <c r="D1130" t="s">
        <v>98</v>
      </c>
      <c r="E1130" t="s">
        <v>99</v>
      </c>
      <c r="F1130">
        <v>77.7</v>
      </c>
      <c r="G1130">
        <v>77.7</v>
      </c>
      <c r="H1130">
        <v>69</v>
      </c>
      <c r="I1130">
        <v>37.1</v>
      </c>
      <c r="J1130">
        <v>-2.6</v>
      </c>
      <c r="K1130">
        <v>66.599999999999994</v>
      </c>
      <c r="L1130">
        <v>-2.4</v>
      </c>
      <c r="M1130">
        <v>81.3</v>
      </c>
      <c r="N1130">
        <v>0.85</v>
      </c>
      <c r="O1130">
        <v>52.9</v>
      </c>
      <c r="P1130">
        <v>-4.2</v>
      </c>
      <c r="Q1130">
        <v>-4.8</v>
      </c>
      <c r="R1130">
        <v>0</v>
      </c>
      <c r="S1130">
        <v>11509</v>
      </c>
      <c r="T1130">
        <v>2.6</v>
      </c>
    </row>
    <row r="1131" spans="1:20" x14ac:dyDescent="0.25">
      <c r="A1131" s="105" t="s">
        <v>126</v>
      </c>
      <c r="B1131" s="10">
        <v>46161</v>
      </c>
      <c r="C1131" t="s">
        <v>100</v>
      </c>
      <c r="D1131" t="s">
        <v>98</v>
      </c>
      <c r="E1131" t="s">
        <v>99</v>
      </c>
      <c r="F1131">
        <v>70</v>
      </c>
      <c r="G1131">
        <v>68.900000000000006</v>
      </c>
      <c r="H1131">
        <v>65.3</v>
      </c>
      <c r="I1131">
        <v>41.9</v>
      </c>
      <c r="J1131">
        <v>2.2999999999999998</v>
      </c>
      <c r="K1131">
        <v>69.8</v>
      </c>
      <c r="L1131">
        <v>4</v>
      </c>
      <c r="M1131">
        <v>81.3</v>
      </c>
      <c r="N1131">
        <v>0.8</v>
      </c>
      <c r="O1131">
        <v>56.2</v>
      </c>
      <c r="P1131">
        <v>-3</v>
      </c>
      <c r="Q1131">
        <v>-1.8</v>
      </c>
      <c r="R1131">
        <v>0</v>
      </c>
      <c r="S1131">
        <v>10797</v>
      </c>
      <c r="T1131">
        <v>3.4</v>
      </c>
    </row>
    <row r="1132" spans="1:20" x14ac:dyDescent="0.25">
      <c r="A1132" s="105" t="s">
        <v>126</v>
      </c>
      <c r="B1132" s="10">
        <v>46161</v>
      </c>
      <c r="C1132" t="s">
        <v>100</v>
      </c>
      <c r="D1132" t="s">
        <v>98</v>
      </c>
      <c r="E1132" t="s">
        <v>99</v>
      </c>
      <c r="F1132">
        <v>82.1</v>
      </c>
      <c r="G1132">
        <v>84.2</v>
      </c>
      <c r="H1132">
        <v>70.3</v>
      </c>
      <c r="I1132">
        <v>32</v>
      </c>
      <c r="J1132">
        <v>-3.2</v>
      </c>
      <c r="K1132">
        <v>57.3</v>
      </c>
      <c r="L1132">
        <v>-4.3</v>
      </c>
      <c r="M1132">
        <v>80.7</v>
      </c>
      <c r="N1132">
        <v>0.87</v>
      </c>
      <c r="O1132">
        <v>47.8</v>
      </c>
      <c r="P1132">
        <v>-5.2</v>
      </c>
      <c r="Q1132">
        <v>-2.4</v>
      </c>
      <c r="R1132">
        <v>0</v>
      </c>
      <c r="S1132">
        <v>10327</v>
      </c>
      <c r="T1132">
        <v>0.2</v>
      </c>
    </row>
    <row r="1133" spans="1:20" x14ac:dyDescent="0.25">
      <c r="A1133" s="105" t="s">
        <v>126</v>
      </c>
      <c r="B1133" s="10">
        <v>46161</v>
      </c>
      <c r="C1133" t="s">
        <v>100</v>
      </c>
      <c r="D1133" t="s">
        <v>98</v>
      </c>
      <c r="E1133" t="s">
        <v>99</v>
      </c>
      <c r="F1133">
        <v>81</v>
      </c>
      <c r="G1133">
        <v>83.1</v>
      </c>
      <c r="H1133">
        <v>70</v>
      </c>
      <c r="I1133">
        <v>35</v>
      </c>
      <c r="J1133">
        <v>1.2</v>
      </c>
      <c r="K1133">
        <v>63.9</v>
      </c>
      <c r="L1133">
        <v>2.2000000000000002</v>
      </c>
      <c r="M1133">
        <v>79</v>
      </c>
      <c r="N1133">
        <v>0.89</v>
      </c>
      <c r="O1133">
        <v>50.4</v>
      </c>
      <c r="P1133">
        <v>0.2</v>
      </c>
      <c r="Q1133">
        <v>0.1</v>
      </c>
      <c r="R1133">
        <v>0</v>
      </c>
      <c r="S1133">
        <v>8192</v>
      </c>
      <c r="T1133">
        <v>1</v>
      </c>
    </row>
    <row r="1134" spans="1:20" x14ac:dyDescent="0.25">
      <c r="A1134" s="105" t="s">
        <v>126</v>
      </c>
      <c r="B1134" s="10">
        <v>46161</v>
      </c>
      <c r="C1134" t="s">
        <v>101</v>
      </c>
      <c r="D1134" t="s">
        <v>102</v>
      </c>
      <c r="E1134" t="s">
        <v>103</v>
      </c>
      <c r="F1134">
        <v>99.6</v>
      </c>
      <c r="G1134">
        <v>102.8</v>
      </c>
      <c r="H1134">
        <v>80.400000000000006</v>
      </c>
      <c r="I1134">
        <v>31</v>
      </c>
      <c r="J1134">
        <v>-5.7</v>
      </c>
      <c r="K1134">
        <v>73.3</v>
      </c>
      <c r="L1134">
        <v>-12.8</v>
      </c>
      <c r="M1134">
        <v>83.4</v>
      </c>
      <c r="N1134">
        <v>0.97</v>
      </c>
      <c r="O1134">
        <v>49.8</v>
      </c>
      <c r="P1134">
        <v>-1.7</v>
      </c>
      <c r="Q1134">
        <v>-2.1</v>
      </c>
      <c r="R1134">
        <v>0</v>
      </c>
      <c r="S1134">
        <v>7271</v>
      </c>
      <c r="T1134">
        <v>-5.0999999999999996</v>
      </c>
    </row>
    <row r="1135" spans="1:20" x14ac:dyDescent="0.25">
      <c r="A1135" s="105" t="s">
        <v>126</v>
      </c>
      <c r="B1135" s="10">
        <v>46161</v>
      </c>
      <c r="C1135" t="s">
        <v>101</v>
      </c>
      <c r="D1135" t="s">
        <v>102</v>
      </c>
      <c r="E1135" t="s">
        <v>103</v>
      </c>
      <c r="F1135">
        <v>106.1</v>
      </c>
      <c r="G1135">
        <v>108.3</v>
      </c>
      <c r="H1135">
        <v>85.6</v>
      </c>
      <c r="I1135">
        <v>29.3</v>
      </c>
      <c r="J1135">
        <v>-1.2</v>
      </c>
      <c r="K1135">
        <v>78</v>
      </c>
      <c r="L1135">
        <v>-1</v>
      </c>
      <c r="M1135">
        <v>82.8</v>
      </c>
      <c r="N1135">
        <v>1.03</v>
      </c>
      <c r="O1135">
        <v>50.6</v>
      </c>
      <c r="P1135">
        <v>-4.8</v>
      </c>
      <c r="Q1135">
        <v>-2.2999999999999998</v>
      </c>
      <c r="R1135">
        <v>0</v>
      </c>
      <c r="S1135">
        <v>10369</v>
      </c>
      <c r="T1135">
        <v>1.4</v>
      </c>
    </row>
    <row r="1136" spans="1:20" x14ac:dyDescent="0.25">
      <c r="A1136" s="105" t="s">
        <v>126</v>
      </c>
      <c r="B1136" s="10">
        <v>46161</v>
      </c>
      <c r="C1136" t="s">
        <v>101</v>
      </c>
      <c r="D1136" t="s">
        <v>102</v>
      </c>
      <c r="E1136" t="s">
        <v>103</v>
      </c>
      <c r="F1136">
        <v>97.4</v>
      </c>
      <c r="G1136">
        <v>99.6</v>
      </c>
      <c r="H1136">
        <v>80.3</v>
      </c>
      <c r="I1136">
        <v>30.2</v>
      </c>
      <c r="J1136">
        <v>-1.1000000000000001</v>
      </c>
      <c r="K1136">
        <v>70.400000000000006</v>
      </c>
      <c r="L1136">
        <v>1.3</v>
      </c>
      <c r="M1136">
        <v>83.9</v>
      </c>
      <c r="N1136">
        <v>0.96</v>
      </c>
      <c r="O1136">
        <v>49.7</v>
      </c>
      <c r="P1136">
        <v>-5.9</v>
      </c>
      <c r="Q1136">
        <v>-3.6</v>
      </c>
      <c r="R1136">
        <v>0</v>
      </c>
      <c r="S1136">
        <v>11095</v>
      </c>
      <c r="T1136">
        <v>5.3</v>
      </c>
    </row>
    <row r="1137" spans="1:20" x14ac:dyDescent="0.25">
      <c r="A1137" s="105" t="s">
        <v>126</v>
      </c>
      <c r="B1137" s="10">
        <v>46161</v>
      </c>
      <c r="C1137" t="s">
        <v>101</v>
      </c>
      <c r="D1137" t="s">
        <v>102</v>
      </c>
      <c r="E1137" t="s">
        <v>103</v>
      </c>
      <c r="F1137">
        <v>95.2</v>
      </c>
      <c r="G1137">
        <v>96.3</v>
      </c>
      <c r="H1137">
        <v>78.900000000000006</v>
      </c>
      <c r="I1137">
        <v>31.1</v>
      </c>
      <c r="J1137">
        <v>-0.7</v>
      </c>
      <c r="K1137">
        <v>70.3</v>
      </c>
      <c r="L1137">
        <v>1.6</v>
      </c>
      <c r="M1137">
        <v>74.7</v>
      </c>
      <c r="N1137">
        <v>1.06</v>
      </c>
      <c r="O1137">
        <v>50.2</v>
      </c>
      <c r="P1137">
        <v>-3.9</v>
      </c>
      <c r="Q1137">
        <v>-3.2</v>
      </c>
      <c r="R1137">
        <v>0</v>
      </c>
      <c r="S1137">
        <v>11347</v>
      </c>
      <c r="T1137">
        <v>4.5</v>
      </c>
    </row>
    <row r="1138" spans="1:20" x14ac:dyDescent="0.25">
      <c r="A1138" s="105" t="s">
        <v>126</v>
      </c>
      <c r="B1138" s="10">
        <v>46161</v>
      </c>
      <c r="C1138" t="s">
        <v>101</v>
      </c>
      <c r="D1138" t="s">
        <v>102</v>
      </c>
      <c r="E1138" t="s">
        <v>103</v>
      </c>
      <c r="F1138">
        <v>100.6</v>
      </c>
      <c r="G1138">
        <v>102.8</v>
      </c>
      <c r="H1138">
        <v>81.8</v>
      </c>
      <c r="I1138">
        <v>28.4</v>
      </c>
      <c r="J1138">
        <v>1.5</v>
      </c>
      <c r="K1138">
        <v>68.099999999999994</v>
      </c>
      <c r="L1138">
        <v>3.8</v>
      </c>
      <c r="M1138">
        <v>81</v>
      </c>
      <c r="N1138">
        <v>1.01</v>
      </c>
      <c r="O1138">
        <v>48.3</v>
      </c>
      <c r="P1138">
        <v>-6.2</v>
      </c>
      <c r="Q1138">
        <v>0.2</v>
      </c>
      <c r="R1138">
        <v>0</v>
      </c>
      <c r="S1138">
        <v>10960</v>
      </c>
      <c r="T1138">
        <v>1.8</v>
      </c>
    </row>
    <row r="1139" spans="1:20" x14ac:dyDescent="0.25">
      <c r="A1139" s="105" t="s">
        <v>126</v>
      </c>
      <c r="B1139" s="10">
        <v>46161</v>
      </c>
      <c r="C1139" t="s">
        <v>101</v>
      </c>
      <c r="D1139" t="s">
        <v>102</v>
      </c>
      <c r="E1139" t="s">
        <v>103</v>
      </c>
      <c r="F1139">
        <v>97.4</v>
      </c>
      <c r="G1139">
        <v>102.8</v>
      </c>
      <c r="H1139">
        <v>77.8</v>
      </c>
      <c r="I1139">
        <v>30</v>
      </c>
      <c r="J1139">
        <v>-5.3</v>
      </c>
      <c r="K1139">
        <v>64.7</v>
      </c>
      <c r="L1139">
        <v>-16.8</v>
      </c>
      <c r="M1139">
        <v>80.3</v>
      </c>
      <c r="N1139">
        <v>0.97</v>
      </c>
      <c r="O1139">
        <v>46.8</v>
      </c>
      <c r="P1139">
        <v>0.9</v>
      </c>
      <c r="Q1139">
        <v>-2</v>
      </c>
      <c r="R1139">
        <v>0</v>
      </c>
      <c r="S1139">
        <v>4865</v>
      </c>
      <c r="T1139">
        <v>-14.9</v>
      </c>
    </row>
    <row r="1140" spans="1:20" x14ac:dyDescent="0.25">
      <c r="A1140" s="105" t="s">
        <v>126</v>
      </c>
      <c r="B1140" s="10">
        <v>46161</v>
      </c>
      <c r="C1140" t="s">
        <v>101</v>
      </c>
      <c r="D1140" t="s">
        <v>102</v>
      </c>
      <c r="E1140" t="s">
        <v>103</v>
      </c>
      <c r="F1140">
        <v>95.2</v>
      </c>
      <c r="G1140">
        <v>100.6</v>
      </c>
      <c r="H1140">
        <v>78.5</v>
      </c>
      <c r="I1140">
        <v>23.5</v>
      </c>
      <c r="J1140">
        <v>1.6</v>
      </c>
      <c r="K1140">
        <v>48.6</v>
      </c>
      <c r="L1140">
        <v>7.8</v>
      </c>
      <c r="M1140">
        <v>78.900000000000006</v>
      </c>
      <c r="N1140">
        <v>1</v>
      </c>
      <c r="O1140">
        <v>40.5</v>
      </c>
      <c r="P1140">
        <v>-6.6</v>
      </c>
      <c r="Q1140">
        <v>-0.5</v>
      </c>
      <c r="R1140">
        <v>0</v>
      </c>
      <c r="S1140">
        <v>9105</v>
      </c>
      <c r="T1140">
        <v>9.5</v>
      </c>
    </row>
    <row r="1141" spans="1:20" x14ac:dyDescent="0.25">
      <c r="A1141" s="105" t="s">
        <v>126</v>
      </c>
      <c r="B1141" s="10">
        <v>46161</v>
      </c>
      <c r="C1141" t="s">
        <v>101</v>
      </c>
      <c r="D1141" t="s">
        <v>102</v>
      </c>
      <c r="E1141" t="s">
        <v>103</v>
      </c>
      <c r="F1141">
        <v>97.4</v>
      </c>
      <c r="G1141">
        <v>100.6</v>
      </c>
      <c r="H1141">
        <v>79.3</v>
      </c>
      <c r="I1141">
        <v>30.1</v>
      </c>
      <c r="J1141">
        <v>-3.1</v>
      </c>
      <c r="K1141">
        <v>68.5</v>
      </c>
      <c r="L1141">
        <v>-9.1999999999999993</v>
      </c>
      <c r="M1141">
        <v>80.400000000000006</v>
      </c>
      <c r="N1141">
        <v>0.99</v>
      </c>
      <c r="O1141">
        <v>48.6</v>
      </c>
      <c r="P1141">
        <v>-2</v>
      </c>
      <c r="Q1141">
        <v>0.5</v>
      </c>
      <c r="R1141">
        <v>0</v>
      </c>
      <c r="S1141">
        <v>8154</v>
      </c>
      <c r="T1141">
        <v>-7</v>
      </c>
    </row>
    <row r="1142" spans="1:20" x14ac:dyDescent="0.25">
      <c r="A1142" s="105" t="s">
        <v>126</v>
      </c>
      <c r="B1142" s="10">
        <v>46161</v>
      </c>
      <c r="C1142" t="s">
        <v>101</v>
      </c>
      <c r="D1142" t="s">
        <v>102</v>
      </c>
      <c r="E1142" t="s">
        <v>103</v>
      </c>
      <c r="F1142">
        <v>105</v>
      </c>
      <c r="G1142">
        <v>106.1</v>
      </c>
      <c r="H1142">
        <v>84.5</v>
      </c>
      <c r="I1142">
        <v>30.2</v>
      </c>
      <c r="J1142">
        <v>-1.1000000000000001</v>
      </c>
      <c r="K1142">
        <v>78.8</v>
      </c>
      <c r="L1142">
        <v>-0.1</v>
      </c>
      <c r="M1142">
        <v>82.1</v>
      </c>
      <c r="N1142">
        <v>1.03</v>
      </c>
      <c r="O1142">
        <v>51.1</v>
      </c>
      <c r="P1142">
        <v>-5.6</v>
      </c>
      <c r="Q1142">
        <v>-2.4</v>
      </c>
      <c r="R1142">
        <v>0</v>
      </c>
      <c r="S1142">
        <v>10002</v>
      </c>
      <c r="T1142">
        <v>2.4</v>
      </c>
    </row>
    <row r="1143" spans="1:20" x14ac:dyDescent="0.25">
      <c r="A1143" s="105" t="s">
        <v>126</v>
      </c>
      <c r="B1143" s="10">
        <v>46161</v>
      </c>
      <c r="C1143" t="s">
        <v>101</v>
      </c>
      <c r="D1143" t="s">
        <v>102</v>
      </c>
      <c r="E1143" t="s">
        <v>103</v>
      </c>
      <c r="F1143">
        <v>89.7</v>
      </c>
      <c r="G1143">
        <v>91.9</v>
      </c>
      <c r="H1143">
        <v>75.599999999999994</v>
      </c>
      <c r="I1143">
        <v>33.5</v>
      </c>
      <c r="J1143">
        <v>0.4</v>
      </c>
      <c r="K1143">
        <v>70.900000000000006</v>
      </c>
      <c r="L1143">
        <v>1.6</v>
      </c>
      <c r="M1143">
        <v>82.6</v>
      </c>
      <c r="N1143">
        <v>0.92</v>
      </c>
      <c r="O1143">
        <v>51.2</v>
      </c>
      <c r="P1143">
        <v>-3.3</v>
      </c>
      <c r="Q1143">
        <v>-1.4</v>
      </c>
      <c r="R1143">
        <v>0</v>
      </c>
      <c r="S1143">
        <v>9593</v>
      </c>
      <c r="T1143">
        <v>1.8</v>
      </c>
    </row>
    <row r="1144" spans="1:20" x14ac:dyDescent="0.25">
      <c r="A1144" s="105" t="s">
        <v>126</v>
      </c>
      <c r="B1144" s="10">
        <v>46161</v>
      </c>
      <c r="C1144" t="s">
        <v>101</v>
      </c>
      <c r="D1144" t="s">
        <v>102</v>
      </c>
      <c r="E1144" t="s">
        <v>103</v>
      </c>
      <c r="F1144">
        <v>106.1</v>
      </c>
      <c r="G1144">
        <v>107.2</v>
      </c>
      <c r="H1144">
        <v>86.3</v>
      </c>
      <c r="I1144">
        <v>30.8</v>
      </c>
      <c r="J1144">
        <v>-1</v>
      </c>
      <c r="K1144">
        <v>84.1</v>
      </c>
      <c r="L1144">
        <v>-2.5</v>
      </c>
      <c r="M1144">
        <v>83.7</v>
      </c>
      <c r="N1144">
        <v>1.03</v>
      </c>
      <c r="O1144">
        <v>52.5</v>
      </c>
      <c r="P1144">
        <v>-4.8</v>
      </c>
      <c r="Q1144">
        <v>-1.4</v>
      </c>
      <c r="R1144">
        <v>0</v>
      </c>
      <c r="S1144">
        <v>10696</v>
      </c>
      <c r="T1144">
        <v>-1.1000000000000001</v>
      </c>
    </row>
    <row r="1145" spans="1:20" x14ac:dyDescent="0.25">
      <c r="A1145" s="105" t="s">
        <v>126</v>
      </c>
      <c r="B1145" s="10">
        <v>46161</v>
      </c>
      <c r="C1145" t="s">
        <v>101</v>
      </c>
      <c r="D1145" t="s">
        <v>102</v>
      </c>
      <c r="E1145" t="s">
        <v>103</v>
      </c>
      <c r="F1145">
        <v>106.1</v>
      </c>
      <c r="G1145">
        <v>107.2</v>
      </c>
      <c r="H1145">
        <v>85.5</v>
      </c>
      <c r="I1145">
        <v>29.4</v>
      </c>
      <c r="J1145">
        <v>2.2000000000000002</v>
      </c>
      <c r="K1145">
        <v>78.2</v>
      </c>
      <c r="L1145">
        <v>1.6</v>
      </c>
      <c r="M1145">
        <v>83.1</v>
      </c>
      <c r="N1145">
        <v>1.03</v>
      </c>
      <c r="O1145">
        <v>50.8</v>
      </c>
      <c r="P1145">
        <v>-3.6</v>
      </c>
      <c r="Q1145">
        <v>3.2</v>
      </c>
      <c r="R1145">
        <v>0</v>
      </c>
      <c r="S1145">
        <v>10800</v>
      </c>
      <c r="T1145">
        <v>-3.5</v>
      </c>
    </row>
    <row r="1146" spans="1:20" x14ac:dyDescent="0.25">
      <c r="A1146" s="105" t="s">
        <v>126</v>
      </c>
      <c r="B1146" s="10">
        <v>46161</v>
      </c>
      <c r="C1146" t="s">
        <v>101</v>
      </c>
      <c r="D1146" t="s">
        <v>102</v>
      </c>
      <c r="E1146" t="s">
        <v>103</v>
      </c>
      <c r="F1146">
        <v>102.8</v>
      </c>
      <c r="G1146">
        <v>105</v>
      </c>
      <c r="H1146">
        <v>83.3</v>
      </c>
      <c r="I1146">
        <v>29</v>
      </c>
      <c r="J1146">
        <v>-1.2</v>
      </c>
      <c r="K1146">
        <v>73.099999999999994</v>
      </c>
      <c r="L1146">
        <v>-1.8</v>
      </c>
      <c r="M1146">
        <v>81.5</v>
      </c>
      <c r="N1146">
        <v>1.02</v>
      </c>
      <c r="O1146">
        <v>49.4</v>
      </c>
      <c r="P1146">
        <v>-5.7</v>
      </c>
      <c r="Q1146">
        <v>-1.8</v>
      </c>
      <c r="R1146">
        <v>0</v>
      </c>
      <c r="S1146">
        <v>10021</v>
      </c>
      <c r="T1146">
        <v>0.3</v>
      </c>
    </row>
    <row r="1147" spans="1:20" x14ac:dyDescent="0.25">
      <c r="A1147" s="105" t="s">
        <v>126</v>
      </c>
      <c r="B1147" s="10">
        <v>46161</v>
      </c>
      <c r="C1147" t="s">
        <v>101</v>
      </c>
      <c r="D1147" t="s">
        <v>102</v>
      </c>
      <c r="E1147" t="s">
        <v>103</v>
      </c>
      <c r="F1147">
        <v>102.8</v>
      </c>
      <c r="G1147">
        <v>103.9</v>
      </c>
      <c r="H1147">
        <v>83.1</v>
      </c>
      <c r="I1147">
        <v>29.7</v>
      </c>
      <c r="J1147">
        <v>-0.4</v>
      </c>
      <c r="K1147">
        <v>74.7</v>
      </c>
      <c r="L1147">
        <v>0.3</v>
      </c>
      <c r="M1147">
        <v>80.8</v>
      </c>
      <c r="N1147">
        <v>1.03</v>
      </c>
      <c r="O1147">
        <v>50.1</v>
      </c>
      <c r="P1147">
        <v>-6.2</v>
      </c>
      <c r="Q1147">
        <v>-0.2</v>
      </c>
      <c r="R1147">
        <v>0</v>
      </c>
      <c r="S1147">
        <v>10275</v>
      </c>
      <c r="T1147">
        <v>1.3</v>
      </c>
    </row>
    <row r="1148" spans="1:20" x14ac:dyDescent="0.25">
      <c r="A1148" s="105" t="s">
        <v>126</v>
      </c>
      <c r="B1148" s="10">
        <v>46161</v>
      </c>
      <c r="C1148" t="s">
        <v>104</v>
      </c>
      <c r="D1148" t="s">
        <v>102</v>
      </c>
      <c r="E1148" t="s">
        <v>103</v>
      </c>
      <c r="F1148">
        <v>112.7</v>
      </c>
      <c r="G1148">
        <v>114.9</v>
      </c>
      <c r="H1148">
        <v>89.1</v>
      </c>
      <c r="I1148">
        <v>27</v>
      </c>
      <c r="J1148">
        <v>-5.2</v>
      </c>
      <c r="K1148">
        <v>77.599999999999994</v>
      </c>
      <c r="L1148">
        <v>-9.3000000000000007</v>
      </c>
      <c r="M1148">
        <v>81.3</v>
      </c>
      <c r="N1148">
        <v>1.1000000000000001</v>
      </c>
      <c r="O1148">
        <v>49.3</v>
      </c>
      <c r="P1148">
        <v>-5.2</v>
      </c>
      <c r="Q1148">
        <v>-5</v>
      </c>
      <c r="R1148">
        <v>0</v>
      </c>
      <c r="S1148">
        <v>9722</v>
      </c>
      <c r="T1148">
        <v>1.2</v>
      </c>
    </row>
    <row r="1149" spans="1:20" x14ac:dyDescent="0.25">
      <c r="A1149" s="105" t="s">
        <v>126</v>
      </c>
      <c r="B1149" s="10">
        <v>46161</v>
      </c>
      <c r="C1149" t="s">
        <v>104</v>
      </c>
      <c r="D1149" t="s">
        <v>102</v>
      </c>
      <c r="E1149" t="s">
        <v>103</v>
      </c>
      <c r="F1149">
        <v>111.6</v>
      </c>
      <c r="G1149">
        <v>112.7</v>
      </c>
      <c r="H1149">
        <v>89.2</v>
      </c>
      <c r="I1149">
        <v>28.8</v>
      </c>
      <c r="J1149">
        <v>2</v>
      </c>
      <c r="K1149">
        <v>83.2</v>
      </c>
      <c r="L1149">
        <v>8.5</v>
      </c>
      <c r="M1149">
        <v>84.6</v>
      </c>
      <c r="N1149">
        <v>1.05</v>
      </c>
      <c r="O1149">
        <v>51.4</v>
      </c>
      <c r="P1149">
        <v>-5.5</v>
      </c>
      <c r="Q1149">
        <v>-2.9</v>
      </c>
      <c r="R1149">
        <v>0</v>
      </c>
      <c r="S1149">
        <v>10679</v>
      </c>
      <c r="T1149">
        <v>5.8</v>
      </c>
    </row>
    <row r="1150" spans="1:20" x14ac:dyDescent="0.25">
      <c r="A1150" s="105" t="s">
        <v>126</v>
      </c>
      <c r="B1150" s="10">
        <v>46161</v>
      </c>
      <c r="C1150" t="s">
        <v>104</v>
      </c>
      <c r="D1150" t="s">
        <v>102</v>
      </c>
      <c r="E1150" t="s">
        <v>103</v>
      </c>
      <c r="F1150">
        <v>103.9</v>
      </c>
      <c r="G1150">
        <v>110.5</v>
      </c>
      <c r="H1150">
        <v>81.7</v>
      </c>
      <c r="I1150">
        <v>25.5</v>
      </c>
      <c r="J1150">
        <v>-5.2</v>
      </c>
      <c r="K1150">
        <v>60.1</v>
      </c>
      <c r="L1150">
        <v>-10.7</v>
      </c>
      <c r="M1150">
        <v>80.8</v>
      </c>
      <c r="N1150">
        <v>1.01</v>
      </c>
      <c r="O1150">
        <v>43.8</v>
      </c>
      <c r="P1150">
        <v>-2.5</v>
      </c>
      <c r="Q1150">
        <v>-3.9</v>
      </c>
      <c r="R1150">
        <v>0</v>
      </c>
      <c r="S1150">
        <v>5983</v>
      </c>
      <c r="T1150">
        <v>-2.4</v>
      </c>
    </row>
    <row r="1151" spans="1:20" x14ac:dyDescent="0.25">
      <c r="A1151" s="105" t="s">
        <v>126</v>
      </c>
      <c r="B1151" s="10">
        <v>46161</v>
      </c>
      <c r="C1151" t="s">
        <v>104</v>
      </c>
      <c r="D1151" t="s">
        <v>102</v>
      </c>
      <c r="E1151" t="s">
        <v>103</v>
      </c>
      <c r="F1151">
        <v>108.3</v>
      </c>
      <c r="G1151">
        <v>112.7</v>
      </c>
      <c r="H1151">
        <v>84.8</v>
      </c>
      <c r="I1151">
        <v>25.8</v>
      </c>
      <c r="J1151">
        <v>-2.1</v>
      </c>
      <c r="K1151">
        <v>66</v>
      </c>
      <c r="L1151">
        <v>-8.1</v>
      </c>
      <c r="M1151">
        <v>79.599999999999994</v>
      </c>
      <c r="N1151">
        <v>1.07</v>
      </c>
      <c r="O1151">
        <v>45.6</v>
      </c>
      <c r="P1151">
        <v>-3</v>
      </c>
      <c r="Q1151">
        <v>-0.3</v>
      </c>
      <c r="R1151">
        <v>0</v>
      </c>
      <c r="S1151">
        <v>7042</v>
      </c>
      <c r="T1151">
        <v>-6.2</v>
      </c>
    </row>
    <row r="1152" spans="1:20" x14ac:dyDescent="0.25">
      <c r="A1152" s="105" t="s">
        <v>126</v>
      </c>
      <c r="B1152" s="10">
        <v>46161</v>
      </c>
      <c r="C1152" t="s">
        <v>104</v>
      </c>
      <c r="D1152" t="s">
        <v>102</v>
      </c>
      <c r="E1152" t="s">
        <v>103</v>
      </c>
      <c r="F1152">
        <v>118.2</v>
      </c>
      <c r="G1152">
        <v>119.2</v>
      </c>
      <c r="H1152">
        <v>92</v>
      </c>
      <c r="I1152">
        <v>26.9</v>
      </c>
      <c r="J1152">
        <v>-4.8</v>
      </c>
      <c r="K1152">
        <v>83</v>
      </c>
      <c r="L1152">
        <v>-10</v>
      </c>
      <c r="M1152">
        <v>82.4</v>
      </c>
      <c r="N1152">
        <v>1.1200000000000001</v>
      </c>
      <c r="O1152">
        <v>50.2</v>
      </c>
      <c r="P1152">
        <v>-6.7</v>
      </c>
      <c r="Q1152">
        <v>-2.5</v>
      </c>
      <c r="R1152">
        <v>0</v>
      </c>
      <c r="S1152">
        <v>9496</v>
      </c>
      <c r="T1152">
        <v>-0.4</v>
      </c>
    </row>
    <row r="1153" spans="1:20" x14ac:dyDescent="0.25">
      <c r="A1153" s="105" t="s">
        <v>126</v>
      </c>
      <c r="B1153" s="10">
        <v>46161</v>
      </c>
      <c r="C1153" t="s">
        <v>104</v>
      </c>
      <c r="D1153" t="s">
        <v>102</v>
      </c>
      <c r="E1153" t="s">
        <v>103</v>
      </c>
      <c r="F1153">
        <v>107.2</v>
      </c>
      <c r="G1153">
        <v>111.6</v>
      </c>
      <c r="H1153">
        <v>84.8</v>
      </c>
      <c r="I1153">
        <v>24.9</v>
      </c>
      <c r="J1153">
        <v>-3</v>
      </c>
      <c r="K1153">
        <v>63.1</v>
      </c>
      <c r="L1153">
        <v>-4.7</v>
      </c>
      <c r="M1153">
        <v>83</v>
      </c>
      <c r="N1153">
        <v>1.02</v>
      </c>
      <c r="O1153">
        <v>45</v>
      </c>
      <c r="P1153">
        <v>-5</v>
      </c>
      <c r="Q1153">
        <v>-1.5</v>
      </c>
      <c r="R1153">
        <v>0</v>
      </c>
      <c r="S1153">
        <v>8855</v>
      </c>
      <c r="T1153">
        <v>1.2</v>
      </c>
    </row>
    <row r="1154" spans="1:20" x14ac:dyDescent="0.25">
      <c r="A1154" s="105" t="s">
        <v>126</v>
      </c>
      <c r="B1154" s="10">
        <v>46161</v>
      </c>
      <c r="C1154" t="s">
        <v>104</v>
      </c>
      <c r="D1154" t="s">
        <v>102</v>
      </c>
      <c r="E1154" t="s">
        <v>103</v>
      </c>
      <c r="F1154">
        <v>109.4</v>
      </c>
      <c r="G1154">
        <v>112.7</v>
      </c>
      <c r="H1154">
        <v>86.9</v>
      </c>
      <c r="I1154">
        <v>28.6</v>
      </c>
      <c r="J1154">
        <v>-5</v>
      </c>
      <c r="K1154">
        <v>78.7</v>
      </c>
      <c r="L1154">
        <v>-8</v>
      </c>
      <c r="M1154">
        <v>80.2</v>
      </c>
      <c r="N1154">
        <v>1.08</v>
      </c>
      <c r="O1154">
        <v>49.9</v>
      </c>
      <c r="P1154">
        <v>-4</v>
      </c>
      <c r="Q1154">
        <v>-6.4</v>
      </c>
      <c r="R1154">
        <v>0</v>
      </c>
      <c r="S1154">
        <v>8637</v>
      </c>
      <c r="T1154">
        <v>2</v>
      </c>
    </row>
    <row r="1155" spans="1:20" x14ac:dyDescent="0.25">
      <c r="A1155" s="105" t="s">
        <v>126</v>
      </c>
      <c r="B1155" s="10">
        <v>46161</v>
      </c>
      <c r="C1155" t="s">
        <v>104</v>
      </c>
      <c r="D1155" t="s">
        <v>102</v>
      </c>
      <c r="E1155" t="s">
        <v>103</v>
      </c>
      <c r="F1155">
        <v>116</v>
      </c>
      <c r="G1155">
        <v>118.2</v>
      </c>
      <c r="H1155">
        <v>91.2</v>
      </c>
      <c r="I1155">
        <v>26.9</v>
      </c>
      <c r="J1155">
        <v>-2.6</v>
      </c>
      <c r="K1155">
        <v>81.2</v>
      </c>
      <c r="L1155">
        <v>-4.4000000000000004</v>
      </c>
      <c r="M1155">
        <v>82.9</v>
      </c>
      <c r="N1155">
        <v>1.1000000000000001</v>
      </c>
      <c r="O1155">
        <v>49.9</v>
      </c>
      <c r="P1155">
        <v>-5.0999999999999996</v>
      </c>
      <c r="Q1155">
        <v>-3.8</v>
      </c>
      <c r="R1155">
        <v>0</v>
      </c>
      <c r="S1155">
        <v>9723</v>
      </c>
      <c r="T1155">
        <v>0.9</v>
      </c>
    </row>
    <row r="1156" spans="1:20" x14ac:dyDescent="0.25">
      <c r="A1156" s="105" t="s">
        <v>126</v>
      </c>
      <c r="B1156" s="10">
        <v>46161</v>
      </c>
      <c r="C1156" t="s">
        <v>104</v>
      </c>
      <c r="D1156" t="s">
        <v>102</v>
      </c>
      <c r="E1156" t="s">
        <v>103</v>
      </c>
      <c r="F1156">
        <v>106.1</v>
      </c>
      <c r="G1156">
        <v>110.5</v>
      </c>
      <c r="H1156">
        <v>84.9</v>
      </c>
      <c r="I1156">
        <v>25.4</v>
      </c>
      <c r="J1156">
        <v>-3</v>
      </c>
      <c r="K1156">
        <v>64.099999999999994</v>
      </c>
      <c r="L1156">
        <v>1.4</v>
      </c>
      <c r="M1156">
        <v>82.9</v>
      </c>
      <c r="N1156">
        <v>1.02</v>
      </c>
      <c r="O1156">
        <v>45.5</v>
      </c>
      <c r="P1156">
        <v>-5.9</v>
      </c>
      <c r="Q1156">
        <v>-6.1</v>
      </c>
      <c r="R1156">
        <v>0</v>
      </c>
      <c r="S1156">
        <v>9367</v>
      </c>
      <c r="T1156">
        <v>10.3</v>
      </c>
    </row>
    <row r="1157" spans="1:20" x14ac:dyDescent="0.25">
      <c r="A1157" s="105" t="s">
        <v>126</v>
      </c>
      <c r="B1157" s="10">
        <v>46161</v>
      </c>
      <c r="C1157" t="s">
        <v>104</v>
      </c>
      <c r="D1157" t="s">
        <v>102</v>
      </c>
      <c r="E1157" t="s">
        <v>103</v>
      </c>
      <c r="F1157">
        <v>108.3</v>
      </c>
      <c r="G1157">
        <v>110.5</v>
      </c>
      <c r="H1157">
        <v>86.7</v>
      </c>
      <c r="I1157">
        <v>30</v>
      </c>
      <c r="J1157">
        <v>1</v>
      </c>
      <c r="K1157">
        <v>82.7</v>
      </c>
      <c r="L1157">
        <v>5.3</v>
      </c>
      <c r="M1157">
        <v>80.7</v>
      </c>
      <c r="N1157">
        <v>1.07</v>
      </c>
      <c r="O1157">
        <v>51.4</v>
      </c>
      <c r="P1157">
        <v>-3.7</v>
      </c>
      <c r="Q1157">
        <v>-2.4</v>
      </c>
      <c r="R1157">
        <v>0</v>
      </c>
      <c r="S1157">
        <v>8869</v>
      </c>
      <c r="T1157">
        <v>4.5999999999999996</v>
      </c>
    </row>
    <row r="1158" spans="1:20" x14ac:dyDescent="0.25">
      <c r="A1158" s="105" t="s">
        <v>126</v>
      </c>
      <c r="B1158" s="10">
        <v>46161</v>
      </c>
      <c r="C1158" t="s">
        <v>104</v>
      </c>
      <c r="D1158" t="s">
        <v>102</v>
      </c>
      <c r="E1158" t="s">
        <v>103</v>
      </c>
      <c r="F1158">
        <v>111.6</v>
      </c>
      <c r="G1158">
        <v>112.7</v>
      </c>
      <c r="H1158">
        <v>88.1</v>
      </c>
      <c r="I1158">
        <v>28.5</v>
      </c>
      <c r="J1158">
        <v>1.7</v>
      </c>
      <c r="K1158">
        <v>80.400000000000006</v>
      </c>
      <c r="L1158">
        <v>7.4</v>
      </c>
      <c r="M1158">
        <v>83.4</v>
      </c>
      <c r="N1158">
        <v>1.06</v>
      </c>
      <c r="O1158">
        <v>50.5</v>
      </c>
      <c r="P1158">
        <v>-4.5</v>
      </c>
      <c r="Q1158">
        <v>-2</v>
      </c>
      <c r="R1158">
        <v>0</v>
      </c>
      <c r="S1158">
        <v>9641</v>
      </c>
      <c r="T1158">
        <v>5.3</v>
      </c>
    </row>
    <row r="1159" spans="1:20" x14ac:dyDescent="0.25">
      <c r="A1159" s="105" t="s">
        <v>126</v>
      </c>
      <c r="B1159" s="10">
        <v>46161</v>
      </c>
      <c r="C1159" t="s">
        <v>104</v>
      </c>
      <c r="D1159" t="s">
        <v>102</v>
      </c>
      <c r="E1159" t="s">
        <v>103</v>
      </c>
      <c r="F1159">
        <v>109.4</v>
      </c>
      <c r="G1159">
        <v>117.1</v>
      </c>
      <c r="H1159">
        <v>88</v>
      </c>
      <c r="I1159">
        <v>19.100000000000001</v>
      </c>
      <c r="J1159">
        <v>-1</v>
      </c>
      <c r="K1159">
        <v>49.5</v>
      </c>
      <c r="L1159">
        <v>2.2000000000000002</v>
      </c>
      <c r="M1159">
        <v>80.7</v>
      </c>
      <c r="N1159">
        <v>1.0900000000000001</v>
      </c>
      <c r="O1159">
        <v>38.5</v>
      </c>
      <c r="P1159">
        <v>-7.7</v>
      </c>
      <c r="Q1159">
        <v>-1.9</v>
      </c>
      <c r="R1159">
        <v>0</v>
      </c>
      <c r="S1159">
        <v>8852</v>
      </c>
      <c r="T1159">
        <v>5.9</v>
      </c>
    </row>
    <row r="1160" spans="1:20" x14ac:dyDescent="0.25">
      <c r="A1160" s="105" t="s">
        <v>126</v>
      </c>
      <c r="B1160" s="10">
        <v>46161</v>
      </c>
      <c r="C1160" t="s">
        <v>105</v>
      </c>
      <c r="D1160" t="s">
        <v>102</v>
      </c>
      <c r="E1160" t="s">
        <v>106</v>
      </c>
      <c r="F1160">
        <v>129.1</v>
      </c>
      <c r="G1160">
        <v>131.30000000000001</v>
      </c>
      <c r="H1160">
        <v>99.9</v>
      </c>
      <c r="I1160">
        <v>28.2</v>
      </c>
      <c r="J1160">
        <v>0.3</v>
      </c>
      <c r="K1160">
        <v>104.2</v>
      </c>
      <c r="L1160">
        <v>0.5</v>
      </c>
      <c r="M1160">
        <v>83.3</v>
      </c>
      <c r="N1160">
        <v>1.2</v>
      </c>
      <c r="O1160">
        <v>53.7</v>
      </c>
      <c r="P1160">
        <v>-3.2</v>
      </c>
      <c r="Q1160">
        <v>-0.5</v>
      </c>
      <c r="R1160">
        <v>0</v>
      </c>
      <c r="S1160">
        <v>8103</v>
      </c>
      <c r="T1160">
        <v>-0.4</v>
      </c>
    </row>
    <row r="1161" spans="1:20" x14ac:dyDescent="0.25">
      <c r="A1161" s="105" t="s">
        <v>126</v>
      </c>
      <c r="B1161" s="10">
        <v>46161</v>
      </c>
      <c r="C1161" t="s">
        <v>105</v>
      </c>
      <c r="D1161" t="s">
        <v>102</v>
      </c>
      <c r="E1161" t="s">
        <v>106</v>
      </c>
      <c r="F1161">
        <v>129.1</v>
      </c>
      <c r="G1161">
        <v>132.4</v>
      </c>
      <c r="H1161">
        <v>98.3</v>
      </c>
      <c r="I1161">
        <v>24.9</v>
      </c>
      <c r="J1161">
        <v>-1.4</v>
      </c>
      <c r="K1161">
        <v>88.1</v>
      </c>
      <c r="L1161">
        <v>-6.7</v>
      </c>
      <c r="M1161">
        <v>85.4</v>
      </c>
      <c r="N1161">
        <v>1.1499999999999999</v>
      </c>
      <c r="O1161">
        <v>49.8</v>
      </c>
      <c r="P1161">
        <v>-4.8</v>
      </c>
      <c r="Q1161">
        <v>1</v>
      </c>
      <c r="R1161">
        <v>0</v>
      </c>
      <c r="S1161">
        <v>8165</v>
      </c>
      <c r="T1161">
        <v>-3.8</v>
      </c>
    </row>
    <row r="1162" spans="1:20" x14ac:dyDescent="0.25">
      <c r="A1162" s="105" t="s">
        <v>126</v>
      </c>
      <c r="B1162" s="10">
        <v>46161</v>
      </c>
      <c r="C1162" t="s">
        <v>105</v>
      </c>
      <c r="D1162" t="s">
        <v>102</v>
      </c>
      <c r="E1162" t="s">
        <v>106</v>
      </c>
      <c r="F1162">
        <v>129.1</v>
      </c>
      <c r="G1162">
        <v>133.5</v>
      </c>
      <c r="H1162">
        <v>97.6</v>
      </c>
      <c r="I1162">
        <v>23.7</v>
      </c>
      <c r="J1162">
        <v>-0.6</v>
      </c>
      <c r="K1162">
        <v>82.5</v>
      </c>
      <c r="L1162">
        <v>-1.9</v>
      </c>
      <c r="M1162">
        <v>82.7</v>
      </c>
      <c r="N1162">
        <v>1.18</v>
      </c>
      <c r="O1162">
        <v>48.2</v>
      </c>
      <c r="P1162">
        <v>-5.0999999999999996</v>
      </c>
      <c r="Q1162">
        <v>0.2</v>
      </c>
      <c r="R1162">
        <v>0</v>
      </c>
      <c r="S1162">
        <v>7704</v>
      </c>
      <c r="T1162">
        <v>-0.7</v>
      </c>
    </row>
    <row r="1163" spans="1:20" x14ac:dyDescent="0.25">
      <c r="A1163" s="105" t="s">
        <v>126</v>
      </c>
      <c r="B1163" s="10">
        <v>46161</v>
      </c>
      <c r="C1163" t="s">
        <v>105</v>
      </c>
      <c r="D1163" t="s">
        <v>102</v>
      </c>
      <c r="E1163" t="s">
        <v>106</v>
      </c>
      <c r="F1163">
        <v>132.4</v>
      </c>
      <c r="G1163">
        <v>136.80000000000001</v>
      </c>
      <c r="H1163">
        <v>99.7</v>
      </c>
      <c r="I1163">
        <v>22.3</v>
      </c>
      <c r="J1163">
        <v>-1.6</v>
      </c>
      <c r="K1163">
        <v>80.900000000000006</v>
      </c>
      <c r="L1163">
        <v>-9.5</v>
      </c>
      <c r="M1163">
        <v>81.599999999999994</v>
      </c>
      <c r="N1163">
        <v>1.22</v>
      </c>
      <c r="O1163">
        <v>47.4</v>
      </c>
      <c r="P1163">
        <v>-6.4</v>
      </c>
      <c r="Q1163">
        <v>-0.4</v>
      </c>
      <c r="R1163">
        <v>0</v>
      </c>
      <c r="S1163">
        <v>7716</v>
      </c>
      <c r="T1163">
        <v>-5.8</v>
      </c>
    </row>
    <row r="1164" spans="1:20" x14ac:dyDescent="0.25">
      <c r="A1164" s="105" t="s">
        <v>126</v>
      </c>
      <c r="B1164" s="10">
        <v>46161</v>
      </c>
      <c r="C1164" t="s">
        <v>105</v>
      </c>
      <c r="D1164" t="s">
        <v>102</v>
      </c>
      <c r="E1164" t="s">
        <v>106</v>
      </c>
      <c r="F1164">
        <v>126.9</v>
      </c>
      <c r="G1164">
        <v>129.1</v>
      </c>
      <c r="H1164">
        <v>96.5</v>
      </c>
      <c r="I1164">
        <v>25.6</v>
      </c>
      <c r="J1164">
        <v>-3.7</v>
      </c>
      <c r="K1164">
        <v>87.6</v>
      </c>
      <c r="L1164">
        <v>-8.6</v>
      </c>
      <c r="M1164">
        <v>84.3</v>
      </c>
      <c r="N1164">
        <v>1.1499999999999999</v>
      </c>
      <c r="O1164">
        <v>50</v>
      </c>
      <c r="P1164">
        <v>-5.4</v>
      </c>
      <c r="Q1164">
        <v>-2.1</v>
      </c>
      <c r="R1164">
        <v>0</v>
      </c>
      <c r="S1164">
        <v>7984</v>
      </c>
      <c r="T1164">
        <v>-0.6</v>
      </c>
    </row>
    <row r="1165" spans="1:20" x14ac:dyDescent="0.25">
      <c r="A1165" s="105" t="s">
        <v>126</v>
      </c>
      <c r="B1165" s="10">
        <v>46161</v>
      </c>
      <c r="C1165" t="s">
        <v>105</v>
      </c>
      <c r="D1165" t="s">
        <v>102</v>
      </c>
      <c r="E1165" t="s">
        <v>106</v>
      </c>
      <c r="F1165">
        <v>132.4</v>
      </c>
      <c r="G1165">
        <v>135.69999999999999</v>
      </c>
      <c r="H1165">
        <v>100.4</v>
      </c>
      <c r="I1165">
        <v>23.8</v>
      </c>
      <c r="J1165">
        <v>-1.2</v>
      </c>
      <c r="K1165">
        <v>87.8</v>
      </c>
      <c r="L1165">
        <v>1</v>
      </c>
      <c r="M1165">
        <v>82.1</v>
      </c>
      <c r="N1165">
        <v>1.22</v>
      </c>
      <c r="O1165">
        <v>49.4</v>
      </c>
      <c r="P1165">
        <v>-6.4</v>
      </c>
      <c r="Q1165">
        <v>-2.5</v>
      </c>
      <c r="R1165">
        <v>0</v>
      </c>
      <c r="S1165">
        <v>8363</v>
      </c>
      <c r="T1165">
        <v>3.5</v>
      </c>
    </row>
    <row r="1166" spans="1:20" x14ac:dyDescent="0.25">
      <c r="A1166" s="105" t="s">
        <v>126</v>
      </c>
      <c r="B1166" s="10">
        <v>46161</v>
      </c>
      <c r="C1166" t="s">
        <v>105</v>
      </c>
      <c r="D1166" t="s">
        <v>102</v>
      </c>
      <c r="E1166" t="s">
        <v>106</v>
      </c>
      <c r="F1166">
        <v>122.5</v>
      </c>
      <c r="G1166">
        <v>128</v>
      </c>
      <c r="H1166">
        <v>93.8</v>
      </c>
      <c r="I1166">
        <v>23.3</v>
      </c>
      <c r="J1166">
        <v>-1.4</v>
      </c>
      <c r="K1166">
        <v>74</v>
      </c>
      <c r="L1166">
        <v>-2.7</v>
      </c>
      <c r="M1166">
        <v>81.599999999999994</v>
      </c>
      <c r="N1166">
        <v>1.1499999999999999</v>
      </c>
      <c r="O1166">
        <v>46.3</v>
      </c>
      <c r="P1166">
        <v>-4.5</v>
      </c>
      <c r="Q1166">
        <v>-1.6</v>
      </c>
      <c r="R1166">
        <v>0</v>
      </c>
      <c r="S1166">
        <v>7600</v>
      </c>
      <c r="T1166">
        <v>0.1</v>
      </c>
    </row>
    <row r="1167" spans="1:20" x14ac:dyDescent="0.25">
      <c r="A1167" s="105" t="s">
        <v>126</v>
      </c>
      <c r="B1167" s="10">
        <v>46161</v>
      </c>
      <c r="C1167" t="s">
        <v>105</v>
      </c>
      <c r="D1167" t="s">
        <v>102</v>
      </c>
      <c r="E1167" t="s">
        <v>106</v>
      </c>
      <c r="F1167">
        <v>129.1</v>
      </c>
      <c r="G1167">
        <v>132.4</v>
      </c>
      <c r="H1167">
        <v>97.6</v>
      </c>
      <c r="I1167">
        <v>24.1</v>
      </c>
      <c r="J1167">
        <v>-2.5</v>
      </c>
      <c r="K1167">
        <v>83.9</v>
      </c>
      <c r="L1167">
        <v>-6.5</v>
      </c>
      <c r="M1167">
        <v>83.2</v>
      </c>
      <c r="N1167">
        <v>1.17</v>
      </c>
      <c r="O1167">
        <v>48.7</v>
      </c>
      <c r="P1167">
        <v>-6.1</v>
      </c>
      <c r="Q1167">
        <v>-1.5</v>
      </c>
      <c r="R1167">
        <v>0</v>
      </c>
      <c r="S1167">
        <v>8003</v>
      </c>
      <c r="T1167">
        <v>-1.1000000000000001</v>
      </c>
    </row>
    <row r="1168" spans="1:20" x14ac:dyDescent="0.25">
      <c r="A1168" s="105" t="s">
        <v>126</v>
      </c>
      <c r="B1168" s="10">
        <v>46161</v>
      </c>
      <c r="C1168" t="s">
        <v>105</v>
      </c>
      <c r="D1168" t="s">
        <v>102</v>
      </c>
      <c r="E1168" t="s">
        <v>106</v>
      </c>
      <c r="F1168">
        <v>129.1</v>
      </c>
      <c r="G1168">
        <v>132.4</v>
      </c>
      <c r="H1168">
        <v>98.6</v>
      </c>
      <c r="I1168">
        <v>23.8</v>
      </c>
      <c r="J1168">
        <v>-2</v>
      </c>
      <c r="K1168">
        <v>84.1</v>
      </c>
      <c r="L1168">
        <v>-0.6</v>
      </c>
      <c r="M1168">
        <v>81.5</v>
      </c>
      <c r="N1168">
        <v>1.21</v>
      </c>
      <c r="O1168">
        <v>48.9</v>
      </c>
      <c r="P1168">
        <v>-5.9</v>
      </c>
      <c r="Q1168">
        <v>-4</v>
      </c>
      <c r="R1168">
        <v>0</v>
      </c>
      <c r="S1168">
        <v>8963</v>
      </c>
      <c r="T1168">
        <v>3.8</v>
      </c>
    </row>
    <row r="1169" spans="1:20" x14ac:dyDescent="0.25">
      <c r="A1169" s="105" t="s">
        <v>126</v>
      </c>
      <c r="B1169" s="10">
        <v>46161</v>
      </c>
      <c r="C1169" t="s">
        <v>105</v>
      </c>
      <c r="D1169" t="s">
        <v>102</v>
      </c>
      <c r="E1169" t="s">
        <v>106</v>
      </c>
      <c r="F1169">
        <v>116</v>
      </c>
      <c r="G1169">
        <v>128</v>
      </c>
      <c r="H1169">
        <v>88.7</v>
      </c>
      <c r="I1169">
        <v>23.9</v>
      </c>
      <c r="J1169">
        <v>1</v>
      </c>
      <c r="K1169">
        <v>66.8</v>
      </c>
      <c r="L1169">
        <v>1.8</v>
      </c>
      <c r="M1169">
        <v>76.2</v>
      </c>
      <c r="N1169">
        <v>1.1599999999999999</v>
      </c>
      <c r="O1169">
        <v>44.1</v>
      </c>
      <c r="P1169">
        <v>-2.2999999999999998</v>
      </c>
      <c r="Q1169">
        <v>0.2</v>
      </c>
      <c r="R1169">
        <v>0</v>
      </c>
      <c r="S1169">
        <v>5258</v>
      </c>
      <c r="T1169">
        <v>-0.4</v>
      </c>
    </row>
    <row r="1170" spans="1:20" x14ac:dyDescent="0.25">
      <c r="A1170" s="105" t="s">
        <v>126</v>
      </c>
      <c r="B1170" s="10">
        <v>46161</v>
      </c>
      <c r="C1170" t="s">
        <v>105</v>
      </c>
      <c r="D1170" t="s">
        <v>102</v>
      </c>
      <c r="E1170" t="s">
        <v>106</v>
      </c>
      <c r="F1170">
        <v>124.7</v>
      </c>
      <c r="G1170">
        <v>134.6</v>
      </c>
      <c r="H1170">
        <v>98.9</v>
      </c>
      <c r="I1170">
        <v>24.9</v>
      </c>
      <c r="J1170">
        <v>-0.3</v>
      </c>
      <c r="K1170">
        <v>89.4</v>
      </c>
      <c r="L1170">
        <v>-4.9000000000000004</v>
      </c>
      <c r="M1170">
        <v>82.6</v>
      </c>
      <c r="N1170">
        <v>1.2</v>
      </c>
      <c r="O1170">
        <v>50.1</v>
      </c>
      <c r="P1170">
        <v>-4.0999999999999996</v>
      </c>
      <c r="Q1170">
        <v>-0.2</v>
      </c>
      <c r="R1170">
        <v>0</v>
      </c>
      <c r="S1170">
        <v>8051</v>
      </c>
      <c r="T1170">
        <v>-4.3</v>
      </c>
    </row>
    <row r="1171" spans="1:20" x14ac:dyDescent="0.25">
      <c r="A1171" s="105" t="s">
        <v>126</v>
      </c>
      <c r="B1171" s="10">
        <v>46161</v>
      </c>
      <c r="C1171" t="s">
        <v>105</v>
      </c>
      <c r="D1171" t="s">
        <v>102</v>
      </c>
      <c r="E1171" t="s">
        <v>106</v>
      </c>
      <c r="F1171">
        <v>134.6</v>
      </c>
      <c r="G1171">
        <v>137.80000000000001</v>
      </c>
      <c r="H1171">
        <v>101.1</v>
      </c>
      <c r="I1171">
        <v>22.3</v>
      </c>
      <c r="J1171">
        <v>-4.3</v>
      </c>
      <c r="K1171">
        <v>82.7</v>
      </c>
      <c r="L1171">
        <v>-19.3</v>
      </c>
      <c r="M1171">
        <v>82.2</v>
      </c>
      <c r="N1171">
        <v>1.23</v>
      </c>
      <c r="O1171">
        <v>47.8</v>
      </c>
      <c r="P1171">
        <v>-6.1</v>
      </c>
      <c r="Q1171">
        <v>-0.1</v>
      </c>
      <c r="R1171">
        <v>0</v>
      </c>
      <c r="S1171">
        <v>7892</v>
      </c>
      <c r="T1171">
        <v>-9.1999999999999993</v>
      </c>
    </row>
    <row r="1172" spans="1:20" x14ac:dyDescent="0.25">
      <c r="A1172" s="105" t="s">
        <v>126</v>
      </c>
      <c r="B1172" s="10">
        <v>46161</v>
      </c>
      <c r="C1172" t="s">
        <v>105</v>
      </c>
      <c r="D1172" t="s">
        <v>102</v>
      </c>
      <c r="E1172" t="s">
        <v>106</v>
      </c>
      <c r="F1172">
        <v>131.30000000000001</v>
      </c>
      <c r="G1172">
        <v>135.69999999999999</v>
      </c>
      <c r="H1172">
        <v>99.2</v>
      </c>
      <c r="I1172">
        <v>23.6</v>
      </c>
      <c r="J1172">
        <v>-1.3</v>
      </c>
      <c r="K1172">
        <v>85.2</v>
      </c>
      <c r="L1172">
        <v>-6.9</v>
      </c>
      <c r="M1172">
        <v>83.5</v>
      </c>
      <c r="N1172">
        <v>1.19</v>
      </c>
      <c r="O1172">
        <v>48.7</v>
      </c>
      <c r="P1172">
        <v>-4.9000000000000004</v>
      </c>
      <c r="Q1172">
        <v>-0.2</v>
      </c>
      <c r="R1172">
        <v>0</v>
      </c>
      <c r="S1172">
        <v>7691</v>
      </c>
      <c r="T1172">
        <v>-3.9</v>
      </c>
    </row>
    <row r="1173" spans="1:20" x14ac:dyDescent="0.25">
      <c r="A1173" s="105" t="s">
        <v>126</v>
      </c>
      <c r="B1173" s="10">
        <v>46161</v>
      </c>
      <c r="C1173" t="s">
        <v>105</v>
      </c>
      <c r="D1173" t="s">
        <v>102</v>
      </c>
      <c r="E1173" t="s">
        <v>106</v>
      </c>
      <c r="F1173">
        <v>121.4</v>
      </c>
      <c r="G1173">
        <v>123.6</v>
      </c>
      <c r="H1173">
        <v>94.3</v>
      </c>
      <c r="I1173">
        <v>26.2</v>
      </c>
      <c r="J1173">
        <v>1.2</v>
      </c>
      <c r="K1173">
        <v>84.5</v>
      </c>
      <c r="L1173">
        <v>8.3000000000000007</v>
      </c>
      <c r="M1173">
        <v>81.099999999999994</v>
      </c>
      <c r="N1173">
        <v>1.1599999999999999</v>
      </c>
      <c r="O1173">
        <v>50.2</v>
      </c>
      <c r="P1173">
        <v>-4.4000000000000004</v>
      </c>
      <c r="Q1173">
        <v>-3</v>
      </c>
      <c r="R1173">
        <v>0</v>
      </c>
      <c r="S1173">
        <v>9458</v>
      </c>
      <c r="T1173">
        <v>6.4</v>
      </c>
    </row>
    <row r="1174" spans="1:20" x14ac:dyDescent="0.25">
      <c r="A1174" s="105" t="s">
        <v>126</v>
      </c>
      <c r="B1174" s="10">
        <v>46161</v>
      </c>
      <c r="C1174" t="s">
        <v>105</v>
      </c>
      <c r="D1174" t="s">
        <v>102</v>
      </c>
      <c r="E1174" t="s">
        <v>106</v>
      </c>
      <c r="F1174">
        <v>126.9</v>
      </c>
      <c r="G1174">
        <v>131.30000000000001</v>
      </c>
      <c r="H1174">
        <v>95.8</v>
      </c>
      <c r="I1174">
        <v>22.5</v>
      </c>
      <c r="J1174">
        <v>-6.2</v>
      </c>
      <c r="K1174">
        <v>74.3</v>
      </c>
      <c r="L1174">
        <v>-20.9</v>
      </c>
      <c r="M1174">
        <v>82.1</v>
      </c>
      <c r="N1174">
        <v>1.17</v>
      </c>
      <c r="O1174">
        <v>45.9</v>
      </c>
      <c r="P1174">
        <v>-5</v>
      </c>
      <c r="Q1174">
        <v>-3.1</v>
      </c>
      <c r="R1174">
        <v>0</v>
      </c>
      <c r="S1174">
        <v>7024</v>
      </c>
      <c r="T1174">
        <v>-8</v>
      </c>
    </row>
    <row r="1175" spans="1:20" x14ac:dyDescent="0.25">
      <c r="A1175" s="105" t="s">
        <v>126</v>
      </c>
      <c r="B1175" s="10">
        <v>46161</v>
      </c>
      <c r="C1175" t="s">
        <v>105</v>
      </c>
      <c r="D1175" t="s">
        <v>102</v>
      </c>
      <c r="E1175" t="s">
        <v>106</v>
      </c>
      <c r="F1175">
        <v>122.5</v>
      </c>
      <c r="G1175">
        <v>125.8</v>
      </c>
      <c r="H1175">
        <v>94.5</v>
      </c>
      <c r="I1175">
        <v>24</v>
      </c>
      <c r="J1175">
        <v>4.8</v>
      </c>
      <c r="K1175">
        <v>76.7</v>
      </c>
      <c r="L1175">
        <v>18.3</v>
      </c>
      <c r="M1175">
        <v>81.599999999999994</v>
      </c>
      <c r="N1175">
        <v>1.1599999999999999</v>
      </c>
      <c r="O1175">
        <v>47.7</v>
      </c>
      <c r="P1175">
        <v>-6.5</v>
      </c>
      <c r="Q1175">
        <v>-0.5</v>
      </c>
      <c r="R1175">
        <v>0</v>
      </c>
      <c r="S1175">
        <v>9230</v>
      </c>
      <c r="T1175">
        <v>9.4</v>
      </c>
    </row>
    <row r="1176" spans="1:20" x14ac:dyDescent="0.25">
      <c r="A1176" s="105" t="s">
        <v>126</v>
      </c>
      <c r="B1176" s="10">
        <v>46161</v>
      </c>
      <c r="C1176" t="s">
        <v>105</v>
      </c>
      <c r="D1176" t="s">
        <v>102</v>
      </c>
      <c r="E1176" t="s">
        <v>106</v>
      </c>
      <c r="F1176">
        <v>122.5</v>
      </c>
      <c r="G1176">
        <v>125.8</v>
      </c>
      <c r="H1176">
        <v>94.4</v>
      </c>
      <c r="I1176">
        <v>23.8</v>
      </c>
      <c r="J1176">
        <v>-1.2</v>
      </c>
      <c r="K1176">
        <v>76.5</v>
      </c>
      <c r="L1176">
        <v>-1.5</v>
      </c>
      <c r="M1176">
        <v>83.8</v>
      </c>
      <c r="N1176">
        <v>1.1299999999999999</v>
      </c>
      <c r="O1176">
        <v>47.4</v>
      </c>
      <c r="P1176">
        <v>-5.3</v>
      </c>
      <c r="Q1176">
        <v>-2.6</v>
      </c>
      <c r="R1176">
        <v>0</v>
      </c>
      <c r="S1176">
        <v>8802</v>
      </c>
      <c r="T1176">
        <v>1.2</v>
      </c>
    </row>
    <row r="1177" spans="1:20" x14ac:dyDescent="0.25">
      <c r="A1177" s="105" t="s">
        <v>126</v>
      </c>
      <c r="B1177" s="10">
        <v>46161</v>
      </c>
      <c r="C1177" t="s">
        <v>107</v>
      </c>
      <c r="D1177" t="s">
        <v>102</v>
      </c>
      <c r="E1177" t="s">
        <v>106</v>
      </c>
      <c r="F1177">
        <v>147.69999999999999</v>
      </c>
      <c r="G1177">
        <v>159.69999999999999</v>
      </c>
      <c r="H1177">
        <v>111.6</v>
      </c>
      <c r="I1177">
        <v>10.1</v>
      </c>
      <c r="J1177">
        <v>0.2</v>
      </c>
      <c r="K1177">
        <v>43.6</v>
      </c>
      <c r="L1177">
        <v>14.6</v>
      </c>
      <c r="M1177">
        <v>85.4</v>
      </c>
      <c r="N1177">
        <v>1.31</v>
      </c>
      <c r="O1177">
        <v>30.9</v>
      </c>
      <c r="P1177">
        <v>-5.4</v>
      </c>
      <c r="Q1177">
        <v>-2.1</v>
      </c>
      <c r="R1177">
        <v>0</v>
      </c>
      <c r="S1177">
        <v>5417</v>
      </c>
      <c r="T1177">
        <v>13.2</v>
      </c>
    </row>
    <row r="1178" spans="1:20" x14ac:dyDescent="0.25">
      <c r="A1178" s="105" t="s">
        <v>126</v>
      </c>
      <c r="B1178" s="10">
        <v>46161</v>
      </c>
      <c r="C1178" t="s">
        <v>107</v>
      </c>
      <c r="D1178" t="s">
        <v>102</v>
      </c>
      <c r="E1178" t="s">
        <v>106</v>
      </c>
      <c r="F1178">
        <v>140</v>
      </c>
      <c r="G1178">
        <v>144.4</v>
      </c>
      <c r="H1178">
        <v>102.8</v>
      </c>
      <c r="I1178">
        <v>22.2</v>
      </c>
      <c r="J1178">
        <v>-1.1000000000000001</v>
      </c>
      <c r="K1178">
        <v>86.8</v>
      </c>
      <c r="L1178">
        <v>2</v>
      </c>
      <c r="M1178">
        <v>85.9</v>
      </c>
      <c r="N1178">
        <v>1.2</v>
      </c>
      <c r="O1178">
        <v>48</v>
      </c>
      <c r="P1178">
        <v>-6.3</v>
      </c>
      <c r="Q1178">
        <v>-2.1</v>
      </c>
      <c r="R1178">
        <v>0</v>
      </c>
      <c r="S1178">
        <v>6546</v>
      </c>
      <c r="T1178">
        <v>4.2</v>
      </c>
    </row>
    <row r="1179" spans="1:20" x14ac:dyDescent="0.25">
      <c r="A1179" s="105" t="s">
        <v>126</v>
      </c>
      <c r="B1179" s="10">
        <v>46161</v>
      </c>
      <c r="C1179" t="s">
        <v>107</v>
      </c>
      <c r="D1179" t="s">
        <v>102</v>
      </c>
      <c r="E1179" t="s">
        <v>106</v>
      </c>
      <c r="F1179">
        <v>141.1</v>
      </c>
      <c r="G1179">
        <v>148.80000000000001</v>
      </c>
      <c r="H1179">
        <v>104.9</v>
      </c>
      <c r="I1179">
        <v>17</v>
      </c>
      <c r="J1179">
        <v>1.8</v>
      </c>
      <c r="K1179">
        <v>67.3</v>
      </c>
      <c r="L1179">
        <v>16.899999999999999</v>
      </c>
      <c r="M1179">
        <v>83.7</v>
      </c>
      <c r="N1179">
        <v>1.25</v>
      </c>
      <c r="O1179">
        <v>42</v>
      </c>
      <c r="P1179">
        <v>-5.4</v>
      </c>
      <c r="Q1179">
        <v>-0.8</v>
      </c>
      <c r="R1179">
        <v>0</v>
      </c>
      <c r="S1179">
        <v>6796</v>
      </c>
      <c r="T1179">
        <v>11.4</v>
      </c>
    </row>
    <row r="1180" spans="1:20" x14ac:dyDescent="0.25">
      <c r="A1180" s="105" t="s">
        <v>126</v>
      </c>
      <c r="B1180" s="10">
        <v>46161</v>
      </c>
      <c r="C1180" t="s">
        <v>107</v>
      </c>
      <c r="D1180" t="s">
        <v>102</v>
      </c>
      <c r="E1180" t="s">
        <v>106</v>
      </c>
      <c r="F1180">
        <v>141.1</v>
      </c>
      <c r="G1180">
        <v>145.5</v>
      </c>
      <c r="H1180">
        <v>104.8</v>
      </c>
      <c r="I1180">
        <v>22.4</v>
      </c>
      <c r="J1180">
        <v>0.1</v>
      </c>
      <c r="K1180">
        <v>91.6</v>
      </c>
      <c r="L1180">
        <v>-1.3</v>
      </c>
      <c r="M1180">
        <v>84.1</v>
      </c>
      <c r="N1180">
        <v>1.25</v>
      </c>
      <c r="O1180">
        <v>49.2</v>
      </c>
      <c r="P1180">
        <v>-3</v>
      </c>
      <c r="Q1180">
        <v>-1.5</v>
      </c>
      <c r="R1180">
        <v>0</v>
      </c>
      <c r="S1180">
        <v>7122</v>
      </c>
      <c r="T1180">
        <v>-1.4</v>
      </c>
    </row>
    <row r="1181" spans="1:20" x14ac:dyDescent="0.25">
      <c r="A1181" s="105" t="s">
        <v>126</v>
      </c>
      <c r="B1181" s="10">
        <v>46161</v>
      </c>
      <c r="C1181" t="s">
        <v>107</v>
      </c>
      <c r="D1181" t="s">
        <v>102</v>
      </c>
      <c r="E1181" t="s">
        <v>106</v>
      </c>
      <c r="F1181">
        <v>142.19999999999999</v>
      </c>
      <c r="G1181">
        <v>145.5</v>
      </c>
      <c r="H1181">
        <v>106.2</v>
      </c>
      <c r="I1181">
        <v>21.7</v>
      </c>
      <c r="J1181">
        <v>0.1</v>
      </c>
      <c r="K1181">
        <v>90.4</v>
      </c>
      <c r="L1181">
        <v>8.1999999999999993</v>
      </c>
      <c r="M1181">
        <v>86.3</v>
      </c>
      <c r="N1181">
        <v>1.23</v>
      </c>
      <c r="O1181">
        <v>49</v>
      </c>
      <c r="P1181">
        <v>-3.3</v>
      </c>
      <c r="Q1181">
        <v>-2.6</v>
      </c>
      <c r="R1181">
        <v>0</v>
      </c>
      <c r="S1181">
        <v>7940</v>
      </c>
      <c r="T1181">
        <v>6.6</v>
      </c>
    </row>
    <row r="1182" spans="1:20" x14ac:dyDescent="0.25">
      <c r="A1182" s="105" t="s">
        <v>126</v>
      </c>
      <c r="B1182" s="10">
        <v>46161</v>
      </c>
      <c r="C1182" t="s">
        <v>107</v>
      </c>
      <c r="D1182" t="s">
        <v>102</v>
      </c>
      <c r="E1182" t="s">
        <v>106</v>
      </c>
      <c r="F1182">
        <v>149.9</v>
      </c>
      <c r="G1182">
        <v>151</v>
      </c>
      <c r="H1182">
        <v>111.7</v>
      </c>
      <c r="I1182">
        <v>22.1</v>
      </c>
      <c r="J1182">
        <v>-3</v>
      </c>
      <c r="K1182">
        <v>103</v>
      </c>
      <c r="L1182">
        <v>-3</v>
      </c>
      <c r="M1182">
        <v>87.4</v>
      </c>
      <c r="N1182">
        <v>1.28</v>
      </c>
      <c r="O1182">
        <v>51.4</v>
      </c>
      <c r="P1182">
        <v>-5.8</v>
      </c>
      <c r="Q1182">
        <v>-4.9000000000000004</v>
      </c>
      <c r="R1182">
        <v>0</v>
      </c>
      <c r="S1182">
        <v>8495</v>
      </c>
      <c r="T1182">
        <v>3.5</v>
      </c>
    </row>
    <row r="1183" spans="1:20" x14ac:dyDescent="0.25">
      <c r="A1183" s="105" t="s">
        <v>126</v>
      </c>
      <c r="B1183" s="10">
        <v>46161</v>
      </c>
      <c r="C1183" t="s">
        <v>107</v>
      </c>
      <c r="D1183" t="s">
        <v>102</v>
      </c>
      <c r="E1183" t="s">
        <v>106</v>
      </c>
      <c r="F1183">
        <v>131.30000000000001</v>
      </c>
      <c r="G1183">
        <v>133.5</v>
      </c>
      <c r="H1183">
        <v>100.4</v>
      </c>
      <c r="I1183">
        <v>24.8</v>
      </c>
      <c r="J1183">
        <v>2.7</v>
      </c>
      <c r="K1183">
        <v>90.2</v>
      </c>
      <c r="L1183">
        <v>19.100000000000001</v>
      </c>
      <c r="M1183">
        <v>80.5</v>
      </c>
      <c r="N1183">
        <v>1.25</v>
      </c>
      <c r="O1183">
        <v>50.5</v>
      </c>
      <c r="P1183">
        <v>-5.2</v>
      </c>
      <c r="Q1183">
        <v>-4.9000000000000004</v>
      </c>
      <c r="R1183">
        <v>0</v>
      </c>
      <c r="S1183">
        <v>8885</v>
      </c>
      <c r="T1183">
        <v>13</v>
      </c>
    </row>
    <row r="1184" spans="1:20" x14ac:dyDescent="0.25">
      <c r="A1184" s="105" t="s">
        <v>126</v>
      </c>
      <c r="B1184" s="10">
        <v>46161</v>
      </c>
      <c r="C1184" t="s">
        <v>107</v>
      </c>
      <c r="D1184" t="s">
        <v>102</v>
      </c>
      <c r="E1184" t="s">
        <v>106</v>
      </c>
      <c r="F1184">
        <v>136.80000000000001</v>
      </c>
      <c r="G1184">
        <v>141.1</v>
      </c>
      <c r="H1184">
        <v>101.7</v>
      </c>
      <c r="I1184">
        <v>21.6</v>
      </c>
      <c r="J1184">
        <v>-4</v>
      </c>
      <c r="K1184">
        <v>82</v>
      </c>
      <c r="L1184">
        <v>-11.8</v>
      </c>
      <c r="M1184">
        <v>83</v>
      </c>
      <c r="N1184">
        <v>1.23</v>
      </c>
      <c r="O1184">
        <v>47.1</v>
      </c>
      <c r="P1184">
        <v>-6.3</v>
      </c>
      <c r="Q1184">
        <v>-3.1</v>
      </c>
      <c r="R1184">
        <v>0</v>
      </c>
      <c r="S1184">
        <v>7253</v>
      </c>
      <c r="T1184">
        <v>-2.1</v>
      </c>
    </row>
    <row r="1185" spans="1:20" x14ac:dyDescent="0.25">
      <c r="A1185" s="105" t="s">
        <v>126</v>
      </c>
      <c r="B1185" s="10">
        <v>46161</v>
      </c>
      <c r="C1185" t="s">
        <v>107</v>
      </c>
      <c r="D1185" t="s">
        <v>102</v>
      </c>
      <c r="E1185" t="s">
        <v>106</v>
      </c>
      <c r="F1185">
        <v>143.30000000000001</v>
      </c>
      <c r="G1185">
        <v>145.5</v>
      </c>
      <c r="H1185">
        <v>106.8</v>
      </c>
      <c r="I1185">
        <v>25.5</v>
      </c>
      <c r="J1185">
        <v>0.2</v>
      </c>
      <c r="K1185">
        <v>109.1</v>
      </c>
      <c r="L1185">
        <v>5</v>
      </c>
      <c r="M1185">
        <v>84.1</v>
      </c>
      <c r="N1185">
        <v>1.27</v>
      </c>
      <c r="O1185">
        <v>53</v>
      </c>
      <c r="P1185">
        <v>-2.9</v>
      </c>
      <c r="Q1185">
        <v>-2.5</v>
      </c>
      <c r="R1185">
        <v>0</v>
      </c>
      <c r="S1185">
        <v>6750</v>
      </c>
      <c r="T1185">
        <v>3.6</v>
      </c>
    </row>
    <row r="1186" spans="1:20" x14ac:dyDescent="0.25">
      <c r="A1186" s="105" t="s">
        <v>126</v>
      </c>
      <c r="B1186" s="10">
        <v>46161</v>
      </c>
      <c r="C1186" t="s">
        <v>107</v>
      </c>
      <c r="D1186" t="s">
        <v>102</v>
      </c>
      <c r="E1186" t="s">
        <v>106</v>
      </c>
      <c r="F1186">
        <v>145.5</v>
      </c>
      <c r="G1186">
        <v>148.80000000000001</v>
      </c>
      <c r="H1186">
        <v>108</v>
      </c>
      <c r="I1186">
        <v>22.6</v>
      </c>
      <c r="J1186">
        <v>-1.8</v>
      </c>
      <c r="K1186">
        <v>98.6</v>
      </c>
      <c r="L1186">
        <v>-7.3</v>
      </c>
      <c r="M1186">
        <v>84.6</v>
      </c>
      <c r="N1186">
        <v>1.28</v>
      </c>
      <c r="O1186">
        <v>50.6</v>
      </c>
      <c r="P1186">
        <v>-4.8</v>
      </c>
      <c r="Q1186">
        <v>-0.9</v>
      </c>
      <c r="R1186">
        <v>0</v>
      </c>
      <c r="S1186">
        <v>7359</v>
      </c>
      <c r="T1186">
        <v>-2.2999999999999998</v>
      </c>
    </row>
    <row r="1187" spans="1:20" x14ac:dyDescent="0.25">
      <c r="A1187" s="105" t="s">
        <v>126</v>
      </c>
      <c r="B1187" s="10">
        <v>46161</v>
      </c>
      <c r="C1187" t="s">
        <v>107</v>
      </c>
      <c r="D1187" t="s">
        <v>102</v>
      </c>
      <c r="E1187" t="s">
        <v>106</v>
      </c>
      <c r="F1187">
        <v>142.19999999999999</v>
      </c>
      <c r="G1187">
        <v>145.5</v>
      </c>
      <c r="H1187">
        <v>105.3</v>
      </c>
      <c r="I1187">
        <v>22.5</v>
      </c>
      <c r="J1187">
        <v>-3.6</v>
      </c>
      <c r="K1187">
        <v>92.5</v>
      </c>
      <c r="L1187">
        <v>-13</v>
      </c>
      <c r="M1187">
        <v>84.1</v>
      </c>
      <c r="N1187">
        <v>1.25</v>
      </c>
      <c r="O1187">
        <v>49.4</v>
      </c>
      <c r="P1187">
        <v>-4.3</v>
      </c>
      <c r="Q1187">
        <v>-2.7</v>
      </c>
      <c r="R1187">
        <v>0</v>
      </c>
      <c r="S1187">
        <v>7197</v>
      </c>
      <c r="T1187">
        <v>-3.5</v>
      </c>
    </row>
    <row r="1188" spans="1:20" x14ac:dyDescent="0.25">
      <c r="A1188" s="105" t="s">
        <v>126</v>
      </c>
      <c r="B1188" s="10">
        <v>46161</v>
      </c>
      <c r="C1188" t="s">
        <v>108</v>
      </c>
      <c r="D1188" t="s">
        <v>102</v>
      </c>
      <c r="E1188" t="s">
        <v>106</v>
      </c>
      <c r="F1188">
        <v>141.1</v>
      </c>
      <c r="G1188">
        <v>146.6</v>
      </c>
      <c r="H1188">
        <v>105.1</v>
      </c>
      <c r="I1188">
        <v>18.100000000000001</v>
      </c>
      <c r="J1188">
        <v>-6</v>
      </c>
      <c r="K1188">
        <v>73</v>
      </c>
      <c r="L1188">
        <v>-17.7</v>
      </c>
      <c r="M1188">
        <v>85.1</v>
      </c>
      <c r="N1188">
        <v>1.23</v>
      </c>
      <c r="O1188">
        <v>44.1</v>
      </c>
      <c r="P1188">
        <v>-3.4</v>
      </c>
      <c r="Q1188">
        <v>-3.8</v>
      </c>
      <c r="R1188">
        <v>0</v>
      </c>
      <c r="S1188">
        <v>7751</v>
      </c>
      <c r="T1188">
        <v>-2.9</v>
      </c>
    </row>
    <row r="1189" spans="1:20" x14ac:dyDescent="0.25">
      <c r="A1189" s="105" t="s">
        <v>126</v>
      </c>
      <c r="B1189" s="10">
        <v>46161</v>
      </c>
      <c r="C1189" t="s">
        <v>108</v>
      </c>
      <c r="D1189" t="s">
        <v>102</v>
      </c>
      <c r="E1189" t="s">
        <v>106</v>
      </c>
      <c r="F1189">
        <v>144.4</v>
      </c>
      <c r="G1189">
        <v>149.9</v>
      </c>
      <c r="H1189">
        <v>107.2</v>
      </c>
      <c r="I1189">
        <v>19.899999999999999</v>
      </c>
      <c r="J1189">
        <v>-2.4</v>
      </c>
      <c r="K1189">
        <v>85.1</v>
      </c>
      <c r="L1189">
        <v>-4.3</v>
      </c>
      <c r="M1189">
        <v>86.8</v>
      </c>
      <c r="N1189">
        <v>1.24</v>
      </c>
      <c r="O1189">
        <v>47.3</v>
      </c>
      <c r="P1189">
        <v>-5.0999999999999996</v>
      </c>
      <c r="Q1189">
        <v>-2</v>
      </c>
      <c r="R1189">
        <v>0</v>
      </c>
      <c r="S1189">
        <v>7635</v>
      </c>
      <c r="T1189">
        <v>1.5</v>
      </c>
    </row>
    <row r="1190" spans="1:20" x14ac:dyDescent="0.25">
      <c r="A1190" s="105" t="s">
        <v>126</v>
      </c>
      <c r="B1190" s="10">
        <v>46161</v>
      </c>
      <c r="C1190" t="s">
        <v>108</v>
      </c>
      <c r="D1190" t="s">
        <v>102</v>
      </c>
      <c r="E1190" t="s">
        <v>106</v>
      </c>
      <c r="F1190">
        <v>152.1</v>
      </c>
      <c r="G1190">
        <v>153.19999999999999</v>
      </c>
      <c r="H1190">
        <v>111.3</v>
      </c>
      <c r="I1190">
        <v>15.8</v>
      </c>
      <c r="J1190">
        <v>-8.1</v>
      </c>
      <c r="K1190">
        <v>67</v>
      </c>
      <c r="L1190">
        <v>-48.5</v>
      </c>
      <c r="M1190">
        <v>85</v>
      </c>
      <c r="N1190">
        <v>1.31</v>
      </c>
      <c r="O1190">
        <v>41.4</v>
      </c>
      <c r="P1190">
        <v>-5.2</v>
      </c>
      <c r="Q1190">
        <v>0.6</v>
      </c>
      <c r="R1190">
        <v>0</v>
      </c>
      <c r="S1190">
        <v>6287</v>
      </c>
      <c r="T1190">
        <v>-25</v>
      </c>
    </row>
    <row r="1191" spans="1:20" x14ac:dyDescent="0.25">
      <c r="A1191" s="105" t="s">
        <v>126</v>
      </c>
      <c r="B1191" s="10">
        <v>46161</v>
      </c>
      <c r="C1191" t="s">
        <v>108</v>
      </c>
      <c r="D1191" t="s">
        <v>102</v>
      </c>
      <c r="E1191" t="s">
        <v>106</v>
      </c>
      <c r="F1191">
        <v>148.80000000000001</v>
      </c>
      <c r="G1191">
        <v>152.1</v>
      </c>
      <c r="H1191">
        <v>108.8</v>
      </c>
      <c r="I1191">
        <v>22.6</v>
      </c>
      <c r="J1191">
        <v>0.5</v>
      </c>
      <c r="K1191">
        <v>100.8</v>
      </c>
      <c r="L1191">
        <v>8.3000000000000007</v>
      </c>
      <c r="M1191">
        <v>83.5</v>
      </c>
      <c r="N1191">
        <v>1.3</v>
      </c>
      <c r="O1191">
        <v>50.6</v>
      </c>
      <c r="P1191">
        <v>-2.7</v>
      </c>
      <c r="Q1191">
        <v>-1.8</v>
      </c>
      <c r="R1191">
        <v>0</v>
      </c>
      <c r="S1191">
        <v>6509</v>
      </c>
      <c r="T1191">
        <v>5.4</v>
      </c>
    </row>
    <row r="1192" spans="1:20" x14ac:dyDescent="0.25">
      <c r="A1192" s="105" t="s">
        <v>126</v>
      </c>
      <c r="B1192" s="10">
        <v>46161</v>
      </c>
      <c r="C1192" t="s">
        <v>108</v>
      </c>
      <c r="D1192" t="s">
        <v>102</v>
      </c>
      <c r="E1192" t="s">
        <v>106</v>
      </c>
      <c r="F1192">
        <v>159.69999999999999</v>
      </c>
      <c r="G1192">
        <v>159.69999999999999</v>
      </c>
      <c r="H1192">
        <v>113.2</v>
      </c>
      <c r="I1192">
        <v>18.8</v>
      </c>
      <c r="J1192">
        <v>-9</v>
      </c>
      <c r="K1192">
        <v>91.2</v>
      </c>
      <c r="L1192">
        <v>-34.5</v>
      </c>
      <c r="M1192">
        <v>82.9</v>
      </c>
      <c r="N1192">
        <v>1.37</v>
      </c>
      <c r="O1192">
        <v>47.5</v>
      </c>
      <c r="P1192">
        <v>-4.4000000000000004</v>
      </c>
      <c r="Q1192">
        <v>-5.7</v>
      </c>
      <c r="R1192">
        <v>0</v>
      </c>
      <c r="S1192">
        <v>6109</v>
      </c>
      <c r="T1192">
        <v>-7.4</v>
      </c>
    </row>
    <row r="1193" spans="1:20" x14ac:dyDescent="0.25">
      <c r="A1193" s="106" t="s">
        <v>126</v>
      </c>
      <c r="B1193" s="10">
        <v>46163</v>
      </c>
      <c r="C1193" t="s">
        <v>97</v>
      </c>
      <c r="D1193" t="s">
        <v>98</v>
      </c>
      <c r="E1193" t="s">
        <v>99</v>
      </c>
      <c r="F1193">
        <v>47</v>
      </c>
      <c r="G1193">
        <v>51.4</v>
      </c>
      <c r="H1193">
        <v>49</v>
      </c>
      <c r="I1193">
        <v>33.200000000000003</v>
      </c>
      <c r="J1193">
        <v>-1.2</v>
      </c>
      <c r="K1193">
        <v>28.3</v>
      </c>
      <c r="L1193">
        <v>-0.7</v>
      </c>
      <c r="M1193">
        <v>62.4</v>
      </c>
      <c r="N1193">
        <v>0.79</v>
      </c>
      <c r="O1193">
        <v>41.1</v>
      </c>
      <c r="P1193">
        <v>-5.6</v>
      </c>
      <c r="Q1193">
        <v>0.2</v>
      </c>
      <c r="R1193">
        <v>0</v>
      </c>
      <c r="S1193">
        <v>8100</v>
      </c>
      <c r="T1193">
        <v>1.6</v>
      </c>
    </row>
    <row r="1194" spans="1:20" x14ac:dyDescent="0.25">
      <c r="A1194" s="106" t="s">
        <v>126</v>
      </c>
      <c r="B1194" s="10">
        <v>46163</v>
      </c>
      <c r="C1194" t="s">
        <v>97</v>
      </c>
      <c r="D1194" t="s">
        <v>98</v>
      </c>
      <c r="E1194" t="s">
        <v>99</v>
      </c>
      <c r="F1194">
        <v>47</v>
      </c>
      <c r="G1194">
        <v>58</v>
      </c>
      <c r="H1194">
        <v>54.4</v>
      </c>
      <c r="I1194">
        <v>20.5</v>
      </c>
      <c r="J1194">
        <v>8.1999999999999993</v>
      </c>
      <c r="K1194">
        <v>16</v>
      </c>
      <c r="L1194">
        <v>9.3000000000000007</v>
      </c>
      <c r="M1194">
        <v>54</v>
      </c>
      <c r="N1194">
        <v>1.01</v>
      </c>
      <c r="O1194">
        <v>26.7</v>
      </c>
      <c r="P1194">
        <v>-6.5</v>
      </c>
      <c r="Q1194">
        <v>0.9</v>
      </c>
      <c r="R1194">
        <v>0</v>
      </c>
      <c r="S1194">
        <v>6954</v>
      </c>
      <c r="T1194">
        <v>19.600000000000001</v>
      </c>
    </row>
    <row r="1195" spans="1:20" x14ac:dyDescent="0.25">
      <c r="A1195" s="106" t="s">
        <v>126</v>
      </c>
      <c r="B1195" s="10">
        <v>46163</v>
      </c>
      <c r="C1195" t="s">
        <v>97</v>
      </c>
      <c r="D1195" t="s">
        <v>98</v>
      </c>
      <c r="E1195" t="s">
        <v>99</v>
      </c>
      <c r="F1195">
        <v>30.6</v>
      </c>
      <c r="G1195">
        <v>37.200000000000003</v>
      </c>
      <c r="H1195">
        <v>39</v>
      </c>
      <c r="I1195">
        <v>31.5</v>
      </c>
      <c r="J1195">
        <v>-0.1</v>
      </c>
      <c r="K1195">
        <v>16</v>
      </c>
      <c r="L1195">
        <v>0</v>
      </c>
      <c r="M1195">
        <v>39.9</v>
      </c>
      <c r="N1195">
        <v>0.98</v>
      </c>
      <c r="O1195">
        <v>35.9</v>
      </c>
      <c r="P1195">
        <v>-9</v>
      </c>
      <c r="Q1195">
        <v>2</v>
      </c>
      <c r="R1195">
        <v>0</v>
      </c>
      <c r="S1195">
        <v>6273</v>
      </c>
      <c r="T1195">
        <v>0.5</v>
      </c>
    </row>
    <row r="1196" spans="1:20" x14ac:dyDescent="0.25">
      <c r="A1196" s="106" t="s">
        <v>126</v>
      </c>
      <c r="B1196" s="10">
        <v>46163</v>
      </c>
      <c r="C1196" t="s">
        <v>97</v>
      </c>
      <c r="D1196" t="s">
        <v>98</v>
      </c>
      <c r="E1196" t="s">
        <v>99</v>
      </c>
      <c r="F1196">
        <v>38.299999999999997</v>
      </c>
      <c r="G1196">
        <v>42.7</v>
      </c>
      <c r="H1196">
        <v>42.9</v>
      </c>
      <c r="I1196">
        <v>34.799999999999997</v>
      </c>
      <c r="J1196">
        <v>0.8</v>
      </c>
      <c r="K1196">
        <v>22.9</v>
      </c>
      <c r="L1196">
        <v>0.3</v>
      </c>
      <c r="M1196">
        <v>50.1</v>
      </c>
      <c r="N1196">
        <v>0.85</v>
      </c>
      <c r="O1196">
        <v>40.5</v>
      </c>
      <c r="P1196">
        <v>-1.7</v>
      </c>
      <c r="Q1196">
        <v>2.7</v>
      </c>
      <c r="R1196">
        <v>0</v>
      </c>
      <c r="S1196">
        <v>6207</v>
      </c>
      <c r="T1196">
        <v>-3.4</v>
      </c>
    </row>
    <row r="1197" spans="1:20" x14ac:dyDescent="0.25">
      <c r="A1197" s="106" t="s">
        <v>126</v>
      </c>
      <c r="B1197" s="10">
        <v>46163</v>
      </c>
      <c r="C1197" t="s">
        <v>97</v>
      </c>
      <c r="D1197" t="s">
        <v>98</v>
      </c>
      <c r="E1197" t="s">
        <v>99</v>
      </c>
      <c r="F1197">
        <v>29.5</v>
      </c>
      <c r="G1197">
        <v>35</v>
      </c>
      <c r="H1197">
        <v>37</v>
      </c>
      <c r="I1197">
        <v>34.799999999999997</v>
      </c>
      <c r="J1197">
        <v>0.9</v>
      </c>
      <c r="K1197">
        <v>16.899999999999999</v>
      </c>
      <c r="L1197">
        <v>0.1</v>
      </c>
      <c r="M1197">
        <v>38.4</v>
      </c>
      <c r="N1197">
        <v>0.96</v>
      </c>
      <c r="O1197">
        <v>38.799999999999997</v>
      </c>
      <c r="P1197">
        <v>-6.9</v>
      </c>
      <c r="Q1197">
        <v>7.5</v>
      </c>
      <c r="R1197">
        <v>0</v>
      </c>
      <c r="S1197">
        <v>4955</v>
      </c>
      <c r="T1197">
        <v>-7.4</v>
      </c>
    </row>
    <row r="1198" spans="1:20" x14ac:dyDescent="0.25">
      <c r="A1198" s="106" t="s">
        <v>126</v>
      </c>
      <c r="B1198" s="10">
        <v>46163</v>
      </c>
      <c r="C1198" t="s">
        <v>97</v>
      </c>
      <c r="D1198" t="s">
        <v>98</v>
      </c>
      <c r="E1198" t="s">
        <v>99</v>
      </c>
      <c r="F1198">
        <v>18.600000000000001</v>
      </c>
      <c r="G1198">
        <v>26.3</v>
      </c>
      <c r="H1198">
        <v>30</v>
      </c>
      <c r="I1198">
        <v>30.9</v>
      </c>
      <c r="J1198">
        <v>0.9</v>
      </c>
      <c r="K1198">
        <v>9</v>
      </c>
      <c r="L1198">
        <v>0.2</v>
      </c>
      <c r="M1198">
        <v>30</v>
      </c>
      <c r="N1198">
        <v>1</v>
      </c>
      <c r="O1198">
        <v>33.1</v>
      </c>
      <c r="P1198">
        <v>-7.6</v>
      </c>
      <c r="Q1198">
        <v>6.7</v>
      </c>
      <c r="R1198">
        <v>0</v>
      </c>
      <c r="S1198">
        <v>4101</v>
      </c>
      <c r="T1198">
        <v>-6.4</v>
      </c>
    </row>
    <row r="1199" spans="1:20" x14ac:dyDescent="0.25">
      <c r="A1199" s="106" t="s">
        <v>126</v>
      </c>
      <c r="B1199" s="10">
        <v>46163</v>
      </c>
      <c r="C1199" t="s">
        <v>97</v>
      </c>
      <c r="D1199" t="s">
        <v>98</v>
      </c>
      <c r="E1199" t="s">
        <v>99</v>
      </c>
      <c r="F1199">
        <v>44.9</v>
      </c>
      <c r="G1199">
        <v>51.4</v>
      </c>
      <c r="H1199">
        <v>48.8</v>
      </c>
      <c r="I1199">
        <v>29.6</v>
      </c>
      <c r="J1199">
        <v>6.1</v>
      </c>
      <c r="K1199">
        <v>23.2</v>
      </c>
      <c r="L1199">
        <v>6.3</v>
      </c>
      <c r="M1199">
        <v>59</v>
      </c>
      <c r="N1199">
        <v>0.83</v>
      </c>
      <c r="O1199">
        <v>36.700000000000003</v>
      </c>
      <c r="P1199">
        <v>-6.7</v>
      </c>
      <c r="Q1199">
        <v>-1.6</v>
      </c>
      <c r="R1199">
        <v>0</v>
      </c>
      <c r="S1199">
        <v>7653</v>
      </c>
      <c r="T1199">
        <v>11.4</v>
      </c>
    </row>
    <row r="1200" spans="1:20" x14ac:dyDescent="0.25">
      <c r="A1200" s="106" t="s">
        <v>126</v>
      </c>
      <c r="B1200" s="10">
        <v>46163</v>
      </c>
      <c r="C1200" t="s">
        <v>97</v>
      </c>
      <c r="D1200" t="s">
        <v>98</v>
      </c>
      <c r="E1200" t="s">
        <v>99</v>
      </c>
      <c r="F1200">
        <v>76.599999999999994</v>
      </c>
      <c r="G1200">
        <v>81</v>
      </c>
      <c r="H1200">
        <v>67.3</v>
      </c>
      <c r="I1200">
        <v>29.7</v>
      </c>
      <c r="J1200">
        <v>-1.1000000000000001</v>
      </c>
      <c r="K1200">
        <v>47.3</v>
      </c>
      <c r="L1200">
        <v>-0.3</v>
      </c>
      <c r="M1200">
        <v>77.400000000000006</v>
      </c>
      <c r="N1200">
        <v>0.87</v>
      </c>
      <c r="O1200">
        <v>43.9</v>
      </c>
      <c r="P1200">
        <v>-6.1</v>
      </c>
      <c r="Q1200">
        <v>-3</v>
      </c>
      <c r="R1200">
        <v>0</v>
      </c>
      <c r="S1200">
        <v>9528</v>
      </c>
      <c r="T1200">
        <v>3</v>
      </c>
    </row>
    <row r="1201" spans="1:20" x14ac:dyDescent="0.25">
      <c r="A1201" s="106" t="s">
        <v>126</v>
      </c>
      <c r="B1201" s="10">
        <v>46163</v>
      </c>
      <c r="C1201" t="s">
        <v>97</v>
      </c>
      <c r="D1201" t="s">
        <v>98</v>
      </c>
      <c r="E1201" t="s">
        <v>99</v>
      </c>
      <c r="F1201">
        <v>64.5</v>
      </c>
      <c r="G1201">
        <v>66.7</v>
      </c>
      <c r="H1201">
        <v>60.6</v>
      </c>
      <c r="I1201">
        <v>38.299999999999997</v>
      </c>
      <c r="J1201">
        <v>4.0999999999999996</v>
      </c>
      <c r="K1201">
        <v>53.7</v>
      </c>
      <c r="L1201">
        <v>5.0999999999999996</v>
      </c>
      <c r="M1201">
        <v>75.099999999999994</v>
      </c>
      <c r="N1201">
        <v>0.81</v>
      </c>
      <c r="O1201">
        <v>51</v>
      </c>
      <c r="P1201">
        <v>-3.6</v>
      </c>
      <c r="Q1201">
        <v>3.5</v>
      </c>
      <c r="R1201">
        <v>0</v>
      </c>
      <c r="S1201">
        <v>10308</v>
      </c>
      <c r="T1201">
        <v>1</v>
      </c>
    </row>
    <row r="1202" spans="1:20" x14ac:dyDescent="0.25">
      <c r="A1202" s="106" t="s">
        <v>126</v>
      </c>
      <c r="B1202" s="10">
        <v>46163</v>
      </c>
      <c r="C1202" t="s">
        <v>97</v>
      </c>
      <c r="D1202" t="s">
        <v>98</v>
      </c>
      <c r="E1202" t="s">
        <v>99</v>
      </c>
      <c r="F1202">
        <v>55.8</v>
      </c>
      <c r="G1202">
        <v>55.8</v>
      </c>
      <c r="H1202">
        <v>54.9</v>
      </c>
      <c r="I1202">
        <v>42.3</v>
      </c>
      <c r="J1202">
        <v>6.5</v>
      </c>
      <c r="K1202">
        <v>50.5</v>
      </c>
      <c r="L1202">
        <v>6.6</v>
      </c>
      <c r="M1202">
        <v>76.2</v>
      </c>
      <c r="N1202">
        <v>0.72</v>
      </c>
      <c r="O1202">
        <v>52.9</v>
      </c>
      <c r="P1202">
        <v>-4.9000000000000004</v>
      </c>
      <c r="Q1202">
        <v>2.6</v>
      </c>
      <c r="R1202">
        <v>0</v>
      </c>
      <c r="S1202">
        <v>9374</v>
      </c>
      <c r="T1202">
        <v>1.3</v>
      </c>
    </row>
    <row r="1203" spans="1:20" x14ac:dyDescent="0.25">
      <c r="A1203" s="106" t="s">
        <v>126</v>
      </c>
      <c r="B1203" s="10">
        <v>46163</v>
      </c>
      <c r="C1203" t="s">
        <v>97</v>
      </c>
      <c r="D1203" t="s">
        <v>98</v>
      </c>
      <c r="E1203" t="s">
        <v>99</v>
      </c>
      <c r="F1203">
        <v>68.900000000000006</v>
      </c>
      <c r="G1203">
        <v>70</v>
      </c>
      <c r="H1203">
        <v>62.7</v>
      </c>
      <c r="I1203">
        <v>37.4</v>
      </c>
      <c r="J1203">
        <v>-0.4</v>
      </c>
      <c r="K1203">
        <v>55.6</v>
      </c>
      <c r="L1203">
        <v>-0.5</v>
      </c>
      <c r="M1203">
        <v>78.900000000000006</v>
      </c>
      <c r="N1203">
        <v>0.79</v>
      </c>
      <c r="O1203">
        <v>50.8</v>
      </c>
      <c r="P1203">
        <v>-3.3</v>
      </c>
      <c r="Q1203">
        <v>0.6</v>
      </c>
      <c r="R1203">
        <v>0</v>
      </c>
      <c r="S1203">
        <v>10338</v>
      </c>
      <c r="T1203">
        <v>-0.4</v>
      </c>
    </row>
    <row r="1204" spans="1:20" x14ac:dyDescent="0.25">
      <c r="A1204" s="106" t="s">
        <v>126</v>
      </c>
      <c r="B1204" s="10">
        <v>46163</v>
      </c>
      <c r="C1204" t="s">
        <v>97</v>
      </c>
      <c r="D1204" t="s">
        <v>98</v>
      </c>
      <c r="E1204" t="s">
        <v>99</v>
      </c>
      <c r="F1204">
        <v>66.7</v>
      </c>
      <c r="G1204">
        <v>68.900000000000006</v>
      </c>
      <c r="H1204">
        <v>61.7</v>
      </c>
      <c r="I1204">
        <v>35.799999999999997</v>
      </c>
      <c r="J1204">
        <v>3.3</v>
      </c>
      <c r="K1204">
        <v>50.7</v>
      </c>
      <c r="L1204">
        <v>3.2</v>
      </c>
      <c r="M1204">
        <v>75.7</v>
      </c>
      <c r="N1204">
        <v>0.81</v>
      </c>
      <c r="O1204">
        <v>48.8</v>
      </c>
      <c r="P1204">
        <v>-4.8</v>
      </c>
      <c r="Q1204">
        <v>2.6</v>
      </c>
      <c r="R1204">
        <v>0</v>
      </c>
      <c r="S1204">
        <v>10801</v>
      </c>
      <c r="T1204">
        <v>-2.4</v>
      </c>
    </row>
    <row r="1205" spans="1:20" x14ac:dyDescent="0.25">
      <c r="A1205" s="106" t="s">
        <v>126</v>
      </c>
      <c r="B1205" s="10">
        <v>46163</v>
      </c>
      <c r="C1205" t="s">
        <v>97</v>
      </c>
      <c r="D1205" t="s">
        <v>98</v>
      </c>
      <c r="E1205" t="s">
        <v>99</v>
      </c>
      <c r="F1205">
        <v>65.599999999999994</v>
      </c>
      <c r="G1205">
        <v>67.8</v>
      </c>
      <c r="H1205">
        <v>60.5</v>
      </c>
      <c r="I1205">
        <v>36.5</v>
      </c>
      <c r="J1205">
        <v>0.7</v>
      </c>
      <c r="K1205">
        <v>50.1</v>
      </c>
      <c r="L1205">
        <v>0.3</v>
      </c>
      <c r="M1205">
        <v>77.400000000000006</v>
      </c>
      <c r="N1205">
        <v>0.78</v>
      </c>
      <c r="O1205">
        <v>49.1</v>
      </c>
      <c r="P1205">
        <v>-6</v>
      </c>
      <c r="Q1205">
        <v>0.7</v>
      </c>
      <c r="R1205">
        <v>0</v>
      </c>
      <c r="S1205">
        <v>10613</v>
      </c>
      <c r="T1205">
        <v>-2</v>
      </c>
    </row>
    <row r="1206" spans="1:20" x14ac:dyDescent="0.25">
      <c r="A1206" s="106" t="s">
        <v>126</v>
      </c>
      <c r="B1206" s="10">
        <v>46163</v>
      </c>
      <c r="C1206" t="s">
        <v>97</v>
      </c>
      <c r="D1206" t="s">
        <v>98</v>
      </c>
      <c r="E1206" t="s">
        <v>99</v>
      </c>
      <c r="F1206">
        <v>60.2</v>
      </c>
      <c r="G1206">
        <v>62.4</v>
      </c>
      <c r="H1206">
        <v>58</v>
      </c>
      <c r="I1206">
        <v>41</v>
      </c>
      <c r="J1206">
        <v>3.7</v>
      </c>
      <c r="K1206">
        <v>53.5</v>
      </c>
      <c r="L1206">
        <v>3.4</v>
      </c>
      <c r="M1206">
        <v>78.5</v>
      </c>
      <c r="N1206">
        <v>0.74</v>
      </c>
      <c r="O1206">
        <v>52.1</v>
      </c>
      <c r="P1206">
        <v>2.2000000000000002</v>
      </c>
      <c r="Q1206">
        <v>2.1</v>
      </c>
      <c r="R1206">
        <v>0</v>
      </c>
      <c r="S1206">
        <v>7599</v>
      </c>
      <c r="T1206">
        <v>-2.2999999999999998</v>
      </c>
    </row>
    <row r="1207" spans="1:20" x14ac:dyDescent="0.25">
      <c r="A1207" s="106" t="s">
        <v>126</v>
      </c>
      <c r="B1207" s="10">
        <v>46163</v>
      </c>
      <c r="C1207" t="s">
        <v>97</v>
      </c>
      <c r="D1207" t="s">
        <v>98</v>
      </c>
      <c r="E1207" t="s">
        <v>99</v>
      </c>
      <c r="F1207">
        <v>86.4</v>
      </c>
      <c r="G1207">
        <v>90.8</v>
      </c>
      <c r="H1207">
        <v>73.8</v>
      </c>
      <c r="I1207">
        <v>26.7</v>
      </c>
      <c r="J1207">
        <v>-0.1</v>
      </c>
      <c r="K1207">
        <v>50</v>
      </c>
      <c r="L1207">
        <v>2.4</v>
      </c>
      <c r="M1207">
        <v>81.2</v>
      </c>
      <c r="N1207">
        <v>0.91</v>
      </c>
      <c r="O1207">
        <v>43.2</v>
      </c>
      <c r="P1207">
        <v>-5.6</v>
      </c>
      <c r="Q1207">
        <v>-0.4</v>
      </c>
      <c r="R1207">
        <v>0</v>
      </c>
      <c r="S1207">
        <v>11316</v>
      </c>
      <c r="T1207">
        <v>5.0999999999999996</v>
      </c>
    </row>
    <row r="1208" spans="1:20" x14ac:dyDescent="0.25">
      <c r="A1208" s="106" t="s">
        <v>126</v>
      </c>
      <c r="B1208" s="10">
        <v>46163</v>
      </c>
      <c r="C1208" t="s">
        <v>97</v>
      </c>
      <c r="D1208" t="s">
        <v>98</v>
      </c>
      <c r="E1208" t="s">
        <v>99</v>
      </c>
      <c r="F1208">
        <v>76.599999999999994</v>
      </c>
      <c r="G1208">
        <v>78.8</v>
      </c>
      <c r="H1208">
        <v>67.5</v>
      </c>
      <c r="I1208">
        <v>34.1</v>
      </c>
      <c r="J1208">
        <v>-0.7</v>
      </c>
      <c r="K1208">
        <v>57.3</v>
      </c>
      <c r="L1208">
        <v>-1</v>
      </c>
      <c r="M1208">
        <v>80.099999999999994</v>
      </c>
      <c r="N1208">
        <v>0.84</v>
      </c>
      <c r="O1208">
        <v>49.2</v>
      </c>
      <c r="P1208">
        <v>-5.5</v>
      </c>
      <c r="Q1208">
        <v>0.2</v>
      </c>
      <c r="R1208">
        <v>0</v>
      </c>
      <c r="S1208">
        <v>10948</v>
      </c>
      <c r="T1208">
        <v>-0.2</v>
      </c>
    </row>
    <row r="1209" spans="1:20" x14ac:dyDescent="0.25">
      <c r="A1209" s="106" t="s">
        <v>126</v>
      </c>
      <c r="B1209" s="10">
        <v>46163</v>
      </c>
      <c r="C1209" t="s">
        <v>100</v>
      </c>
      <c r="D1209" t="s">
        <v>98</v>
      </c>
      <c r="E1209" t="s">
        <v>99</v>
      </c>
      <c r="F1209">
        <v>77.7</v>
      </c>
      <c r="G1209">
        <v>78.8</v>
      </c>
      <c r="H1209">
        <v>69</v>
      </c>
      <c r="I1209">
        <v>37.4</v>
      </c>
      <c r="J1209">
        <v>-0.5</v>
      </c>
      <c r="K1209">
        <v>67.3</v>
      </c>
      <c r="L1209">
        <v>-1.1000000000000001</v>
      </c>
      <c r="M1209">
        <v>81.2</v>
      </c>
      <c r="N1209">
        <v>0.85</v>
      </c>
      <c r="O1209">
        <v>52.8</v>
      </c>
      <c r="P1209">
        <v>-3.1</v>
      </c>
      <c r="Q1209">
        <v>0.5</v>
      </c>
      <c r="R1209">
        <v>0</v>
      </c>
      <c r="S1209">
        <v>9758</v>
      </c>
      <c r="T1209">
        <v>-1.2</v>
      </c>
    </row>
    <row r="1210" spans="1:20" x14ac:dyDescent="0.25">
      <c r="A1210" s="106" t="s">
        <v>126</v>
      </c>
      <c r="B1210" s="10">
        <v>46163</v>
      </c>
      <c r="C1210" t="s">
        <v>100</v>
      </c>
      <c r="D1210" t="s">
        <v>98</v>
      </c>
      <c r="E1210" t="s">
        <v>99</v>
      </c>
      <c r="F1210">
        <v>74.400000000000006</v>
      </c>
      <c r="G1210">
        <v>76.599999999999994</v>
      </c>
      <c r="H1210">
        <v>66.3</v>
      </c>
      <c r="I1210">
        <v>32.5</v>
      </c>
      <c r="J1210">
        <v>-0.9</v>
      </c>
      <c r="K1210">
        <v>51.6</v>
      </c>
      <c r="L1210">
        <v>-0.3</v>
      </c>
      <c r="M1210">
        <v>82.4</v>
      </c>
      <c r="N1210">
        <v>0.81</v>
      </c>
      <c r="O1210">
        <v>47.1</v>
      </c>
      <c r="P1210">
        <v>-1</v>
      </c>
      <c r="Q1210">
        <v>-1</v>
      </c>
      <c r="R1210">
        <v>5</v>
      </c>
      <c r="S1210">
        <v>11799</v>
      </c>
      <c r="T1210">
        <v>2</v>
      </c>
    </row>
    <row r="1211" spans="1:20" x14ac:dyDescent="0.25">
      <c r="A1211" s="106" t="s">
        <v>126</v>
      </c>
      <c r="B1211" s="10">
        <v>46163</v>
      </c>
      <c r="C1211" t="s">
        <v>100</v>
      </c>
      <c r="D1211" t="s">
        <v>98</v>
      </c>
      <c r="E1211" t="s">
        <v>99</v>
      </c>
      <c r="F1211">
        <v>75.5</v>
      </c>
      <c r="G1211">
        <v>78.8</v>
      </c>
      <c r="H1211">
        <v>66.3</v>
      </c>
      <c r="I1211">
        <v>33.1</v>
      </c>
      <c r="J1211">
        <v>-3</v>
      </c>
      <c r="K1211">
        <v>53</v>
      </c>
      <c r="L1211">
        <v>-5.9</v>
      </c>
      <c r="M1211">
        <v>79.599999999999994</v>
      </c>
      <c r="N1211">
        <v>0.83</v>
      </c>
      <c r="O1211">
        <v>47.1</v>
      </c>
      <c r="P1211">
        <v>-2.1</v>
      </c>
      <c r="Q1211">
        <v>2</v>
      </c>
      <c r="R1211">
        <v>0</v>
      </c>
      <c r="S1211">
        <v>8021</v>
      </c>
      <c r="T1211">
        <v>-5.9</v>
      </c>
    </row>
    <row r="1212" spans="1:20" x14ac:dyDescent="0.25">
      <c r="A1212" s="106" t="s">
        <v>126</v>
      </c>
      <c r="B1212" s="10">
        <v>46163</v>
      </c>
      <c r="C1212" t="s">
        <v>100</v>
      </c>
      <c r="D1212" t="s">
        <v>98</v>
      </c>
      <c r="E1212" t="s">
        <v>99</v>
      </c>
      <c r="F1212">
        <v>90.8</v>
      </c>
      <c r="G1212">
        <v>90.8</v>
      </c>
      <c r="H1212">
        <v>76.599999999999994</v>
      </c>
      <c r="I1212">
        <v>34.6</v>
      </c>
      <c r="J1212">
        <v>-1.6</v>
      </c>
      <c r="K1212">
        <v>75.7</v>
      </c>
      <c r="L1212">
        <v>-4.3</v>
      </c>
      <c r="M1212">
        <v>82.4</v>
      </c>
      <c r="N1212">
        <v>0.93</v>
      </c>
      <c r="O1212">
        <v>52.9</v>
      </c>
      <c r="P1212">
        <v>-3.4</v>
      </c>
      <c r="Q1212">
        <v>1.9</v>
      </c>
      <c r="R1212">
        <v>0</v>
      </c>
      <c r="S1212">
        <v>10592</v>
      </c>
      <c r="T1212">
        <v>-3.6</v>
      </c>
    </row>
    <row r="1213" spans="1:20" x14ac:dyDescent="0.25">
      <c r="A1213" s="106" t="s">
        <v>126</v>
      </c>
      <c r="B1213" s="10">
        <v>46163</v>
      </c>
      <c r="C1213" t="s">
        <v>100</v>
      </c>
      <c r="D1213" t="s">
        <v>98</v>
      </c>
      <c r="E1213" t="s">
        <v>99</v>
      </c>
      <c r="F1213">
        <v>71.099999999999994</v>
      </c>
      <c r="G1213">
        <v>73.3</v>
      </c>
      <c r="H1213">
        <v>64.099999999999994</v>
      </c>
      <c r="I1213">
        <v>35.9</v>
      </c>
      <c r="J1213">
        <v>1.2</v>
      </c>
      <c r="K1213">
        <v>55.2</v>
      </c>
      <c r="L1213">
        <v>2.2000000000000002</v>
      </c>
      <c r="M1213">
        <v>80.7</v>
      </c>
      <c r="N1213">
        <v>0.79</v>
      </c>
      <c r="O1213">
        <v>49.7</v>
      </c>
      <c r="P1213">
        <v>-2.7</v>
      </c>
      <c r="Q1213">
        <v>0.9</v>
      </c>
      <c r="R1213">
        <v>0</v>
      </c>
      <c r="S1213">
        <v>9930</v>
      </c>
      <c r="T1213">
        <v>1.9</v>
      </c>
    </row>
    <row r="1214" spans="1:20" x14ac:dyDescent="0.25">
      <c r="A1214" s="106" t="s">
        <v>126</v>
      </c>
      <c r="B1214" s="10">
        <v>46163</v>
      </c>
      <c r="C1214" t="s">
        <v>100</v>
      </c>
      <c r="D1214" t="s">
        <v>98</v>
      </c>
      <c r="E1214" t="s">
        <v>99</v>
      </c>
      <c r="F1214">
        <v>81</v>
      </c>
      <c r="G1214">
        <v>83.1</v>
      </c>
      <c r="H1214">
        <v>69.7</v>
      </c>
      <c r="I1214">
        <v>36.700000000000003</v>
      </c>
      <c r="J1214">
        <v>-0.9</v>
      </c>
      <c r="K1214">
        <v>66.900000000000006</v>
      </c>
      <c r="L1214">
        <v>-5</v>
      </c>
      <c r="M1214">
        <v>82.8</v>
      </c>
      <c r="N1214">
        <v>0.84</v>
      </c>
      <c r="O1214">
        <v>51.5</v>
      </c>
      <c r="P1214">
        <v>1.1000000000000001</v>
      </c>
      <c r="Q1214">
        <v>1.8</v>
      </c>
      <c r="R1214">
        <v>0</v>
      </c>
      <c r="S1214">
        <v>6455</v>
      </c>
      <c r="T1214">
        <v>-9.5</v>
      </c>
    </row>
    <row r="1215" spans="1:20" x14ac:dyDescent="0.25">
      <c r="A1215" s="106" t="s">
        <v>126</v>
      </c>
      <c r="B1215" s="10">
        <v>46163</v>
      </c>
      <c r="C1215" t="s">
        <v>100</v>
      </c>
      <c r="D1215" t="s">
        <v>98</v>
      </c>
      <c r="E1215" t="s">
        <v>99</v>
      </c>
      <c r="F1215">
        <v>81</v>
      </c>
      <c r="G1215">
        <v>84.2</v>
      </c>
      <c r="H1215">
        <v>70.2</v>
      </c>
      <c r="I1215">
        <v>28.8</v>
      </c>
      <c r="J1215">
        <v>1.2</v>
      </c>
      <c r="K1215">
        <v>49.4</v>
      </c>
      <c r="L1215">
        <v>3.2</v>
      </c>
      <c r="M1215">
        <v>84</v>
      </c>
      <c r="N1215">
        <v>0.84</v>
      </c>
      <c r="O1215">
        <v>44.3</v>
      </c>
      <c r="P1215">
        <v>-7.6</v>
      </c>
      <c r="Q1215">
        <v>-0.4</v>
      </c>
      <c r="R1215">
        <v>0</v>
      </c>
      <c r="S1215">
        <v>11861</v>
      </c>
      <c r="T1215">
        <v>3.6</v>
      </c>
    </row>
    <row r="1216" spans="1:20" x14ac:dyDescent="0.25">
      <c r="A1216" s="106" t="s">
        <v>126</v>
      </c>
      <c r="B1216" s="10">
        <v>46163</v>
      </c>
      <c r="C1216" t="s">
        <v>100</v>
      </c>
      <c r="D1216" t="s">
        <v>98</v>
      </c>
      <c r="E1216" t="s">
        <v>99</v>
      </c>
      <c r="F1216">
        <v>81</v>
      </c>
      <c r="G1216">
        <v>81</v>
      </c>
      <c r="H1216">
        <v>70.2</v>
      </c>
      <c r="I1216">
        <v>34.299999999999997</v>
      </c>
      <c r="J1216">
        <v>1.5</v>
      </c>
      <c r="K1216">
        <v>62.4</v>
      </c>
      <c r="L1216">
        <v>3.2</v>
      </c>
      <c r="M1216">
        <v>81.8</v>
      </c>
      <c r="N1216">
        <v>0.86</v>
      </c>
      <c r="O1216">
        <v>50.6</v>
      </c>
      <c r="P1216">
        <v>-5.7</v>
      </c>
      <c r="Q1216">
        <v>-0.7</v>
      </c>
      <c r="R1216">
        <v>0</v>
      </c>
      <c r="S1216">
        <v>11963</v>
      </c>
      <c r="T1216">
        <v>2.4</v>
      </c>
    </row>
    <row r="1217" spans="1:20" x14ac:dyDescent="0.25">
      <c r="A1217" s="106" t="s">
        <v>126</v>
      </c>
      <c r="B1217" s="10">
        <v>46163</v>
      </c>
      <c r="C1217" t="s">
        <v>100</v>
      </c>
      <c r="D1217" t="s">
        <v>98</v>
      </c>
      <c r="E1217" t="s">
        <v>99</v>
      </c>
      <c r="F1217">
        <v>74.400000000000006</v>
      </c>
      <c r="G1217">
        <v>75.5</v>
      </c>
      <c r="H1217">
        <v>66.599999999999994</v>
      </c>
      <c r="I1217">
        <v>35.5</v>
      </c>
      <c r="J1217">
        <v>1.5</v>
      </c>
      <c r="K1217">
        <v>58.7</v>
      </c>
      <c r="L1217">
        <v>2.7</v>
      </c>
      <c r="M1217">
        <v>84.6</v>
      </c>
      <c r="N1217">
        <v>0.79</v>
      </c>
      <c r="O1217">
        <v>50.5</v>
      </c>
      <c r="P1217">
        <v>-4.9000000000000004</v>
      </c>
      <c r="Q1217">
        <v>0.1</v>
      </c>
      <c r="R1217">
        <v>0</v>
      </c>
      <c r="S1217">
        <v>11535</v>
      </c>
      <c r="T1217">
        <v>1.7</v>
      </c>
    </row>
    <row r="1218" spans="1:20" x14ac:dyDescent="0.25">
      <c r="A1218" s="106" t="s">
        <v>126</v>
      </c>
      <c r="B1218" s="10">
        <v>46163</v>
      </c>
      <c r="C1218" t="s">
        <v>100</v>
      </c>
      <c r="D1218" t="s">
        <v>98</v>
      </c>
      <c r="E1218" t="s">
        <v>99</v>
      </c>
      <c r="F1218">
        <v>101.7</v>
      </c>
      <c r="G1218">
        <v>108.3</v>
      </c>
      <c r="H1218">
        <v>83.5</v>
      </c>
      <c r="I1218">
        <v>20.5</v>
      </c>
      <c r="J1218">
        <v>-5.2</v>
      </c>
      <c r="K1218">
        <v>47.5</v>
      </c>
      <c r="L1218">
        <v>-8.8000000000000007</v>
      </c>
      <c r="M1218">
        <v>81.8</v>
      </c>
      <c r="N1218">
        <v>1.02</v>
      </c>
      <c r="O1218">
        <v>38.700000000000003</v>
      </c>
      <c r="P1218">
        <v>-6.7</v>
      </c>
      <c r="Q1218">
        <v>-1.6</v>
      </c>
      <c r="R1218">
        <v>0</v>
      </c>
      <c r="S1218">
        <v>9402</v>
      </c>
      <c r="T1218">
        <v>0.4</v>
      </c>
    </row>
    <row r="1219" spans="1:20" x14ac:dyDescent="0.25">
      <c r="A1219" s="106" t="s">
        <v>126</v>
      </c>
      <c r="B1219" s="10">
        <v>46163</v>
      </c>
      <c r="C1219" t="s">
        <v>100</v>
      </c>
      <c r="D1219" t="s">
        <v>98</v>
      </c>
      <c r="E1219" t="s">
        <v>99</v>
      </c>
      <c r="F1219">
        <v>74.400000000000006</v>
      </c>
      <c r="G1219">
        <v>76.599999999999994</v>
      </c>
      <c r="H1219">
        <v>66.5</v>
      </c>
      <c r="I1219">
        <v>36</v>
      </c>
      <c r="J1219">
        <v>-0.8</v>
      </c>
      <c r="K1219">
        <v>59.6</v>
      </c>
      <c r="L1219">
        <v>0</v>
      </c>
      <c r="M1219">
        <v>80.7</v>
      </c>
      <c r="N1219">
        <v>0.82</v>
      </c>
      <c r="O1219">
        <v>50.6</v>
      </c>
      <c r="P1219">
        <v>-2.6</v>
      </c>
      <c r="Q1219">
        <v>-2.2999999999999998</v>
      </c>
      <c r="R1219">
        <v>0</v>
      </c>
      <c r="S1219">
        <v>10273</v>
      </c>
      <c r="T1219">
        <v>2.2000000000000002</v>
      </c>
    </row>
    <row r="1220" spans="1:20" x14ac:dyDescent="0.25">
      <c r="A1220" s="106" t="s">
        <v>126</v>
      </c>
      <c r="B1220" s="10">
        <v>46163</v>
      </c>
      <c r="C1220" t="s">
        <v>100</v>
      </c>
      <c r="D1220" t="s">
        <v>98</v>
      </c>
      <c r="E1220" t="s">
        <v>99</v>
      </c>
      <c r="F1220">
        <v>93</v>
      </c>
      <c r="G1220">
        <v>94.1</v>
      </c>
      <c r="H1220">
        <v>77.599999999999994</v>
      </c>
      <c r="I1220">
        <v>31.1</v>
      </c>
      <c r="J1220">
        <v>-0.8</v>
      </c>
      <c r="K1220">
        <v>67.900000000000006</v>
      </c>
      <c r="L1220">
        <v>-3.4</v>
      </c>
      <c r="M1220">
        <v>82.4</v>
      </c>
      <c r="N1220">
        <v>0.94</v>
      </c>
      <c r="O1220">
        <v>49.8</v>
      </c>
      <c r="P1220">
        <v>-4.4000000000000004</v>
      </c>
      <c r="Q1220">
        <v>2.7</v>
      </c>
      <c r="R1220">
        <v>0</v>
      </c>
      <c r="S1220">
        <v>11430</v>
      </c>
      <c r="T1220">
        <v>-4.0999999999999996</v>
      </c>
    </row>
    <row r="1221" spans="1:20" x14ac:dyDescent="0.25">
      <c r="A1221" s="106" t="s">
        <v>126</v>
      </c>
      <c r="B1221" s="10">
        <v>46163</v>
      </c>
      <c r="C1221" t="s">
        <v>100</v>
      </c>
      <c r="D1221" t="s">
        <v>98</v>
      </c>
      <c r="E1221" t="s">
        <v>99</v>
      </c>
      <c r="F1221">
        <v>73.3</v>
      </c>
      <c r="G1221">
        <v>74.400000000000006</v>
      </c>
      <c r="H1221">
        <v>66.2</v>
      </c>
      <c r="I1221">
        <v>36.1</v>
      </c>
      <c r="J1221">
        <v>3.5</v>
      </c>
      <c r="K1221">
        <v>59.1</v>
      </c>
      <c r="L1221">
        <v>5.8</v>
      </c>
      <c r="M1221">
        <v>81.2</v>
      </c>
      <c r="N1221">
        <v>0.81</v>
      </c>
      <c r="O1221">
        <v>50.9</v>
      </c>
      <c r="P1221">
        <v>-5.6</v>
      </c>
      <c r="Q1221">
        <v>-0.5</v>
      </c>
      <c r="R1221">
        <v>0</v>
      </c>
      <c r="S1221">
        <v>11675</v>
      </c>
      <c r="T1221">
        <v>3.2</v>
      </c>
    </row>
    <row r="1222" spans="1:20" x14ac:dyDescent="0.25">
      <c r="A1222" s="106" t="s">
        <v>126</v>
      </c>
      <c r="B1222" s="10">
        <v>46163</v>
      </c>
      <c r="C1222" t="s">
        <v>100</v>
      </c>
      <c r="D1222" t="s">
        <v>98</v>
      </c>
      <c r="E1222" t="s">
        <v>99</v>
      </c>
      <c r="F1222">
        <v>82.1</v>
      </c>
      <c r="G1222">
        <v>85.3</v>
      </c>
      <c r="H1222">
        <v>70.599999999999994</v>
      </c>
      <c r="I1222">
        <v>30.7</v>
      </c>
      <c r="J1222">
        <v>-4.4000000000000004</v>
      </c>
      <c r="K1222">
        <v>55</v>
      </c>
      <c r="L1222">
        <v>-6.5</v>
      </c>
      <c r="M1222">
        <v>81.8</v>
      </c>
      <c r="N1222">
        <v>0.86</v>
      </c>
      <c r="O1222">
        <v>46.5</v>
      </c>
      <c r="P1222">
        <v>-4.0999999999999996</v>
      </c>
      <c r="Q1222">
        <v>-1.5</v>
      </c>
      <c r="R1222">
        <v>0</v>
      </c>
      <c r="S1222">
        <v>9953</v>
      </c>
      <c r="T1222">
        <v>-0.6</v>
      </c>
    </row>
    <row r="1223" spans="1:20" x14ac:dyDescent="0.25">
      <c r="A1223" s="106" t="s">
        <v>126</v>
      </c>
      <c r="B1223" s="10">
        <v>46163</v>
      </c>
      <c r="C1223" t="s">
        <v>100</v>
      </c>
      <c r="D1223" t="s">
        <v>98</v>
      </c>
      <c r="E1223" t="s">
        <v>99</v>
      </c>
      <c r="F1223">
        <v>77.7</v>
      </c>
      <c r="G1223">
        <v>78.8</v>
      </c>
      <c r="H1223">
        <v>68.2</v>
      </c>
      <c r="I1223">
        <v>34.200000000000003</v>
      </c>
      <c r="J1223">
        <v>6.1</v>
      </c>
      <c r="K1223">
        <v>58.6</v>
      </c>
      <c r="L1223">
        <v>9.6999999999999993</v>
      </c>
      <c r="M1223">
        <v>80.7</v>
      </c>
      <c r="N1223">
        <v>0.84</v>
      </c>
      <c r="O1223">
        <v>49.7</v>
      </c>
      <c r="P1223">
        <v>-2.4</v>
      </c>
      <c r="Q1223">
        <v>1.9</v>
      </c>
      <c r="R1223">
        <v>0</v>
      </c>
      <c r="S1223">
        <v>11644</v>
      </c>
      <c r="T1223">
        <v>3.5</v>
      </c>
    </row>
    <row r="1224" spans="1:20" x14ac:dyDescent="0.25">
      <c r="A1224" s="106" t="s">
        <v>126</v>
      </c>
      <c r="B1224" s="10">
        <v>46163</v>
      </c>
      <c r="C1224" t="s">
        <v>100</v>
      </c>
      <c r="D1224" t="s">
        <v>98</v>
      </c>
      <c r="E1224" t="s">
        <v>99</v>
      </c>
      <c r="F1224">
        <v>62.4</v>
      </c>
      <c r="G1224">
        <v>78.8</v>
      </c>
      <c r="H1224">
        <v>84.6</v>
      </c>
      <c r="I1224">
        <v>9.9</v>
      </c>
      <c r="J1224">
        <v>18.399999999999999</v>
      </c>
      <c r="K1224">
        <v>10.3</v>
      </c>
      <c r="L1224">
        <v>29.3</v>
      </c>
      <c r="M1224">
        <v>81.8</v>
      </c>
      <c r="N1224">
        <v>1.03</v>
      </c>
      <c r="O1224">
        <v>14.9</v>
      </c>
      <c r="P1224">
        <v>-6</v>
      </c>
      <c r="Q1224">
        <v>1.6</v>
      </c>
      <c r="R1224">
        <v>0</v>
      </c>
      <c r="S1224">
        <v>9218</v>
      </c>
      <c r="T1224">
        <v>58.9</v>
      </c>
    </row>
    <row r="1225" spans="1:20" x14ac:dyDescent="0.25">
      <c r="A1225" s="106" t="s">
        <v>126</v>
      </c>
      <c r="B1225" s="10">
        <v>46163</v>
      </c>
      <c r="C1225" t="s">
        <v>100</v>
      </c>
      <c r="D1225" t="s">
        <v>98</v>
      </c>
      <c r="E1225" t="s">
        <v>99</v>
      </c>
      <c r="F1225">
        <v>74.400000000000006</v>
      </c>
      <c r="G1225">
        <v>76.599999999999994</v>
      </c>
      <c r="H1225">
        <v>66.599999999999994</v>
      </c>
      <c r="I1225">
        <v>33.6</v>
      </c>
      <c r="J1225">
        <v>2.9</v>
      </c>
      <c r="K1225">
        <v>54.4</v>
      </c>
      <c r="L1225">
        <v>4.5999999999999996</v>
      </c>
      <c r="M1225">
        <v>81.2</v>
      </c>
      <c r="N1225">
        <v>0.82</v>
      </c>
      <c r="O1225">
        <v>48.4</v>
      </c>
      <c r="P1225">
        <v>-4</v>
      </c>
      <c r="Q1225">
        <v>-0.6</v>
      </c>
      <c r="R1225">
        <v>0</v>
      </c>
      <c r="S1225">
        <v>11790</v>
      </c>
      <c r="T1225">
        <v>1.8</v>
      </c>
    </row>
    <row r="1226" spans="1:20" x14ac:dyDescent="0.25">
      <c r="A1226" s="106" t="s">
        <v>126</v>
      </c>
      <c r="B1226" s="10">
        <v>46163</v>
      </c>
      <c r="C1226" t="s">
        <v>100</v>
      </c>
      <c r="D1226" t="s">
        <v>98</v>
      </c>
      <c r="E1226" t="s">
        <v>99</v>
      </c>
      <c r="F1226">
        <v>76.599999999999994</v>
      </c>
      <c r="G1226">
        <v>79.900000000000006</v>
      </c>
      <c r="H1226">
        <v>67.5</v>
      </c>
      <c r="I1226">
        <v>35.6</v>
      </c>
      <c r="J1226">
        <v>-1</v>
      </c>
      <c r="K1226">
        <v>60</v>
      </c>
      <c r="L1226">
        <v>-5.8</v>
      </c>
      <c r="M1226">
        <v>77.400000000000006</v>
      </c>
      <c r="N1226">
        <v>0.87</v>
      </c>
      <c r="O1226">
        <v>49.8</v>
      </c>
      <c r="P1226">
        <v>0</v>
      </c>
      <c r="Q1226">
        <v>4.5</v>
      </c>
      <c r="R1226">
        <v>0</v>
      </c>
      <c r="S1226">
        <v>7172</v>
      </c>
      <c r="T1226">
        <v>-12.5</v>
      </c>
    </row>
    <row r="1227" spans="1:20" x14ac:dyDescent="0.25">
      <c r="A1227" s="106" t="s">
        <v>126</v>
      </c>
      <c r="B1227" s="10">
        <v>46163</v>
      </c>
      <c r="C1227" t="s">
        <v>100</v>
      </c>
      <c r="D1227" t="s">
        <v>98</v>
      </c>
      <c r="E1227" t="s">
        <v>99</v>
      </c>
      <c r="F1227">
        <v>77.7</v>
      </c>
      <c r="G1227">
        <v>79.900000000000006</v>
      </c>
      <c r="H1227">
        <v>67.900000000000006</v>
      </c>
      <c r="I1227">
        <v>35.200000000000003</v>
      </c>
      <c r="J1227">
        <v>0.2</v>
      </c>
      <c r="K1227">
        <v>60.4</v>
      </c>
      <c r="L1227">
        <v>-1.3</v>
      </c>
      <c r="M1227">
        <v>79.599999999999994</v>
      </c>
      <c r="N1227">
        <v>0.85</v>
      </c>
      <c r="O1227">
        <v>49.9</v>
      </c>
      <c r="P1227">
        <v>-0.7</v>
      </c>
      <c r="Q1227">
        <v>3</v>
      </c>
      <c r="R1227">
        <v>0</v>
      </c>
      <c r="S1227">
        <v>8190</v>
      </c>
      <c r="T1227">
        <v>-4.4000000000000004</v>
      </c>
    </row>
    <row r="1228" spans="1:20" x14ac:dyDescent="0.25">
      <c r="A1228" s="106" t="s">
        <v>126</v>
      </c>
      <c r="B1228" s="10">
        <v>46163</v>
      </c>
      <c r="C1228" t="s">
        <v>101</v>
      </c>
      <c r="D1228" t="s">
        <v>102</v>
      </c>
      <c r="E1228" t="s">
        <v>103</v>
      </c>
      <c r="F1228">
        <v>100.6</v>
      </c>
      <c r="G1228">
        <v>100.6</v>
      </c>
      <c r="H1228">
        <v>83.7</v>
      </c>
      <c r="I1228">
        <v>35.299999999999997</v>
      </c>
      <c r="J1228">
        <v>1.5</v>
      </c>
      <c r="K1228">
        <v>92.4</v>
      </c>
      <c r="L1228">
        <v>2.1</v>
      </c>
      <c r="M1228">
        <v>83.5</v>
      </c>
      <c r="N1228">
        <v>1</v>
      </c>
      <c r="O1228">
        <v>55.6</v>
      </c>
      <c r="P1228">
        <v>-0.7</v>
      </c>
      <c r="Q1228">
        <v>1.3</v>
      </c>
      <c r="R1228">
        <v>0</v>
      </c>
      <c r="S1228">
        <v>9460</v>
      </c>
      <c r="T1228">
        <v>-1</v>
      </c>
    </row>
    <row r="1229" spans="1:20" x14ac:dyDescent="0.25">
      <c r="A1229" s="106" t="s">
        <v>126</v>
      </c>
      <c r="B1229" s="10">
        <v>46163</v>
      </c>
      <c r="C1229" t="s">
        <v>101</v>
      </c>
      <c r="D1229" t="s">
        <v>102</v>
      </c>
      <c r="E1229" t="s">
        <v>103</v>
      </c>
      <c r="F1229">
        <v>98.5</v>
      </c>
      <c r="G1229">
        <v>101.7</v>
      </c>
      <c r="H1229">
        <v>80.099999999999994</v>
      </c>
      <c r="I1229">
        <v>31.5</v>
      </c>
      <c r="J1229">
        <v>-2</v>
      </c>
      <c r="K1229">
        <v>74.099999999999994</v>
      </c>
      <c r="L1229">
        <v>-6.5</v>
      </c>
      <c r="M1229">
        <v>84.9</v>
      </c>
      <c r="N1229">
        <v>0.94</v>
      </c>
      <c r="O1229">
        <v>50.1</v>
      </c>
      <c r="P1229">
        <v>-0.3</v>
      </c>
      <c r="Q1229">
        <v>-0.5</v>
      </c>
      <c r="R1229">
        <v>0</v>
      </c>
      <c r="S1229">
        <v>7026</v>
      </c>
      <c r="T1229">
        <v>-5.3</v>
      </c>
    </row>
    <row r="1230" spans="1:20" x14ac:dyDescent="0.25">
      <c r="A1230" s="106" t="s">
        <v>126</v>
      </c>
      <c r="B1230" s="10">
        <v>46163</v>
      </c>
      <c r="C1230" t="s">
        <v>101</v>
      </c>
      <c r="D1230" t="s">
        <v>102</v>
      </c>
      <c r="E1230" t="s">
        <v>103</v>
      </c>
      <c r="F1230">
        <v>114.9</v>
      </c>
      <c r="G1230">
        <v>116</v>
      </c>
      <c r="H1230">
        <v>91.7</v>
      </c>
      <c r="I1230">
        <v>29.4</v>
      </c>
      <c r="J1230">
        <v>-2.2999999999999998</v>
      </c>
      <c r="K1230">
        <v>90.5</v>
      </c>
      <c r="L1230">
        <v>-10.1</v>
      </c>
      <c r="M1230">
        <v>85.1</v>
      </c>
      <c r="N1230">
        <v>1.08</v>
      </c>
      <c r="O1230">
        <v>52.8</v>
      </c>
      <c r="P1230">
        <v>-4.7</v>
      </c>
      <c r="Q1230">
        <v>0.9</v>
      </c>
      <c r="R1230">
        <v>0</v>
      </c>
      <c r="S1230">
        <v>10277</v>
      </c>
      <c r="T1230">
        <v>-6.7</v>
      </c>
    </row>
    <row r="1231" spans="1:20" x14ac:dyDescent="0.25">
      <c r="A1231" s="106" t="s">
        <v>126</v>
      </c>
      <c r="B1231" s="10">
        <v>46163</v>
      </c>
      <c r="C1231" t="s">
        <v>101</v>
      </c>
      <c r="D1231" t="s">
        <v>102</v>
      </c>
      <c r="E1231" t="s">
        <v>103</v>
      </c>
      <c r="F1231">
        <v>100.6</v>
      </c>
      <c r="G1231">
        <v>101.7</v>
      </c>
      <c r="H1231">
        <v>83.2</v>
      </c>
      <c r="I1231">
        <v>31.3</v>
      </c>
      <c r="J1231">
        <v>3.5</v>
      </c>
      <c r="K1231">
        <v>79.2</v>
      </c>
      <c r="L1231">
        <v>9</v>
      </c>
      <c r="M1231">
        <v>83.5</v>
      </c>
      <c r="N1231">
        <v>1</v>
      </c>
      <c r="O1231">
        <v>52.1</v>
      </c>
      <c r="P1231">
        <v>-3.8</v>
      </c>
      <c r="Q1231">
        <v>-0.1</v>
      </c>
      <c r="R1231">
        <v>0</v>
      </c>
      <c r="S1231">
        <v>11644</v>
      </c>
      <c r="T1231">
        <v>4.0999999999999996</v>
      </c>
    </row>
    <row r="1232" spans="1:20" x14ac:dyDescent="0.25">
      <c r="A1232" s="106" t="s">
        <v>126</v>
      </c>
      <c r="B1232" s="10">
        <v>46163</v>
      </c>
      <c r="C1232" t="s">
        <v>101</v>
      </c>
      <c r="D1232" t="s">
        <v>102</v>
      </c>
      <c r="E1232" t="s">
        <v>103</v>
      </c>
      <c r="F1232">
        <v>103.9</v>
      </c>
      <c r="G1232">
        <v>106.1</v>
      </c>
      <c r="H1232">
        <v>83.9</v>
      </c>
      <c r="I1232">
        <v>27.5</v>
      </c>
      <c r="J1232">
        <v>-0.7</v>
      </c>
      <c r="K1232">
        <v>69</v>
      </c>
      <c r="L1232">
        <v>0.4</v>
      </c>
      <c r="M1232">
        <v>83.5</v>
      </c>
      <c r="N1232">
        <v>1.01</v>
      </c>
      <c r="O1232">
        <v>48.1</v>
      </c>
      <c r="P1232">
        <v>-4.8</v>
      </c>
      <c r="Q1232">
        <v>-1.8</v>
      </c>
      <c r="R1232">
        <v>0</v>
      </c>
      <c r="S1232">
        <v>11367</v>
      </c>
      <c r="T1232">
        <v>2.2999999999999998</v>
      </c>
    </row>
    <row r="1233" spans="1:20" x14ac:dyDescent="0.25">
      <c r="A1233" s="106" t="s">
        <v>126</v>
      </c>
      <c r="B1233" s="10">
        <v>46163</v>
      </c>
      <c r="C1233" t="s">
        <v>101</v>
      </c>
      <c r="D1233" t="s">
        <v>102</v>
      </c>
      <c r="E1233" t="s">
        <v>103</v>
      </c>
      <c r="F1233">
        <v>100.6</v>
      </c>
      <c r="G1233">
        <v>103.9</v>
      </c>
      <c r="H1233">
        <v>81.5</v>
      </c>
      <c r="I1233">
        <v>28.9</v>
      </c>
      <c r="J1233">
        <v>-0.7</v>
      </c>
      <c r="K1233">
        <v>69.3</v>
      </c>
      <c r="L1233">
        <v>-1.2</v>
      </c>
      <c r="M1233">
        <v>84.6</v>
      </c>
      <c r="N1233">
        <v>0.96</v>
      </c>
      <c r="O1233">
        <v>48.5</v>
      </c>
      <c r="P1233">
        <v>-4.5999999999999996</v>
      </c>
      <c r="Q1233">
        <v>-0.9</v>
      </c>
      <c r="R1233">
        <v>0</v>
      </c>
      <c r="S1233">
        <v>9610</v>
      </c>
      <c r="T1233">
        <v>0</v>
      </c>
    </row>
    <row r="1234" spans="1:20" x14ac:dyDescent="0.25">
      <c r="A1234" s="106" t="s">
        <v>126</v>
      </c>
      <c r="B1234" s="10">
        <v>46163</v>
      </c>
      <c r="C1234" t="s">
        <v>101</v>
      </c>
      <c r="D1234" t="s">
        <v>102</v>
      </c>
      <c r="E1234" t="s">
        <v>103</v>
      </c>
      <c r="F1234">
        <v>101.7</v>
      </c>
      <c r="G1234">
        <v>101.7</v>
      </c>
      <c r="H1234">
        <v>83.9</v>
      </c>
      <c r="I1234">
        <v>31.9</v>
      </c>
      <c r="J1234">
        <v>2.8</v>
      </c>
      <c r="K1234">
        <v>82.7</v>
      </c>
      <c r="L1234">
        <v>6</v>
      </c>
      <c r="M1234">
        <v>85.1</v>
      </c>
      <c r="N1234">
        <v>0.99</v>
      </c>
      <c r="O1234">
        <v>53</v>
      </c>
      <c r="P1234">
        <v>-5.0999999999999996</v>
      </c>
      <c r="Q1234">
        <v>-0.2</v>
      </c>
      <c r="R1234">
        <v>0</v>
      </c>
      <c r="S1234">
        <v>11605</v>
      </c>
      <c r="T1234">
        <v>1.4</v>
      </c>
    </row>
    <row r="1235" spans="1:20" x14ac:dyDescent="0.25">
      <c r="A1235" s="106" t="s">
        <v>126</v>
      </c>
      <c r="B1235" s="10">
        <v>46163</v>
      </c>
      <c r="C1235" t="s">
        <v>101</v>
      </c>
      <c r="D1235" t="s">
        <v>102</v>
      </c>
      <c r="E1235" t="s">
        <v>103</v>
      </c>
      <c r="F1235">
        <v>100.6</v>
      </c>
      <c r="G1235">
        <v>102.8</v>
      </c>
      <c r="H1235">
        <v>81.400000000000006</v>
      </c>
      <c r="I1235">
        <v>28.6</v>
      </c>
      <c r="J1235">
        <v>-1</v>
      </c>
      <c r="K1235">
        <v>68.099999999999994</v>
      </c>
      <c r="L1235">
        <v>-4.2</v>
      </c>
      <c r="M1235">
        <v>84.4</v>
      </c>
      <c r="N1235">
        <v>0.96</v>
      </c>
      <c r="O1235">
        <v>48.1</v>
      </c>
      <c r="P1235">
        <v>-3.1</v>
      </c>
      <c r="Q1235">
        <v>1.3</v>
      </c>
      <c r="R1235">
        <v>0</v>
      </c>
      <c r="S1235">
        <v>9694</v>
      </c>
      <c r="T1235">
        <v>-4.3</v>
      </c>
    </row>
    <row r="1236" spans="1:20" x14ac:dyDescent="0.25">
      <c r="A1236" s="106" t="s">
        <v>126</v>
      </c>
      <c r="B1236" s="10">
        <v>46163</v>
      </c>
      <c r="C1236" t="s">
        <v>101</v>
      </c>
      <c r="D1236" t="s">
        <v>102</v>
      </c>
      <c r="E1236" t="s">
        <v>103</v>
      </c>
      <c r="F1236">
        <v>98.5</v>
      </c>
      <c r="G1236">
        <v>98.5</v>
      </c>
      <c r="H1236">
        <v>82.2</v>
      </c>
      <c r="I1236">
        <v>34.299999999999997</v>
      </c>
      <c r="J1236">
        <v>-1.3</v>
      </c>
      <c r="K1236">
        <v>86.5</v>
      </c>
      <c r="L1236">
        <v>-2.5</v>
      </c>
      <c r="M1236">
        <v>84</v>
      </c>
      <c r="N1236">
        <v>0.98</v>
      </c>
      <c r="O1236">
        <v>54.5</v>
      </c>
      <c r="P1236">
        <v>-4.0999999999999996</v>
      </c>
      <c r="Q1236">
        <v>-2.4</v>
      </c>
      <c r="R1236">
        <v>0</v>
      </c>
      <c r="S1236">
        <v>10321</v>
      </c>
      <c r="T1236">
        <v>-0.5</v>
      </c>
    </row>
    <row r="1237" spans="1:20" x14ac:dyDescent="0.25">
      <c r="A1237" s="106" t="s">
        <v>126</v>
      </c>
      <c r="B1237" s="10">
        <v>46163</v>
      </c>
      <c r="C1237" t="s">
        <v>101</v>
      </c>
      <c r="D1237" t="s">
        <v>102</v>
      </c>
      <c r="E1237" t="s">
        <v>103</v>
      </c>
      <c r="F1237">
        <v>96.3</v>
      </c>
      <c r="G1237">
        <v>100.6</v>
      </c>
      <c r="H1237">
        <v>78</v>
      </c>
      <c r="I1237">
        <v>28.3</v>
      </c>
      <c r="J1237">
        <v>-2.1</v>
      </c>
      <c r="K1237">
        <v>61.1</v>
      </c>
      <c r="L1237">
        <v>-9.5</v>
      </c>
      <c r="M1237">
        <v>84</v>
      </c>
      <c r="N1237">
        <v>0.93</v>
      </c>
      <c r="O1237">
        <v>45.8</v>
      </c>
      <c r="P1237">
        <v>-0.1</v>
      </c>
      <c r="Q1237">
        <v>2.1</v>
      </c>
      <c r="R1237">
        <v>0</v>
      </c>
      <c r="S1237">
        <v>6605</v>
      </c>
      <c r="T1237">
        <v>-11.2</v>
      </c>
    </row>
    <row r="1238" spans="1:20" x14ac:dyDescent="0.25">
      <c r="A1238" s="106" t="s">
        <v>126</v>
      </c>
      <c r="B1238" s="10">
        <v>46163</v>
      </c>
      <c r="C1238" t="s">
        <v>101</v>
      </c>
      <c r="D1238" t="s">
        <v>102</v>
      </c>
      <c r="E1238" t="s">
        <v>103</v>
      </c>
      <c r="F1238">
        <v>106.1</v>
      </c>
      <c r="G1238">
        <v>107.2</v>
      </c>
      <c r="H1238">
        <v>85.1</v>
      </c>
      <c r="I1238">
        <v>28.5</v>
      </c>
      <c r="J1238">
        <v>0.3</v>
      </c>
      <c r="K1238">
        <v>74.5</v>
      </c>
      <c r="L1238">
        <v>1.4</v>
      </c>
      <c r="M1238">
        <v>84.5</v>
      </c>
      <c r="N1238">
        <v>1.01</v>
      </c>
      <c r="O1238">
        <v>49.6</v>
      </c>
      <c r="P1238">
        <v>-4.3</v>
      </c>
      <c r="Q1238">
        <v>1.2</v>
      </c>
      <c r="R1238">
        <v>0</v>
      </c>
      <c r="S1238">
        <v>10976</v>
      </c>
      <c r="T1238">
        <v>1.1000000000000001</v>
      </c>
    </row>
    <row r="1239" spans="1:20" x14ac:dyDescent="0.25">
      <c r="A1239" s="106" t="s">
        <v>126</v>
      </c>
      <c r="B1239" s="10">
        <v>46163</v>
      </c>
      <c r="C1239" t="s">
        <v>101</v>
      </c>
      <c r="D1239" t="s">
        <v>102</v>
      </c>
      <c r="E1239" t="s">
        <v>103</v>
      </c>
      <c r="F1239">
        <v>116</v>
      </c>
      <c r="G1239">
        <v>117.1</v>
      </c>
      <c r="H1239">
        <v>92</v>
      </c>
      <c r="I1239">
        <v>28.1</v>
      </c>
      <c r="J1239">
        <v>-1.5</v>
      </c>
      <c r="K1239">
        <v>86.5</v>
      </c>
      <c r="L1239">
        <v>-2.9</v>
      </c>
      <c r="M1239">
        <v>86.7</v>
      </c>
      <c r="N1239">
        <v>1.06</v>
      </c>
      <c r="O1239">
        <v>51.7</v>
      </c>
      <c r="P1239">
        <v>-4.8</v>
      </c>
      <c r="Q1239">
        <v>-0.7</v>
      </c>
      <c r="R1239">
        <v>0</v>
      </c>
      <c r="S1239">
        <v>11009</v>
      </c>
      <c r="T1239">
        <v>0</v>
      </c>
    </row>
    <row r="1240" spans="1:20" x14ac:dyDescent="0.25">
      <c r="A1240" s="106" t="s">
        <v>126</v>
      </c>
      <c r="B1240" s="10">
        <v>46163</v>
      </c>
      <c r="C1240" t="s">
        <v>101</v>
      </c>
      <c r="D1240" t="s">
        <v>102</v>
      </c>
      <c r="E1240" t="s">
        <v>103</v>
      </c>
      <c r="F1240">
        <v>102.8</v>
      </c>
      <c r="G1240">
        <v>102.8</v>
      </c>
      <c r="H1240">
        <v>84.9</v>
      </c>
      <c r="I1240">
        <v>33.700000000000003</v>
      </c>
      <c r="J1240">
        <v>0.5</v>
      </c>
      <c r="K1240">
        <v>90.4</v>
      </c>
      <c r="L1240">
        <v>1</v>
      </c>
      <c r="M1240">
        <v>83.4</v>
      </c>
      <c r="N1240">
        <v>1.02</v>
      </c>
      <c r="O1240">
        <v>54.9</v>
      </c>
      <c r="P1240">
        <v>-3.1</v>
      </c>
      <c r="Q1240">
        <v>0.2</v>
      </c>
      <c r="R1240">
        <v>0</v>
      </c>
      <c r="S1240">
        <v>10724</v>
      </c>
      <c r="T1240">
        <v>0</v>
      </c>
    </row>
    <row r="1241" spans="1:20" x14ac:dyDescent="0.25">
      <c r="A1241" s="106" t="s">
        <v>126</v>
      </c>
      <c r="B1241" s="10">
        <v>46163</v>
      </c>
      <c r="C1241" t="s">
        <v>104</v>
      </c>
      <c r="D1241" t="s">
        <v>102</v>
      </c>
      <c r="E1241" t="s">
        <v>103</v>
      </c>
      <c r="F1241">
        <v>114.9</v>
      </c>
      <c r="G1241">
        <v>118.2</v>
      </c>
      <c r="H1241">
        <v>90.4</v>
      </c>
      <c r="I1241">
        <v>24.3</v>
      </c>
      <c r="J1241">
        <v>-1</v>
      </c>
      <c r="K1241">
        <v>70.8</v>
      </c>
      <c r="L1241">
        <v>-0.8</v>
      </c>
      <c r="M1241">
        <v>83.9</v>
      </c>
      <c r="N1241">
        <v>1.08</v>
      </c>
      <c r="O1241">
        <v>46.8</v>
      </c>
      <c r="P1241">
        <v>-6.2</v>
      </c>
      <c r="Q1241">
        <v>-1.1000000000000001</v>
      </c>
      <c r="R1241">
        <v>0</v>
      </c>
      <c r="S1241">
        <v>10166</v>
      </c>
      <c r="T1241">
        <v>1.3</v>
      </c>
    </row>
    <row r="1242" spans="1:20" x14ac:dyDescent="0.25">
      <c r="A1242" s="106" t="s">
        <v>126</v>
      </c>
      <c r="B1242" s="10">
        <v>46163</v>
      </c>
      <c r="C1242" t="s">
        <v>104</v>
      </c>
      <c r="D1242" t="s">
        <v>102</v>
      </c>
      <c r="E1242" t="s">
        <v>103</v>
      </c>
      <c r="F1242">
        <v>118.2</v>
      </c>
      <c r="G1242">
        <v>120.3</v>
      </c>
      <c r="H1242">
        <v>93.4</v>
      </c>
      <c r="I1242">
        <v>25.7</v>
      </c>
      <c r="J1242">
        <v>2.2000000000000002</v>
      </c>
      <c r="K1242">
        <v>80.5</v>
      </c>
      <c r="L1242">
        <v>5.8</v>
      </c>
      <c r="M1242">
        <v>86</v>
      </c>
      <c r="N1242">
        <v>1.0900000000000001</v>
      </c>
      <c r="O1242">
        <v>49.6</v>
      </c>
      <c r="P1242">
        <v>-3.8</v>
      </c>
      <c r="Q1242">
        <v>1.8</v>
      </c>
      <c r="R1242">
        <v>0</v>
      </c>
      <c r="S1242">
        <v>10956</v>
      </c>
      <c r="T1242">
        <v>1.3</v>
      </c>
    </row>
    <row r="1243" spans="1:20" x14ac:dyDescent="0.25">
      <c r="A1243" s="106" t="s">
        <v>126</v>
      </c>
      <c r="B1243" s="10">
        <v>46163</v>
      </c>
      <c r="C1243" t="s">
        <v>104</v>
      </c>
      <c r="D1243" t="s">
        <v>102</v>
      </c>
      <c r="E1243" t="s">
        <v>103</v>
      </c>
      <c r="F1243">
        <v>117.1</v>
      </c>
      <c r="G1243">
        <v>119.2</v>
      </c>
      <c r="H1243">
        <v>92.1</v>
      </c>
      <c r="I1243">
        <v>28</v>
      </c>
      <c r="J1243">
        <v>0.6</v>
      </c>
      <c r="K1243">
        <v>87.1</v>
      </c>
      <c r="L1243">
        <v>1.8</v>
      </c>
      <c r="M1243">
        <v>86.5</v>
      </c>
      <c r="N1243">
        <v>1.06</v>
      </c>
      <c r="O1243">
        <v>51.4</v>
      </c>
      <c r="P1243">
        <v>-3.9</v>
      </c>
      <c r="Q1243">
        <v>-0.3</v>
      </c>
      <c r="R1243">
        <v>0</v>
      </c>
      <c r="S1243">
        <v>9596</v>
      </c>
      <c r="T1243">
        <v>0.5</v>
      </c>
    </row>
    <row r="1244" spans="1:20" x14ac:dyDescent="0.25">
      <c r="A1244" s="106" t="s">
        <v>126</v>
      </c>
      <c r="B1244" s="10">
        <v>46163</v>
      </c>
      <c r="C1244" t="s">
        <v>104</v>
      </c>
      <c r="D1244" t="s">
        <v>102</v>
      </c>
      <c r="E1244" t="s">
        <v>103</v>
      </c>
      <c r="F1244">
        <v>121.4</v>
      </c>
      <c r="G1244">
        <v>123.6</v>
      </c>
      <c r="H1244">
        <v>93.8</v>
      </c>
      <c r="I1244">
        <v>26.7</v>
      </c>
      <c r="J1244">
        <v>0.8</v>
      </c>
      <c r="K1244">
        <v>85.6</v>
      </c>
      <c r="L1244">
        <v>-1.2</v>
      </c>
      <c r="M1244">
        <v>83.7</v>
      </c>
      <c r="N1244">
        <v>1.1200000000000001</v>
      </c>
      <c r="O1244">
        <v>50.4</v>
      </c>
      <c r="P1244">
        <v>-4</v>
      </c>
      <c r="Q1244">
        <v>2</v>
      </c>
      <c r="R1244">
        <v>0</v>
      </c>
      <c r="S1244">
        <v>8997</v>
      </c>
      <c r="T1244">
        <v>-3.5</v>
      </c>
    </row>
    <row r="1245" spans="1:20" x14ac:dyDescent="0.25">
      <c r="A1245" s="106" t="s">
        <v>126</v>
      </c>
      <c r="B1245" s="10">
        <v>46163</v>
      </c>
      <c r="C1245" t="s">
        <v>104</v>
      </c>
      <c r="D1245" t="s">
        <v>102</v>
      </c>
      <c r="E1245" t="s">
        <v>103</v>
      </c>
      <c r="F1245">
        <v>116</v>
      </c>
      <c r="G1245">
        <v>117.1</v>
      </c>
      <c r="H1245">
        <v>92</v>
      </c>
      <c r="I1245">
        <v>27.1</v>
      </c>
      <c r="J1245">
        <v>3</v>
      </c>
      <c r="K1245">
        <v>82.5</v>
      </c>
      <c r="L1245">
        <v>12.4</v>
      </c>
      <c r="M1245">
        <v>85.9</v>
      </c>
      <c r="N1245">
        <v>1.07</v>
      </c>
      <c r="O1245">
        <v>50.6</v>
      </c>
      <c r="P1245">
        <v>-6.4</v>
      </c>
      <c r="Q1245">
        <v>-1.9</v>
      </c>
      <c r="R1245">
        <v>0</v>
      </c>
      <c r="S1245">
        <v>11089</v>
      </c>
      <c r="T1245">
        <v>7.5</v>
      </c>
    </row>
    <row r="1246" spans="1:20" x14ac:dyDescent="0.25">
      <c r="A1246" s="106" t="s">
        <v>126</v>
      </c>
      <c r="B1246" s="10">
        <v>46163</v>
      </c>
      <c r="C1246" t="s">
        <v>104</v>
      </c>
      <c r="D1246" t="s">
        <v>102</v>
      </c>
      <c r="E1246" t="s">
        <v>103</v>
      </c>
      <c r="F1246">
        <v>116</v>
      </c>
      <c r="G1246">
        <v>120.3</v>
      </c>
      <c r="H1246">
        <v>90.7</v>
      </c>
      <c r="I1246">
        <v>23.3</v>
      </c>
      <c r="J1246">
        <v>0.6</v>
      </c>
      <c r="K1246">
        <v>67.8</v>
      </c>
      <c r="L1246">
        <v>5.8</v>
      </c>
      <c r="M1246">
        <v>84.8</v>
      </c>
      <c r="N1246">
        <v>1.07</v>
      </c>
      <c r="O1246">
        <v>45.5</v>
      </c>
      <c r="P1246">
        <v>-5.7</v>
      </c>
      <c r="Q1246">
        <v>0.2</v>
      </c>
      <c r="R1246">
        <v>0</v>
      </c>
      <c r="S1246">
        <v>9330</v>
      </c>
      <c r="T1246">
        <v>5.9</v>
      </c>
    </row>
    <row r="1247" spans="1:20" x14ac:dyDescent="0.25">
      <c r="A1247" s="106" t="s">
        <v>126</v>
      </c>
      <c r="B1247" s="10">
        <v>46163</v>
      </c>
      <c r="C1247" t="s">
        <v>104</v>
      </c>
      <c r="D1247" t="s">
        <v>102</v>
      </c>
      <c r="E1247" t="s">
        <v>103</v>
      </c>
      <c r="F1247">
        <v>114.9</v>
      </c>
      <c r="G1247">
        <v>116</v>
      </c>
      <c r="H1247">
        <v>91.9</v>
      </c>
      <c r="I1247">
        <v>29.7</v>
      </c>
      <c r="J1247">
        <v>3.9</v>
      </c>
      <c r="K1247">
        <v>91.9</v>
      </c>
      <c r="L1247">
        <v>11.6</v>
      </c>
      <c r="M1247">
        <v>85.9</v>
      </c>
      <c r="N1247">
        <v>1.07</v>
      </c>
      <c r="O1247">
        <v>53.2</v>
      </c>
      <c r="P1247">
        <v>-4.4000000000000004</v>
      </c>
      <c r="Q1247">
        <v>1.4</v>
      </c>
      <c r="R1247">
        <v>0</v>
      </c>
      <c r="S1247">
        <v>10419</v>
      </c>
      <c r="T1247">
        <v>4.2</v>
      </c>
    </row>
    <row r="1248" spans="1:20" x14ac:dyDescent="0.25">
      <c r="A1248" s="106" t="s">
        <v>126</v>
      </c>
      <c r="B1248" s="10">
        <v>46163</v>
      </c>
      <c r="C1248" t="s">
        <v>104</v>
      </c>
      <c r="D1248" t="s">
        <v>102</v>
      </c>
      <c r="E1248" t="s">
        <v>103</v>
      </c>
      <c r="F1248">
        <v>120.3</v>
      </c>
      <c r="G1248">
        <v>121.4</v>
      </c>
      <c r="H1248">
        <v>94.4</v>
      </c>
      <c r="I1248">
        <v>27.5</v>
      </c>
      <c r="J1248">
        <v>5.5</v>
      </c>
      <c r="K1248">
        <v>89.8</v>
      </c>
      <c r="L1248">
        <v>13.7</v>
      </c>
      <c r="M1248">
        <v>82.5</v>
      </c>
      <c r="N1248">
        <v>1.1399999999999999</v>
      </c>
      <c r="O1248">
        <v>51.8</v>
      </c>
      <c r="P1248">
        <v>-3.2</v>
      </c>
      <c r="Q1248">
        <v>3.8</v>
      </c>
      <c r="R1248">
        <v>0</v>
      </c>
      <c r="S1248">
        <v>9832</v>
      </c>
      <c r="T1248">
        <v>2.2999999999999998</v>
      </c>
    </row>
    <row r="1249" spans="1:20" x14ac:dyDescent="0.25">
      <c r="A1249" s="106" t="s">
        <v>126</v>
      </c>
      <c r="B1249" s="10">
        <v>46163</v>
      </c>
      <c r="C1249" t="s">
        <v>104</v>
      </c>
      <c r="D1249" t="s">
        <v>102</v>
      </c>
      <c r="E1249" t="s">
        <v>103</v>
      </c>
      <c r="F1249">
        <v>100.6</v>
      </c>
      <c r="G1249">
        <v>103.9</v>
      </c>
      <c r="H1249">
        <v>81</v>
      </c>
      <c r="I1249">
        <v>29.1</v>
      </c>
      <c r="J1249">
        <v>0.5</v>
      </c>
      <c r="K1249">
        <v>69.099999999999994</v>
      </c>
      <c r="L1249">
        <v>-0.1</v>
      </c>
      <c r="M1249">
        <v>84.2</v>
      </c>
      <c r="N1249">
        <v>0.96</v>
      </c>
      <c r="O1249">
        <v>48.3</v>
      </c>
      <c r="P1249">
        <v>-2.4</v>
      </c>
      <c r="Q1249">
        <v>2.1</v>
      </c>
      <c r="R1249">
        <v>0</v>
      </c>
      <c r="S1249">
        <v>8439</v>
      </c>
      <c r="T1249">
        <v>-1.7</v>
      </c>
    </row>
    <row r="1250" spans="1:20" x14ac:dyDescent="0.25">
      <c r="A1250" s="106" t="s">
        <v>126</v>
      </c>
      <c r="B1250" s="10">
        <v>46163</v>
      </c>
      <c r="C1250" t="s">
        <v>104</v>
      </c>
      <c r="D1250" t="s">
        <v>102</v>
      </c>
      <c r="E1250" t="s">
        <v>103</v>
      </c>
      <c r="F1250">
        <v>131.30000000000001</v>
      </c>
      <c r="G1250">
        <v>136.80000000000001</v>
      </c>
      <c r="H1250">
        <v>100.8</v>
      </c>
      <c r="I1250">
        <v>19.2</v>
      </c>
      <c r="J1250">
        <v>-2.6</v>
      </c>
      <c r="K1250">
        <v>69.599999999999994</v>
      </c>
      <c r="L1250">
        <v>-3.6</v>
      </c>
      <c r="M1250">
        <v>85.8</v>
      </c>
      <c r="N1250">
        <v>1.17</v>
      </c>
      <c r="O1250">
        <v>44.2</v>
      </c>
      <c r="P1250">
        <v>-6.3</v>
      </c>
      <c r="Q1250">
        <v>-1.4</v>
      </c>
      <c r="R1250">
        <v>0</v>
      </c>
      <c r="S1250">
        <v>9350</v>
      </c>
      <c r="T1250">
        <v>2.2000000000000002</v>
      </c>
    </row>
    <row r="1251" spans="1:20" x14ac:dyDescent="0.25">
      <c r="A1251" s="106" t="s">
        <v>126</v>
      </c>
      <c r="B1251" s="10">
        <v>46163</v>
      </c>
      <c r="C1251" t="s">
        <v>104</v>
      </c>
      <c r="D1251" t="s">
        <v>102</v>
      </c>
      <c r="E1251" t="s">
        <v>103</v>
      </c>
      <c r="F1251">
        <v>106.1</v>
      </c>
      <c r="G1251">
        <v>110.5</v>
      </c>
      <c r="H1251">
        <v>84.9</v>
      </c>
      <c r="I1251">
        <v>23</v>
      </c>
      <c r="J1251">
        <v>-0.4</v>
      </c>
      <c r="K1251">
        <v>57.2</v>
      </c>
      <c r="L1251">
        <v>-1.8</v>
      </c>
      <c r="M1251">
        <v>84.2</v>
      </c>
      <c r="N1251">
        <v>1.01</v>
      </c>
      <c r="O1251">
        <v>42.8</v>
      </c>
      <c r="P1251">
        <v>-5</v>
      </c>
      <c r="Q1251">
        <v>0.2</v>
      </c>
      <c r="R1251">
        <v>0</v>
      </c>
      <c r="S1251">
        <v>9807</v>
      </c>
      <c r="T1251">
        <v>-1.7</v>
      </c>
    </row>
    <row r="1252" spans="1:20" x14ac:dyDescent="0.25">
      <c r="A1252" s="106" t="s">
        <v>126</v>
      </c>
      <c r="B1252" s="10">
        <v>46163</v>
      </c>
      <c r="C1252" t="s">
        <v>104</v>
      </c>
      <c r="D1252" t="s">
        <v>102</v>
      </c>
      <c r="E1252" t="s">
        <v>103</v>
      </c>
      <c r="F1252">
        <v>118.2</v>
      </c>
      <c r="G1252">
        <v>120.3</v>
      </c>
      <c r="H1252">
        <v>93.1</v>
      </c>
      <c r="I1252">
        <v>26.2</v>
      </c>
      <c r="J1252">
        <v>2.1</v>
      </c>
      <c r="K1252">
        <v>82.2</v>
      </c>
      <c r="L1252">
        <v>7.1</v>
      </c>
      <c r="M1252">
        <v>88</v>
      </c>
      <c r="N1252">
        <v>1.06</v>
      </c>
      <c r="O1252">
        <v>50</v>
      </c>
      <c r="P1252">
        <v>-6.9</v>
      </c>
      <c r="Q1252">
        <v>0.9</v>
      </c>
      <c r="R1252">
        <v>0</v>
      </c>
      <c r="S1252">
        <v>10397</v>
      </c>
      <c r="T1252">
        <v>3.1</v>
      </c>
    </row>
    <row r="1253" spans="1:20" x14ac:dyDescent="0.25">
      <c r="A1253" s="106" t="s">
        <v>126</v>
      </c>
      <c r="B1253" s="10">
        <v>46163</v>
      </c>
      <c r="C1253" t="s">
        <v>104</v>
      </c>
      <c r="D1253" t="s">
        <v>102</v>
      </c>
      <c r="E1253" t="s">
        <v>103</v>
      </c>
      <c r="F1253">
        <v>114.9</v>
      </c>
      <c r="G1253">
        <v>117.1</v>
      </c>
      <c r="H1253">
        <v>90</v>
      </c>
      <c r="I1253">
        <v>25.5</v>
      </c>
      <c r="J1253">
        <v>-1</v>
      </c>
      <c r="K1253">
        <v>74.2</v>
      </c>
      <c r="L1253">
        <v>-2.6</v>
      </c>
      <c r="M1253">
        <v>85.2</v>
      </c>
      <c r="N1253">
        <v>1.06</v>
      </c>
      <c r="O1253">
        <v>48</v>
      </c>
      <c r="P1253">
        <v>-7.1</v>
      </c>
      <c r="Q1253">
        <v>-1.8</v>
      </c>
      <c r="R1253">
        <v>0</v>
      </c>
      <c r="S1253">
        <v>10057</v>
      </c>
      <c r="T1253">
        <v>-1</v>
      </c>
    </row>
    <row r="1254" spans="1:20" x14ac:dyDescent="0.25">
      <c r="A1254" s="106" t="s">
        <v>126</v>
      </c>
      <c r="B1254" s="10">
        <v>46163</v>
      </c>
      <c r="C1254" t="s">
        <v>105</v>
      </c>
      <c r="D1254" t="s">
        <v>102</v>
      </c>
      <c r="E1254" t="s">
        <v>106</v>
      </c>
      <c r="F1254">
        <v>136.80000000000001</v>
      </c>
      <c r="G1254">
        <v>137.80000000000001</v>
      </c>
      <c r="H1254">
        <v>105.5</v>
      </c>
      <c r="I1254">
        <v>26.4</v>
      </c>
      <c r="J1254">
        <v>-1.5</v>
      </c>
      <c r="K1254">
        <v>108.7</v>
      </c>
      <c r="L1254">
        <v>-0.1</v>
      </c>
      <c r="M1254">
        <v>87.4</v>
      </c>
      <c r="N1254">
        <v>1.21</v>
      </c>
      <c r="O1254">
        <v>54.2</v>
      </c>
      <c r="P1254">
        <v>-4.5999999999999996</v>
      </c>
      <c r="Q1254">
        <v>-3.5</v>
      </c>
      <c r="R1254">
        <v>0</v>
      </c>
      <c r="S1254">
        <v>9448</v>
      </c>
      <c r="T1254">
        <v>2.9</v>
      </c>
    </row>
    <row r="1255" spans="1:20" x14ac:dyDescent="0.25">
      <c r="A1255" s="106" t="s">
        <v>126</v>
      </c>
      <c r="B1255" s="10">
        <v>46163</v>
      </c>
      <c r="C1255" t="s">
        <v>105</v>
      </c>
      <c r="D1255" t="s">
        <v>102</v>
      </c>
      <c r="E1255" t="s">
        <v>106</v>
      </c>
      <c r="F1255">
        <v>138.9</v>
      </c>
      <c r="G1255">
        <v>142.19999999999999</v>
      </c>
      <c r="H1255">
        <v>105.3</v>
      </c>
      <c r="I1255">
        <v>21.4</v>
      </c>
      <c r="J1255">
        <v>-2.6</v>
      </c>
      <c r="K1255">
        <v>86.8</v>
      </c>
      <c r="L1255">
        <v>-6.2</v>
      </c>
      <c r="M1255">
        <v>85.2</v>
      </c>
      <c r="N1255">
        <v>1.24</v>
      </c>
      <c r="O1255">
        <v>48.6</v>
      </c>
      <c r="P1255">
        <v>-5.5</v>
      </c>
      <c r="Q1255">
        <v>-2.2999999999999998</v>
      </c>
      <c r="R1255">
        <v>0</v>
      </c>
      <c r="S1255">
        <v>9301</v>
      </c>
      <c r="T1255">
        <v>0</v>
      </c>
    </row>
    <row r="1256" spans="1:20" x14ac:dyDescent="0.25">
      <c r="A1256" s="106" t="s">
        <v>126</v>
      </c>
      <c r="B1256" s="10">
        <v>46163</v>
      </c>
      <c r="C1256" t="s">
        <v>105</v>
      </c>
      <c r="D1256" t="s">
        <v>102</v>
      </c>
      <c r="E1256" t="s">
        <v>106</v>
      </c>
      <c r="F1256">
        <v>138.9</v>
      </c>
      <c r="G1256">
        <v>142.19999999999999</v>
      </c>
      <c r="H1256">
        <v>104.4</v>
      </c>
      <c r="I1256">
        <v>22.2</v>
      </c>
      <c r="J1256">
        <v>-5</v>
      </c>
      <c r="K1256">
        <v>88.8</v>
      </c>
      <c r="L1256">
        <v>-17.600000000000001</v>
      </c>
      <c r="M1256">
        <v>86.8</v>
      </c>
      <c r="N1256">
        <v>1.2</v>
      </c>
      <c r="O1256">
        <v>49.1</v>
      </c>
      <c r="P1256">
        <v>-4.5999999999999996</v>
      </c>
      <c r="Q1256">
        <v>-0.7</v>
      </c>
      <c r="R1256">
        <v>0</v>
      </c>
      <c r="S1256">
        <v>8482</v>
      </c>
      <c r="T1256">
        <v>-5.2</v>
      </c>
    </row>
    <row r="1257" spans="1:20" x14ac:dyDescent="0.25">
      <c r="A1257" s="106" t="s">
        <v>126</v>
      </c>
      <c r="B1257" s="10">
        <v>46163</v>
      </c>
      <c r="C1257" t="s">
        <v>105</v>
      </c>
      <c r="D1257" t="s">
        <v>102</v>
      </c>
      <c r="E1257" t="s">
        <v>106</v>
      </c>
      <c r="F1257">
        <v>132.4</v>
      </c>
      <c r="G1257">
        <v>133.5</v>
      </c>
      <c r="H1257">
        <v>101.1</v>
      </c>
      <c r="I1257">
        <v>26.6</v>
      </c>
      <c r="J1257">
        <v>-1.8</v>
      </c>
      <c r="K1257">
        <v>100.4</v>
      </c>
      <c r="L1257">
        <v>-2.6</v>
      </c>
      <c r="M1257">
        <v>85.7</v>
      </c>
      <c r="N1257">
        <v>1.18</v>
      </c>
      <c r="O1257">
        <v>52.6</v>
      </c>
      <c r="P1257">
        <v>-3.9</v>
      </c>
      <c r="Q1257">
        <v>-2.7</v>
      </c>
      <c r="R1257">
        <v>0</v>
      </c>
      <c r="S1257">
        <v>8379</v>
      </c>
      <c r="T1257">
        <v>1.2</v>
      </c>
    </row>
    <row r="1258" spans="1:20" x14ac:dyDescent="0.25">
      <c r="A1258" s="106" t="s">
        <v>126</v>
      </c>
      <c r="B1258" s="10">
        <v>46163</v>
      </c>
      <c r="C1258" t="s">
        <v>105</v>
      </c>
      <c r="D1258" t="s">
        <v>102</v>
      </c>
      <c r="E1258" t="s">
        <v>106</v>
      </c>
      <c r="F1258">
        <v>117.1</v>
      </c>
      <c r="G1258">
        <v>119.2</v>
      </c>
      <c r="H1258">
        <v>91.9</v>
      </c>
      <c r="I1258">
        <v>27.3</v>
      </c>
      <c r="J1258">
        <v>-1.2</v>
      </c>
      <c r="K1258">
        <v>83.9</v>
      </c>
      <c r="L1258">
        <v>1.9</v>
      </c>
      <c r="M1258">
        <v>87.4</v>
      </c>
      <c r="N1258">
        <v>1.05</v>
      </c>
      <c r="O1258">
        <v>50.5</v>
      </c>
      <c r="P1258">
        <v>-6.4</v>
      </c>
      <c r="Q1258">
        <v>-3.6</v>
      </c>
      <c r="R1258">
        <v>0</v>
      </c>
      <c r="S1258">
        <v>9563</v>
      </c>
      <c r="T1258">
        <v>5.0999999999999996</v>
      </c>
    </row>
    <row r="1259" spans="1:20" x14ac:dyDescent="0.25">
      <c r="A1259" s="106" t="s">
        <v>126</v>
      </c>
      <c r="B1259" s="10">
        <v>46163</v>
      </c>
      <c r="C1259" t="s">
        <v>105</v>
      </c>
      <c r="D1259" t="s">
        <v>102</v>
      </c>
      <c r="E1259" t="s">
        <v>106</v>
      </c>
      <c r="F1259">
        <v>132.4</v>
      </c>
      <c r="G1259">
        <v>145.5</v>
      </c>
      <c r="H1259">
        <v>105.3</v>
      </c>
      <c r="I1259">
        <v>9</v>
      </c>
      <c r="J1259">
        <v>-3.1</v>
      </c>
      <c r="K1259">
        <v>32.6</v>
      </c>
      <c r="L1259">
        <v>0.3</v>
      </c>
      <c r="M1259">
        <v>84.6</v>
      </c>
      <c r="N1259">
        <v>1.24</v>
      </c>
      <c r="O1259">
        <v>26.1</v>
      </c>
      <c r="P1259">
        <v>-5.2</v>
      </c>
      <c r="Q1259">
        <v>-1.8</v>
      </c>
      <c r="R1259">
        <v>0</v>
      </c>
      <c r="S1259">
        <v>5415</v>
      </c>
      <c r="T1259">
        <v>8.6</v>
      </c>
    </row>
    <row r="1260" spans="1:20" x14ac:dyDescent="0.25">
      <c r="A1260" s="106" t="s">
        <v>126</v>
      </c>
      <c r="B1260" s="10">
        <v>46163</v>
      </c>
      <c r="C1260" t="s">
        <v>105</v>
      </c>
      <c r="D1260" t="s">
        <v>102</v>
      </c>
      <c r="E1260" t="s">
        <v>106</v>
      </c>
      <c r="F1260">
        <v>132.4</v>
      </c>
      <c r="G1260">
        <v>136.80000000000001</v>
      </c>
      <c r="H1260">
        <v>101.1</v>
      </c>
      <c r="I1260">
        <v>20.399999999999999</v>
      </c>
      <c r="J1260">
        <v>-3.4</v>
      </c>
      <c r="K1260">
        <v>74.8</v>
      </c>
      <c r="L1260">
        <v>-0.5</v>
      </c>
      <c r="M1260">
        <v>85.2</v>
      </c>
      <c r="N1260">
        <v>1.19</v>
      </c>
      <c r="O1260">
        <v>45.7</v>
      </c>
      <c r="P1260">
        <v>-6.7</v>
      </c>
      <c r="Q1260">
        <v>-3.9</v>
      </c>
      <c r="R1260">
        <v>0</v>
      </c>
      <c r="S1260">
        <v>8900</v>
      </c>
      <c r="T1260">
        <v>7.2</v>
      </c>
    </row>
    <row r="1261" spans="1:20" x14ac:dyDescent="0.25">
      <c r="A1261" s="106" t="s">
        <v>126</v>
      </c>
      <c r="B1261" s="10">
        <v>46163</v>
      </c>
      <c r="C1261" t="s">
        <v>105</v>
      </c>
      <c r="D1261" t="s">
        <v>102</v>
      </c>
      <c r="E1261" t="s">
        <v>106</v>
      </c>
      <c r="F1261">
        <v>124.7</v>
      </c>
      <c r="G1261">
        <v>128</v>
      </c>
      <c r="H1261">
        <v>96.1</v>
      </c>
      <c r="I1261">
        <v>23.7</v>
      </c>
      <c r="J1261">
        <v>-3.8</v>
      </c>
      <c r="K1261">
        <v>79</v>
      </c>
      <c r="L1261">
        <v>-6.9</v>
      </c>
      <c r="M1261">
        <v>85.7</v>
      </c>
      <c r="N1261">
        <v>1.1200000000000001</v>
      </c>
      <c r="O1261">
        <v>48</v>
      </c>
      <c r="P1261">
        <v>-6.5</v>
      </c>
      <c r="Q1261">
        <v>-3.3</v>
      </c>
      <c r="R1261">
        <v>0</v>
      </c>
      <c r="S1261">
        <v>9479</v>
      </c>
      <c r="T1261">
        <v>1.4</v>
      </c>
    </row>
    <row r="1262" spans="1:20" x14ac:dyDescent="0.25">
      <c r="A1262" s="106" t="s">
        <v>126</v>
      </c>
      <c r="B1262" s="10">
        <v>46163</v>
      </c>
      <c r="C1262" t="s">
        <v>105</v>
      </c>
      <c r="D1262" t="s">
        <v>102</v>
      </c>
      <c r="E1262" t="s">
        <v>106</v>
      </c>
      <c r="F1262">
        <v>125.8</v>
      </c>
      <c r="G1262">
        <v>129.1</v>
      </c>
      <c r="H1262">
        <v>95.5</v>
      </c>
      <c r="I1262">
        <v>25.4</v>
      </c>
      <c r="J1262">
        <v>-3.2</v>
      </c>
      <c r="K1262">
        <v>85</v>
      </c>
      <c r="L1262">
        <v>-7.6</v>
      </c>
      <c r="M1262">
        <v>85.7</v>
      </c>
      <c r="N1262">
        <v>1.1100000000000001</v>
      </c>
      <c r="O1262">
        <v>49.3</v>
      </c>
      <c r="P1262">
        <v>-3.2</v>
      </c>
      <c r="Q1262">
        <v>-1.2</v>
      </c>
      <c r="R1262">
        <v>0</v>
      </c>
      <c r="S1262">
        <v>7290</v>
      </c>
      <c r="T1262">
        <v>-0.8</v>
      </c>
    </row>
    <row r="1263" spans="1:20" x14ac:dyDescent="0.25">
      <c r="A1263" s="106" t="s">
        <v>126</v>
      </c>
      <c r="B1263" s="10">
        <v>46163</v>
      </c>
      <c r="C1263" t="s">
        <v>105</v>
      </c>
      <c r="D1263" t="s">
        <v>102</v>
      </c>
      <c r="E1263" t="s">
        <v>106</v>
      </c>
      <c r="F1263">
        <v>116</v>
      </c>
      <c r="G1263">
        <v>123.6</v>
      </c>
      <c r="H1263">
        <v>88.5</v>
      </c>
      <c r="I1263">
        <v>21.8</v>
      </c>
      <c r="J1263">
        <v>-4.5999999999999996</v>
      </c>
      <c r="K1263">
        <v>58.5</v>
      </c>
      <c r="L1263">
        <v>-15.7</v>
      </c>
      <c r="M1263">
        <v>84</v>
      </c>
      <c r="N1263">
        <v>1.05</v>
      </c>
      <c r="O1263">
        <v>41</v>
      </c>
      <c r="P1263">
        <v>-2.4</v>
      </c>
      <c r="Q1263">
        <v>-2</v>
      </c>
      <c r="R1263">
        <v>0</v>
      </c>
      <c r="S1263">
        <v>5169</v>
      </c>
      <c r="T1263">
        <v>-9</v>
      </c>
    </row>
    <row r="1264" spans="1:20" x14ac:dyDescent="0.25">
      <c r="A1264" s="106" t="s">
        <v>126</v>
      </c>
      <c r="B1264" s="10">
        <v>46163</v>
      </c>
      <c r="C1264" t="s">
        <v>105</v>
      </c>
      <c r="D1264" t="s">
        <v>102</v>
      </c>
      <c r="E1264" t="s">
        <v>106</v>
      </c>
      <c r="F1264">
        <v>129.1</v>
      </c>
      <c r="G1264">
        <v>132.4</v>
      </c>
      <c r="H1264">
        <v>99.3</v>
      </c>
      <c r="I1264">
        <v>22.5</v>
      </c>
      <c r="J1264">
        <v>2</v>
      </c>
      <c r="K1264">
        <v>80.2</v>
      </c>
      <c r="L1264">
        <v>6.1</v>
      </c>
      <c r="M1264">
        <v>86.8</v>
      </c>
      <c r="N1264">
        <v>1.1399999999999999</v>
      </c>
      <c r="O1264">
        <v>47.9</v>
      </c>
      <c r="P1264">
        <v>-2.5</v>
      </c>
      <c r="Q1264">
        <v>1.9</v>
      </c>
      <c r="R1264">
        <v>0</v>
      </c>
      <c r="S1264">
        <v>9630</v>
      </c>
      <c r="T1264">
        <v>1.6</v>
      </c>
    </row>
    <row r="1265" spans="1:20" x14ac:dyDescent="0.25">
      <c r="A1265" s="106" t="s">
        <v>126</v>
      </c>
      <c r="B1265" s="10">
        <v>46163</v>
      </c>
      <c r="C1265" t="s">
        <v>105</v>
      </c>
      <c r="D1265" t="s">
        <v>102</v>
      </c>
      <c r="E1265" t="s">
        <v>106</v>
      </c>
      <c r="F1265">
        <v>137.80000000000001</v>
      </c>
      <c r="G1265">
        <v>138.9</v>
      </c>
      <c r="H1265">
        <v>105.2</v>
      </c>
      <c r="I1265">
        <v>23.9</v>
      </c>
      <c r="J1265">
        <v>1.2</v>
      </c>
      <c r="K1265">
        <v>97</v>
      </c>
      <c r="L1265">
        <v>6.1</v>
      </c>
      <c r="M1265">
        <v>87.3</v>
      </c>
      <c r="N1265">
        <v>1.2</v>
      </c>
      <c r="O1265">
        <v>51.5</v>
      </c>
      <c r="P1265">
        <v>-6.6</v>
      </c>
      <c r="Q1265">
        <v>-1</v>
      </c>
      <c r="R1265">
        <v>0</v>
      </c>
      <c r="S1265">
        <v>9592</v>
      </c>
      <c r="T1265">
        <v>2.6</v>
      </c>
    </row>
    <row r="1266" spans="1:20" x14ac:dyDescent="0.25">
      <c r="A1266" s="106" t="s">
        <v>126</v>
      </c>
      <c r="B1266" s="10">
        <v>46163</v>
      </c>
      <c r="C1266" t="s">
        <v>105</v>
      </c>
      <c r="D1266" t="s">
        <v>102</v>
      </c>
      <c r="E1266" t="s">
        <v>106</v>
      </c>
      <c r="F1266">
        <v>137.80000000000001</v>
      </c>
      <c r="G1266">
        <v>140</v>
      </c>
      <c r="H1266">
        <v>104.4</v>
      </c>
      <c r="I1266">
        <v>23.6</v>
      </c>
      <c r="J1266">
        <v>-2.4</v>
      </c>
      <c r="K1266">
        <v>95.1</v>
      </c>
      <c r="L1266">
        <v>-3.8</v>
      </c>
      <c r="M1266">
        <v>86.7</v>
      </c>
      <c r="N1266">
        <v>1.2</v>
      </c>
      <c r="O1266">
        <v>50.8</v>
      </c>
      <c r="P1266">
        <v>-6</v>
      </c>
      <c r="Q1266">
        <v>-1.9</v>
      </c>
      <c r="R1266">
        <v>0</v>
      </c>
      <c r="S1266">
        <v>8747</v>
      </c>
      <c r="T1266">
        <v>1.6</v>
      </c>
    </row>
    <row r="1267" spans="1:20" x14ac:dyDescent="0.25">
      <c r="A1267" s="106" t="s">
        <v>126</v>
      </c>
      <c r="B1267" s="10">
        <v>46163</v>
      </c>
      <c r="C1267" t="s">
        <v>107</v>
      </c>
      <c r="D1267" t="s">
        <v>102</v>
      </c>
      <c r="E1267" t="s">
        <v>106</v>
      </c>
      <c r="F1267">
        <v>154.30000000000001</v>
      </c>
      <c r="G1267">
        <v>155.30000000000001</v>
      </c>
      <c r="H1267">
        <v>115</v>
      </c>
      <c r="I1267">
        <v>24.3</v>
      </c>
      <c r="J1267">
        <v>-0.5</v>
      </c>
      <c r="K1267">
        <v>121</v>
      </c>
      <c r="L1267">
        <v>-0.9</v>
      </c>
      <c r="M1267">
        <v>88.4</v>
      </c>
      <c r="N1267">
        <v>1.3</v>
      </c>
      <c r="O1267">
        <v>54.4</v>
      </c>
      <c r="P1267">
        <v>-3.6</v>
      </c>
      <c r="Q1267">
        <v>-1.4</v>
      </c>
      <c r="R1267">
        <v>0</v>
      </c>
      <c r="S1267">
        <v>7444</v>
      </c>
      <c r="T1267">
        <v>0.2</v>
      </c>
    </row>
    <row r="1268" spans="1:20" x14ac:dyDescent="0.25">
      <c r="A1268" s="106" t="s">
        <v>126</v>
      </c>
      <c r="B1268" s="10">
        <v>46163</v>
      </c>
      <c r="C1268" t="s">
        <v>108</v>
      </c>
      <c r="D1268" t="s">
        <v>102</v>
      </c>
      <c r="E1268" t="s">
        <v>106</v>
      </c>
      <c r="F1268">
        <v>148.80000000000001</v>
      </c>
      <c r="G1268">
        <v>154.30000000000001</v>
      </c>
      <c r="H1268">
        <v>109.5</v>
      </c>
      <c r="I1268">
        <v>16.399999999999999</v>
      </c>
      <c r="J1268">
        <v>-3.1</v>
      </c>
      <c r="K1268">
        <v>72.7</v>
      </c>
      <c r="L1268">
        <v>3.3</v>
      </c>
      <c r="M1268">
        <v>88.3</v>
      </c>
      <c r="N1268">
        <v>1.24</v>
      </c>
      <c r="O1268">
        <v>43.2</v>
      </c>
      <c r="P1268">
        <v>-3.7</v>
      </c>
      <c r="Q1268">
        <v>-3.2</v>
      </c>
      <c r="R1268">
        <v>0</v>
      </c>
      <c r="S1268">
        <v>7144</v>
      </c>
      <c r="T1268">
        <v>9.4</v>
      </c>
    </row>
    <row r="1269" spans="1:20" x14ac:dyDescent="0.25">
      <c r="A1269" s="106" t="s">
        <v>126</v>
      </c>
      <c r="B1269" s="10">
        <v>46163</v>
      </c>
      <c r="C1269" t="s">
        <v>108</v>
      </c>
      <c r="D1269" t="s">
        <v>102</v>
      </c>
      <c r="E1269" t="s">
        <v>106</v>
      </c>
      <c r="F1269">
        <v>153.19999999999999</v>
      </c>
      <c r="G1269">
        <v>157.5</v>
      </c>
      <c r="H1269">
        <v>110.2</v>
      </c>
      <c r="I1269">
        <v>19.899999999999999</v>
      </c>
      <c r="J1269">
        <v>-4.8</v>
      </c>
      <c r="K1269">
        <v>90.5</v>
      </c>
      <c r="L1269">
        <v>-23</v>
      </c>
      <c r="M1269">
        <v>87.4</v>
      </c>
      <c r="N1269">
        <v>1.26</v>
      </c>
      <c r="O1269">
        <v>47.8</v>
      </c>
      <c r="P1269">
        <v>-3.8</v>
      </c>
      <c r="Q1269">
        <v>-1.7</v>
      </c>
      <c r="R1269">
        <v>0</v>
      </c>
      <c r="S1269">
        <v>6262</v>
      </c>
      <c r="T1269">
        <v>-8.1999999999999993</v>
      </c>
    </row>
    <row r="1270" spans="1:20" x14ac:dyDescent="0.25">
      <c r="A1270" s="106" t="s">
        <v>126</v>
      </c>
      <c r="B1270" s="10">
        <v>46163</v>
      </c>
      <c r="C1270" t="s">
        <v>108</v>
      </c>
      <c r="D1270" t="s">
        <v>102</v>
      </c>
      <c r="E1270" t="s">
        <v>106</v>
      </c>
      <c r="F1270">
        <v>154.30000000000001</v>
      </c>
      <c r="G1270">
        <v>158.6</v>
      </c>
      <c r="H1270">
        <v>112.3</v>
      </c>
      <c r="I1270">
        <v>19.100000000000001</v>
      </c>
      <c r="J1270">
        <v>-0.8</v>
      </c>
      <c r="K1270">
        <v>91.5</v>
      </c>
      <c r="L1270">
        <v>-4.2</v>
      </c>
      <c r="M1270">
        <v>87.8</v>
      </c>
      <c r="N1270">
        <v>1.28</v>
      </c>
      <c r="O1270">
        <v>48</v>
      </c>
      <c r="P1270">
        <v>-5.4</v>
      </c>
      <c r="Q1270">
        <v>-0.3</v>
      </c>
      <c r="R1270">
        <v>0</v>
      </c>
      <c r="S1270">
        <v>7048</v>
      </c>
      <c r="T1270">
        <v>-1.8</v>
      </c>
    </row>
    <row r="1271" spans="1:20" x14ac:dyDescent="0.25">
      <c r="A1271" s="106" t="s">
        <v>126</v>
      </c>
      <c r="B1271" s="10">
        <v>46163</v>
      </c>
      <c r="C1271" t="s">
        <v>108</v>
      </c>
      <c r="D1271" t="s">
        <v>102</v>
      </c>
      <c r="E1271" t="s">
        <v>106</v>
      </c>
      <c r="F1271">
        <v>156.4</v>
      </c>
      <c r="G1271">
        <v>159.69999999999999</v>
      </c>
      <c r="H1271">
        <v>113.5</v>
      </c>
      <c r="I1271">
        <v>20.8</v>
      </c>
      <c r="J1271">
        <v>-0.2</v>
      </c>
      <c r="K1271">
        <v>101.9</v>
      </c>
      <c r="L1271">
        <v>0.8</v>
      </c>
      <c r="M1271">
        <v>86.7</v>
      </c>
      <c r="N1271">
        <v>1.31</v>
      </c>
      <c r="O1271">
        <v>50.2</v>
      </c>
      <c r="P1271">
        <v>-3.1</v>
      </c>
      <c r="Q1271">
        <v>0.5</v>
      </c>
      <c r="R1271">
        <v>0</v>
      </c>
      <c r="S1271">
        <v>6827</v>
      </c>
      <c r="T1271">
        <v>0.8</v>
      </c>
    </row>
    <row r="1272" spans="1:20" x14ac:dyDescent="0.25">
      <c r="A1272" s="106" t="s">
        <v>126</v>
      </c>
      <c r="B1272" s="10">
        <v>46163</v>
      </c>
      <c r="C1272" t="s">
        <v>108</v>
      </c>
      <c r="D1272" t="s">
        <v>102</v>
      </c>
      <c r="E1272" t="s">
        <v>106</v>
      </c>
      <c r="F1272">
        <v>146.6</v>
      </c>
      <c r="G1272">
        <v>152.1</v>
      </c>
      <c r="H1272">
        <v>105</v>
      </c>
      <c r="I1272">
        <v>22.4</v>
      </c>
      <c r="J1272">
        <v>2.7</v>
      </c>
      <c r="K1272">
        <v>91.8</v>
      </c>
      <c r="L1272">
        <v>9.4</v>
      </c>
      <c r="M1272">
        <v>83.5</v>
      </c>
      <c r="N1272">
        <v>1.26</v>
      </c>
      <c r="O1272">
        <v>48.3</v>
      </c>
      <c r="P1272">
        <v>-1.3</v>
      </c>
      <c r="Q1272">
        <v>1.6</v>
      </c>
      <c r="R1272">
        <v>0</v>
      </c>
      <c r="S1272">
        <v>5289</v>
      </c>
      <c r="T1272">
        <v>1.9</v>
      </c>
    </row>
    <row r="1273" spans="1:20" x14ac:dyDescent="0.25">
      <c r="A1273" s="106" t="s">
        <v>126</v>
      </c>
      <c r="B1273" s="10">
        <v>46163</v>
      </c>
      <c r="C1273" t="s">
        <v>108</v>
      </c>
      <c r="D1273" t="s">
        <v>102</v>
      </c>
      <c r="E1273" t="s">
        <v>106</v>
      </c>
      <c r="F1273">
        <v>152.1</v>
      </c>
      <c r="G1273">
        <v>156.4</v>
      </c>
      <c r="H1273">
        <v>111.5</v>
      </c>
      <c r="I1273">
        <v>19.600000000000001</v>
      </c>
      <c r="J1273">
        <v>-0.7</v>
      </c>
      <c r="K1273">
        <v>91.1</v>
      </c>
      <c r="L1273">
        <v>8.1</v>
      </c>
      <c r="M1273">
        <v>85.7</v>
      </c>
      <c r="N1273">
        <v>1.3</v>
      </c>
      <c r="O1273">
        <v>48.2</v>
      </c>
      <c r="P1273">
        <v>-6.5</v>
      </c>
      <c r="Q1273">
        <v>-4.0999999999999996</v>
      </c>
      <c r="R1273">
        <v>0</v>
      </c>
      <c r="S1273">
        <v>7300</v>
      </c>
      <c r="T1273">
        <v>7.7</v>
      </c>
    </row>
    <row r="1274" spans="1:20" x14ac:dyDescent="0.25">
      <c r="A1274" s="106" t="s">
        <v>126</v>
      </c>
      <c r="B1274" s="10">
        <v>46163</v>
      </c>
      <c r="C1274" t="s">
        <v>108</v>
      </c>
      <c r="D1274" t="s">
        <v>102</v>
      </c>
      <c r="E1274" t="s">
        <v>106</v>
      </c>
      <c r="F1274">
        <v>145.5</v>
      </c>
      <c r="G1274">
        <v>153.19999999999999</v>
      </c>
      <c r="H1274">
        <v>108.8</v>
      </c>
      <c r="I1274">
        <v>14.5</v>
      </c>
      <c r="J1274">
        <v>-0.8</v>
      </c>
      <c r="K1274">
        <v>61.9</v>
      </c>
      <c r="L1274">
        <v>12.9</v>
      </c>
      <c r="M1274">
        <v>85.5</v>
      </c>
      <c r="N1274">
        <v>1.27</v>
      </c>
      <c r="O1274">
        <v>39.700000000000003</v>
      </c>
      <c r="P1274">
        <v>-6.4</v>
      </c>
      <c r="Q1274">
        <v>-2.2000000000000002</v>
      </c>
      <c r="R1274">
        <v>0</v>
      </c>
      <c r="S1274">
        <v>6984</v>
      </c>
      <c r="T1274">
        <v>13.4</v>
      </c>
    </row>
    <row r="1275" spans="1:20" x14ac:dyDescent="0.25">
      <c r="A1275" s="106" t="s">
        <v>126</v>
      </c>
      <c r="B1275" s="10">
        <v>46163</v>
      </c>
      <c r="C1275" t="s">
        <v>109</v>
      </c>
      <c r="D1275" t="s">
        <v>102</v>
      </c>
      <c r="E1275" t="s">
        <v>106</v>
      </c>
      <c r="F1275">
        <v>159.69999999999999</v>
      </c>
      <c r="G1275">
        <v>163</v>
      </c>
      <c r="H1275">
        <v>114.5</v>
      </c>
      <c r="I1275">
        <v>20.7</v>
      </c>
      <c r="J1275">
        <v>-2.4</v>
      </c>
      <c r="K1275">
        <v>103.6</v>
      </c>
      <c r="L1275">
        <v>1.8</v>
      </c>
      <c r="M1275">
        <v>86.5</v>
      </c>
      <c r="N1275">
        <v>1.32</v>
      </c>
      <c r="O1275">
        <v>50.3</v>
      </c>
      <c r="P1275">
        <v>-3.1</v>
      </c>
      <c r="Q1275">
        <v>-5.2</v>
      </c>
      <c r="R1275">
        <v>0</v>
      </c>
      <c r="S1275">
        <v>6353</v>
      </c>
      <c r="T1275">
        <v>5.9</v>
      </c>
    </row>
    <row r="1276" spans="1:20" x14ac:dyDescent="0.25">
      <c r="A1276" s="116" t="s">
        <v>126</v>
      </c>
      <c r="B1276" s="10">
        <v>46171</v>
      </c>
      <c r="C1276" t="s">
        <v>101</v>
      </c>
      <c r="D1276" t="s">
        <v>102</v>
      </c>
      <c r="E1276" t="s">
        <v>103</v>
      </c>
      <c r="F1276">
        <v>103.9</v>
      </c>
      <c r="G1276">
        <v>108.3</v>
      </c>
      <c r="H1276">
        <v>83</v>
      </c>
      <c r="I1276">
        <v>32.1</v>
      </c>
      <c r="J1276">
        <v>0.6</v>
      </c>
      <c r="K1276">
        <v>80.099999999999994</v>
      </c>
      <c r="L1276">
        <v>1.1000000000000001</v>
      </c>
      <c r="M1276">
        <v>81.2</v>
      </c>
      <c r="N1276">
        <v>1.02</v>
      </c>
      <c r="O1276">
        <v>50.8</v>
      </c>
      <c r="P1276">
        <v>-4.5</v>
      </c>
      <c r="Q1276">
        <v>-0.2</v>
      </c>
      <c r="R1276">
        <v>0</v>
      </c>
    </row>
    <row r="1277" spans="1:20" x14ac:dyDescent="0.25">
      <c r="A1277" s="116" t="s">
        <v>126</v>
      </c>
      <c r="B1277" s="10">
        <v>46171</v>
      </c>
      <c r="C1277" t="s">
        <v>101</v>
      </c>
      <c r="D1277" t="s">
        <v>102</v>
      </c>
      <c r="E1277" t="s">
        <v>103</v>
      </c>
      <c r="F1277">
        <v>98.5</v>
      </c>
      <c r="G1277">
        <v>102.8</v>
      </c>
      <c r="H1277">
        <v>79.5</v>
      </c>
      <c r="I1277">
        <v>31.5</v>
      </c>
      <c r="J1277">
        <v>3.8</v>
      </c>
      <c r="K1277">
        <v>71.3</v>
      </c>
      <c r="L1277">
        <v>6.6</v>
      </c>
      <c r="M1277">
        <v>81.2</v>
      </c>
      <c r="N1277">
        <v>0.98</v>
      </c>
      <c r="O1277">
        <v>49.1</v>
      </c>
      <c r="P1277">
        <v>-8.3000000000000007</v>
      </c>
      <c r="Q1277">
        <v>-1.1000000000000001</v>
      </c>
      <c r="R1277">
        <v>0</v>
      </c>
    </row>
    <row r="1278" spans="1:20" x14ac:dyDescent="0.25">
      <c r="A1278" s="116" t="s">
        <v>126</v>
      </c>
      <c r="B1278" s="10">
        <v>46171</v>
      </c>
      <c r="C1278" t="s">
        <v>101</v>
      </c>
      <c r="D1278" t="s">
        <v>102</v>
      </c>
      <c r="E1278" t="s">
        <v>103</v>
      </c>
      <c r="F1278">
        <v>107.2</v>
      </c>
      <c r="G1278">
        <v>111.6</v>
      </c>
      <c r="H1278">
        <v>84.8</v>
      </c>
      <c r="I1278">
        <v>30.7</v>
      </c>
      <c r="J1278">
        <v>1</v>
      </c>
      <c r="K1278">
        <v>79.599999999999994</v>
      </c>
      <c r="L1278">
        <v>2</v>
      </c>
      <c r="M1278">
        <v>80.099999999999994</v>
      </c>
      <c r="N1278">
        <v>1.06</v>
      </c>
      <c r="O1278">
        <v>50.1</v>
      </c>
      <c r="P1278">
        <v>-5.6</v>
      </c>
      <c r="Q1278">
        <v>0.3</v>
      </c>
      <c r="R1278">
        <v>0</v>
      </c>
    </row>
    <row r="1279" spans="1:20" x14ac:dyDescent="0.25">
      <c r="A1279" s="116" t="s">
        <v>126</v>
      </c>
      <c r="B1279" s="10">
        <v>46171</v>
      </c>
      <c r="C1279" t="s">
        <v>101</v>
      </c>
      <c r="D1279" t="s">
        <v>102</v>
      </c>
      <c r="E1279" t="s">
        <v>103</v>
      </c>
      <c r="F1279">
        <v>109.4</v>
      </c>
      <c r="G1279">
        <v>116</v>
      </c>
      <c r="H1279">
        <v>86.8</v>
      </c>
      <c r="I1279">
        <v>22.2</v>
      </c>
      <c r="J1279">
        <v>1.2</v>
      </c>
      <c r="K1279">
        <v>56.9</v>
      </c>
      <c r="L1279">
        <v>2.4</v>
      </c>
      <c r="M1279">
        <v>81.2</v>
      </c>
      <c r="N1279">
        <v>1.07</v>
      </c>
      <c r="O1279">
        <v>41.6</v>
      </c>
      <c r="P1279">
        <v>-7.1</v>
      </c>
      <c r="Q1279">
        <v>-2</v>
      </c>
      <c r="R1279">
        <v>0</v>
      </c>
    </row>
    <row r="1280" spans="1:20" x14ac:dyDescent="0.25">
      <c r="A1280" s="116" t="s">
        <v>126</v>
      </c>
      <c r="B1280" s="10">
        <v>46171</v>
      </c>
      <c r="C1280" t="s">
        <v>101</v>
      </c>
      <c r="D1280" t="s">
        <v>102</v>
      </c>
      <c r="E1280" t="s">
        <v>103</v>
      </c>
      <c r="F1280">
        <v>96.3</v>
      </c>
      <c r="G1280">
        <v>100.6</v>
      </c>
      <c r="H1280">
        <v>78.400000000000006</v>
      </c>
      <c r="I1280">
        <v>33.1</v>
      </c>
      <c r="J1280">
        <v>0.1</v>
      </c>
      <c r="K1280">
        <v>73.5</v>
      </c>
      <c r="L1280">
        <v>0.3</v>
      </c>
      <c r="M1280">
        <v>82.4</v>
      </c>
      <c r="N1280">
        <v>0.95</v>
      </c>
      <c r="O1280">
        <v>50.2</v>
      </c>
      <c r="P1280">
        <v>-4.5999999999999996</v>
      </c>
      <c r="Q1280">
        <v>-1.3</v>
      </c>
      <c r="R1280">
        <v>0</v>
      </c>
    </row>
    <row r="1281" spans="1:18" x14ac:dyDescent="0.25">
      <c r="A1281" s="116" t="s">
        <v>126</v>
      </c>
      <c r="B1281" s="10">
        <v>46171</v>
      </c>
      <c r="C1281" t="s">
        <v>101</v>
      </c>
      <c r="D1281" t="s">
        <v>102</v>
      </c>
      <c r="E1281" t="s">
        <v>103</v>
      </c>
      <c r="F1281">
        <v>108.3</v>
      </c>
      <c r="G1281">
        <v>112.7</v>
      </c>
      <c r="H1281">
        <v>85.4</v>
      </c>
      <c r="I1281">
        <v>30.1</v>
      </c>
      <c r="J1281">
        <v>-0.3</v>
      </c>
      <c r="K1281">
        <v>79.099999999999994</v>
      </c>
      <c r="L1281">
        <v>-0.6</v>
      </c>
      <c r="M1281">
        <v>83.3</v>
      </c>
      <c r="N1281">
        <v>1.03</v>
      </c>
      <c r="O1281">
        <v>49.8</v>
      </c>
      <c r="P1281">
        <v>-7.3</v>
      </c>
      <c r="Q1281">
        <v>-3.1</v>
      </c>
      <c r="R1281">
        <v>0</v>
      </c>
    </row>
    <row r="1282" spans="1:18" x14ac:dyDescent="0.25">
      <c r="A1282" s="116" t="s">
        <v>126</v>
      </c>
      <c r="B1282" s="10">
        <v>46171</v>
      </c>
      <c r="C1282" t="s">
        <v>101</v>
      </c>
      <c r="D1282" t="s">
        <v>102</v>
      </c>
      <c r="E1282" t="s">
        <v>103</v>
      </c>
      <c r="F1282">
        <v>107.2</v>
      </c>
      <c r="G1282">
        <v>113.8</v>
      </c>
      <c r="H1282">
        <v>85</v>
      </c>
      <c r="I1282">
        <v>22.5</v>
      </c>
      <c r="J1282">
        <v>-5.9</v>
      </c>
      <c r="K1282">
        <v>54.9</v>
      </c>
      <c r="L1282">
        <v>-11</v>
      </c>
      <c r="M1282">
        <v>76.7</v>
      </c>
      <c r="N1282">
        <v>1.1100000000000001</v>
      </c>
      <c r="O1282">
        <v>41</v>
      </c>
      <c r="P1282">
        <v>-7.2</v>
      </c>
      <c r="Q1282">
        <v>-1.7</v>
      </c>
      <c r="R1282">
        <v>0</v>
      </c>
    </row>
    <row r="1283" spans="1:18" x14ac:dyDescent="0.25">
      <c r="A1283" s="116" t="s">
        <v>126</v>
      </c>
      <c r="B1283" s="10">
        <v>46171</v>
      </c>
      <c r="C1283" t="s">
        <v>101</v>
      </c>
      <c r="D1283" t="s">
        <v>102</v>
      </c>
      <c r="E1283" t="s">
        <v>103</v>
      </c>
      <c r="F1283">
        <v>99.6</v>
      </c>
      <c r="G1283">
        <v>105</v>
      </c>
      <c r="H1283">
        <v>80.099999999999994</v>
      </c>
      <c r="I1283">
        <v>30.4</v>
      </c>
      <c r="J1283">
        <v>-3.4</v>
      </c>
      <c r="K1283">
        <v>69.599999999999994</v>
      </c>
      <c r="L1283">
        <v>-5.9</v>
      </c>
      <c r="M1283">
        <v>73.900000000000006</v>
      </c>
      <c r="N1283">
        <v>1.08</v>
      </c>
      <c r="O1283">
        <v>48.1</v>
      </c>
      <c r="P1283">
        <v>-5.2</v>
      </c>
      <c r="Q1283">
        <v>-1.7</v>
      </c>
      <c r="R1283">
        <v>0</v>
      </c>
    </row>
    <row r="1284" spans="1:18" x14ac:dyDescent="0.25">
      <c r="A1284" s="116" t="s">
        <v>126</v>
      </c>
      <c r="B1284" s="10">
        <v>46171</v>
      </c>
      <c r="C1284" t="s">
        <v>101</v>
      </c>
      <c r="D1284" t="s">
        <v>102</v>
      </c>
      <c r="E1284" t="s">
        <v>103</v>
      </c>
      <c r="F1284">
        <v>112.7</v>
      </c>
      <c r="G1284">
        <v>117.1</v>
      </c>
      <c r="H1284">
        <v>87</v>
      </c>
      <c r="I1284">
        <v>27</v>
      </c>
      <c r="J1284">
        <v>-9.6999999999999993</v>
      </c>
      <c r="K1284">
        <v>72.3</v>
      </c>
      <c r="L1284">
        <v>-18.899999999999999</v>
      </c>
      <c r="M1284">
        <v>75.099999999999994</v>
      </c>
      <c r="N1284">
        <v>1.1599999999999999</v>
      </c>
      <c r="O1284">
        <v>46.9</v>
      </c>
      <c r="P1284">
        <v>-6.1</v>
      </c>
      <c r="Q1284">
        <v>-3.3</v>
      </c>
      <c r="R1284">
        <v>0</v>
      </c>
    </row>
    <row r="1285" spans="1:18" x14ac:dyDescent="0.25">
      <c r="A1285" s="116" t="s">
        <v>126</v>
      </c>
      <c r="B1285" s="10">
        <v>46171</v>
      </c>
      <c r="C1285" t="s">
        <v>101</v>
      </c>
      <c r="D1285" t="s">
        <v>102</v>
      </c>
      <c r="E1285" t="s">
        <v>103</v>
      </c>
      <c r="F1285">
        <v>119.2</v>
      </c>
      <c r="G1285">
        <v>123.6</v>
      </c>
      <c r="H1285">
        <v>91.3</v>
      </c>
      <c r="I1285">
        <v>28.1</v>
      </c>
      <c r="J1285">
        <v>-7.4</v>
      </c>
      <c r="K1285">
        <v>84.3</v>
      </c>
      <c r="L1285">
        <v>-15.4</v>
      </c>
      <c r="M1285">
        <v>81.099999999999994</v>
      </c>
      <c r="N1285">
        <v>1.1299999999999999</v>
      </c>
      <c r="O1285">
        <v>49.7</v>
      </c>
      <c r="P1285">
        <v>-5.9</v>
      </c>
      <c r="Q1285">
        <v>-2.1</v>
      </c>
      <c r="R1285">
        <v>0</v>
      </c>
    </row>
    <row r="1286" spans="1:18" x14ac:dyDescent="0.25">
      <c r="A1286" s="116" t="s">
        <v>126</v>
      </c>
      <c r="B1286" s="10">
        <v>46171</v>
      </c>
      <c r="C1286" t="s">
        <v>101</v>
      </c>
      <c r="D1286" t="s">
        <v>102</v>
      </c>
      <c r="E1286" t="s">
        <v>103</v>
      </c>
      <c r="F1286">
        <v>118.2</v>
      </c>
      <c r="G1286">
        <v>123.6</v>
      </c>
      <c r="H1286">
        <v>91.4</v>
      </c>
      <c r="I1286">
        <v>23.1</v>
      </c>
      <c r="J1286">
        <v>-1.3</v>
      </c>
      <c r="K1286">
        <v>67.2</v>
      </c>
      <c r="L1286">
        <v>-2.5</v>
      </c>
      <c r="M1286">
        <v>82.8</v>
      </c>
      <c r="N1286">
        <v>1.1000000000000001</v>
      </c>
      <c r="O1286">
        <v>44.5</v>
      </c>
      <c r="P1286">
        <v>-5.7</v>
      </c>
      <c r="Q1286">
        <v>-2.9</v>
      </c>
      <c r="R1286">
        <v>0</v>
      </c>
    </row>
    <row r="1287" spans="1:18" x14ac:dyDescent="0.25">
      <c r="A1287" s="116" t="s">
        <v>126</v>
      </c>
      <c r="B1287" s="10">
        <v>46171</v>
      </c>
      <c r="C1287" t="s">
        <v>104</v>
      </c>
      <c r="D1287" t="s">
        <v>102</v>
      </c>
      <c r="E1287" t="s">
        <v>103</v>
      </c>
      <c r="F1287">
        <v>128</v>
      </c>
      <c r="G1287">
        <v>133.5</v>
      </c>
      <c r="H1287">
        <v>95.9</v>
      </c>
      <c r="I1287">
        <v>24.3</v>
      </c>
      <c r="J1287">
        <v>-1</v>
      </c>
      <c r="K1287">
        <v>80</v>
      </c>
      <c r="L1287">
        <v>-2</v>
      </c>
      <c r="M1287">
        <v>76.5</v>
      </c>
      <c r="N1287">
        <v>1.25</v>
      </c>
      <c r="O1287">
        <v>47.2</v>
      </c>
      <c r="P1287">
        <v>-6.9</v>
      </c>
      <c r="Q1287">
        <v>1</v>
      </c>
      <c r="R1287">
        <v>0</v>
      </c>
    </row>
    <row r="1288" spans="1:18" x14ac:dyDescent="0.25">
      <c r="A1288" s="116" t="s">
        <v>126</v>
      </c>
      <c r="B1288" s="10">
        <v>46171</v>
      </c>
      <c r="C1288" t="s">
        <v>104</v>
      </c>
      <c r="D1288" t="s">
        <v>102</v>
      </c>
      <c r="E1288" t="s">
        <v>103</v>
      </c>
      <c r="F1288">
        <v>123.6</v>
      </c>
      <c r="G1288">
        <v>126.9</v>
      </c>
      <c r="H1288">
        <v>93.2</v>
      </c>
      <c r="I1288">
        <v>27.3</v>
      </c>
      <c r="J1288">
        <v>0.7</v>
      </c>
      <c r="K1288">
        <v>85.4</v>
      </c>
      <c r="L1288">
        <v>1.6</v>
      </c>
      <c r="M1288">
        <v>82.9</v>
      </c>
      <c r="N1288">
        <v>1.1200000000000001</v>
      </c>
      <c r="O1288">
        <v>49.4</v>
      </c>
      <c r="P1288">
        <v>-7.4</v>
      </c>
      <c r="Q1288">
        <v>-1.4</v>
      </c>
      <c r="R1288">
        <v>0</v>
      </c>
    </row>
    <row r="1289" spans="1:18" x14ac:dyDescent="0.25">
      <c r="A1289" s="116" t="s">
        <v>126</v>
      </c>
      <c r="B1289" s="10">
        <v>46171</v>
      </c>
      <c r="C1289" t="s">
        <v>104</v>
      </c>
      <c r="D1289" t="s">
        <v>102</v>
      </c>
      <c r="E1289" t="s">
        <v>103</v>
      </c>
      <c r="F1289">
        <v>117.1</v>
      </c>
      <c r="G1289">
        <v>121.4</v>
      </c>
      <c r="H1289">
        <v>89.7</v>
      </c>
      <c r="I1289">
        <v>28.4</v>
      </c>
      <c r="J1289">
        <v>3.4</v>
      </c>
      <c r="K1289">
        <v>82.4</v>
      </c>
      <c r="L1289">
        <v>7</v>
      </c>
      <c r="M1289">
        <v>81.8</v>
      </c>
      <c r="N1289">
        <v>1.1000000000000001</v>
      </c>
      <c r="O1289">
        <v>49.4</v>
      </c>
      <c r="P1289">
        <v>-7.4</v>
      </c>
      <c r="Q1289">
        <v>-0.6</v>
      </c>
      <c r="R1289">
        <v>0</v>
      </c>
    </row>
    <row r="1290" spans="1:18" x14ac:dyDescent="0.25">
      <c r="A1290" s="116" t="s">
        <v>126</v>
      </c>
      <c r="B1290" s="10">
        <v>46171</v>
      </c>
      <c r="C1290" t="s">
        <v>105</v>
      </c>
      <c r="D1290" t="s">
        <v>102</v>
      </c>
      <c r="E1290" t="s">
        <v>106</v>
      </c>
      <c r="F1290">
        <v>126.9</v>
      </c>
      <c r="G1290">
        <v>131.30000000000001</v>
      </c>
      <c r="H1290">
        <v>95.1</v>
      </c>
      <c r="I1290">
        <v>26.4</v>
      </c>
      <c r="J1290">
        <v>2.7</v>
      </c>
      <c r="K1290">
        <v>86.2</v>
      </c>
      <c r="L1290">
        <v>6.2</v>
      </c>
      <c r="M1290">
        <v>83.5</v>
      </c>
      <c r="N1290">
        <v>1.1399999999999999</v>
      </c>
      <c r="O1290">
        <v>49.1</v>
      </c>
      <c r="P1290">
        <v>-5</v>
      </c>
      <c r="Q1290">
        <v>-2.1</v>
      </c>
      <c r="R1290">
        <v>0</v>
      </c>
    </row>
    <row r="1291" spans="1:18" x14ac:dyDescent="0.25">
      <c r="A1291" s="116" t="s">
        <v>126</v>
      </c>
      <c r="B1291" s="10">
        <v>46171</v>
      </c>
      <c r="C1291" t="s">
        <v>105</v>
      </c>
      <c r="D1291" t="s">
        <v>102</v>
      </c>
      <c r="E1291" t="s">
        <v>106</v>
      </c>
      <c r="F1291">
        <v>124.7</v>
      </c>
      <c r="G1291">
        <v>135.69999999999999</v>
      </c>
      <c r="H1291">
        <v>97.4</v>
      </c>
      <c r="I1291">
        <v>13.7</v>
      </c>
      <c r="J1291">
        <v>10.5</v>
      </c>
      <c r="K1291">
        <v>42.2</v>
      </c>
      <c r="L1291">
        <v>22.8</v>
      </c>
      <c r="M1291">
        <v>84</v>
      </c>
      <c r="N1291">
        <v>1.1599999999999999</v>
      </c>
      <c r="O1291">
        <v>32.299999999999997</v>
      </c>
      <c r="P1291">
        <v>-7.1</v>
      </c>
      <c r="Q1291">
        <v>-2.7</v>
      </c>
      <c r="R1291">
        <v>0</v>
      </c>
    </row>
    <row r="1292" spans="1:18" x14ac:dyDescent="0.25">
      <c r="A1292" s="116" t="s">
        <v>126</v>
      </c>
      <c r="B1292" s="10">
        <v>46171</v>
      </c>
      <c r="C1292" t="s">
        <v>105</v>
      </c>
      <c r="D1292" t="s">
        <v>102</v>
      </c>
      <c r="E1292" t="s">
        <v>106</v>
      </c>
      <c r="F1292">
        <v>131.30000000000001</v>
      </c>
      <c r="G1292">
        <v>136.80000000000001</v>
      </c>
      <c r="H1292">
        <v>97.5</v>
      </c>
      <c r="I1292">
        <v>22.9</v>
      </c>
      <c r="J1292">
        <v>-2.6</v>
      </c>
      <c r="K1292">
        <v>77.900000000000006</v>
      </c>
      <c r="L1292">
        <v>-5.9</v>
      </c>
      <c r="M1292">
        <v>81.8</v>
      </c>
      <c r="N1292">
        <v>1.19</v>
      </c>
      <c r="O1292">
        <v>46.1</v>
      </c>
      <c r="P1292">
        <v>-5.3</v>
      </c>
      <c r="Q1292">
        <v>-3.2</v>
      </c>
      <c r="R1292">
        <v>0</v>
      </c>
    </row>
    <row r="1293" spans="1:18" x14ac:dyDescent="0.25">
      <c r="A1293" s="116" t="s">
        <v>126</v>
      </c>
      <c r="B1293" s="10">
        <v>46171</v>
      </c>
      <c r="C1293" t="s">
        <v>105</v>
      </c>
      <c r="D1293" t="s">
        <v>102</v>
      </c>
      <c r="E1293" t="s">
        <v>106</v>
      </c>
      <c r="F1293">
        <v>140</v>
      </c>
      <c r="G1293">
        <v>144.4</v>
      </c>
      <c r="H1293">
        <v>102.4</v>
      </c>
      <c r="I1293">
        <v>25</v>
      </c>
      <c r="J1293">
        <v>1.5</v>
      </c>
      <c r="K1293">
        <v>95.8</v>
      </c>
      <c r="L1293">
        <v>3.9</v>
      </c>
      <c r="M1293">
        <v>82.9</v>
      </c>
      <c r="N1293">
        <v>1.24</v>
      </c>
      <c r="O1293">
        <v>50</v>
      </c>
      <c r="P1293">
        <v>-5</v>
      </c>
      <c r="Q1293">
        <v>0.4</v>
      </c>
      <c r="R1293">
        <v>0</v>
      </c>
    </row>
    <row r="1294" spans="1:18" x14ac:dyDescent="0.25">
      <c r="A1294" s="116" t="s">
        <v>126</v>
      </c>
      <c r="B1294" s="10">
        <v>46171</v>
      </c>
      <c r="C1294" t="s">
        <v>105</v>
      </c>
      <c r="D1294" t="s">
        <v>102</v>
      </c>
      <c r="E1294" t="s">
        <v>106</v>
      </c>
      <c r="F1294">
        <v>128</v>
      </c>
      <c r="G1294">
        <v>133.5</v>
      </c>
      <c r="H1294">
        <v>95.8</v>
      </c>
      <c r="I1294">
        <v>23.7</v>
      </c>
      <c r="J1294">
        <v>3.6</v>
      </c>
      <c r="K1294">
        <v>77.8</v>
      </c>
      <c r="L1294">
        <v>8.1999999999999993</v>
      </c>
      <c r="M1294">
        <v>82.4</v>
      </c>
      <c r="N1294">
        <v>1.1599999999999999</v>
      </c>
      <c r="O1294">
        <v>46.6</v>
      </c>
      <c r="P1294">
        <v>-8.1</v>
      </c>
      <c r="Q1294">
        <v>0.4</v>
      </c>
      <c r="R1294">
        <v>0</v>
      </c>
    </row>
    <row r="1295" spans="1:18" x14ac:dyDescent="0.25">
      <c r="A1295" s="116" t="s">
        <v>126</v>
      </c>
      <c r="B1295" s="10">
        <v>46171</v>
      </c>
      <c r="C1295" t="s">
        <v>105</v>
      </c>
      <c r="D1295" t="s">
        <v>102</v>
      </c>
      <c r="E1295" t="s">
        <v>106</v>
      </c>
      <c r="F1295">
        <v>121.4</v>
      </c>
      <c r="G1295">
        <v>126.9</v>
      </c>
      <c r="H1295">
        <v>92</v>
      </c>
      <c r="I1295">
        <v>26.9</v>
      </c>
      <c r="J1295">
        <v>0</v>
      </c>
      <c r="K1295">
        <v>81.7</v>
      </c>
      <c r="L1295">
        <v>0.1</v>
      </c>
      <c r="M1295">
        <v>84</v>
      </c>
      <c r="N1295">
        <v>1.1000000000000001</v>
      </c>
      <c r="O1295">
        <v>48.4</v>
      </c>
      <c r="P1295">
        <v>-4.9000000000000004</v>
      </c>
      <c r="Q1295">
        <v>-3.5</v>
      </c>
      <c r="R1295">
        <v>0</v>
      </c>
    </row>
    <row r="1296" spans="1:18" x14ac:dyDescent="0.25">
      <c r="A1296" s="116" t="s">
        <v>126</v>
      </c>
      <c r="B1296" s="10">
        <v>46171</v>
      </c>
      <c r="C1296" t="s">
        <v>105</v>
      </c>
      <c r="D1296" t="s">
        <v>102</v>
      </c>
      <c r="E1296" t="s">
        <v>106</v>
      </c>
      <c r="F1296">
        <v>117.1</v>
      </c>
      <c r="G1296">
        <v>123.6</v>
      </c>
      <c r="H1296">
        <v>89.8</v>
      </c>
      <c r="I1296">
        <v>22.9</v>
      </c>
      <c r="J1296">
        <v>0.3</v>
      </c>
      <c r="K1296">
        <v>63.8</v>
      </c>
      <c r="L1296">
        <v>0.8</v>
      </c>
      <c r="M1296">
        <v>84</v>
      </c>
      <c r="N1296">
        <v>1.07</v>
      </c>
      <c r="O1296">
        <v>43</v>
      </c>
      <c r="P1296">
        <v>-7.6</v>
      </c>
      <c r="Q1296">
        <v>-1.7</v>
      </c>
      <c r="R1296">
        <v>0</v>
      </c>
    </row>
    <row r="1297" spans="1:18" x14ac:dyDescent="0.25">
      <c r="A1297" s="116" t="s">
        <v>126</v>
      </c>
      <c r="B1297" s="10">
        <v>46171</v>
      </c>
      <c r="C1297" t="s">
        <v>105</v>
      </c>
      <c r="D1297" t="s">
        <v>102</v>
      </c>
      <c r="E1297" t="s">
        <v>106</v>
      </c>
      <c r="F1297">
        <v>140</v>
      </c>
      <c r="G1297">
        <v>144.4</v>
      </c>
      <c r="H1297">
        <v>102.6</v>
      </c>
      <c r="I1297">
        <v>24.3</v>
      </c>
      <c r="J1297">
        <v>-1.3</v>
      </c>
      <c r="K1297">
        <v>93.5</v>
      </c>
      <c r="L1297">
        <v>-3.1</v>
      </c>
      <c r="M1297">
        <v>83.5</v>
      </c>
      <c r="N1297">
        <v>1.23</v>
      </c>
      <c r="O1297">
        <v>49.4</v>
      </c>
      <c r="P1297">
        <v>-5.4</v>
      </c>
      <c r="Q1297">
        <v>-2</v>
      </c>
      <c r="R1297">
        <v>0</v>
      </c>
    </row>
    <row r="1298" spans="1:18" x14ac:dyDescent="0.25">
      <c r="A1298" s="116" t="s">
        <v>126</v>
      </c>
      <c r="B1298" s="10">
        <v>46171</v>
      </c>
      <c r="C1298" t="s">
        <v>107</v>
      </c>
      <c r="D1298" t="s">
        <v>102</v>
      </c>
      <c r="E1298" t="s">
        <v>106</v>
      </c>
      <c r="F1298">
        <v>142.19999999999999</v>
      </c>
      <c r="G1298">
        <v>146.6</v>
      </c>
      <c r="H1298">
        <v>103.2</v>
      </c>
      <c r="I1298">
        <v>25</v>
      </c>
      <c r="J1298">
        <v>2.2999999999999998</v>
      </c>
      <c r="K1298">
        <v>97.4</v>
      </c>
      <c r="L1298">
        <v>5.7</v>
      </c>
      <c r="M1298">
        <v>84.6</v>
      </c>
      <c r="N1298">
        <v>1.22</v>
      </c>
      <c r="O1298">
        <v>49.9</v>
      </c>
      <c r="P1298">
        <v>-3.9</v>
      </c>
      <c r="Q1298">
        <v>-2.9</v>
      </c>
      <c r="R1298">
        <v>0</v>
      </c>
    </row>
    <row r="1299" spans="1:18" x14ac:dyDescent="0.25">
      <c r="A1299" s="116" t="s">
        <v>126</v>
      </c>
      <c r="B1299" s="10">
        <v>46171</v>
      </c>
      <c r="C1299" t="s">
        <v>107</v>
      </c>
      <c r="D1299" t="s">
        <v>102</v>
      </c>
      <c r="E1299" t="s">
        <v>106</v>
      </c>
      <c r="F1299">
        <v>154.30000000000001</v>
      </c>
      <c r="G1299">
        <v>157.5</v>
      </c>
      <c r="H1299">
        <v>109.3</v>
      </c>
      <c r="I1299">
        <v>25.3</v>
      </c>
      <c r="J1299">
        <v>0.8</v>
      </c>
      <c r="K1299">
        <v>111.9</v>
      </c>
      <c r="L1299">
        <v>2.2999999999999998</v>
      </c>
      <c r="M1299">
        <v>86.2</v>
      </c>
      <c r="N1299">
        <v>1.27</v>
      </c>
      <c r="O1299">
        <v>52</v>
      </c>
      <c r="P1299">
        <v>-5.0999999999999996</v>
      </c>
      <c r="Q1299">
        <v>-4.8</v>
      </c>
      <c r="R1299">
        <v>0</v>
      </c>
    </row>
    <row r="1300" spans="1:18" x14ac:dyDescent="0.25">
      <c r="A1300" s="116" t="s">
        <v>126</v>
      </c>
      <c r="B1300" s="10">
        <v>46171</v>
      </c>
      <c r="C1300" t="s">
        <v>107</v>
      </c>
      <c r="D1300" t="s">
        <v>102</v>
      </c>
      <c r="E1300" t="s">
        <v>106</v>
      </c>
      <c r="F1300">
        <v>147.69999999999999</v>
      </c>
      <c r="G1300">
        <v>153.19999999999999</v>
      </c>
      <c r="H1300">
        <v>106.4</v>
      </c>
      <c r="I1300">
        <v>23</v>
      </c>
      <c r="J1300">
        <v>1.2</v>
      </c>
      <c r="K1300">
        <v>95.6</v>
      </c>
      <c r="L1300">
        <v>3.3</v>
      </c>
      <c r="M1300">
        <v>84</v>
      </c>
      <c r="N1300">
        <v>1.27</v>
      </c>
      <c r="O1300">
        <v>48.9</v>
      </c>
      <c r="P1300">
        <v>-5.8</v>
      </c>
      <c r="Q1300">
        <v>-2.6</v>
      </c>
      <c r="R1300">
        <v>0</v>
      </c>
    </row>
    <row r="1301" spans="1:18" x14ac:dyDescent="0.25">
      <c r="A1301" s="116" t="s">
        <v>126</v>
      </c>
      <c r="B1301" s="10">
        <v>46171</v>
      </c>
      <c r="C1301" t="s">
        <v>107</v>
      </c>
      <c r="D1301" t="s">
        <v>102</v>
      </c>
      <c r="E1301" t="s">
        <v>106</v>
      </c>
      <c r="F1301">
        <v>153.19999999999999</v>
      </c>
      <c r="G1301">
        <v>157.5</v>
      </c>
      <c r="H1301">
        <v>109.3</v>
      </c>
      <c r="I1301">
        <v>23.2</v>
      </c>
      <c r="J1301">
        <v>1.6</v>
      </c>
      <c r="K1301">
        <v>102.5</v>
      </c>
      <c r="L1301">
        <v>4.4000000000000004</v>
      </c>
      <c r="M1301">
        <v>87.4</v>
      </c>
      <c r="N1301">
        <v>1.25</v>
      </c>
      <c r="O1301">
        <v>50.1</v>
      </c>
      <c r="P1301">
        <v>-5.5</v>
      </c>
      <c r="Q1301">
        <v>-2.4</v>
      </c>
      <c r="R1301">
        <v>0</v>
      </c>
    </row>
    <row r="1302" spans="1:18" x14ac:dyDescent="0.25">
      <c r="A1302" s="116" t="s">
        <v>126</v>
      </c>
      <c r="B1302" s="10">
        <v>46171</v>
      </c>
      <c r="C1302" t="s">
        <v>107</v>
      </c>
      <c r="D1302" t="s">
        <v>102</v>
      </c>
      <c r="E1302" t="s">
        <v>106</v>
      </c>
      <c r="F1302">
        <v>149.9</v>
      </c>
      <c r="G1302">
        <v>154.30000000000001</v>
      </c>
      <c r="H1302">
        <v>108.2</v>
      </c>
      <c r="I1302">
        <v>20.9</v>
      </c>
      <c r="J1302">
        <v>0.6</v>
      </c>
      <c r="K1302">
        <v>89.8</v>
      </c>
      <c r="L1302">
        <v>1.8</v>
      </c>
      <c r="M1302">
        <v>88.9</v>
      </c>
      <c r="N1302">
        <v>1.22</v>
      </c>
      <c r="O1302">
        <v>47.5</v>
      </c>
      <c r="P1302">
        <v>-5.6</v>
      </c>
      <c r="Q1302">
        <v>-2.5</v>
      </c>
      <c r="R1302">
        <v>0</v>
      </c>
    </row>
    <row r="1303" spans="1:18" x14ac:dyDescent="0.25">
      <c r="A1303" s="116" t="s">
        <v>126</v>
      </c>
      <c r="B1303" s="10">
        <v>46171</v>
      </c>
      <c r="C1303" t="s">
        <v>107</v>
      </c>
      <c r="D1303" t="s">
        <v>102</v>
      </c>
      <c r="E1303" t="s">
        <v>106</v>
      </c>
      <c r="F1303">
        <v>144.4</v>
      </c>
      <c r="G1303">
        <v>153.19999999999999</v>
      </c>
      <c r="H1303">
        <v>107.2</v>
      </c>
      <c r="I1303">
        <v>14.2</v>
      </c>
      <c r="J1303">
        <v>-0.8</v>
      </c>
      <c r="K1303">
        <v>57.8</v>
      </c>
      <c r="L1303">
        <v>-2</v>
      </c>
      <c r="M1303">
        <v>85.6</v>
      </c>
      <c r="N1303">
        <v>1.25</v>
      </c>
      <c r="O1303">
        <v>37.6</v>
      </c>
      <c r="P1303">
        <v>-6.3</v>
      </c>
      <c r="Q1303">
        <v>-1.2</v>
      </c>
      <c r="R1303">
        <v>0</v>
      </c>
    </row>
    <row r="1304" spans="1:18" x14ac:dyDescent="0.25">
      <c r="A1304" s="116" t="s">
        <v>126</v>
      </c>
      <c r="B1304" s="10">
        <v>46171</v>
      </c>
      <c r="C1304" t="s">
        <v>107</v>
      </c>
      <c r="D1304" t="s">
        <v>102</v>
      </c>
      <c r="E1304" t="s">
        <v>106</v>
      </c>
      <c r="F1304">
        <v>156.4</v>
      </c>
      <c r="G1304">
        <v>160.80000000000001</v>
      </c>
      <c r="H1304">
        <v>111.3</v>
      </c>
      <c r="I1304">
        <v>23.1</v>
      </c>
      <c r="J1304">
        <v>0.5</v>
      </c>
      <c r="K1304">
        <v>106.3</v>
      </c>
      <c r="L1304">
        <v>1.3</v>
      </c>
      <c r="M1304">
        <v>89.4</v>
      </c>
      <c r="N1304">
        <v>1.25</v>
      </c>
      <c r="O1304">
        <v>50.6</v>
      </c>
      <c r="P1304">
        <v>-4.3</v>
      </c>
      <c r="Q1304">
        <v>-0.6</v>
      </c>
      <c r="R1304">
        <v>0</v>
      </c>
    </row>
    <row r="1305" spans="1:18" x14ac:dyDescent="0.25">
      <c r="A1305" s="116" t="s">
        <v>126</v>
      </c>
      <c r="B1305" s="10">
        <v>46171</v>
      </c>
      <c r="C1305" t="s">
        <v>107</v>
      </c>
      <c r="D1305" t="s">
        <v>102</v>
      </c>
      <c r="E1305" t="s">
        <v>106</v>
      </c>
      <c r="F1305">
        <v>158.6</v>
      </c>
      <c r="G1305">
        <v>161.9</v>
      </c>
      <c r="H1305">
        <v>112.3</v>
      </c>
      <c r="I1305">
        <v>22.9</v>
      </c>
      <c r="J1305">
        <v>0.2</v>
      </c>
      <c r="K1305">
        <v>107.5</v>
      </c>
      <c r="L1305">
        <v>0.7</v>
      </c>
      <c r="M1305">
        <v>89.3</v>
      </c>
      <c r="N1305">
        <v>1.26</v>
      </c>
      <c r="O1305">
        <v>50.7</v>
      </c>
      <c r="P1305">
        <v>-5.3</v>
      </c>
      <c r="Q1305">
        <v>-1.3</v>
      </c>
      <c r="R1305">
        <v>0</v>
      </c>
    </row>
    <row r="1306" spans="1:18" x14ac:dyDescent="0.25">
      <c r="A1306" s="116" t="s">
        <v>126</v>
      </c>
      <c r="B1306" s="10">
        <v>46171</v>
      </c>
      <c r="C1306" t="s">
        <v>108</v>
      </c>
      <c r="D1306" t="s">
        <v>102</v>
      </c>
      <c r="E1306" t="s">
        <v>106</v>
      </c>
      <c r="F1306">
        <v>157.5</v>
      </c>
      <c r="G1306">
        <v>161.9</v>
      </c>
      <c r="H1306">
        <v>111.6</v>
      </c>
      <c r="I1306">
        <v>22.5</v>
      </c>
      <c r="J1306">
        <v>1</v>
      </c>
      <c r="K1306">
        <v>104</v>
      </c>
      <c r="L1306">
        <v>2.8</v>
      </c>
      <c r="M1306">
        <v>87.9</v>
      </c>
      <c r="N1306">
        <v>1.27</v>
      </c>
      <c r="O1306">
        <v>49.8</v>
      </c>
      <c r="P1306">
        <v>-4.5</v>
      </c>
      <c r="Q1306">
        <v>-1.2</v>
      </c>
      <c r="R1306">
        <v>0</v>
      </c>
    </row>
    <row r="1307" spans="1:18" x14ac:dyDescent="0.25">
      <c r="A1307" s="116" t="s">
        <v>126</v>
      </c>
      <c r="B1307" s="10">
        <v>46171</v>
      </c>
      <c r="C1307" t="s">
        <v>108</v>
      </c>
      <c r="D1307" t="s">
        <v>102</v>
      </c>
      <c r="E1307" t="s">
        <v>106</v>
      </c>
      <c r="F1307">
        <v>158.6</v>
      </c>
      <c r="G1307">
        <v>163</v>
      </c>
      <c r="H1307">
        <v>111.7</v>
      </c>
      <c r="I1307">
        <v>22.4</v>
      </c>
      <c r="J1307">
        <v>1.3</v>
      </c>
      <c r="K1307">
        <v>103.6</v>
      </c>
      <c r="L1307">
        <v>3.8</v>
      </c>
      <c r="M1307">
        <v>89</v>
      </c>
      <c r="N1307">
        <v>1.25</v>
      </c>
      <c r="O1307">
        <v>49.8</v>
      </c>
      <c r="P1307">
        <v>-5.8</v>
      </c>
      <c r="Q1307">
        <v>-5.5</v>
      </c>
      <c r="R1307">
        <v>0</v>
      </c>
    </row>
    <row r="1308" spans="1:18" x14ac:dyDescent="0.25">
      <c r="A1308" s="116" t="s">
        <v>126</v>
      </c>
      <c r="B1308" s="10">
        <v>46171</v>
      </c>
      <c r="C1308" t="s">
        <v>108</v>
      </c>
      <c r="D1308" t="s">
        <v>102</v>
      </c>
      <c r="E1308" t="s">
        <v>106</v>
      </c>
      <c r="F1308">
        <v>148.80000000000001</v>
      </c>
      <c r="G1308">
        <v>154.30000000000001</v>
      </c>
      <c r="H1308">
        <v>106.5</v>
      </c>
      <c r="I1308">
        <v>20.9</v>
      </c>
      <c r="J1308">
        <v>-1.7</v>
      </c>
      <c r="K1308">
        <v>86.7</v>
      </c>
      <c r="L1308">
        <v>-4.3</v>
      </c>
      <c r="M1308">
        <v>85.7</v>
      </c>
      <c r="N1308">
        <v>1.24</v>
      </c>
      <c r="O1308">
        <v>46.6</v>
      </c>
      <c r="P1308">
        <v>-5.3</v>
      </c>
      <c r="Q1308">
        <v>-4.7</v>
      </c>
      <c r="R1308">
        <v>0</v>
      </c>
    </row>
    <row r="1309" spans="1:18" x14ac:dyDescent="0.25">
      <c r="A1309" s="116" t="s">
        <v>126</v>
      </c>
      <c r="B1309" s="10">
        <v>46171</v>
      </c>
      <c r="C1309" t="s">
        <v>108</v>
      </c>
      <c r="D1309" t="s">
        <v>102</v>
      </c>
      <c r="E1309" t="s">
        <v>106</v>
      </c>
      <c r="F1309">
        <v>157.5</v>
      </c>
      <c r="G1309">
        <v>161.9</v>
      </c>
      <c r="H1309">
        <v>111.5</v>
      </c>
      <c r="I1309">
        <v>20.7</v>
      </c>
      <c r="J1309">
        <v>-0.4</v>
      </c>
      <c r="K1309">
        <v>95.5</v>
      </c>
      <c r="L1309">
        <v>-0.9</v>
      </c>
      <c r="M1309">
        <v>88.5</v>
      </c>
      <c r="N1309">
        <v>1.26</v>
      </c>
      <c r="O1309">
        <v>48</v>
      </c>
      <c r="P1309">
        <v>-4.5999999999999996</v>
      </c>
      <c r="Q1309">
        <v>-0.4</v>
      </c>
      <c r="R1309">
        <v>0</v>
      </c>
    </row>
    <row r="1310" spans="1:18" x14ac:dyDescent="0.25">
      <c r="A1310" s="116" t="s">
        <v>126</v>
      </c>
      <c r="B1310" s="10">
        <v>46171</v>
      </c>
      <c r="C1310" t="s">
        <v>108</v>
      </c>
      <c r="D1310" t="s">
        <v>102</v>
      </c>
      <c r="E1310" t="s">
        <v>106</v>
      </c>
      <c r="F1310">
        <v>168.5</v>
      </c>
      <c r="G1310">
        <v>173.9</v>
      </c>
      <c r="H1310">
        <v>117.6</v>
      </c>
      <c r="I1310">
        <v>19.5</v>
      </c>
      <c r="J1310">
        <v>-2.5</v>
      </c>
      <c r="K1310">
        <v>101.4</v>
      </c>
      <c r="L1310">
        <v>-7.2</v>
      </c>
      <c r="M1310">
        <v>86.2</v>
      </c>
      <c r="N1310">
        <v>1.36</v>
      </c>
      <c r="O1310">
        <v>48.3</v>
      </c>
      <c r="P1310">
        <v>-6</v>
      </c>
      <c r="Q1310">
        <v>-1.7</v>
      </c>
      <c r="R1310">
        <v>0</v>
      </c>
    </row>
    <row r="1311" spans="1:18" x14ac:dyDescent="0.25">
      <c r="A1311" s="116" t="s">
        <v>126</v>
      </c>
      <c r="B1311" s="10">
        <v>46171</v>
      </c>
      <c r="C1311" t="s">
        <v>108</v>
      </c>
      <c r="D1311" t="s">
        <v>102</v>
      </c>
      <c r="E1311" t="s">
        <v>106</v>
      </c>
      <c r="F1311">
        <v>165.2</v>
      </c>
      <c r="G1311">
        <v>170.7</v>
      </c>
      <c r="H1311">
        <v>116.2</v>
      </c>
      <c r="I1311">
        <v>20.3</v>
      </c>
      <c r="J1311">
        <v>0.2</v>
      </c>
      <c r="K1311">
        <v>103</v>
      </c>
      <c r="L1311">
        <v>0.8</v>
      </c>
      <c r="M1311">
        <v>89</v>
      </c>
      <c r="N1311">
        <v>1.31</v>
      </c>
      <c r="O1311">
        <v>49</v>
      </c>
      <c r="P1311">
        <v>-5.6</v>
      </c>
      <c r="Q1311">
        <v>-1.8</v>
      </c>
      <c r="R1311">
        <v>0</v>
      </c>
    </row>
    <row r="1312" spans="1:18" x14ac:dyDescent="0.25">
      <c r="A1312" s="116" t="s">
        <v>126</v>
      </c>
      <c r="B1312" s="10">
        <v>46171</v>
      </c>
      <c r="C1312" t="s">
        <v>109</v>
      </c>
      <c r="D1312" t="s">
        <v>102</v>
      </c>
      <c r="E1312" t="s">
        <v>106</v>
      </c>
      <c r="F1312">
        <v>180.5</v>
      </c>
      <c r="G1312">
        <v>184.9</v>
      </c>
      <c r="H1312">
        <v>123.3</v>
      </c>
      <c r="I1312">
        <v>18.600000000000001</v>
      </c>
      <c r="J1312">
        <v>-3.4</v>
      </c>
      <c r="K1312">
        <v>108</v>
      </c>
      <c r="L1312">
        <v>-10.6</v>
      </c>
      <c r="M1312">
        <v>90.1</v>
      </c>
      <c r="N1312">
        <v>1.37</v>
      </c>
      <c r="O1312">
        <v>48.8</v>
      </c>
      <c r="P1312">
        <v>-4.2</v>
      </c>
      <c r="Q1312">
        <v>-3.8</v>
      </c>
      <c r="R1312">
        <v>0</v>
      </c>
    </row>
    <row r="1313" spans="1:18" x14ac:dyDescent="0.25">
      <c r="A1313" s="116" t="s">
        <v>126</v>
      </c>
      <c r="B1313" s="10">
        <v>46171</v>
      </c>
      <c r="C1313" t="s">
        <v>109</v>
      </c>
      <c r="D1313" t="s">
        <v>102</v>
      </c>
      <c r="E1313" t="s">
        <v>106</v>
      </c>
      <c r="F1313">
        <v>158.6</v>
      </c>
      <c r="G1313">
        <v>165.2</v>
      </c>
      <c r="H1313">
        <v>110.9</v>
      </c>
      <c r="I1313">
        <v>18.100000000000001</v>
      </c>
      <c r="J1313">
        <v>-3.2</v>
      </c>
      <c r="K1313">
        <v>81.2</v>
      </c>
      <c r="L1313">
        <v>-8.9</v>
      </c>
      <c r="M1313">
        <v>85.7</v>
      </c>
      <c r="N1313">
        <v>1.29</v>
      </c>
      <c r="O1313">
        <v>43.9</v>
      </c>
      <c r="P1313">
        <v>-4.8</v>
      </c>
      <c r="Q1313">
        <v>-3.2</v>
      </c>
      <c r="R1313">
        <v>0</v>
      </c>
    </row>
    <row r="1314" spans="1:18" x14ac:dyDescent="0.25">
      <c r="A1314" s="116" t="s">
        <v>126</v>
      </c>
      <c r="B1314" s="10">
        <v>46171</v>
      </c>
      <c r="C1314" t="s">
        <v>109</v>
      </c>
      <c r="D1314" t="s">
        <v>102</v>
      </c>
      <c r="E1314" t="s">
        <v>106</v>
      </c>
      <c r="F1314">
        <v>167.4</v>
      </c>
      <c r="G1314">
        <v>172.9</v>
      </c>
      <c r="H1314">
        <v>116.3</v>
      </c>
      <c r="I1314">
        <v>18.899999999999999</v>
      </c>
      <c r="J1314">
        <v>1.3</v>
      </c>
      <c r="K1314">
        <v>95.5</v>
      </c>
      <c r="L1314">
        <v>3.9</v>
      </c>
      <c r="M1314">
        <v>88.5</v>
      </c>
      <c r="N1314">
        <v>1.32</v>
      </c>
      <c r="O1314">
        <v>46.9</v>
      </c>
      <c r="P1314">
        <v>-5.0999999999999996</v>
      </c>
      <c r="Q1314">
        <v>-2.2000000000000002</v>
      </c>
      <c r="R1314">
        <v>0</v>
      </c>
    </row>
    <row r="1315" spans="1:18" x14ac:dyDescent="0.25">
      <c r="A1315" s="116" t="s">
        <v>126</v>
      </c>
      <c r="B1315" s="10">
        <v>46171</v>
      </c>
      <c r="C1315" t="s">
        <v>109</v>
      </c>
      <c r="D1315" t="s">
        <v>102</v>
      </c>
      <c r="E1315" t="s">
        <v>106</v>
      </c>
      <c r="F1315">
        <v>166.3</v>
      </c>
      <c r="G1315">
        <v>169.6</v>
      </c>
      <c r="H1315">
        <v>116.4</v>
      </c>
      <c r="I1315">
        <v>22.6</v>
      </c>
      <c r="J1315">
        <v>5.8</v>
      </c>
      <c r="K1315">
        <v>114.7</v>
      </c>
      <c r="L1315">
        <v>16.899999999999999</v>
      </c>
      <c r="M1315">
        <v>89</v>
      </c>
      <c r="N1315">
        <v>1.31</v>
      </c>
      <c r="O1315">
        <v>51.4</v>
      </c>
      <c r="P1315">
        <v>-4.9000000000000004</v>
      </c>
      <c r="Q1315">
        <v>-0.9</v>
      </c>
      <c r="R1315">
        <v>0</v>
      </c>
    </row>
    <row r="1316" spans="1:18" x14ac:dyDescent="0.25">
      <c r="A1316" s="116" t="s">
        <v>126</v>
      </c>
      <c r="B1316" s="10">
        <v>46171</v>
      </c>
      <c r="C1316" t="s">
        <v>112</v>
      </c>
      <c r="D1316" t="s">
        <v>102</v>
      </c>
      <c r="E1316" t="s">
        <v>113</v>
      </c>
      <c r="F1316">
        <v>213.3</v>
      </c>
      <c r="G1316">
        <v>222.1</v>
      </c>
      <c r="H1316">
        <v>137.5</v>
      </c>
      <c r="I1316">
        <v>11.8</v>
      </c>
      <c r="J1316">
        <v>-5.5</v>
      </c>
      <c r="K1316">
        <v>87.1</v>
      </c>
      <c r="L1316">
        <v>-20.3</v>
      </c>
      <c r="M1316">
        <v>95.9</v>
      </c>
      <c r="N1316">
        <v>1.43</v>
      </c>
      <c r="O1316">
        <v>40.700000000000003</v>
      </c>
      <c r="P1316">
        <v>-4.2</v>
      </c>
      <c r="Q1316">
        <v>-4.2</v>
      </c>
      <c r="R1316">
        <v>0</v>
      </c>
    </row>
    <row r="1317" spans="1:18" x14ac:dyDescent="0.25">
      <c r="A1317" s="116" t="s">
        <v>126</v>
      </c>
      <c r="B1317" s="10">
        <v>46171</v>
      </c>
      <c r="C1317" t="s">
        <v>112</v>
      </c>
      <c r="D1317" t="s">
        <v>102</v>
      </c>
      <c r="E1317" t="s">
        <v>113</v>
      </c>
      <c r="F1317">
        <v>184.9</v>
      </c>
      <c r="G1317">
        <v>192.5</v>
      </c>
      <c r="H1317">
        <v>128.69999999999999</v>
      </c>
      <c r="I1317">
        <v>18.2</v>
      </c>
      <c r="J1317">
        <v>-0.9</v>
      </c>
      <c r="K1317">
        <v>112.8</v>
      </c>
      <c r="L1317">
        <v>-10.3</v>
      </c>
      <c r="M1317">
        <v>90.9</v>
      </c>
      <c r="N1317">
        <v>1.42</v>
      </c>
      <c r="O1317">
        <v>47.5</v>
      </c>
      <c r="P1317">
        <v>-4.4000000000000004</v>
      </c>
      <c r="Q1317">
        <v>-2.2000000000000002</v>
      </c>
      <c r="R1317">
        <v>0</v>
      </c>
    </row>
    <row r="1318" spans="1:18" x14ac:dyDescent="0.25">
      <c r="A1318" s="116" t="s">
        <v>126</v>
      </c>
      <c r="B1318" s="10">
        <v>46171</v>
      </c>
      <c r="C1318" t="s">
        <v>112</v>
      </c>
      <c r="D1318" t="s">
        <v>102</v>
      </c>
      <c r="E1318" t="s">
        <v>113</v>
      </c>
      <c r="F1318">
        <v>210</v>
      </c>
      <c r="G1318">
        <v>215.5</v>
      </c>
      <c r="H1318">
        <v>134.9</v>
      </c>
      <c r="I1318">
        <v>18.2</v>
      </c>
      <c r="J1318">
        <v>-0.3</v>
      </c>
      <c r="K1318">
        <v>125.7</v>
      </c>
      <c r="L1318">
        <v>-0.7</v>
      </c>
      <c r="M1318">
        <v>94.8</v>
      </c>
      <c r="N1318">
        <v>1.42</v>
      </c>
      <c r="O1318">
        <v>49.1</v>
      </c>
      <c r="P1318">
        <v>-2.6</v>
      </c>
      <c r="Q1318">
        <v>-5.7</v>
      </c>
      <c r="R1318">
        <v>0</v>
      </c>
    </row>
    <row r="1319" spans="1:18" x14ac:dyDescent="0.25">
      <c r="A1319" s="116" t="s">
        <v>126</v>
      </c>
      <c r="B1319" s="10">
        <v>46171</v>
      </c>
      <c r="C1319" t="s">
        <v>112</v>
      </c>
      <c r="D1319" t="s">
        <v>102</v>
      </c>
      <c r="E1319" t="s">
        <v>113</v>
      </c>
      <c r="F1319">
        <v>203.5</v>
      </c>
      <c r="G1319">
        <v>210</v>
      </c>
      <c r="H1319">
        <v>131.5</v>
      </c>
      <c r="I1319">
        <v>17.3</v>
      </c>
      <c r="J1319">
        <v>-0.1</v>
      </c>
      <c r="K1319">
        <v>112.6</v>
      </c>
      <c r="L1319">
        <v>-0.1</v>
      </c>
      <c r="M1319">
        <v>93.7</v>
      </c>
      <c r="N1319">
        <v>1.4</v>
      </c>
      <c r="O1319">
        <v>47.1</v>
      </c>
      <c r="P1319">
        <v>-2.4</v>
      </c>
      <c r="Q1319">
        <v>-3.9</v>
      </c>
      <c r="R1319">
        <v>0</v>
      </c>
    </row>
    <row r="1320" spans="1:18" x14ac:dyDescent="0.25">
      <c r="A1320" s="116" t="s">
        <v>126</v>
      </c>
      <c r="B1320" s="10">
        <v>46171</v>
      </c>
      <c r="C1320" t="s">
        <v>97</v>
      </c>
      <c r="D1320" t="s">
        <v>98</v>
      </c>
      <c r="E1320" t="s">
        <v>99</v>
      </c>
      <c r="F1320">
        <v>45.9</v>
      </c>
      <c r="G1320">
        <v>51.4</v>
      </c>
      <c r="H1320">
        <v>48.5</v>
      </c>
      <c r="I1320">
        <v>35.5</v>
      </c>
      <c r="J1320">
        <v>-0.7</v>
      </c>
      <c r="K1320">
        <v>28.8</v>
      </c>
      <c r="L1320">
        <v>-0.5</v>
      </c>
      <c r="M1320">
        <v>58.6</v>
      </c>
      <c r="N1320">
        <v>0.83</v>
      </c>
      <c r="O1320">
        <v>41.9</v>
      </c>
      <c r="P1320">
        <v>-6.7</v>
      </c>
      <c r="Q1320">
        <v>-2.7</v>
      </c>
      <c r="R1320">
        <v>0</v>
      </c>
    </row>
    <row r="1321" spans="1:18" x14ac:dyDescent="0.25">
      <c r="A1321" s="116" t="s">
        <v>126</v>
      </c>
      <c r="B1321" s="10">
        <v>46171</v>
      </c>
      <c r="C1321" t="s">
        <v>97</v>
      </c>
      <c r="D1321" t="s">
        <v>98</v>
      </c>
      <c r="E1321" t="s">
        <v>99</v>
      </c>
      <c r="F1321">
        <v>39.4</v>
      </c>
      <c r="G1321">
        <v>45.9</v>
      </c>
      <c r="H1321">
        <v>45</v>
      </c>
      <c r="I1321">
        <v>33.799999999999997</v>
      </c>
      <c r="J1321">
        <v>-0.6</v>
      </c>
      <c r="K1321">
        <v>22.8</v>
      </c>
      <c r="L1321">
        <v>-0.4</v>
      </c>
      <c r="M1321">
        <v>50.8</v>
      </c>
      <c r="N1321">
        <v>0.89</v>
      </c>
      <c r="O1321">
        <v>38.9</v>
      </c>
      <c r="P1321">
        <v>-7</v>
      </c>
      <c r="Q1321">
        <v>-2.6</v>
      </c>
      <c r="R1321">
        <v>0</v>
      </c>
    </row>
    <row r="1322" spans="1:18" x14ac:dyDescent="0.25">
      <c r="A1322" s="116" t="s">
        <v>126</v>
      </c>
      <c r="B1322" s="10">
        <v>46171</v>
      </c>
      <c r="C1322" t="s">
        <v>97</v>
      </c>
      <c r="D1322" t="s">
        <v>98</v>
      </c>
      <c r="E1322" t="s">
        <v>99</v>
      </c>
      <c r="F1322">
        <v>27.4</v>
      </c>
      <c r="G1322">
        <v>35</v>
      </c>
      <c r="H1322">
        <v>37.799999999999997</v>
      </c>
      <c r="I1322">
        <v>29.6</v>
      </c>
      <c r="J1322">
        <v>-4</v>
      </c>
      <c r="K1322">
        <v>12.6</v>
      </c>
      <c r="L1322">
        <v>-1.9</v>
      </c>
      <c r="M1322">
        <v>47.5</v>
      </c>
      <c r="N1322">
        <v>0.79</v>
      </c>
      <c r="O1322">
        <v>32.6</v>
      </c>
      <c r="P1322">
        <v>-8.4</v>
      </c>
      <c r="Q1322">
        <v>-2.4</v>
      </c>
      <c r="R1322">
        <v>0</v>
      </c>
    </row>
    <row r="1323" spans="1:18" x14ac:dyDescent="0.25">
      <c r="A1323" s="116" t="s">
        <v>126</v>
      </c>
      <c r="B1323" s="10">
        <v>46171</v>
      </c>
      <c r="C1323" t="s">
        <v>97</v>
      </c>
      <c r="D1323" t="s">
        <v>98</v>
      </c>
      <c r="E1323" t="s">
        <v>99</v>
      </c>
      <c r="F1323">
        <v>83.1</v>
      </c>
      <c r="G1323">
        <v>86.4</v>
      </c>
      <c r="H1323">
        <v>70.8</v>
      </c>
      <c r="I1323">
        <v>36.299999999999997</v>
      </c>
      <c r="J1323">
        <v>-3</v>
      </c>
      <c r="K1323">
        <v>66.2</v>
      </c>
      <c r="L1323">
        <v>-4.3</v>
      </c>
      <c r="M1323">
        <v>81.2</v>
      </c>
      <c r="N1323">
        <v>0.87</v>
      </c>
      <c r="O1323">
        <v>50.7</v>
      </c>
      <c r="P1323">
        <v>-4.5</v>
      </c>
      <c r="Q1323">
        <v>-1.9</v>
      </c>
      <c r="R1323">
        <v>0</v>
      </c>
    </row>
    <row r="1324" spans="1:18" x14ac:dyDescent="0.25">
      <c r="A1324" s="116" t="s">
        <v>126</v>
      </c>
      <c r="B1324" s="10">
        <v>46171</v>
      </c>
      <c r="C1324" t="s">
        <v>97</v>
      </c>
      <c r="D1324" t="s">
        <v>98</v>
      </c>
      <c r="E1324" t="s">
        <v>99</v>
      </c>
      <c r="F1324">
        <v>83.1</v>
      </c>
      <c r="G1324">
        <v>86.4</v>
      </c>
      <c r="H1324">
        <v>71.2</v>
      </c>
      <c r="I1324">
        <v>36.4</v>
      </c>
      <c r="J1324">
        <v>-2.7</v>
      </c>
      <c r="K1324">
        <v>67.3</v>
      </c>
      <c r="L1324">
        <v>-3.9</v>
      </c>
      <c r="M1324">
        <v>80.599999999999994</v>
      </c>
      <c r="N1324">
        <v>0.88</v>
      </c>
      <c r="O1324">
        <v>51</v>
      </c>
      <c r="P1324">
        <v>-4.2</v>
      </c>
      <c r="Q1324">
        <v>-1</v>
      </c>
      <c r="R1324">
        <v>0</v>
      </c>
    </row>
    <row r="1325" spans="1:18" x14ac:dyDescent="0.25">
      <c r="A1325" s="116" t="s">
        <v>126</v>
      </c>
      <c r="B1325" s="10">
        <v>46171</v>
      </c>
      <c r="C1325" t="s">
        <v>97</v>
      </c>
      <c r="D1325" t="s">
        <v>98</v>
      </c>
      <c r="E1325" t="s">
        <v>99</v>
      </c>
      <c r="F1325">
        <v>86.4</v>
      </c>
      <c r="G1325">
        <v>90.8</v>
      </c>
      <c r="H1325">
        <v>72.5</v>
      </c>
      <c r="I1325">
        <v>30.8</v>
      </c>
      <c r="J1325">
        <v>-5.2</v>
      </c>
      <c r="K1325">
        <v>56.5</v>
      </c>
      <c r="L1325">
        <v>-7.8</v>
      </c>
      <c r="M1325">
        <v>82.2</v>
      </c>
      <c r="N1325">
        <v>0.88</v>
      </c>
      <c r="O1325">
        <v>45.8</v>
      </c>
      <c r="P1325">
        <v>-5.6</v>
      </c>
      <c r="Q1325">
        <v>-4.8</v>
      </c>
      <c r="R1325">
        <v>0</v>
      </c>
    </row>
    <row r="1326" spans="1:18" x14ac:dyDescent="0.25">
      <c r="A1326" s="116" t="s">
        <v>126</v>
      </c>
      <c r="B1326" s="10">
        <v>46171</v>
      </c>
      <c r="C1326" t="s">
        <v>97</v>
      </c>
      <c r="D1326" t="s">
        <v>98</v>
      </c>
      <c r="E1326" t="s">
        <v>99</v>
      </c>
      <c r="F1326">
        <v>81</v>
      </c>
      <c r="G1326">
        <v>84.2</v>
      </c>
      <c r="H1326">
        <v>70</v>
      </c>
      <c r="I1326">
        <v>38.299999999999997</v>
      </c>
      <c r="J1326">
        <v>0.3</v>
      </c>
      <c r="K1326">
        <v>69.099999999999994</v>
      </c>
      <c r="L1326">
        <v>0.5</v>
      </c>
      <c r="M1326">
        <v>82.9</v>
      </c>
      <c r="N1326">
        <v>0.84</v>
      </c>
      <c r="O1326">
        <v>52.3</v>
      </c>
      <c r="P1326">
        <v>-5.3</v>
      </c>
      <c r="Q1326">
        <v>-2.5</v>
      </c>
      <c r="R1326">
        <v>0</v>
      </c>
    </row>
    <row r="1327" spans="1:18" x14ac:dyDescent="0.25">
      <c r="A1327" s="116" t="s">
        <v>126</v>
      </c>
      <c r="B1327" s="10">
        <v>46171</v>
      </c>
      <c r="C1327" t="s">
        <v>97</v>
      </c>
      <c r="D1327" t="s">
        <v>98</v>
      </c>
      <c r="E1327" t="s">
        <v>99</v>
      </c>
      <c r="F1327">
        <v>88.6</v>
      </c>
      <c r="G1327">
        <v>90.8</v>
      </c>
      <c r="H1327">
        <v>74.400000000000006</v>
      </c>
      <c r="I1327">
        <v>37.9</v>
      </c>
      <c r="J1327">
        <v>-1</v>
      </c>
      <c r="K1327">
        <v>77.5</v>
      </c>
      <c r="L1327">
        <v>-1.5</v>
      </c>
      <c r="M1327">
        <v>80.7</v>
      </c>
      <c r="N1327">
        <v>0.92</v>
      </c>
      <c r="O1327">
        <v>53.4</v>
      </c>
      <c r="P1327">
        <v>-2.4</v>
      </c>
      <c r="Q1327">
        <v>-2</v>
      </c>
      <c r="R132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C62F-1EE4-41EB-8D02-0C0F74B0F520}">
  <dimension ref="A1:T125"/>
  <sheetViews>
    <sheetView topLeftCell="A100" workbookViewId="0">
      <selection activeCell="E107" sqref="E107"/>
    </sheetView>
  </sheetViews>
  <sheetFormatPr defaultColWidth="8.7109375" defaultRowHeight="15" x14ac:dyDescent="0.25"/>
  <cols>
    <col min="1" max="1" width="8.7109375" style="6"/>
    <col min="2" max="2" width="13.42578125" style="6" bestFit="1" customWidth="1"/>
    <col min="3" max="3" width="9" style="6" bestFit="1" customWidth="1"/>
    <col min="4" max="4" width="10.85546875" style="6" bestFit="1" customWidth="1"/>
    <col min="5" max="5" width="15.85546875" style="6" bestFit="1" customWidth="1"/>
    <col min="6" max="6" width="12.85546875" style="6" bestFit="1" customWidth="1"/>
    <col min="7" max="7" width="12.5703125" style="6" bestFit="1" customWidth="1"/>
    <col min="8" max="8" width="9.42578125" style="6" bestFit="1" customWidth="1"/>
    <col min="9" max="9" width="11.85546875" style="6" bestFit="1" customWidth="1"/>
    <col min="10" max="10" width="14.85546875" style="6" bestFit="1" customWidth="1"/>
    <col min="11" max="11" width="5.85546875" style="6" bestFit="1" customWidth="1"/>
    <col min="12" max="12" width="9.140625" style="6" bestFit="1" customWidth="1"/>
    <col min="13" max="13" width="10.140625" style="6" bestFit="1" customWidth="1"/>
    <col min="14" max="14" width="11.85546875" style="6" bestFit="1" customWidth="1"/>
    <col min="15" max="15" width="12.5703125" style="6" bestFit="1" customWidth="1"/>
    <col min="16" max="16384" width="8.7109375" style="6"/>
  </cols>
  <sheetData>
    <row r="1" spans="1:20" x14ac:dyDescent="0.25">
      <c r="A1" s="34" t="s">
        <v>125</v>
      </c>
      <c r="B1" s="6" t="s">
        <v>24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  <c r="M1" s="6" t="s">
        <v>94</v>
      </c>
      <c r="N1" s="6" t="s">
        <v>95</v>
      </c>
      <c r="O1" s="6" t="s">
        <v>96</v>
      </c>
      <c r="P1" t="s">
        <v>122</v>
      </c>
      <c r="Q1" t="s">
        <v>123</v>
      </c>
      <c r="R1" t="s">
        <v>124</v>
      </c>
      <c r="S1" t="s">
        <v>142</v>
      </c>
      <c r="T1" t="s">
        <v>143</v>
      </c>
    </row>
    <row r="2" spans="1:20" x14ac:dyDescent="0.25">
      <c r="A2" s="34" t="s">
        <v>126</v>
      </c>
      <c r="B2" s="6" t="s">
        <v>16</v>
      </c>
      <c r="C2" s="6" t="s">
        <v>116</v>
      </c>
      <c r="D2" s="6" t="s">
        <v>102</v>
      </c>
      <c r="E2" s="6" t="s">
        <v>115</v>
      </c>
      <c r="F2" s="6">
        <v>216.6</v>
      </c>
      <c r="G2" s="6">
        <v>223.2</v>
      </c>
      <c r="H2" s="6">
        <v>141.19999999999999</v>
      </c>
      <c r="I2" s="6">
        <v>0.8</v>
      </c>
      <c r="J2" s="6">
        <v>-8.8000000000000007</v>
      </c>
      <c r="K2" s="6">
        <v>17.399999999999999</v>
      </c>
      <c r="L2" s="6">
        <v>-26.7</v>
      </c>
      <c r="M2" s="6">
        <v>105.1</v>
      </c>
      <c r="N2" s="6">
        <v>1.34</v>
      </c>
      <c r="O2" s="6">
        <v>14.3</v>
      </c>
    </row>
    <row r="3" spans="1:20" x14ac:dyDescent="0.25">
      <c r="A3" s="34" t="s">
        <v>126</v>
      </c>
      <c r="B3" s="6" t="s">
        <v>16</v>
      </c>
      <c r="C3" s="6" t="s">
        <v>114</v>
      </c>
      <c r="D3" s="6" t="s">
        <v>102</v>
      </c>
      <c r="E3" s="6" t="s">
        <v>115</v>
      </c>
      <c r="F3" s="6">
        <v>222.1</v>
      </c>
      <c r="G3" s="6">
        <v>226.5</v>
      </c>
      <c r="H3" s="6">
        <v>140.9</v>
      </c>
      <c r="I3" s="6">
        <v>9.6</v>
      </c>
      <c r="J3" s="6">
        <v>-5.2</v>
      </c>
      <c r="K3" s="6">
        <v>67.3</v>
      </c>
      <c r="L3" s="6">
        <v>23.4</v>
      </c>
      <c r="M3" s="6">
        <v>102.4</v>
      </c>
      <c r="N3" s="6">
        <v>1.38</v>
      </c>
      <c r="O3" s="6">
        <v>33.1</v>
      </c>
    </row>
    <row r="4" spans="1:20" x14ac:dyDescent="0.25">
      <c r="A4" s="34" t="s">
        <v>126</v>
      </c>
      <c r="B4" s="6" t="s">
        <v>16</v>
      </c>
      <c r="C4" s="6" t="s">
        <v>97</v>
      </c>
      <c r="D4" s="6" t="s">
        <v>98</v>
      </c>
      <c r="E4" s="6" t="s">
        <v>99</v>
      </c>
      <c r="F4" s="6">
        <v>50.3</v>
      </c>
      <c r="G4" s="6">
        <v>52.5</v>
      </c>
      <c r="H4" s="6">
        <v>52.5</v>
      </c>
      <c r="I4" s="6">
        <v>44.3</v>
      </c>
      <c r="J4" s="6">
        <v>-5</v>
      </c>
      <c r="K4" s="6">
        <v>46.5</v>
      </c>
      <c r="L4" s="6">
        <v>-4.5</v>
      </c>
      <c r="M4" s="6">
        <v>52.9</v>
      </c>
      <c r="N4" s="6">
        <v>0.99</v>
      </c>
      <c r="O4" s="6">
        <v>52.2</v>
      </c>
    </row>
    <row r="5" spans="1:20" x14ac:dyDescent="0.25">
      <c r="A5" s="34" t="s">
        <v>126</v>
      </c>
      <c r="B5" s="6" t="s">
        <v>16</v>
      </c>
      <c r="C5" s="6" t="s">
        <v>97</v>
      </c>
      <c r="D5" s="6" t="s">
        <v>98</v>
      </c>
      <c r="E5" s="6" t="s">
        <v>99</v>
      </c>
      <c r="F5" s="6">
        <v>12</v>
      </c>
      <c r="G5" s="6">
        <v>17.5</v>
      </c>
      <c r="H5" s="6">
        <v>22.6</v>
      </c>
      <c r="I5" s="6">
        <v>34.4</v>
      </c>
      <c r="J5" s="6">
        <v>-3.4</v>
      </c>
      <c r="K5" s="6">
        <v>5.6</v>
      </c>
      <c r="L5" s="6">
        <v>-0.6</v>
      </c>
      <c r="M5" s="6">
        <v>22.2</v>
      </c>
      <c r="N5" s="6">
        <v>1.02</v>
      </c>
      <c r="O5" s="6">
        <v>35.4</v>
      </c>
    </row>
    <row r="6" spans="1:20" x14ac:dyDescent="0.25">
      <c r="A6" s="34" t="s">
        <v>126</v>
      </c>
      <c r="B6" s="6" t="s">
        <v>16</v>
      </c>
      <c r="C6" s="6" t="s">
        <v>116</v>
      </c>
      <c r="D6" s="6" t="s">
        <v>102</v>
      </c>
      <c r="E6" s="6" t="s">
        <v>115</v>
      </c>
      <c r="F6" s="6">
        <v>148.80000000000001</v>
      </c>
      <c r="G6" s="6">
        <v>148.80000000000001</v>
      </c>
      <c r="H6" s="6">
        <v>136.4</v>
      </c>
      <c r="I6" s="6">
        <v>9.6</v>
      </c>
      <c r="J6" s="6">
        <v>-9.4</v>
      </c>
      <c r="K6" s="6">
        <v>68.400000000000006</v>
      </c>
      <c r="L6" s="6">
        <v>-15.9</v>
      </c>
      <c r="M6" s="6">
        <v>109.6</v>
      </c>
      <c r="N6" s="6">
        <v>1.24</v>
      </c>
      <c r="O6" s="6">
        <v>35.299999999999997</v>
      </c>
    </row>
    <row r="7" spans="1:20" x14ac:dyDescent="0.25">
      <c r="A7" s="34" t="s">
        <v>126</v>
      </c>
      <c r="B7" s="6" t="s">
        <v>16</v>
      </c>
      <c r="C7" s="6" t="s">
        <v>108</v>
      </c>
      <c r="D7" s="6" t="s">
        <v>102</v>
      </c>
      <c r="E7" s="6" t="s">
        <v>106</v>
      </c>
      <c r="F7" s="6">
        <v>93</v>
      </c>
      <c r="G7" s="6">
        <v>100.6</v>
      </c>
      <c r="H7" s="6">
        <v>83</v>
      </c>
      <c r="I7" s="6">
        <v>14</v>
      </c>
      <c r="J7" s="6">
        <v>10</v>
      </c>
      <c r="K7" s="6">
        <v>26</v>
      </c>
      <c r="L7" s="6">
        <v>23.8</v>
      </c>
      <c r="M7" s="6">
        <v>70.099999999999994</v>
      </c>
      <c r="N7" s="6">
        <v>1.18</v>
      </c>
      <c r="O7" s="6">
        <v>25.3</v>
      </c>
    </row>
    <row r="8" spans="1:20" x14ac:dyDescent="0.25">
      <c r="A8" s="34" t="s">
        <v>126</v>
      </c>
      <c r="B8" s="6" t="s">
        <v>16</v>
      </c>
      <c r="C8" s="6" t="s">
        <v>105</v>
      </c>
      <c r="D8" s="6" t="s">
        <v>102</v>
      </c>
      <c r="E8" s="6" t="s">
        <v>106</v>
      </c>
      <c r="F8" s="6">
        <v>124.7</v>
      </c>
      <c r="G8" s="6">
        <v>131.30000000000001</v>
      </c>
      <c r="H8" s="6">
        <v>97.4</v>
      </c>
      <c r="I8" s="6">
        <v>30.9</v>
      </c>
      <c r="J8" s="6">
        <v>4</v>
      </c>
      <c r="K8" s="6">
        <v>107.9</v>
      </c>
      <c r="L8" s="6">
        <v>9.3000000000000007</v>
      </c>
      <c r="M8" s="6">
        <v>86.2</v>
      </c>
      <c r="N8" s="6">
        <v>1.1299999999999999</v>
      </c>
      <c r="O8" s="6">
        <v>54</v>
      </c>
    </row>
    <row r="9" spans="1:20" x14ac:dyDescent="0.25">
      <c r="A9" s="34" t="s">
        <v>126</v>
      </c>
      <c r="B9" s="6" t="s">
        <v>16</v>
      </c>
      <c r="C9" s="6" t="s">
        <v>108</v>
      </c>
      <c r="D9" s="6" t="s">
        <v>102</v>
      </c>
      <c r="E9" s="6" t="s">
        <v>106</v>
      </c>
      <c r="F9" s="6">
        <v>165.2</v>
      </c>
      <c r="G9" s="6">
        <v>166.3</v>
      </c>
      <c r="H9" s="6">
        <v>114.8</v>
      </c>
      <c r="I9" s="6">
        <v>19.7</v>
      </c>
      <c r="J9" s="6">
        <v>2.8</v>
      </c>
      <c r="K9" s="6">
        <v>97.1</v>
      </c>
      <c r="L9" s="6">
        <v>31.1</v>
      </c>
      <c r="M9" s="6">
        <v>87.9</v>
      </c>
      <c r="N9" s="6">
        <v>1.31</v>
      </c>
      <c r="O9" s="6">
        <v>48.3</v>
      </c>
    </row>
    <row r="10" spans="1:20" x14ac:dyDescent="0.25">
      <c r="A10" s="34" t="s">
        <v>126</v>
      </c>
      <c r="B10" s="6" t="s">
        <v>16</v>
      </c>
      <c r="C10" s="6" t="s">
        <v>97</v>
      </c>
      <c r="D10" s="6" t="s">
        <v>98</v>
      </c>
      <c r="E10" s="6" t="s">
        <v>99</v>
      </c>
      <c r="F10" s="6">
        <v>26.3</v>
      </c>
      <c r="G10" s="6">
        <v>37.200000000000003</v>
      </c>
      <c r="H10" s="6">
        <v>38.4</v>
      </c>
      <c r="I10" s="6">
        <v>32.4</v>
      </c>
      <c r="J10" s="6">
        <v>-7.2</v>
      </c>
      <c r="K10" s="6">
        <v>15.2</v>
      </c>
      <c r="L10" s="6">
        <v>-4.9000000000000004</v>
      </c>
      <c r="M10" s="6">
        <v>36.299999999999997</v>
      </c>
      <c r="N10" s="6">
        <v>1.06</v>
      </c>
      <c r="O10" s="6">
        <v>35.799999999999997</v>
      </c>
    </row>
    <row r="11" spans="1:20" x14ac:dyDescent="0.25">
      <c r="A11" s="34" t="s">
        <v>126</v>
      </c>
      <c r="B11" s="6" t="s">
        <v>16</v>
      </c>
      <c r="C11" s="6" t="s">
        <v>116</v>
      </c>
      <c r="D11" s="6" t="s">
        <v>102</v>
      </c>
      <c r="E11" s="6" t="s">
        <v>115</v>
      </c>
      <c r="F11" s="6">
        <v>221</v>
      </c>
      <c r="G11" s="6">
        <v>227.6</v>
      </c>
      <c r="H11" s="6">
        <v>142.19999999999999</v>
      </c>
      <c r="I11" s="6">
        <v>13.8</v>
      </c>
      <c r="J11" s="6">
        <v>-2.7</v>
      </c>
      <c r="K11" s="6">
        <v>106.9</v>
      </c>
      <c r="L11" s="6">
        <v>-10.5</v>
      </c>
      <c r="M11" s="6">
        <v>104</v>
      </c>
      <c r="N11" s="6">
        <v>1.37</v>
      </c>
      <c r="O11" s="6">
        <v>44.2</v>
      </c>
    </row>
    <row r="12" spans="1:20" x14ac:dyDescent="0.25">
      <c r="A12" s="34" t="s">
        <v>126</v>
      </c>
      <c r="B12" s="6" t="s">
        <v>16</v>
      </c>
      <c r="C12" s="6" t="s">
        <v>114</v>
      </c>
      <c r="D12" s="6" t="s">
        <v>102</v>
      </c>
      <c r="E12" s="6" t="s">
        <v>115</v>
      </c>
      <c r="F12" s="6">
        <v>192.5</v>
      </c>
      <c r="G12" s="6">
        <v>196.9</v>
      </c>
      <c r="H12" s="6">
        <v>133.5</v>
      </c>
      <c r="I12" s="6">
        <v>12.7</v>
      </c>
      <c r="J12" s="6">
        <v>-4.4000000000000004</v>
      </c>
      <c r="K12" s="6">
        <v>85.8</v>
      </c>
      <c r="L12" s="6">
        <v>28.4</v>
      </c>
      <c r="M12" s="6">
        <v>99.6</v>
      </c>
      <c r="N12" s="6">
        <v>1.34</v>
      </c>
      <c r="O12" s="6">
        <v>40.6</v>
      </c>
    </row>
    <row r="13" spans="1:20" x14ac:dyDescent="0.25">
      <c r="A13" s="34" t="s">
        <v>126</v>
      </c>
      <c r="B13" s="6" t="s">
        <v>16</v>
      </c>
      <c r="C13" s="6" t="s">
        <v>97</v>
      </c>
      <c r="D13" s="6" t="s">
        <v>98</v>
      </c>
      <c r="E13" s="6" t="s">
        <v>99</v>
      </c>
      <c r="F13" s="6">
        <v>42.7</v>
      </c>
      <c r="G13" s="6">
        <v>52.5</v>
      </c>
      <c r="H13" s="6">
        <v>49</v>
      </c>
      <c r="I13" s="6">
        <v>42.4</v>
      </c>
      <c r="J13" s="6">
        <v>-5.4</v>
      </c>
      <c r="K13" s="6">
        <v>38.1</v>
      </c>
      <c r="L13" s="6">
        <v>-4.4000000000000004</v>
      </c>
      <c r="M13" s="6">
        <v>49</v>
      </c>
      <c r="N13" s="6">
        <v>1</v>
      </c>
      <c r="O13" s="6">
        <v>49.2</v>
      </c>
    </row>
    <row r="14" spans="1:20" x14ac:dyDescent="0.25">
      <c r="A14" s="34" t="s">
        <v>126</v>
      </c>
      <c r="B14" s="6" t="s">
        <v>16</v>
      </c>
      <c r="C14" s="6" t="s">
        <v>97</v>
      </c>
      <c r="D14" s="6" t="s">
        <v>98</v>
      </c>
      <c r="E14" s="6" t="s">
        <v>99</v>
      </c>
      <c r="F14" s="6">
        <v>3.3</v>
      </c>
      <c r="G14" s="6">
        <v>3.3</v>
      </c>
      <c r="H14" s="6">
        <v>13.4</v>
      </c>
      <c r="I14" s="6">
        <v>63.2</v>
      </c>
      <c r="J14" s="6">
        <v>-6.6</v>
      </c>
      <c r="K14" s="6">
        <v>4.8</v>
      </c>
      <c r="L14" s="6">
        <v>-0.4</v>
      </c>
      <c r="M14" s="6">
        <v>15.9</v>
      </c>
      <c r="N14" s="6">
        <v>0.84</v>
      </c>
      <c r="O14" s="6">
        <v>63.5</v>
      </c>
    </row>
    <row r="15" spans="1:20" x14ac:dyDescent="0.25">
      <c r="A15" s="34" t="s">
        <v>126</v>
      </c>
      <c r="B15" s="6" t="s">
        <v>16</v>
      </c>
      <c r="C15" s="6" t="s">
        <v>116</v>
      </c>
      <c r="D15" s="6" t="s">
        <v>102</v>
      </c>
      <c r="E15" s="6" t="s">
        <v>115</v>
      </c>
      <c r="F15" s="6">
        <v>228.6</v>
      </c>
      <c r="G15" s="6">
        <v>233</v>
      </c>
      <c r="H15" s="6">
        <v>143.30000000000001</v>
      </c>
      <c r="I15" s="6">
        <v>9.1</v>
      </c>
      <c r="J15" s="6">
        <v>-7.3</v>
      </c>
      <c r="K15" s="6">
        <v>72.7</v>
      </c>
      <c r="L15" s="6">
        <v>7.2</v>
      </c>
      <c r="M15" s="6">
        <v>106.2</v>
      </c>
      <c r="N15" s="6">
        <v>1.35</v>
      </c>
      <c r="O15" s="6">
        <v>35.6</v>
      </c>
    </row>
    <row r="16" spans="1:20" x14ac:dyDescent="0.25">
      <c r="A16" s="34" t="s">
        <v>126</v>
      </c>
      <c r="B16" s="6" t="s">
        <v>16</v>
      </c>
      <c r="C16" s="6" t="s">
        <v>114</v>
      </c>
      <c r="D16" s="6" t="s">
        <v>102</v>
      </c>
      <c r="E16" s="6" t="s">
        <v>115</v>
      </c>
      <c r="F16" s="6">
        <v>79.900000000000006</v>
      </c>
      <c r="G16" s="6">
        <v>83.1</v>
      </c>
      <c r="H16" s="6">
        <v>138</v>
      </c>
      <c r="I16" s="6">
        <v>5</v>
      </c>
      <c r="J16" s="6">
        <v>-7.3</v>
      </c>
      <c r="K16" s="6">
        <v>36.1</v>
      </c>
      <c r="L16" s="6">
        <v>7.7</v>
      </c>
      <c r="M16" s="6">
        <v>99</v>
      </c>
      <c r="N16" s="6">
        <v>1.39</v>
      </c>
      <c r="O16" s="6">
        <v>22.8</v>
      </c>
    </row>
    <row r="17" spans="1:15" x14ac:dyDescent="0.25">
      <c r="A17" s="34" t="s">
        <v>126</v>
      </c>
      <c r="B17" s="6" t="s">
        <v>16</v>
      </c>
      <c r="C17" s="6" t="s">
        <v>104</v>
      </c>
      <c r="D17" s="6" t="s">
        <v>102</v>
      </c>
      <c r="E17" s="6" t="s">
        <v>103</v>
      </c>
      <c r="F17" s="6">
        <v>126.9</v>
      </c>
      <c r="G17" s="6">
        <v>126.9</v>
      </c>
      <c r="H17" s="6">
        <v>100.9</v>
      </c>
      <c r="I17" s="6">
        <v>37.200000000000003</v>
      </c>
      <c r="J17" s="6">
        <v>5.0999999999999996</v>
      </c>
      <c r="K17" s="6">
        <v>139.5</v>
      </c>
      <c r="L17" s="6">
        <v>19.7</v>
      </c>
      <c r="M17" s="6">
        <v>85.7</v>
      </c>
      <c r="N17" s="6">
        <v>1.18</v>
      </c>
      <c r="O17" s="6">
        <v>61.3</v>
      </c>
    </row>
    <row r="18" spans="1:15" x14ac:dyDescent="0.25">
      <c r="A18" s="34" t="s">
        <v>126</v>
      </c>
      <c r="B18" s="6" t="s">
        <v>16</v>
      </c>
      <c r="C18" s="6" t="s">
        <v>97</v>
      </c>
      <c r="D18" s="6" t="s">
        <v>98</v>
      </c>
      <c r="E18" s="6" t="s">
        <v>99</v>
      </c>
      <c r="F18" s="6">
        <v>13.1</v>
      </c>
      <c r="G18" s="6">
        <v>18.600000000000001</v>
      </c>
      <c r="H18" s="6">
        <v>25.9</v>
      </c>
      <c r="I18" s="6">
        <v>38.299999999999997</v>
      </c>
      <c r="J18" s="6">
        <v>-3.5</v>
      </c>
      <c r="K18" s="6">
        <v>8.8000000000000007</v>
      </c>
      <c r="L18" s="6">
        <v>-0.9</v>
      </c>
      <c r="M18" s="6">
        <v>24.6</v>
      </c>
      <c r="N18" s="6">
        <v>1.06</v>
      </c>
      <c r="O18" s="6">
        <v>39.700000000000003</v>
      </c>
    </row>
    <row r="19" spans="1:15" x14ac:dyDescent="0.25">
      <c r="A19" s="34" t="s">
        <v>126</v>
      </c>
      <c r="B19" s="6" t="s">
        <v>16</v>
      </c>
      <c r="C19" s="6" t="s">
        <v>116</v>
      </c>
      <c r="D19" s="6" t="s">
        <v>102</v>
      </c>
      <c r="E19" s="6" t="s">
        <v>115</v>
      </c>
      <c r="F19" s="6">
        <v>195.8</v>
      </c>
      <c r="G19" s="6">
        <v>199.1</v>
      </c>
      <c r="H19" s="6">
        <v>132.5</v>
      </c>
      <c r="I19" s="6">
        <v>9.9</v>
      </c>
      <c r="J19" s="6">
        <v>-7.6</v>
      </c>
      <c r="K19" s="6">
        <v>70.599999999999994</v>
      </c>
      <c r="L19" s="6">
        <v>2</v>
      </c>
      <c r="M19" s="6">
        <v>105.1</v>
      </c>
      <c r="N19" s="6">
        <v>1.26</v>
      </c>
      <c r="O19" s="6">
        <v>37.9</v>
      </c>
    </row>
    <row r="20" spans="1:15" x14ac:dyDescent="0.25">
      <c r="A20" s="34" t="s">
        <v>126</v>
      </c>
      <c r="B20" s="6" t="s">
        <v>16</v>
      </c>
      <c r="C20" s="6" t="s">
        <v>108</v>
      </c>
      <c r="D20" s="6" t="s">
        <v>102</v>
      </c>
      <c r="E20" s="6" t="s">
        <v>106</v>
      </c>
      <c r="F20" s="6">
        <v>148.80000000000001</v>
      </c>
      <c r="G20" s="6">
        <v>158.6</v>
      </c>
      <c r="H20" s="6">
        <v>107.4</v>
      </c>
      <c r="I20" s="6">
        <v>21.4</v>
      </c>
      <c r="J20" s="6">
        <v>4.4000000000000004</v>
      </c>
      <c r="K20" s="6">
        <v>90.3</v>
      </c>
      <c r="L20" s="6">
        <v>21.2</v>
      </c>
      <c r="M20" s="6">
        <v>87.9</v>
      </c>
      <c r="N20" s="6">
        <v>1.22</v>
      </c>
      <c r="O20" s="6">
        <v>48.1</v>
      </c>
    </row>
    <row r="21" spans="1:15" x14ac:dyDescent="0.25">
      <c r="A21" s="34" t="s">
        <v>126</v>
      </c>
      <c r="B21" s="6" t="s">
        <v>16</v>
      </c>
      <c r="C21" s="6" t="s">
        <v>97</v>
      </c>
      <c r="D21" s="6" t="s">
        <v>98</v>
      </c>
      <c r="E21" s="6" t="s">
        <v>99</v>
      </c>
      <c r="F21" s="6">
        <v>6.6</v>
      </c>
      <c r="G21" s="6">
        <v>7.7</v>
      </c>
      <c r="H21" s="6">
        <v>23.3</v>
      </c>
      <c r="I21" s="6">
        <v>38</v>
      </c>
      <c r="J21" s="6">
        <v>2.5</v>
      </c>
      <c r="K21" s="6">
        <v>7</v>
      </c>
      <c r="L21" s="6">
        <v>0.3</v>
      </c>
      <c r="M21" s="6">
        <v>27.9</v>
      </c>
      <c r="N21" s="6">
        <v>0.83</v>
      </c>
      <c r="O21" s="6">
        <v>39.1</v>
      </c>
    </row>
    <row r="22" spans="1:15" x14ac:dyDescent="0.25">
      <c r="A22" s="34" t="s">
        <v>126</v>
      </c>
      <c r="B22" s="6" t="s">
        <v>16</v>
      </c>
      <c r="C22" s="6" t="s">
        <v>97</v>
      </c>
      <c r="D22" s="6" t="s">
        <v>98</v>
      </c>
      <c r="E22" s="6" t="s">
        <v>99</v>
      </c>
      <c r="F22" s="6">
        <v>13.1</v>
      </c>
      <c r="G22" s="6">
        <v>18.600000000000001</v>
      </c>
      <c r="H22" s="6">
        <v>24.5</v>
      </c>
      <c r="I22" s="6">
        <v>40.9</v>
      </c>
      <c r="J22" s="6">
        <v>-6</v>
      </c>
      <c r="K22" s="6">
        <v>8.8000000000000007</v>
      </c>
      <c r="L22" s="6">
        <v>-1.1000000000000001</v>
      </c>
      <c r="M22" s="6">
        <v>21.6</v>
      </c>
      <c r="N22" s="6">
        <v>1.1299999999999999</v>
      </c>
      <c r="O22" s="6">
        <v>42.2</v>
      </c>
    </row>
    <row r="23" spans="1:15" x14ac:dyDescent="0.25">
      <c r="A23" s="34" t="s">
        <v>126</v>
      </c>
      <c r="B23" s="6" t="s">
        <v>16</v>
      </c>
      <c r="C23" s="6" t="s">
        <v>116</v>
      </c>
      <c r="D23" s="6" t="s">
        <v>102</v>
      </c>
      <c r="E23" s="6" t="s">
        <v>115</v>
      </c>
      <c r="F23" s="6">
        <v>241.8</v>
      </c>
      <c r="G23" s="6">
        <v>246.2</v>
      </c>
      <c r="H23" s="6">
        <v>149.1</v>
      </c>
      <c r="I23" s="6">
        <v>11.6</v>
      </c>
      <c r="J23" s="6">
        <v>-5.4</v>
      </c>
      <c r="K23" s="6">
        <v>96.4</v>
      </c>
      <c r="L23" s="6">
        <v>10.8</v>
      </c>
      <c r="M23" s="6">
        <v>106.8</v>
      </c>
      <c r="N23" s="6">
        <v>1.4</v>
      </c>
      <c r="O23" s="6">
        <v>40.5</v>
      </c>
    </row>
    <row r="24" spans="1:15" x14ac:dyDescent="0.25">
      <c r="A24" s="34" t="s">
        <v>126</v>
      </c>
      <c r="B24" s="6" t="s">
        <v>16</v>
      </c>
      <c r="C24" s="6" t="s">
        <v>108</v>
      </c>
      <c r="D24" s="6" t="s">
        <v>102</v>
      </c>
      <c r="E24" s="6" t="s">
        <v>106</v>
      </c>
      <c r="F24" s="6">
        <v>148.80000000000001</v>
      </c>
      <c r="G24" s="6">
        <v>151</v>
      </c>
      <c r="H24" s="6">
        <v>108.8</v>
      </c>
      <c r="I24" s="6">
        <v>25.5</v>
      </c>
      <c r="J24" s="6">
        <v>4.4000000000000004</v>
      </c>
      <c r="K24" s="6">
        <v>111.7</v>
      </c>
      <c r="L24" s="6">
        <v>23.5</v>
      </c>
      <c r="M24" s="6">
        <v>89</v>
      </c>
      <c r="N24" s="6">
        <v>1.22</v>
      </c>
      <c r="O24" s="6">
        <v>52.6</v>
      </c>
    </row>
    <row r="25" spans="1:15" x14ac:dyDescent="0.25">
      <c r="A25" s="34" t="s">
        <v>126</v>
      </c>
      <c r="B25" s="6" t="s">
        <v>16</v>
      </c>
      <c r="C25" s="6" t="s">
        <v>108</v>
      </c>
      <c r="D25" s="6" t="s">
        <v>102</v>
      </c>
      <c r="E25" s="6" t="s">
        <v>106</v>
      </c>
      <c r="F25" s="6">
        <v>146.6</v>
      </c>
      <c r="G25" s="6">
        <v>146.6</v>
      </c>
      <c r="H25" s="6">
        <v>106.7</v>
      </c>
      <c r="I25" s="6">
        <v>28.8</v>
      </c>
      <c r="J25" s="6">
        <v>5.0999999999999996</v>
      </c>
      <c r="K25" s="6">
        <v>121.5</v>
      </c>
      <c r="L25" s="6">
        <v>28.3</v>
      </c>
      <c r="M25" s="6">
        <v>89.6</v>
      </c>
      <c r="N25" s="6">
        <v>1.19</v>
      </c>
      <c r="O25" s="6">
        <v>55</v>
      </c>
    </row>
    <row r="26" spans="1:15" x14ac:dyDescent="0.25">
      <c r="A26" s="34" t="s">
        <v>126</v>
      </c>
      <c r="B26" s="6" t="s">
        <v>16</v>
      </c>
      <c r="C26" s="6" t="s">
        <v>97</v>
      </c>
      <c r="D26" s="6" t="s">
        <v>98</v>
      </c>
      <c r="E26" s="6" t="s">
        <v>99</v>
      </c>
      <c r="F26" s="6">
        <v>18.600000000000001</v>
      </c>
      <c r="G26" s="6">
        <v>25.2</v>
      </c>
      <c r="H26" s="6">
        <v>31.1</v>
      </c>
      <c r="I26" s="6">
        <v>41.6</v>
      </c>
      <c r="J26" s="6">
        <v>-1.5</v>
      </c>
      <c r="K26" s="6">
        <v>14.7</v>
      </c>
      <c r="L26" s="6">
        <v>-0.6</v>
      </c>
      <c r="M26" s="6">
        <v>29.2</v>
      </c>
      <c r="N26" s="6">
        <v>1.07</v>
      </c>
      <c r="O26" s="6">
        <v>43.9</v>
      </c>
    </row>
    <row r="27" spans="1:15" x14ac:dyDescent="0.25">
      <c r="A27" s="34" t="s">
        <v>126</v>
      </c>
      <c r="B27" s="6" t="s">
        <v>16</v>
      </c>
      <c r="C27" s="6" t="s">
        <v>105</v>
      </c>
      <c r="D27" s="6" t="s">
        <v>102</v>
      </c>
      <c r="E27" s="6" t="s">
        <v>106</v>
      </c>
      <c r="F27" s="6">
        <v>148.80000000000001</v>
      </c>
      <c r="G27" s="6">
        <v>123.6</v>
      </c>
      <c r="H27" s="6">
        <v>101.3</v>
      </c>
      <c r="I27" s="6">
        <v>16.7</v>
      </c>
      <c r="J27" s="6">
        <v>-3.7</v>
      </c>
      <c r="K27" s="6">
        <v>59.6</v>
      </c>
      <c r="L27" s="6">
        <v>-1.7</v>
      </c>
      <c r="M27" s="6">
        <v>89.6</v>
      </c>
      <c r="N27" s="6">
        <v>1.1299999999999999</v>
      </c>
      <c r="O27" s="6">
        <v>39.200000000000003</v>
      </c>
    </row>
    <row r="28" spans="1:15" x14ac:dyDescent="0.25">
      <c r="A28" s="34" t="s">
        <v>126</v>
      </c>
      <c r="B28" s="6" t="s">
        <v>16</v>
      </c>
      <c r="C28" s="6" t="s">
        <v>97</v>
      </c>
      <c r="D28" s="6" t="s">
        <v>98</v>
      </c>
      <c r="E28" s="6" t="s">
        <v>99</v>
      </c>
      <c r="F28" s="6">
        <v>87.5</v>
      </c>
      <c r="G28" s="6">
        <v>89.7</v>
      </c>
      <c r="H28" s="6">
        <v>74.8</v>
      </c>
      <c r="I28" s="6">
        <v>27.9</v>
      </c>
      <c r="J28" s="6">
        <v>-5</v>
      </c>
      <c r="K28" s="6">
        <v>53.4</v>
      </c>
      <c r="L28" s="6">
        <v>-8.1999999999999993</v>
      </c>
      <c r="M28" s="6">
        <v>81.8</v>
      </c>
      <c r="N28" s="6">
        <v>0.91</v>
      </c>
      <c r="O28" s="6">
        <v>42.9</v>
      </c>
    </row>
    <row r="29" spans="1:15" x14ac:dyDescent="0.25">
      <c r="A29" s="34" t="s">
        <v>126</v>
      </c>
      <c r="B29" s="6" t="s">
        <v>16</v>
      </c>
      <c r="C29" s="6" t="s">
        <v>97</v>
      </c>
      <c r="D29" s="6" t="s">
        <v>98</v>
      </c>
      <c r="E29" s="6" t="s">
        <v>99</v>
      </c>
      <c r="F29" s="6">
        <v>13.1</v>
      </c>
      <c r="G29" s="6">
        <v>20.8</v>
      </c>
      <c r="H29" s="6">
        <v>23.5</v>
      </c>
      <c r="I29" s="6">
        <v>39.5</v>
      </c>
      <c r="J29" s="6">
        <v>-1.1000000000000001</v>
      </c>
      <c r="K29" s="6">
        <v>7.6</v>
      </c>
      <c r="L29" s="6">
        <v>-0.3</v>
      </c>
      <c r="M29" s="6">
        <v>22.1</v>
      </c>
      <c r="N29" s="6">
        <v>1.07</v>
      </c>
      <c r="O29" s="6">
        <v>40.6</v>
      </c>
    </row>
    <row r="30" spans="1:15" x14ac:dyDescent="0.25">
      <c r="A30" s="34" t="s">
        <v>126</v>
      </c>
      <c r="B30" s="6" t="s">
        <v>16</v>
      </c>
      <c r="C30" s="6" t="s">
        <v>116</v>
      </c>
      <c r="D30" s="6" t="s">
        <v>102</v>
      </c>
      <c r="E30" s="6" t="s">
        <v>115</v>
      </c>
      <c r="F30" s="6">
        <v>231.9</v>
      </c>
      <c r="G30" s="6">
        <v>237.4</v>
      </c>
      <c r="H30" s="6">
        <v>150.5</v>
      </c>
      <c r="I30" s="6">
        <v>7.2</v>
      </c>
      <c r="J30" s="6">
        <v>-10</v>
      </c>
      <c r="K30" s="6">
        <v>60.4</v>
      </c>
      <c r="L30" s="6">
        <v>-16.3</v>
      </c>
      <c r="M30" s="6">
        <v>106.2</v>
      </c>
      <c r="N30" s="6">
        <v>1.42</v>
      </c>
      <c r="O30" s="6">
        <v>30.1</v>
      </c>
    </row>
    <row r="31" spans="1:15" x14ac:dyDescent="0.25">
      <c r="A31" s="34" t="s">
        <v>126</v>
      </c>
      <c r="B31" s="6" t="s">
        <v>16</v>
      </c>
      <c r="C31" s="6" t="s">
        <v>104</v>
      </c>
      <c r="D31" s="6" t="s">
        <v>102</v>
      </c>
      <c r="E31" s="6" t="s">
        <v>103</v>
      </c>
      <c r="F31" s="6">
        <v>106.1</v>
      </c>
      <c r="G31" s="6">
        <v>111.6</v>
      </c>
      <c r="H31" s="6">
        <v>100.7</v>
      </c>
      <c r="I31" s="6">
        <v>5.8</v>
      </c>
      <c r="J31" s="6">
        <v>-0.3</v>
      </c>
      <c r="K31" s="6">
        <v>14.4</v>
      </c>
      <c r="L31" s="6">
        <v>-0.5</v>
      </c>
      <c r="M31" s="6">
        <v>86.8</v>
      </c>
      <c r="N31" s="6">
        <v>1.1599999999999999</v>
      </c>
      <c r="O31" s="6">
        <v>14.8</v>
      </c>
    </row>
    <row r="32" spans="1:15" x14ac:dyDescent="0.25">
      <c r="A32" s="34" t="s">
        <v>126</v>
      </c>
      <c r="B32" s="6" t="s">
        <v>16</v>
      </c>
      <c r="C32" s="6" t="s">
        <v>97</v>
      </c>
      <c r="D32" s="6" t="s">
        <v>98</v>
      </c>
      <c r="E32" s="6" t="s">
        <v>99</v>
      </c>
      <c r="F32" s="6">
        <v>44.9</v>
      </c>
      <c r="G32" s="6">
        <v>51.4</v>
      </c>
      <c r="H32" s="6">
        <v>49.7</v>
      </c>
      <c r="I32" s="6">
        <v>47.5</v>
      </c>
      <c r="J32" s="6">
        <v>-9.6</v>
      </c>
      <c r="K32" s="6">
        <v>45.7</v>
      </c>
      <c r="L32" s="6">
        <v>-7.6</v>
      </c>
      <c r="M32" s="6">
        <v>51.3</v>
      </c>
      <c r="N32" s="6">
        <v>0.97</v>
      </c>
      <c r="O32" s="6">
        <v>54.9</v>
      </c>
    </row>
    <row r="33" spans="1:15" x14ac:dyDescent="0.25">
      <c r="A33" s="34" t="s">
        <v>126</v>
      </c>
      <c r="B33" s="6" t="s">
        <v>16</v>
      </c>
      <c r="C33" s="6" t="s">
        <v>116</v>
      </c>
      <c r="D33" s="6" t="s">
        <v>102</v>
      </c>
      <c r="E33" s="6" t="s">
        <v>115</v>
      </c>
      <c r="F33" s="6">
        <v>216.6</v>
      </c>
      <c r="G33" s="6">
        <v>227.6</v>
      </c>
      <c r="H33" s="6">
        <v>140.19999999999999</v>
      </c>
      <c r="I33" s="6">
        <v>9.6999999999999993</v>
      </c>
      <c r="J33" s="6">
        <v>-1.8</v>
      </c>
      <c r="K33" s="6">
        <v>72.900000000000006</v>
      </c>
      <c r="L33" s="6">
        <v>16.600000000000001</v>
      </c>
      <c r="M33" s="6">
        <v>102.9</v>
      </c>
      <c r="N33" s="6">
        <v>1.36</v>
      </c>
      <c r="O33" s="6">
        <v>35.9</v>
      </c>
    </row>
    <row r="34" spans="1:15" x14ac:dyDescent="0.25">
      <c r="A34" s="34" t="s">
        <v>126</v>
      </c>
      <c r="B34" s="6" t="s">
        <v>16</v>
      </c>
      <c r="C34" s="6" t="s">
        <v>110</v>
      </c>
      <c r="D34" s="6" t="s">
        <v>102</v>
      </c>
      <c r="E34" s="6" t="s">
        <v>106</v>
      </c>
      <c r="F34" s="6">
        <v>176.1</v>
      </c>
      <c r="G34" s="6">
        <v>177.2</v>
      </c>
      <c r="H34" s="6">
        <v>119.2</v>
      </c>
      <c r="I34" s="6">
        <v>16.399999999999999</v>
      </c>
      <c r="J34" s="6">
        <v>-2.1</v>
      </c>
      <c r="K34" s="6">
        <v>87.8</v>
      </c>
      <c r="L34" s="6">
        <v>12.2</v>
      </c>
      <c r="M34" s="6">
        <v>90.7</v>
      </c>
      <c r="N34" s="6">
        <v>1.31</v>
      </c>
      <c r="O34" s="6">
        <v>44.4</v>
      </c>
    </row>
    <row r="35" spans="1:15" x14ac:dyDescent="0.25">
      <c r="A35" s="34" t="s">
        <v>126</v>
      </c>
      <c r="B35" s="6" t="s">
        <v>16</v>
      </c>
      <c r="C35" s="6" t="s">
        <v>97</v>
      </c>
      <c r="D35" s="6" t="s">
        <v>98</v>
      </c>
      <c r="E35" s="6" t="s">
        <v>99</v>
      </c>
      <c r="F35" s="6">
        <v>23</v>
      </c>
      <c r="G35" s="6">
        <v>28.4</v>
      </c>
      <c r="H35" s="6">
        <v>35.799999999999997</v>
      </c>
      <c r="I35" s="6">
        <v>39</v>
      </c>
      <c r="J35" s="6">
        <v>-6.3</v>
      </c>
      <c r="K35" s="6">
        <v>17.7</v>
      </c>
      <c r="L35" s="6">
        <v>-2.9</v>
      </c>
      <c r="M35" s="6">
        <v>34.9</v>
      </c>
      <c r="N35" s="6">
        <v>1.03</v>
      </c>
      <c r="O35" s="6">
        <v>42.3</v>
      </c>
    </row>
    <row r="36" spans="1:15" x14ac:dyDescent="0.25">
      <c r="A36" s="34" t="s">
        <v>126</v>
      </c>
      <c r="B36" s="6" t="s">
        <v>16</v>
      </c>
      <c r="C36" s="6" t="s">
        <v>116</v>
      </c>
      <c r="D36" s="6" t="s">
        <v>102</v>
      </c>
      <c r="E36" s="6" t="s">
        <v>115</v>
      </c>
      <c r="F36" s="6">
        <v>215.5</v>
      </c>
      <c r="G36" s="6">
        <v>219.9</v>
      </c>
      <c r="H36" s="6">
        <v>136.69999999999999</v>
      </c>
      <c r="I36" s="6">
        <v>16.7</v>
      </c>
      <c r="J36" s="6">
        <v>4.4000000000000004</v>
      </c>
      <c r="K36" s="6">
        <v>117.9</v>
      </c>
      <c r="L36" s="6">
        <v>59.1</v>
      </c>
      <c r="M36" s="6">
        <v>102.7</v>
      </c>
      <c r="N36" s="6">
        <v>1.33</v>
      </c>
      <c r="O36" s="6">
        <v>47.2</v>
      </c>
    </row>
    <row r="37" spans="1:15" x14ac:dyDescent="0.25">
      <c r="A37" s="34" t="s">
        <v>126</v>
      </c>
      <c r="B37" s="6" t="s">
        <v>16</v>
      </c>
      <c r="C37" s="6" t="s">
        <v>110</v>
      </c>
      <c r="D37" s="6" t="s">
        <v>102</v>
      </c>
      <c r="E37" s="6" t="s">
        <v>106</v>
      </c>
      <c r="F37" s="6">
        <v>173.9</v>
      </c>
      <c r="G37" s="6">
        <v>179.4</v>
      </c>
      <c r="H37" s="6">
        <v>118.4</v>
      </c>
      <c r="I37" s="6">
        <v>15.6</v>
      </c>
      <c r="J37" s="6">
        <v>1.6</v>
      </c>
      <c r="K37" s="6">
        <v>81.8</v>
      </c>
      <c r="L37" s="6">
        <v>5.2</v>
      </c>
      <c r="M37" s="6">
        <v>93.3</v>
      </c>
      <c r="N37" s="6">
        <v>1.27</v>
      </c>
      <c r="O37" s="6">
        <v>42.8</v>
      </c>
    </row>
    <row r="38" spans="1:15" x14ac:dyDescent="0.25">
      <c r="A38" s="34" t="s">
        <v>126</v>
      </c>
      <c r="B38" s="6" t="s">
        <v>16</v>
      </c>
      <c r="C38" s="6" t="s">
        <v>97</v>
      </c>
      <c r="D38" s="6" t="s">
        <v>98</v>
      </c>
      <c r="E38" s="6" t="s">
        <v>99</v>
      </c>
      <c r="F38" s="6">
        <v>10.9</v>
      </c>
      <c r="G38" s="6">
        <v>16.399999999999999</v>
      </c>
      <c r="H38" s="6">
        <v>25.5</v>
      </c>
      <c r="I38" s="6">
        <v>41.6</v>
      </c>
      <c r="J38" s="6">
        <v>-0.8</v>
      </c>
      <c r="K38" s="6">
        <v>9.6999999999999993</v>
      </c>
      <c r="L38" s="6">
        <v>0</v>
      </c>
      <c r="M38" s="6">
        <v>23.7</v>
      </c>
      <c r="N38" s="6">
        <v>1.07</v>
      </c>
      <c r="O38" s="6">
        <v>43</v>
      </c>
    </row>
    <row r="39" spans="1:15" x14ac:dyDescent="0.25">
      <c r="A39" s="34" t="s">
        <v>126</v>
      </c>
      <c r="B39" s="6" t="s">
        <v>16</v>
      </c>
      <c r="C39" s="6" t="s">
        <v>116</v>
      </c>
      <c r="D39" s="6" t="s">
        <v>102</v>
      </c>
      <c r="E39" s="6" t="s">
        <v>115</v>
      </c>
      <c r="F39" s="6">
        <v>237.4</v>
      </c>
      <c r="G39" s="6">
        <v>248.3</v>
      </c>
      <c r="H39" s="6">
        <v>146.19999999999999</v>
      </c>
      <c r="I39" s="6">
        <v>11</v>
      </c>
      <c r="J39" s="6">
        <v>-2</v>
      </c>
      <c r="K39" s="6">
        <v>81</v>
      </c>
      <c r="L39" s="6">
        <v>24</v>
      </c>
      <c r="M39" s="6">
        <v>104</v>
      </c>
      <c r="N39" s="6">
        <v>1.41</v>
      </c>
      <c r="O39" s="6">
        <v>35.9</v>
      </c>
    </row>
    <row r="40" spans="1:15" x14ac:dyDescent="0.25">
      <c r="A40" s="34" t="s">
        <v>126</v>
      </c>
      <c r="B40" s="6" t="s">
        <v>16</v>
      </c>
      <c r="C40" s="6" t="s">
        <v>116</v>
      </c>
      <c r="D40" s="6" t="s">
        <v>102</v>
      </c>
      <c r="E40" s="6" t="s">
        <v>115</v>
      </c>
      <c r="F40" s="6">
        <v>202.4</v>
      </c>
      <c r="G40" s="6">
        <v>206.8</v>
      </c>
      <c r="H40" s="6">
        <v>133.1</v>
      </c>
      <c r="I40" s="6">
        <v>10.1</v>
      </c>
      <c r="J40" s="6">
        <v>-6.4</v>
      </c>
      <c r="K40" s="6">
        <v>67.400000000000006</v>
      </c>
      <c r="L40" s="6">
        <v>-22.4</v>
      </c>
      <c r="M40" s="6">
        <v>104.6</v>
      </c>
      <c r="N40" s="6">
        <v>1.27</v>
      </c>
      <c r="O40" s="6">
        <v>35.4</v>
      </c>
    </row>
    <row r="41" spans="1:15" x14ac:dyDescent="0.25">
      <c r="A41" s="34" t="s">
        <v>126</v>
      </c>
      <c r="B41" s="6" t="s">
        <v>16</v>
      </c>
      <c r="C41" s="6" t="s">
        <v>97</v>
      </c>
      <c r="D41" s="6" t="s">
        <v>98</v>
      </c>
      <c r="E41" s="6" t="s">
        <v>99</v>
      </c>
      <c r="F41" s="6">
        <v>67.8</v>
      </c>
      <c r="G41" s="6">
        <v>75.5</v>
      </c>
      <c r="H41" s="6">
        <v>63.9</v>
      </c>
      <c r="I41" s="6">
        <v>45.4</v>
      </c>
      <c r="J41" s="6">
        <v>-7.8</v>
      </c>
      <c r="K41" s="6">
        <v>70.7</v>
      </c>
      <c r="L41" s="6">
        <v>-6.7</v>
      </c>
      <c r="M41" s="6">
        <v>69.599999999999994</v>
      </c>
      <c r="N41" s="6">
        <v>0.92</v>
      </c>
      <c r="O41" s="6">
        <v>57.1</v>
      </c>
    </row>
    <row r="42" spans="1:15" x14ac:dyDescent="0.25">
      <c r="A42" s="34" t="s">
        <v>126</v>
      </c>
      <c r="B42" s="6" t="s">
        <v>16</v>
      </c>
      <c r="C42" s="6" t="s">
        <v>116</v>
      </c>
      <c r="D42" s="6" t="s">
        <v>102</v>
      </c>
      <c r="E42" s="6" t="s">
        <v>115</v>
      </c>
      <c r="F42" s="6">
        <v>179.4</v>
      </c>
      <c r="G42" s="6">
        <v>189.3</v>
      </c>
      <c r="H42" s="6">
        <v>123.4</v>
      </c>
      <c r="I42" s="6">
        <v>11.1</v>
      </c>
      <c r="J42" s="6">
        <v>-1.4</v>
      </c>
      <c r="K42" s="6">
        <v>63.3</v>
      </c>
      <c r="L42" s="6">
        <v>30.6</v>
      </c>
      <c r="M42" s="6">
        <v>102.4</v>
      </c>
      <c r="N42" s="6">
        <v>1.21</v>
      </c>
      <c r="O42" s="6">
        <v>36.200000000000003</v>
      </c>
    </row>
    <row r="43" spans="1:15" x14ac:dyDescent="0.25">
      <c r="A43" s="34" t="s">
        <v>126</v>
      </c>
      <c r="B43" s="6" t="s">
        <v>16</v>
      </c>
      <c r="C43" s="6" t="s">
        <v>116</v>
      </c>
      <c r="D43" s="6" t="s">
        <v>102</v>
      </c>
      <c r="E43" s="6" t="s">
        <v>115</v>
      </c>
      <c r="F43" s="6">
        <v>235.2</v>
      </c>
      <c r="G43" s="6">
        <v>250.5</v>
      </c>
      <c r="H43" s="6">
        <v>149.6</v>
      </c>
      <c r="I43" s="6">
        <v>11</v>
      </c>
      <c r="J43" s="6">
        <v>-5.5</v>
      </c>
      <c r="K43" s="6">
        <v>85.7</v>
      </c>
      <c r="L43" s="6">
        <v>-23</v>
      </c>
      <c r="M43" s="6">
        <v>107.3</v>
      </c>
      <c r="N43" s="6">
        <v>1.39</v>
      </c>
      <c r="O43" s="6">
        <v>36.799999999999997</v>
      </c>
    </row>
    <row r="44" spans="1:15" x14ac:dyDescent="0.25">
      <c r="A44" s="34" t="s">
        <v>126</v>
      </c>
      <c r="B44" s="6" t="s">
        <v>16</v>
      </c>
      <c r="C44" s="6" t="s">
        <v>101</v>
      </c>
      <c r="D44" s="6" t="s">
        <v>102</v>
      </c>
      <c r="E44" s="6" t="s">
        <v>103</v>
      </c>
      <c r="F44" s="6">
        <v>109.4</v>
      </c>
      <c r="G44" s="6">
        <v>117.1</v>
      </c>
      <c r="H44" s="6">
        <v>86.4</v>
      </c>
      <c r="I44" s="6">
        <v>37.200000000000003</v>
      </c>
      <c r="J44" s="6">
        <v>-3</v>
      </c>
      <c r="K44" s="6">
        <v>102.8</v>
      </c>
      <c r="L44" s="6">
        <v>-8.9</v>
      </c>
      <c r="M44" s="6">
        <v>82.9</v>
      </c>
      <c r="N44" s="6">
        <v>1.04</v>
      </c>
      <c r="O44" s="6">
        <v>56.4</v>
      </c>
    </row>
    <row r="45" spans="1:15" x14ac:dyDescent="0.25">
      <c r="A45" s="34" t="s">
        <v>126</v>
      </c>
      <c r="B45" s="6" t="s">
        <v>16</v>
      </c>
      <c r="C45" s="6" t="s">
        <v>109</v>
      </c>
      <c r="D45" s="6" t="s">
        <v>102</v>
      </c>
      <c r="E45" s="6" t="s">
        <v>106</v>
      </c>
      <c r="F45" s="6">
        <v>153.19999999999999</v>
      </c>
      <c r="G45" s="6">
        <v>159.69999999999999</v>
      </c>
      <c r="H45" s="6">
        <v>109.2</v>
      </c>
      <c r="I45" s="6">
        <v>28.3</v>
      </c>
      <c r="J45" s="6">
        <v>2.5</v>
      </c>
      <c r="K45" s="6">
        <v>125</v>
      </c>
      <c r="L45" s="6">
        <v>7.7</v>
      </c>
      <c r="M45" s="6">
        <v>86.8</v>
      </c>
      <c r="N45" s="6">
        <v>1.26</v>
      </c>
      <c r="O45" s="6">
        <v>54.9</v>
      </c>
    </row>
    <row r="46" spans="1:15" x14ac:dyDescent="0.25">
      <c r="A46" s="34" t="s">
        <v>126</v>
      </c>
      <c r="B46" s="6" t="s">
        <v>16</v>
      </c>
      <c r="C46" s="6" t="s">
        <v>116</v>
      </c>
      <c r="D46" s="6" t="s">
        <v>102</v>
      </c>
      <c r="E46" s="6" t="s">
        <v>115</v>
      </c>
      <c r="F46" s="6">
        <v>234.1</v>
      </c>
      <c r="G46" s="6">
        <v>239.6</v>
      </c>
      <c r="H46" s="6">
        <v>146</v>
      </c>
      <c r="I46" s="6">
        <v>9.1999999999999993</v>
      </c>
      <c r="J46" s="6">
        <v>-4.0999999999999996</v>
      </c>
      <c r="K46" s="6">
        <v>69.900000000000006</v>
      </c>
      <c r="L46" s="6">
        <v>4.8</v>
      </c>
      <c r="M46" s="6">
        <v>105.1</v>
      </c>
      <c r="N46" s="6">
        <v>1.39</v>
      </c>
      <c r="O46" s="6">
        <v>33.299999999999997</v>
      </c>
    </row>
    <row r="47" spans="1:15" x14ac:dyDescent="0.25">
      <c r="A47" s="34" t="s">
        <v>126</v>
      </c>
      <c r="B47" s="6" t="s">
        <v>16</v>
      </c>
      <c r="C47" s="6" t="s">
        <v>112</v>
      </c>
      <c r="D47" s="6" t="s">
        <v>102</v>
      </c>
      <c r="E47" s="6" t="s">
        <v>113</v>
      </c>
      <c r="F47" s="6">
        <v>187.1</v>
      </c>
      <c r="G47" s="6">
        <v>190.4</v>
      </c>
      <c r="H47" s="6">
        <v>127.9</v>
      </c>
      <c r="I47" s="6">
        <v>19.600000000000001</v>
      </c>
      <c r="J47" s="6">
        <v>0.9</v>
      </c>
      <c r="K47" s="6">
        <v>120.1</v>
      </c>
      <c r="L47" s="6">
        <v>40.6</v>
      </c>
      <c r="M47" s="6">
        <v>95.7</v>
      </c>
      <c r="N47" s="6">
        <v>1.34</v>
      </c>
      <c r="O47" s="6">
        <v>49.2</v>
      </c>
    </row>
    <row r="48" spans="1:15" x14ac:dyDescent="0.25">
      <c r="A48" s="34" t="s">
        <v>126</v>
      </c>
      <c r="B48" s="6" t="s">
        <v>16</v>
      </c>
      <c r="C48" s="6" t="s">
        <v>97</v>
      </c>
      <c r="D48" s="6" t="s">
        <v>98</v>
      </c>
      <c r="E48" s="6" t="s">
        <v>99</v>
      </c>
      <c r="F48" s="6">
        <v>8.8000000000000007</v>
      </c>
      <c r="G48" s="6">
        <v>18.600000000000001</v>
      </c>
      <c r="H48" s="6">
        <v>26.3</v>
      </c>
      <c r="I48" s="6">
        <v>39.799999999999997</v>
      </c>
      <c r="J48" s="6">
        <v>2.2000000000000002</v>
      </c>
      <c r="K48" s="6">
        <v>9.6999999999999993</v>
      </c>
      <c r="L48" s="6">
        <v>0.2</v>
      </c>
      <c r="M48" s="6">
        <v>25.8</v>
      </c>
      <c r="N48" s="6">
        <v>1.02</v>
      </c>
      <c r="O48" s="6">
        <v>41.3</v>
      </c>
    </row>
    <row r="49" spans="1:15" x14ac:dyDescent="0.25">
      <c r="A49" s="34" t="s">
        <v>126</v>
      </c>
      <c r="B49" s="6" t="s">
        <v>16</v>
      </c>
      <c r="C49" s="6" t="s">
        <v>116</v>
      </c>
      <c r="D49" s="6" t="s">
        <v>102</v>
      </c>
      <c r="E49" s="6" t="s">
        <v>115</v>
      </c>
      <c r="F49" s="6">
        <v>254.9</v>
      </c>
      <c r="G49" s="6">
        <v>260.39999999999998</v>
      </c>
      <c r="H49" s="6">
        <v>145.69999999999999</v>
      </c>
      <c r="I49" s="6">
        <v>9.9</v>
      </c>
      <c r="J49" s="6">
        <v>-5.2</v>
      </c>
      <c r="K49" s="6">
        <v>74.3</v>
      </c>
      <c r="L49" s="6">
        <v>8.3000000000000007</v>
      </c>
      <c r="M49" s="6">
        <v>105.1</v>
      </c>
      <c r="N49" s="6">
        <v>1.39</v>
      </c>
      <c r="O49" s="6">
        <v>34.5</v>
      </c>
    </row>
    <row r="50" spans="1:15" x14ac:dyDescent="0.25">
      <c r="A50" s="34" t="s">
        <v>126</v>
      </c>
      <c r="B50" s="6" t="s">
        <v>16</v>
      </c>
      <c r="C50" s="6" t="s">
        <v>110</v>
      </c>
      <c r="D50" s="6" t="s">
        <v>102</v>
      </c>
      <c r="E50" s="6" t="s">
        <v>106</v>
      </c>
      <c r="F50" s="6">
        <v>176.1</v>
      </c>
      <c r="G50" s="6">
        <v>181.6</v>
      </c>
      <c r="H50" s="6">
        <v>118.9</v>
      </c>
      <c r="I50" s="6">
        <v>16.399999999999999</v>
      </c>
      <c r="J50" s="6">
        <v>-2.6</v>
      </c>
      <c r="K50" s="6">
        <v>86.1</v>
      </c>
      <c r="L50" s="6">
        <v>12</v>
      </c>
      <c r="M50" s="6">
        <v>90.1</v>
      </c>
      <c r="N50" s="6">
        <v>1.32</v>
      </c>
      <c r="O50" s="6">
        <v>43.5</v>
      </c>
    </row>
    <row r="51" spans="1:15" x14ac:dyDescent="0.25">
      <c r="A51" s="34" t="s">
        <v>126</v>
      </c>
      <c r="B51" s="6" t="s">
        <v>16</v>
      </c>
      <c r="C51" s="6" t="s">
        <v>112</v>
      </c>
      <c r="D51" s="6" t="s">
        <v>102</v>
      </c>
      <c r="E51" s="6" t="s">
        <v>113</v>
      </c>
      <c r="F51" s="6">
        <v>159.69999999999999</v>
      </c>
      <c r="G51" s="6">
        <v>160.80000000000001</v>
      </c>
      <c r="H51" s="6">
        <v>111.9</v>
      </c>
      <c r="I51" s="6">
        <v>19.8</v>
      </c>
      <c r="J51" s="6">
        <v>3.5</v>
      </c>
      <c r="K51" s="6">
        <v>92</v>
      </c>
      <c r="L51" s="6">
        <v>37.4</v>
      </c>
      <c r="M51" s="6">
        <v>92.9</v>
      </c>
      <c r="N51" s="6">
        <v>1.2</v>
      </c>
      <c r="O51" s="6">
        <v>47</v>
      </c>
    </row>
    <row r="52" spans="1:15" x14ac:dyDescent="0.25">
      <c r="A52" s="34" t="s">
        <v>126</v>
      </c>
      <c r="B52" s="6" t="s">
        <v>16</v>
      </c>
      <c r="C52" s="6" t="s">
        <v>97</v>
      </c>
      <c r="D52" s="6" t="s">
        <v>98</v>
      </c>
      <c r="E52" s="6" t="s">
        <v>99</v>
      </c>
      <c r="F52" s="6">
        <v>24.1</v>
      </c>
      <c r="G52" s="6">
        <v>30.6</v>
      </c>
      <c r="H52" s="6">
        <v>36.700000000000003</v>
      </c>
      <c r="I52" s="6">
        <v>41.3</v>
      </c>
      <c r="J52" s="6">
        <v>-1.7</v>
      </c>
      <c r="K52" s="6">
        <v>20.3</v>
      </c>
      <c r="L52" s="6">
        <v>-0.4</v>
      </c>
      <c r="M52" s="6">
        <v>32.799999999999997</v>
      </c>
      <c r="N52" s="6">
        <v>1.1200000000000001</v>
      </c>
      <c r="O52" s="6">
        <v>44.7</v>
      </c>
    </row>
    <row r="53" spans="1:15" x14ac:dyDescent="0.25">
      <c r="A53" s="34" t="s">
        <v>126</v>
      </c>
      <c r="B53" s="6" t="s">
        <v>16</v>
      </c>
      <c r="C53" s="6" t="s">
        <v>116</v>
      </c>
      <c r="D53" s="6" t="s">
        <v>102</v>
      </c>
      <c r="E53" s="6" t="s">
        <v>115</v>
      </c>
      <c r="F53" s="6">
        <v>235.2</v>
      </c>
      <c r="G53" s="6">
        <v>237.4</v>
      </c>
      <c r="H53" s="6">
        <v>140.19999999999999</v>
      </c>
      <c r="I53" s="6">
        <v>9.8000000000000007</v>
      </c>
      <c r="J53" s="6">
        <v>-5</v>
      </c>
      <c r="K53" s="6">
        <v>70.5</v>
      </c>
      <c r="L53" s="6">
        <v>15.9</v>
      </c>
      <c r="M53" s="6">
        <v>105.1</v>
      </c>
      <c r="N53" s="6">
        <v>1.33</v>
      </c>
      <c r="O53" s="6">
        <v>34.6</v>
      </c>
    </row>
    <row r="54" spans="1:15" x14ac:dyDescent="0.25">
      <c r="A54" s="34" t="s">
        <v>126</v>
      </c>
      <c r="B54" s="6" t="s">
        <v>16</v>
      </c>
      <c r="C54" s="6" t="s">
        <v>104</v>
      </c>
      <c r="D54" s="6" t="s">
        <v>102</v>
      </c>
      <c r="E54" s="6" t="s">
        <v>103</v>
      </c>
      <c r="F54" s="6">
        <v>117.1</v>
      </c>
      <c r="G54" s="6">
        <v>119.2</v>
      </c>
      <c r="H54" s="6">
        <v>94.3</v>
      </c>
      <c r="I54" s="6">
        <v>36.700000000000003</v>
      </c>
      <c r="J54" s="6">
        <v>1.5</v>
      </c>
      <c r="K54" s="6">
        <v>120.6</v>
      </c>
      <c r="L54" s="6">
        <v>4.0999999999999996</v>
      </c>
      <c r="M54" s="6">
        <v>82.4</v>
      </c>
      <c r="N54" s="6">
        <v>1.1399999999999999</v>
      </c>
      <c r="O54" s="6">
        <v>58.4</v>
      </c>
    </row>
    <row r="55" spans="1:15" x14ac:dyDescent="0.25">
      <c r="A55" s="34" t="s">
        <v>126</v>
      </c>
      <c r="B55" s="11" t="s">
        <v>5</v>
      </c>
      <c r="C55" t="s">
        <v>116</v>
      </c>
      <c r="D55" t="s">
        <v>102</v>
      </c>
      <c r="E55" t="s">
        <v>115</v>
      </c>
      <c r="F55">
        <v>210</v>
      </c>
      <c r="G55">
        <v>217.7</v>
      </c>
      <c r="H55">
        <v>138.5</v>
      </c>
      <c r="I55">
        <v>12.1</v>
      </c>
      <c r="J55">
        <v>-9.1</v>
      </c>
      <c r="K55">
        <v>79.7</v>
      </c>
      <c r="L55">
        <v>2.7</v>
      </c>
      <c r="M55">
        <v>98.4</v>
      </c>
      <c r="N55">
        <v>1.41</v>
      </c>
      <c r="O55">
        <v>36.5</v>
      </c>
    </row>
    <row r="56" spans="1:15" x14ac:dyDescent="0.25">
      <c r="A56" s="34" t="s">
        <v>126</v>
      </c>
      <c r="B56" s="11" t="s">
        <v>5</v>
      </c>
      <c r="C56" t="s">
        <v>112</v>
      </c>
      <c r="D56" t="s">
        <v>102</v>
      </c>
      <c r="E56" t="s">
        <v>113</v>
      </c>
      <c r="F56">
        <v>179.4</v>
      </c>
      <c r="G56">
        <v>188.2</v>
      </c>
      <c r="H56">
        <v>125.1</v>
      </c>
      <c r="I56">
        <v>9.8000000000000007</v>
      </c>
      <c r="J56">
        <v>-2.6</v>
      </c>
      <c r="K56">
        <v>53.7</v>
      </c>
      <c r="L56">
        <v>5.5</v>
      </c>
      <c r="M56">
        <v>95.1</v>
      </c>
      <c r="N56">
        <v>1.32</v>
      </c>
      <c r="O56">
        <v>31.3</v>
      </c>
    </row>
    <row r="57" spans="1:15" x14ac:dyDescent="0.25">
      <c r="A57" s="34" t="s">
        <v>126</v>
      </c>
      <c r="B57" s="11" t="s">
        <v>5</v>
      </c>
      <c r="C57" t="s">
        <v>97</v>
      </c>
      <c r="D57" t="s">
        <v>98</v>
      </c>
      <c r="E57" t="s">
        <v>99</v>
      </c>
      <c r="F57">
        <v>29.5</v>
      </c>
      <c r="G57">
        <v>33.9</v>
      </c>
      <c r="H57">
        <v>39.299999999999997</v>
      </c>
      <c r="I57">
        <v>43.3</v>
      </c>
      <c r="J57">
        <v>-9.1</v>
      </c>
      <c r="K57">
        <v>25.1</v>
      </c>
      <c r="L57">
        <v>-5.5</v>
      </c>
      <c r="M57">
        <v>38.6</v>
      </c>
      <c r="N57">
        <v>1.02</v>
      </c>
      <c r="O57">
        <v>47.6</v>
      </c>
    </row>
    <row r="58" spans="1:15" x14ac:dyDescent="0.25">
      <c r="A58" s="34" t="s">
        <v>126</v>
      </c>
      <c r="B58" s="11" t="s">
        <v>5</v>
      </c>
      <c r="C58" t="s">
        <v>97</v>
      </c>
      <c r="D58" t="s">
        <v>98</v>
      </c>
      <c r="E58" t="s">
        <v>99</v>
      </c>
      <c r="F58">
        <v>5.5</v>
      </c>
      <c r="G58">
        <v>9.8000000000000007</v>
      </c>
      <c r="H58">
        <v>15.8</v>
      </c>
      <c r="I58">
        <v>38</v>
      </c>
      <c r="J58">
        <v>0</v>
      </c>
      <c r="K58">
        <v>3.2</v>
      </c>
      <c r="L58">
        <v>0</v>
      </c>
      <c r="M58">
        <v>17.5</v>
      </c>
      <c r="N58">
        <v>0.9</v>
      </c>
      <c r="O58">
        <v>38.5</v>
      </c>
    </row>
    <row r="59" spans="1:15" x14ac:dyDescent="0.25">
      <c r="A59" s="34" t="s">
        <v>126</v>
      </c>
      <c r="B59" s="11" t="s">
        <v>5</v>
      </c>
      <c r="C59" t="s">
        <v>116</v>
      </c>
      <c r="D59" t="s">
        <v>102</v>
      </c>
      <c r="E59" t="s">
        <v>115</v>
      </c>
      <c r="F59">
        <v>207.9</v>
      </c>
      <c r="G59">
        <v>218.8</v>
      </c>
      <c r="H59">
        <v>146</v>
      </c>
      <c r="I59">
        <v>4.8</v>
      </c>
      <c r="J59">
        <v>-10.4</v>
      </c>
      <c r="K59">
        <v>41.7</v>
      </c>
      <c r="L59">
        <v>-1.5</v>
      </c>
      <c r="M59">
        <v>105.6</v>
      </c>
      <c r="N59">
        <v>1.38</v>
      </c>
      <c r="O59">
        <v>24.6</v>
      </c>
    </row>
    <row r="60" spans="1:15" x14ac:dyDescent="0.25">
      <c r="A60" s="34" t="s">
        <v>126</v>
      </c>
      <c r="B60" s="11" t="s">
        <v>5</v>
      </c>
      <c r="C60" t="s">
        <v>112</v>
      </c>
      <c r="D60" t="s">
        <v>102</v>
      </c>
      <c r="E60" t="s">
        <v>113</v>
      </c>
      <c r="F60">
        <v>188.2</v>
      </c>
      <c r="G60">
        <v>196.9</v>
      </c>
      <c r="H60">
        <v>134</v>
      </c>
      <c r="I60">
        <v>9.4</v>
      </c>
      <c r="J60">
        <v>-5.3</v>
      </c>
      <c r="K60">
        <v>57.4</v>
      </c>
      <c r="L60">
        <v>10.7</v>
      </c>
      <c r="M60">
        <v>96.2</v>
      </c>
      <c r="N60">
        <v>1.39</v>
      </c>
      <c r="O60">
        <v>30.5</v>
      </c>
    </row>
    <row r="61" spans="1:15" x14ac:dyDescent="0.25">
      <c r="A61" s="34" t="s">
        <v>126</v>
      </c>
      <c r="B61" s="11" t="s">
        <v>5</v>
      </c>
      <c r="C61" t="s">
        <v>97</v>
      </c>
      <c r="D61" t="s">
        <v>98</v>
      </c>
      <c r="E61" t="s">
        <v>99</v>
      </c>
      <c r="F61">
        <v>33.9</v>
      </c>
      <c r="G61">
        <v>41.6</v>
      </c>
      <c r="H61">
        <v>44.2</v>
      </c>
      <c r="I61">
        <v>38.6</v>
      </c>
      <c r="J61">
        <v>-9.5</v>
      </c>
      <c r="K61">
        <v>27</v>
      </c>
      <c r="L61">
        <v>-7.5</v>
      </c>
      <c r="M61">
        <v>46.5</v>
      </c>
      <c r="N61">
        <v>0.95</v>
      </c>
      <c r="O61">
        <v>44</v>
      </c>
    </row>
    <row r="62" spans="1:15" x14ac:dyDescent="0.25">
      <c r="A62" s="34" t="s">
        <v>126</v>
      </c>
      <c r="B62" s="11" t="s">
        <v>5</v>
      </c>
      <c r="C62" t="s">
        <v>112</v>
      </c>
      <c r="D62" t="s">
        <v>102</v>
      </c>
      <c r="E62" t="s">
        <v>113</v>
      </c>
      <c r="F62">
        <v>182.7</v>
      </c>
      <c r="G62">
        <v>187.1</v>
      </c>
      <c r="H62">
        <v>128.69999999999999</v>
      </c>
      <c r="I62">
        <v>9.5</v>
      </c>
      <c r="J62">
        <v>-9.1</v>
      </c>
      <c r="K62">
        <v>52.8</v>
      </c>
      <c r="L62">
        <v>-12</v>
      </c>
      <c r="M62">
        <v>94</v>
      </c>
      <c r="N62">
        <v>1.37</v>
      </c>
      <c r="O62">
        <v>29.7</v>
      </c>
    </row>
    <row r="63" spans="1:15" x14ac:dyDescent="0.25">
      <c r="A63" s="34" t="s">
        <v>126</v>
      </c>
      <c r="B63" s="11" t="s">
        <v>5</v>
      </c>
      <c r="C63" t="s">
        <v>97</v>
      </c>
      <c r="D63" t="s">
        <v>98</v>
      </c>
      <c r="E63" t="s">
        <v>99</v>
      </c>
      <c r="F63">
        <v>10.9</v>
      </c>
      <c r="G63">
        <v>17.5</v>
      </c>
      <c r="H63">
        <v>24.9</v>
      </c>
      <c r="I63">
        <v>35.700000000000003</v>
      </c>
      <c r="J63">
        <v>-4</v>
      </c>
      <c r="K63">
        <v>7.3</v>
      </c>
      <c r="L63">
        <v>-0.9</v>
      </c>
      <c r="M63">
        <v>22.9</v>
      </c>
      <c r="N63">
        <v>1.0900000000000001</v>
      </c>
      <c r="O63">
        <v>37</v>
      </c>
    </row>
    <row r="64" spans="1:15" x14ac:dyDescent="0.25">
      <c r="A64" s="34" t="s">
        <v>126</v>
      </c>
      <c r="B64" s="11" t="s">
        <v>5</v>
      </c>
      <c r="C64" t="s">
        <v>116</v>
      </c>
      <c r="D64" t="s">
        <v>102</v>
      </c>
      <c r="E64" t="s">
        <v>115</v>
      </c>
      <c r="F64">
        <v>224.3</v>
      </c>
      <c r="G64">
        <v>238.5</v>
      </c>
      <c r="H64">
        <v>139.6</v>
      </c>
      <c r="I64">
        <v>8.9</v>
      </c>
      <c r="J64">
        <v>-12.1</v>
      </c>
      <c r="K64">
        <v>60.6</v>
      </c>
      <c r="L64">
        <v>-20.2</v>
      </c>
      <c r="M64">
        <v>100.2</v>
      </c>
      <c r="N64">
        <v>1.39</v>
      </c>
      <c r="O64">
        <v>31.2</v>
      </c>
    </row>
    <row r="65" spans="1:15" x14ac:dyDescent="0.25">
      <c r="A65" s="34" t="s">
        <v>126</v>
      </c>
      <c r="B65" s="11" t="s">
        <v>5</v>
      </c>
      <c r="C65" t="s">
        <v>108</v>
      </c>
      <c r="D65" t="s">
        <v>102</v>
      </c>
      <c r="E65" t="s">
        <v>106</v>
      </c>
      <c r="F65">
        <v>182.7</v>
      </c>
      <c r="G65">
        <v>189.3</v>
      </c>
      <c r="H65">
        <v>115.6</v>
      </c>
      <c r="I65">
        <v>19.399999999999999</v>
      </c>
      <c r="J65">
        <v>-5.8</v>
      </c>
      <c r="K65">
        <v>96.1</v>
      </c>
      <c r="L65">
        <v>-14.1</v>
      </c>
      <c r="M65">
        <v>86.4</v>
      </c>
      <c r="N65">
        <v>1.34</v>
      </c>
      <c r="O65">
        <v>46.7</v>
      </c>
    </row>
    <row r="66" spans="1:15" x14ac:dyDescent="0.25">
      <c r="A66" s="34" t="s">
        <v>126</v>
      </c>
      <c r="B66" s="11" t="s">
        <v>5</v>
      </c>
      <c r="C66" t="s">
        <v>100</v>
      </c>
      <c r="D66" t="s">
        <v>98</v>
      </c>
      <c r="E66" t="s">
        <v>99</v>
      </c>
      <c r="F66">
        <v>96.3</v>
      </c>
      <c r="G66">
        <v>99.6</v>
      </c>
      <c r="H66">
        <v>76.7</v>
      </c>
      <c r="I66">
        <v>38.799999999999997</v>
      </c>
      <c r="J66">
        <v>-10.8</v>
      </c>
      <c r="K66">
        <v>84.6</v>
      </c>
      <c r="L66">
        <v>-23.8</v>
      </c>
      <c r="M66">
        <v>80.900000000000006</v>
      </c>
      <c r="N66">
        <v>0.95</v>
      </c>
      <c r="O66">
        <v>54.9</v>
      </c>
    </row>
    <row r="67" spans="1:15" x14ac:dyDescent="0.25">
      <c r="A67" s="34" t="s">
        <v>126</v>
      </c>
      <c r="B67" s="11" t="s">
        <v>5</v>
      </c>
      <c r="C67" t="s">
        <v>97</v>
      </c>
      <c r="D67" t="s">
        <v>98</v>
      </c>
      <c r="E67" t="s">
        <v>99</v>
      </c>
      <c r="F67">
        <v>23</v>
      </c>
      <c r="G67">
        <v>30.6</v>
      </c>
      <c r="H67">
        <v>36.299999999999997</v>
      </c>
      <c r="I67">
        <v>39.5</v>
      </c>
      <c r="J67">
        <v>-7.1</v>
      </c>
      <c r="K67">
        <v>18.600000000000001</v>
      </c>
      <c r="L67">
        <v>-3.1</v>
      </c>
      <c r="M67">
        <v>33.5</v>
      </c>
      <c r="N67">
        <v>1.08</v>
      </c>
      <c r="O67">
        <v>42.9</v>
      </c>
    </row>
    <row r="68" spans="1:15" x14ac:dyDescent="0.25">
      <c r="A68" s="34" t="s">
        <v>126</v>
      </c>
      <c r="B68" s="11" t="s">
        <v>5</v>
      </c>
      <c r="C68" t="s">
        <v>116</v>
      </c>
      <c r="D68" t="s">
        <v>102</v>
      </c>
      <c r="E68" t="s">
        <v>115</v>
      </c>
      <c r="F68">
        <v>190.4</v>
      </c>
      <c r="G68">
        <v>194.7</v>
      </c>
      <c r="H68">
        <v>125.8</v>
      </c>
      <c r="I68">
        <v>17.399999999999999</v>
      </c>
      <c r="J68">
        <v>-15</v>
      </c>
      <c r="K68">
        <v>105.9</v>
      </c>
      <c r="L68">
        <v>-43.8</v>
      </c>
      <c r="M68">
        <v>99.7</v>
      </c>
      <c r="N68">
        <v>1.26</v>
      </c>
      <c r="O68">
        <v>47.6</v>
      </c>
    </row>
    <row r="69" spans="1:15" x14ac:dyDescent="0.25">
      <c r="A69" s="34" t="s">
        <v>126</v>
      </c>
      <c r="B69" s="11" t="s">
        <v>5</v>
      </c>
      <c r="C69" t="s">
        <v>104</v>
      </c>
      <c r="D69" t="s">
        <v>102</v>
      </c>
      <c r="E69" t="s">
        <v>103</v>
      </c>
      <c r="F69">
        <v>120.3</v>
      </c>
      <c r="G69">
        <v>130.19999999999999</v>
      </c>
      <c r="H69">
        <v>91.2</v>
      </c>
      <c r="I69">
        <v>33.799999999999997</v>
      </c>
      <c r="J69">
        <v>2.6</v>
      </c>
      <c r="K69">
        <v>103.7</v>
      </c>
      <c r="L69">
        <v>9.3000000000000007</v>
      </c>
      <c r="M69">
        <v>81.5</v>
      </c>
      <c r="N69">
        <v>1.1200000000000001</v>
      </c>
      <c r="O69">
        <v>54.8</v>
      </c>
    </row>
    <row r="70" spans="1:15" x14ac:dyDescent="0.25">
      <c r="A70" s="34" t="s">
        <v>126</v>
      </c>
      <c r="B70" s="11" t="s">
        <v>5</v>
      </c>
      <c r="C70" t="s">
        <v>116</v>
      </c>
      <c r="D70" t="s">
        <v>102</v>
      </c>
      <c r="E70" t="s">
        <v>115</v>
      </c>
      <c r="F70">
        <v>242.9</v>
      </c>
      <c r="G70">
        <v>254.9</v>
      </c>
      <c r="H70">
        <v>147.19999999999999</v>
      </c>
      <c r="I70">
        <v>8.8000000000000007</v>
      </c>
      <c r="J70">
        <v>-10.199999999999999</v>
      </c>
      <c r="K70">
        <v>65.599999999999994</v>
      </c>
      <c r="L70">
        <v>-20.100000000000001</v>
      </c>
      <c r="M70">
        <v>101.9</v>
      </c>
      <c r="N70">
        <v>1.44</v>
      </c>
      <c r="O70">
        <v>31.5</v>
      </c>
    </row>
    <row r="71" spans="1:15" x14ac:dyDescent="0.25">
      <c r="A71" s="34" t="s">
        <v>126</v>
      </c>
      <c r="B71" s="11" t="s">
        <v>5</v>
      </c>
      <c r="C71" t="s">
        <v>112</v>
      </c>
      <c r="D71" t="s">
        <v>102</v>
      </c>
      <c r="E71" t="s">
        <v>113</v>
      </c>
      <c r="F71">
        <v>187.1</v>
      </c>
      <c r="G71">
        <v>188.2</v>
      </c>
      <c r="H71">
        <v>136.1</v>
      </c>
      <c r="I71">
        <v>10.8</v>
      </c>
      <c r="J71">
        <v>-8.1999999999999993</v>
      </c>
      <c r="K71">
        <v>66.599999999999994</v>
      </c>
      <c r="L71">
        <v>12.9</v>
      </c>
      <c r="M71">
        <v>95.3</v>
      </c>
      <c r="N71">
        <v>1.43</v>
      </c>
      <c r="O71">
        <v>32.799999999999997</v>
      </c>
    </row>
    <row r="72" spans="1:15" x14ac:dyDescent="0.25">
      <c r="A72" s="34" t="s">
        <v>126</v>
      </c>
      <c r="B72" s="11" t="s">
        <v>5</v>
      </c>
      <c r="C72" t="s">
        <v>97</v>
      </c>
      <c r="D72" t="s">
        <v>98</v>
      </c>
      <c r="E72" t="s">
        <v>99</v>
      </c>
      <c r="F72">
        <v>21.9</v>
      </c>
      <c r="G72">
        <v>26.3</v>
      </c>
      <c r="H72">
        <v>41.3</v>
      </c>
      <c r="I72">
        <v>50.1</v>
      </c>
      <c r="J72">
        <v>-7.7</v>
      </c>
      <c r="K72">
        <v>33.9</v>
      </c>
      <c r="L72">
        <v>-3.1</v>
      </c>
      <c r="M72">
        <v>34.299999999999997</v>
      </c>
      <c r="N72">
        <v>1.2</v>
      </c>
      <c r="O72">
        <v>55</v>
      </c>
    </row>
    <row r="73" spans="1:15" x14ac:dyDescent="0.25">
      <c r="A73" s="34" t="s">
        <v>126</v>
      </c>
      <c r="B73" s="11" t="s">
        <v>5</v>
      </c>
      <c r="C73" t="s">
        <v>108</v>
      </c>
      <c r="D73" t="s">
        <v>102</v>
      </c>
      <c r="E73" t="s">
        <v>106</v>
      </c>
      <c r="F73">
        <v>172.9</v>
      </c>
      <c r="G73">
        <v>183.8</v>
      </c>
      <c r="H73">
        <v>113.8</v>
      </c>
      <c r="I73">
        <v>20.7</v>
      </c>
      <c r="J73">
        <v>-1.4</v>
      </c>
      <c r="K73">
        <v>99.8</v>
      </c>
      <c r="L73">
        <v>2.8</v>
      </c>
      <c r="M73">
        <v>89.7</v>
      </c>
      <c r="N73">
        <v>1.27</v>
      </c>
      <c r="O73">
        <v>48.4</v>
      </c>
    </row>
    <row r="74" spans="1:15" x14ac:dyDescent="0.25">
      <c r="A74" s="34" t="s">
        <v>126</v>
      </c>
      <c r="B74" s="11" t="s">
        <v>5</v>
      </c>
      <c r="C74" t="s">
        <v>116</v>
      </c>
      <c r="D74" t="s">
        <v>102</v>
      </c>
      <c r="E74" t="s">
        <v>115</v>
      </c>
      <c r="F74">
        <v>202.4</v>
      </c>
      <c r="G74">
        <v>205.7</v>
      </c>
      <c r="H74">
        <v>136</v>
      </c>
      <c r="I74">
        <v>14.7</v>
      </c>
      <c r="J74">
        <v>-9</v>
      </c>
      <c r="K74">
        <v>98</v>
      </c>
      <c r="L74">
        <v>10.199999999999999</v>
      </c>
      <c r="M74">
        <v>98.6</v>
      </c>
      <c r="N74">
        <v>1.38</v>
      </c>
      <c r="O74">
        <v>42.1</v>
      </c>
    </row>
    <row r="75" spans="1:15" x14ac:dyDescent="0.25">
      <c r="A75" s="34" t="s">
        <v>126</v>
      </c>
      <c r="B75" s="11" t="s">
        <v>5</v>
      </c>
      <c r="C75" t="s">
        <v>116</v>
      </c>
      <c r="D75" t="s">
        <v>102</v>
      </c>
      <c r="E75" t="s">
        <v>115</v>
      </c>
      <c r="F75">
        <v>216.6</v>
      </c>
      <c r="G75">
        <v>224.3</v>
      </c>
      <c r="H75">
        <v>145.4</v>
      </c>
      <c r="I75">
        <v>10.4</v>
      </c>
      <c r="J75">
        <v>-10.1</v>
      </c>
      <c r="K75">
        <v>75.8</v>
      </c>
      <c r="L75">
        <v>2.8</v>
      </c>
      <c r="M75">
        <v>102.4</v>
      </c>
      <c r="N75">
        <v>1.42</v>
      </c>
      <c r="O75">
        <v>34.6</v>
      </c>
    </row>
    <row r="76" spans="1:15" x14ac:dyDescent="0.25">
      <c r="A76" s="34" t="s">
        <v>126</v>
      </c>
      <c r="B76" s="11" t="s">
        <v>5</v>
      </c>
      <c r="C76" t="s">
        <v>104</v>
      </c>
      <c r="D76" t="s">
        <v>102</v>
      </c>
      <c r="E76" t="s">
        <v>103</v>
      </c>
      <c r="F76">
        <v>125.8</v>
      </c>
      <c r="G76">
        <v>130.19999999999999</v>
      </c>
      <c r="H76">
        <v>89.2</v>
      </c>
      <c r="I76">
        <v>30.4</v>
      </c>
      <c r="J76">
        <v>-4.9000000000000004</v>
      </c>
      <c r="K76">
        <v>87.8</v>
      </c>
      <c r="L76">
        <v>-16.2</v>
      </c>
      <c r="M76">
        <v>80.3</v>
      </c>
      <c r="N76">
        <v>1.1100000000000001</v>
      </c>
      <c r="O76">
        <v>50.8</v>
      </c>
    </row>
    <row r="77" spans="1:15" x14ac:dyDescent="0.25">
      <c r="A77" s="34" t="s">
        <v>126</v>
      </c>
      <c r="B77" s="11" t="s">
        <v>5</v>
      </c>
      <c r="C77" t="s">
        <v>97</v>
      </c>
      <c r="D77" t="s">
        <v>98</v>
      </c>
      <c r="E77" t="s">
        <v>99</v>
      </c>
      <c r="F77">
        <v>15.3</v>
      </c>
      <c r="G77">
        <v>19.7</v>
      </c>
      <c r="H77">
        <v>28.1</v>
      </c>
      <c r="I77">
        <v>39.6</v>
      </c>
      <c r="J77">
        <v>-4</v>
      </c>
      <c r="K77">
        <v>11</v>
      </c>
      <c r="L77">
        <v>-1</v>
      </c>
      <c r="M77">
        <v>24.7</v>
      </c>
      <c r="N77">
        <v>1.1399999999999999</v>
      </c>
      <c r="O77">
        <v>41.4</v>
      </c>
    </row>
    <row r="78" spans="1:15" x14ac:dyDescent="0.25">
      <c r="A78" s="34" t="s">
        <v>126</v>
      </c>
      <c r="B78" s="11" t="s">
        <v>5</v>
      </c>
      <c r="C78" t="s">
        <v>116</v>
      </c>
      <c r="D78" t="s">
        <v>102</v>
      </c>
      <c r="E78" t="s">
        <v>115</v>
      </c>
      <c r="F78">
        <v>180.5</v>
      </c>
      <c r="G78">
        <v>210</v>
      </c>
      <c r="H78">
        <v>141.9</v>
      </c>
      <c r="I78">
        <v>1</v>
      </c>
      <c r="J78">
        <v>-6.3</v>
      </c>
      <c r="K78">
        <v>16.5</v>
      </c>
      <c r="L78">
        <v>-19.5</v>
      </c>
      <c r="M78">
        <v>101.2</v>
      </c>
      <c r="N78">
        <v>1.4</v>
      </c>
      <c r="O78">
        <v>13.5</v>
      </c>
    </row>
    <row r="79" spans="1:15" x14ac:dyDescent="0.25">
      <c r="A79" s="34" t="s">
        <v>126</v>
      </c>
      <c r="B79" s="11" t="s">
        <v>5</v>
      </c>
      <c r="C79" t="s">
        <v>107</v>
      </c>
      <c r="D79" t="s">
        <v>102</v>
      </c>
      <c r="E79" t="s">
        <v>106</v>
      </c>
      <c r="F79">
        <v>143.30000000000001</v>
      </c>
      <c r="G79">
        <v>151</v>
      </c>
      <c r="H79">
        <v>104.1</v>
      </c>
      <c r="I79">
        <v>25.3</v>
      </c>
      <c r="J79">
        <v>-1.6</v>
      </c>
      <c r="K79">
        <v>100.6</v>
      </c>
      <c r="L79">
        <v>2</v>
      </c>
      <c r="M79">
        <v>84.2</v>
      </c>
      <c r="N79">
        <v>1.24</v>
      </c>
      <c r="O79">
        <v>50.5</v>
      </c>
    </row>
    <row r="80" spans="1:15" x14ac:dyDescent="0.25">
      <c r="A80" s="34" t="s">
        <v>126</v>
      </c>
      <c r="B80" s="11" t="s">
        <v>5</v>
      </c>
      <c r="C80" t="s">
        <v>116</v>
      </c>
      <c r="D80" t="s">
        <v>102</v>
      </c>
      <c r="E80" t="s">
        <v>115</v>
      </c>
      <c r="F80">
        <v>201.3</v>
      </c>
      <c r="G80">
        <v>203.5</v>
      </c>
      <c r="H80">
        <v>131.19999999999999</v>
      </c>
      <c r="I80">
        <v>17</v>
      </c>
      <c r="J80">
        <v>-7.2</v>
      </c>
      <c r="K80">
        <v>108.3</v>
      </c>
      <c r="L80">
        <v>5.3</v>
      </c>
      <c r="M80">
        <v>98.5</v>
      </c>
      <c r="N80">
        <v>1.33</v>
      </c>
      <c r="O80">
        <v>45.7</v>
      </c>
    </row>
    <row r="81" spans="1:15" x14ac:dyDescent="0.25">
      <c r="A81" s="34" t="s">
        <v>126</v>
      </c>
      <c r="B81" s="11" t="s">
        <v>5</v>
      </c>
      <c r="C81" t="s">
        <v>108</v>
      </c>
      <c r="D81" t="s">
        <v>102</v>
      </c>
      <c r="E81" t="s">
        <v>106</v>
      </c>
      <c r="F81">
        <v>160.80000000000001</v>
      </c>
      <c r="G81">
        <v>169.6</v>
      </c>
      <c r="H81">
        <v>111.8</v>
      </c>
      <c r="I81">
        <v>18.399999999999999</v>
      </c>
      <c r="J81">
        <v>-1.6</v>
      </c>
      <c r="K81">
        <v>84</v>
      </c>
      <c r="L81">
        <v>4.0999999999999996</v>
      </c>
      <c r="M81">
        <v>84.7</v>
      </c>
      <c r="N81">
        <v>1.32</v>
      </c>
      <c r="O81">
        <v>44.4</v>
      </c>
    </row>
    <row r="82" spans="1:15" x14ac:dyDescent="0.25">
      <c r="A82" s="34" t="s">
        <v>126</v>
      </c>
      <c r="B82" s="11" t="s">
        <v>5</v>
      </c>
      <c r="C82" t="s">
        <v>116</v>
      </c>
      <c r="D82" t="s">
        <v>102</v>
      </c>
      <c r="E82" t="s">
        <v>115</v>
      </c>
      <c r="F82">
        <v>175</v>
      </c>
      <c r="G82">
        <v>183.8</v>
      </c>
      <c r="H82">
        <v>130.6</v>
      </c>
      <c r="I82">
        <v>6.7</v>
      </c>
      <c r="J82">
        <v>-8.4</v>
      </c>
      <c r="K82">
        <v>37.6</v>
      </c>
      <c r="L82">
        <v>3.7</v>
      </c>
      <c r="M82">
        <v>91.9</v>
      </c>
      <c r="N82">
        <v>1.42</v>
      </c>
      <c r="O82">
        <v>23.5</v>
      </c>
    </row>
    <row r="83" spans="1:15" x14ac:dyDescent="0.25">
      <c r="A83" s="34" t="s">
        <v>126</v>
      </c>
      <c r="B83" s="11" t="s">
        <v>5</v>
      </c>
      <c r="C83" t="s">
        <v>97</v>
      </c>
      <c r="D83" t="s">
        <v>98</v>
      </c>
      <c r="E83" t="s">
        <v>99</v>
      </c>
      <c r="F83">
        <v>23</v>
      </c>
      <c r="G83">
        <v>27.4</v>
      </c>
      <c r="H83">
        <v>35.200000000000003</v>
      </c>
      <c r="I83">
        <v>43.4</v>
      </c>
      <c r="J83">
        <v>-6</v>
      </c>
      <c r="K83">
        <v>20.2</v>
      </c>
      <c r="L83">
        <v>-2.5</v>
      </c>
      <c r="M83">
        <v>34.4</v>
      </c>
      <c r="N83">
        <v>1.02</v>
      </c>
      <c r="O83">
        <v>46.7</v>
      </c>
    </row>
    <row r="84" spans="1:15" x14ac:dyDescent="0.25">
      <c r="A84" s="34" t="s">
        <v>126</v>
      </c>
      <c r="B84" s="11" t="s">
        <v>5</v>
      </c>
      <c r="C84" t="s">
        <v>116</v>
      </c>
      <c r="D84" t="s">
        <v>102</v>
      </c>
      <c r="E84" t="s">
        <v>115</v>
      </c>
      <c r="F84">
        <v>218.8</v>
      </c>
      <c r="G84">
        <v>226.5</v>
      </c>
      <c r="H84">
        <v>141.80000000000001</v>
      </c>
      <c r="I84">
        <v>14.8</v>
      </c>
      <c r="J84">
        <v>-5.5</v>
      </c>
      <c r="K84">
        <v>104.1</v>
      </c>
      <c r="L84">
        <v>25.8</v>
      </c>
      <c r="M84">
        <v>99.1</v>
      </c>
      <c r="N84">
        <v>1.43</v>
      </c>
      <c r="O84">
        <v>42.1</v>
      </c>
    </row>
    <row r="85" spans="1:15" x14ac:dyDescent="0.25">
      <c r="A85" s="34" t="s">
        <v>126</v>
      </c>
      <c r="B85" s="11" t="s">
        <v>5</v>
      </c>
      <c r="C85" t="s">
        <v>116</v>
      </c>
      <c r="D85" t="s">
        <v>102</v>
      </c>
      <c r="E85" t="s">
        <v>115</v>
      </c>
      <c r="F85">
        <v>217.7</v>
      </c>
      <c r="G85">
        <v>219.9</v>
      </c>
      <c r="H85">
        <v>141.19999999999999</v>
      </c>
      <c r="I85">
        <v>12</v>
      </c>
      <c r="J85">
        <v>-10.199999999999999</v>
      </c>
      <c r="K85">
        <v>81.5</v>
      </c>
      <c r="L85">
        <v>7.1</v>
      </c>
      <c r="M85">
        <v>99.7</v>
      </c>
      <c r="N85">
        <v>1.42</v>
      </c>
      <c r="O85">
        <v>36.5</v>
      </c>
    </row>
    <row r="86" spans="1:15" x14ac:dyDescent="0.25">
      <c r="A86" s="34" t="s">
        <v>126</v>
      </c>
      <c r="B86" s="11" t="s">
        <v>5</v>
      </c>
      <c r="C86" t="s">
        <v>97</v>
      </c>
      <c r="D86" t="s">
        <v>98</v>
      </c>
      <c r="E86" t="s">
        <v>99</v>
      </c>
      <c r="F86">
        <v>30.6</v>
      </c>
      <c r="G86">
        <v>36.1</v>
      </c>
      <c r="H86">
        <v>40.9</v>
      </c>
      <c r="I86">
        <v>50.4</v>
      </c>
      <c r="J86">
        <v>0</v>
      </c>
      <c r="K86">
        <v>33.5</v>
      </c>
      <c r="L86">
        <v>-0.2</v>
      </c>
      <c r="M86">
        <v>47.2</v>
      </c>
      <c r="N86">
        <v>0.87</v>
      </c>
      <c r="O86">
        <v>55</v>
      </c>
    </row>
    <row r="87" spans="1:15" x14ac:dyDescent="0.25">
      <c r="A87" s="34" t="s">
        <v>126</v>
      </c>
      <c r="B87" s="11" t="s">
        <v>5</v>
      </c>
      <c r="C87" t="s">
        <v>116</v>
      </c>
      <c r="D87" t="s">
        <v>102</v>
      </c>
      <c r="E87" t="s">
        <v>115</v>
      </c>
      <c r="F87">
        <v>193.6</v>
      </c>
      <c r="G87">
        <v>203.5</v>
      </c>
      <c r="H87">
        <v>134.80000000000001</v>
      </c>
      <c r="I87">
        <v>11.2</v>
      </c>
      <c r="J87">
        <v>-10.3</v>
      </c>
      <c r="K87">
        <v>70.2</v>
      </c>
      <c r="L87">
        <v>5.6</v>
      </c>
      <c r="M87">
        <v>98.5</v>
      </c>
      <c r="N87">
        <v>1.37</v>
      </c>
      <c r="O87">
        <v>34.6</v>
      </c>
    </row>
    <row r="88" spans="1:15" x14ac:dyDescent="0.25">
      <c r="A88" s="34" t="s">
        <v>126</v>
      </c>
      <c r="B88" s="11" t="s">
        <v>5</v>
      </c>
      <c r="C88" t="s">
        <v>105</v>
      </c>
      <c r="D88" t="s">
        <v>102</v>
      </c>
      <c r="E88" t="s">
        <v>106</v>
      </c>
      <c r="F88">
        <v>134.6</v>
      </c>
      <c r="G88">
        <v>143.30000000000001</v>
      </c>
      <c r="H88">
        <v>94.2</v>
      </c>
      <c r="I88">
        <v>24.7</v>
      </c>
      <c r="J88">
        <v>-1.5</v>
      </c>
      <c r="K88">
        <v>78.2</v>
      </c>
      <c r="L88">
        <v>-1.7</v>
      </c>
      <c r="M88">
        <v>83</v>
      </c>
      <c r="N88">
        <v>1.1299999999999999</v>
      </c>
      <c r="O88">
        <v>46.8</v>
      </c>
    </row>
    <row r="89" spans="1:15" x14ac:dyDescent="0.25">
      <c r="A89" s="34" t="s">
        <v>126</v>
      </c>
      <c r="B89" s="11" t="s">
        <v>5</v>
      </c>
      <c r="C89" t="s">
        <v>116</v>
      </c>
      <c r="D89" t="s">
        <v>102</v>
      </c>
      <c r="E89" t="s">
        <v>115</v>
      </c>
      <c r="F89">
        <v>207.9</v>
      </c>
      <c r="G89">
        <v>216.6</v>
      </c>
      <c r="H89">
        <v>137.6</v>
      </c>
      <c r="I89">
        <v>11</v>
      </c>
      <c r="J89">
        <v>-11.3</v>
      </c>
      <c r="K89">
        <v>71.3</v>
      </c>
      <c r="L89">
        <v>-1</v>
      </c>
      <c r="M89">
        <v>98.5</v>
      </c>
      <c r="N89">
        <v>1.4</v>
      </c>
      <c r="O89">
        <v>34.4</v>
      </c>
    </row>
    <row r="90" spans="1:15" x14ac:dyDescent="0.25">
      <c r="A90" s="34" t="s">
        <v>126</v>
      </c>
      <c r="B90" s="11" t="s">
        <v>5</v>
      </c>
      <c r="C90" t="s">
        <v>108</v>
      </c>
      <c r="D90" t="s">
        <v>102</v>
      </c>
      <c r="E90" t="s">
        <v>106</v>
      </c>
      <c r="F90">
        <v>163</v>
      </c>
      <c r="G90">
        <v>173.9</v>
      </c>
      <c r="H90">
        <v>108.2</v>
      </c>
      <c r="I90">
        <v>22.2</v>
      </c>
      <c r="J90">
        <v>-0.9</v>
      </c>
      <c r="K90">
        <v>95.3</v>
      </c>
      <c r="L90">
        <v>3</v>
      </c>
      <c r="M90">
        <v>83.6</v>
      </c>
      <c r="N90">
        <v>1.29</v>
      </c>
      <c r="O90">
        <v>48.3</v>
      </c>
    </row>
    <row r="91" spans="1:15" x14ac:dyDescent="0.25">
      <c r="A91" s="34" t="s">
        <v>126</v>
      </c>
      <c r="B91" s="11" t="s">
        <v>5</v>
      </c>
      <c r="C91" t="s">
        <v>116</v>
      </c>
      <c r="D91" t="s">
        <v>102</v>
      </c>
      <c r="E91" t="s">
        <v>115</v>
      </c>
      <c r="F91">
        <v>215.5</v>
      </c>
      <c r="G91">
        <v>217.7</v>
      </c>
      <c r="H91">
        <v>141.4</v>
      </c>
      <c r="I91">
        <v>13.9</v>
      </c>
      <c r="J91">
        <v>-6.8</v>
      </c>
      <c r="K91">
        <v>97.9</v>
      </c>
      <c r="L91">
        <v>19.100000000000001</v>
      </c>
      <c r="M91">
        <v>100.7</v>
      </c>
      <c r="N91">
        <v>1.4</v>
      </c>
      <c r="O91">
        <v>40.9</v>
      </c>
    </row>
    <row r="92" spans="1:15" x14ac:dyDescent="0.25">
      <c r="A92" s="34" t="s">
        <v>126</v>
      </c>
      <c r="B92" s="11" t="s">
        <v>5</v>
      </c>
      <c r="C92" t="s">
        <v>107</v>
      </c>
      <c r="D92" t="s">
        <v>102</v>
      </c>
      <c r="E92" t="s">
        <v>106</v>
      </c>
      <c r="F92">
        <v>144.4</v>
      </c>
      <c r="G92">
        <v>148.80000000000001</v>
      </c>
      <c r="H92">
        <v>97.6</v>
      </c>
      <c r="I92">
        <v>27.1</v>
      </c>
      <c r="J92">
        <v>5.7</v>
      </c>
      <c r="K92">
        <v>94</v>
      </c>
      <c r="L92">
        <v>25.1</v>
      </c>
      <c r="M92">
        <v>83</v>
      </c>
      <c r="N92">
        <v>1.18</v>
      </c>
      <c r="O92">
        <v>50.5</v>
      </c>
    </row>
    <row r="93" spans="1:15" x14ac:dyDescent="0.25">
      <c r="A93" s="34" t="s">
        <v>126</v>
      </c>
      <c r="B93" s="11" t="s">
        <v>5</v>
      </c>
      <c r="C93" t="s">
        <v>97</v>
      </c>
      <c r="D93" t="s">
        <v>98</v>
      </c>
      <c r="E93" t="s">
        <v>99</v>
      </c>
      <c r="F93">
        <v>23</v>
      </c>
      <c r="G93">
        <v>31.7</v>
      </c>
      <c r="H93">
        <v>35.9</v>
      </c>
      <c r="I93">
        <v>34.5</v>
      </c>
      <c r="J93">
        <v>-3.7</v>
      </c>
      <c r="K93">
        <v>14.6</v>
      </c>
      <c r="L93">
        <v>-1.8</v>
      </c>
      <c r="M93">
        <v>39.9</v>
      </c>
      <c r="N93">
        <v>0.9</v>
      </c>
      <c r="O93">
        <v>37.5</v>
      </c>
    </row>
    <row r="94" spans="1:15" x14ac:dyDescent="0.25">
      <c r="A94" s="34" t="s">
        <v>126</v>
      </c>
      <c r="B94" s="11" t="s">
        <v>5</v>
      </c>
      <c r="C94" t="s">
        <v>116</v>
      </c>
      <c r="D94" t="s">
        <v>102</v>
      </c>
      <c r="E94" t="s">
        <v>115</v>
      </c>
      <c r="F94">
        <v>214.4</v>
      </c>
      <c r="G94">
        <v>219.9</v>
      </c>
      <c r="H94">
        <v>139.80000000000001</v>
      </c>
      <c r="I94">
        <v>7.7</v>
      </c>
      <c r="J94">
        <v>-12.1</v>
      </c>
      <c r="K94">
        <v>51.1</v>
      </c>
      <c r="L94">
        <v>-44.4</v>
      </c>
      <c r="M94">
        <v>95.7</v>
      </c>
      <c r="N94">
        <v>1.46</v>
      </c>
      <c r="O94">
        <v>27.6</v>
      </c>
    </row>
    <row r="95" spans="1:15" x14ac:dyDescent="0.25">
      <c r="A95" s="34" t="s">
        <v>126</v>
      </c>
      <c r="B95" s="11" t="s">
        <v>5</v>
      </c>
      <c r="C95" t="s">
        <v>108</v>
      </c>
      <c r="D95" t="s">
        <v>102</v>
      </c>
      <c r="E95" t="s">
        <v>106</v>
      </c>
      <c r="F95">
        <v>133.5</v>
      </c>
      <c r="G95">
        <v>137.80000000000001</v>
      </c>
      <c r="H95">
        <v>99.1</v>
      </c>
      <c r="I95">
        <v>20.100000000000001</v>
      </c>
      <c r="J95">
        <v>-1</v>
      </c>
      <c r="K95">
        <v>69.599999999999994</v>
      </c>
      <c r="L95">
        <v>3.2</v>
      </c>
      <c r="M95">
        <v>81.3</v>
      </c>
      <c r="N95">
        <v>1.22</v>
      </c>
      <c r="O95">
        <v>42.7</v>
      </c>
    </row>
    <row r="96" spans="1:15" x14ac:dyDescent="0.25">
      <c r="A96" s="34" t="s">
        <v>126</v>
      </c>
      <c r="B96" s="11" t="s">
        <v>5</v>
      </c>
      <c r="C96" t="s">
        <v>105</v>
      </c>
      <c r="D96" t="s">
        <v>102</v>
      </c>
      <c r="E96" t="s">
        <v>106</v>
      </c>
      <c r="F96">
        <v>124.7</v>
      </c>
      <c r="G96">
        <v>129.1</v>
      </c>
      <c r="H96">
        <v>93.4</v>
      </c>
      <c r="I96">
        <v>22.1</v>
      </c>
      <c r="J96">
        <v>-4.8</v>
      </c>
      <c r="K96">
        <v>67.2</v>
      </c>
      <c r="L96">
        <v>-11.9</v>
      </c>
      <c r="M96">
        <v>82</v>
      </c>
      <c r="N96">
        <v>1.1399999999999999</v>
      </c>
      <c r="O96">
        <v>43.2</v>
      </c>
    </row>
    <row r="97" spans="1:20" x14ac:dyDescent="0.25">
      <c r="A97" s="34" t="s">
        <v>126</v>
      </c>
      <c r="B97" s="11" t="s">
        <v>5</v>
      </c>
      <c r="C97" t="s">
        <v>97</v>
      </c>
      <c r="D97" t="s">
        <v>98</v>
      </c>
      <c r="E97" t="s">
        <v>99</v>
      </c>
      <c r="F97">
        <v>19.7</v>
      </c>
      <c r="G97">
        <v>25.2</v>
      </c>
      <c r="H97">
        <v>32.5</v>
      </c>
      <c r="I97">
        <v>40.5</v>
      </c>
      <c r="J97">
        <v>-5.9</v>
      </c>
      <c r="K97">
        <v>15.3</v>
      </c>
      <c r="L97">
        <v>-2.1</v>
      </c>
      <c r="M97">
        <v>30</v>
      </c>
      <c r="N97">
        <v>1.08</v>
      </c>
      <c r="O97">
        <v>43.2</v>
      </c>
    </row>
    <row r="98" spans="1:20" x14ac:dyDescent="0.25">
      <c r="A98" s="34" t="s">
        <v>126</v>
      </c>
      <c r="B98" s="11" t="s">
        <v>5</v>
      </c>
      <c r="C98" t="s">
        <v>116</v>
      </c>
      <c r="D98" t="s">
        <v>102</v>
      </c>
      <c r="E98" t="s">
        <v>115</v>
      </c>
      <c r="F98">
        <v>142.19999999999999</v>
      </c>
      <c r="G98">
        <v>140</v>
      </c>
      <c r="H98">
        <v>101.3</v>
      </c>
      <c r="I98">
        <v>14.4</v>
      </c>
      <c r="J98">
        <v>-3.9</v>
      </c>
      <c r="K98">
        <v>49.3</v>
      </c>
      <c r="L98">
        <v>-2.4</v>
      </c>
      <c r="M98">
        <v>83.1</v>
      </c>
      <c r="N98">
        <v>1.22</v>
      </c>
      <c r="O98">
        <v>34.200000000000003</v>
      </c>
    </row>
    <row r="99" spans="1:20" x14ac:dyDescent="0.25">
      <c r="A99" s="34" t="s">
        <v>126</v>
      </c>
      <c r="B99" s="11" t="s">
        <v>5</v>
      </c>
      <c r="C99" t="s">
        <v>97</v>
      </c>
      <c r="D99" t="s">
        <v>98</v>
      </c>
      <c r="E99" t="s">
        <v>99</v>
      </c>
      <c r="F99">
        <v>23</v>
      </c>
      <c r="G99">
        <v>30.6</v>
      </c>
      <c r="H99">
        <v>37.200000000000003</v>
      </c>
      <c r="I99">
        <v>43.1</v>
      </c>
      <c r="J99">
        <v>-6</v>
      </c>
      <c r="K99">
        <v>22.3</v>
      </c>
      <c r="L99">
        <v>-3.2</v>
      </c>
      <c r="M99">
        <v>37.1</v>
      </c>
      <c r="N99">
        <v>1</v>
      </c>
      <c r="O99">
        <v>46.8</v>
      </c>
    </row>
    <row r="100" spans="1:20" x14ac:dyDescent="0.25">
      <c r="A100" s="34" t="s">
        <v>126</v>
      </c>
      <c r="B100" s="11" t="s">
        <v>5</v>
      </c>
      <c r="C100" t="s">
        <v>116</v>
      </c>
      <c r="D100" t="s">
        <v>102</v>
      </c>
      <c r="E100" t="s">
        <v>115</v>
      </c>
      <c r="F100">
        <v>191.5</v>
      </c>
      <c r="G100">
        <v>205.7</v>
      </c>
      <c r="H100">
        <v>134.69999999999999</v>
      </c>
      <c r="I100">
        <v>8.9</v>
      </c>
      <c r="J100">
        <v>-11.5</v>
      </c>
      <c r="K100">
        <v>57.2</v>
      </c>
      <c r="L100">
        <v>-5.9</v>
      </c>
      <c r="M100">
        <v>99.7</v>
      </c>
      <c r="N100">
        <v>1.35</v>
      </c>
      <c r="O100">
        <v>30.9</v>
      </c>
    </row>
    <row r="101" spans="1:20" x14ac:dyDescent="0.25">
      <c r="A101" s="34" t="s">
        <v>126</v>
      </c>
      <c r="B101" s="11" t="s">
        <v>5</v>
      </c>
      <c r="C101" t="s">
        <v>108</v>
      </c>
      <c r="D101" t="s">
        <v>102</v>
      </c>
      <c r="E101" t="s">
        <v>106</v>
      </c>
      <c r="F101">
        <v>173.9</v>
      </c>
      <c r="G101">
        <v>179.4</v>
      </c>
      <c r="H101">
        <v>109.2</v>
      </c>
      <c r="I101">
        <v>25.2</v>
      </c>
      <c r="J101">
        <v>-0.4</v>
      </c>
      <c r="K101">
        <v>111</v>
      </c>
      <c r="L101">
        <v>8.3000000000000007</v>
      </c>
      <c r="M101">
        <v>84.2</v>
      </c>
      <c r="N101">
        <v>1.3</v>
      </c>
      <c r="O101">
        <v>51.8</v>
      </c>
    </row>
    <row r="102" spans="1:20" x14ac:dyDescent="0.25">
      <c r="A102" s="34" t="s">
        <v>126</v>
      </c>
      <c r="B102" s="11" t="s">
        <v>5</v>
      </c>
      <c r="C102" t="s">
        <v>97</v>
      </c>
      <c r="D102" t="s">
        <v>98</v>
      </c>
      <c r="E102" t="s">
        <v>99</v>
      </c>
      <c r="F102">
        <v>21.9</v>
      </c>
      <c r="G102">
        <v>29.5</v>
      </c>
      <c r="H102">
        <v>33.4</v>
      </c>
      <c r="I102">
        <v>42.1</v>
      </c>
      <c r="J102">
        <v>-2.6</v>
      </c>
      <c r="K102">
        <v>17.2</v>
      </c>
      <c r="L102">
        <v>-1</v>
      </c>
      <c r="M102">
        <v>29.8</v>
      </c>
      <c r="N102">
        <v>1.1200000000000001</v>
      </c>
      <c r="O102">
        <v>44.8</v>
      </c>
    </row>
    <row r="103" spans="1:20" x14ac:dyDescent="0.25">
      <c r="A103" s="34" t="s">
        <v>126</v>
      </c>
      <c r="B103" s="11" t="s">
        <v>5</v>
      </c>
      <c r="C103" t="s">
        <v>116</v>
      </c>
      <c r="D103" t="s">
        <v>102</v>
      </c>
      <c r="E103" t="s">
        <v>115</v>
      </c>
      <c r="F103">
        <v>224.3</v>
      </c>
      <c r="G103">
        <v>229.7</v>
      </c>
      <c r="H103">
        <v>141.6</v>
      </c>
      <c r="I103">
        <v>10.199999999999999</v>
      </c>
      <c r="J103">
        <v>-9.4</v>
      </c>
      <c r="K103">
        <v>78.2</v>
      </c>
      <c r="L103">
        <v>-36.200000000000003</v>
      </c>
      <c r="M103">
        <v>97.1</v>
      </c>
      <c r="N103">
        <v>1.46</v>
      </c>
      <c r="O103">
        <v>37</v>
      </c>
      <c r="P103">
        <v>-1</v>
      </c>
      <c r="Q103">
        <v>-1</v>
      </c>
      <c r="R103">
        <v>1</v>
      </c>
      <c r="S103">
        <v>3498</v>
      </c>
      <c r="T103">
        <v>0</v>
      </c>
    </row>
    <row r="104" spans="1:20" x14ac:dyDescent="0.25">
      <c r="A104" s="34" t="s">
        <v>126</v>
      </c>
      <c r="B104" s="11" t="s">
        <v>5</v>
      </c>
      <c r="C104" t="s">
        <v>109</v>
      </c>
      <c r="D104" t="s">
        <v>102</v>
      </c>
      <c r="E104" t="s">
        <v>106</v>
      </c>
      <c r="F104">
        <v>159.69999999999999</v>
      </c>
      <c r="G104">
        <v>165.2</v>
      </c>
      <c r="H104">
        <v>122.3</v>
      </c>
      <c r="I104">
        <v>17.2</v>
      </c>
      <c r="J104">
        <v>-7.8</v>
      </c>
      <c r="K104">
        <v>98.9</v>
      </c>
      <c r="L104">
        <v>-38.200000000000003</v>
      </c>
      <c r="M104">
        <v>90.4</v>
      </c>
      <c r="N104">
        <v>1.35</v>
      </c>
      <c r="O104">
        <v>47.5</v>
      </c>
      <c r="P104">
        <v>-4</v>
      </c>
      <c r="Q104">
        <v>-4.7</v>
      </c>
      <c r="R104">
        <v>0</v>
      </c>
      <c r="S104">
        <v>5080</v>
      </c>
      <c r="T104">
        <v>-9.1</v>
      </c>
    </row>
    <row r="105" spans="1:20" x14ac:dyDescent="0.25">
      <c r="A105" s="34" t="s">
        <v>126</v>
      </c>
      <c r="B105" s="11" t="s">
        <v>5</v>
      </c>
      <c r="C105" t="s">
        <v>97</v>
      </c>
      <c r="D105" t="s">
        <v>98</v>
      </c>
      <c r="E105" t="s">
        <v>99</v>
      </c>
      <c r="F105">
        <v>25.2</v>
      </c>
      <c r="G105">
        <v>28.4</v>
      </c>
      <c r="H105">
        <v>36.4</v>
      </c>
      <c r="I105">
        <v>35.799999999999997</v>
      </c>
      <c r="J105">
        <v>-0.8</v>
      </c>
      <c r="K105">
        <v>17.100000000000001</v>
      </c>
      <c r="L105">
        <v>-0.3</v>
      </c>
      <c r="M105">
        <v>39.799999999999997</v>
      </c>
      <c r="N105">
        <v>0.91</v>
      </c>
      <c r="O105">
        <v>39.9</v>
      </c>
      <c r="P105">
        <v>-4.0999999999999996</v>
      </c>
      <c r="Q105">
        <v>-0.4</v>
      </c>
      <c r="R105">
        <v>0</v>
      </c>
      <c r="S105">
        <v>6437</v>
      </c>
      <c r="T105">
        <v>0.1</v>
      </c>
    </row>
    <row r="106" spans="1:20" x14ac:dyDescent="0.25">
      <c r="A106" s="34" t="s">
        <v>126</v>
      </c>
      <c r="B106" s="11" t="s">
        <v>5</v>
      </c>
      <c r="C106" t="s">
        <v>116</v>
      </c>
      <c r="D106" t="s">
        <v>102</v>
      </c>
      <c r="E106" t="s">
        <v>115</v>
      </c>
      <c r="F106">
        <v>204.6</v>
      </c>
      <c r="G106">
        <v>211.1</v>
      </c>
      <c r="H106">
        <v>135.6</v>
      </c>
      <c r="I106">
        <v>13.7</v>
      </c>
      <c r="J106">
        <v>-4</v>
      </c>
      <c r="K106">
        <v>101.6</v>
      </c>
      <c r="L106">
        <v>-5.9</v>
      </c>
      <c r="M106">
        <v>94.9</v>
      </c>
      <c r="N106">
        <v>1.43</v>
      </c>
      <c r="O106">
        <v>45.4</v>
      </c>
      <c r="P106">
        <v>-1.6</v>
      </c>
      <c r="Q106">
        <v>-8.4</v>
      </c>
      <c r="R106">
        <v>0</v>
      </c>
      <c r="S106">
        <v>4483</v>
      </c>
      <c r="T106">
        <v>4.2</v>
      </c>
    </row>
    <row r="107" spans="1:20" x14ac:dyDescent="0.25">
      <c r="A107" s="34" t="s">
        <v>126</v>
      </c>
      <c r="B107" s="11" t="s">
        <v>5</v>
      </c>
      <c r="C107" t="s">
        <v>112</v>
      </c>
      <c r="D107" t="s">
        <v>102</v>
      </c>
      <c r="E107" t="s">
        <v>113</v>
      </c>
      <c r="F107">
        <v>183.8</v>
      </c>
      <c r="G107">
        <v>191.5</v>
      </c>
      <c r="H107">
        <v>128.5</v>
      </c>
      <c r="I107">
        <v>10.5</v>
      </c>
      <c r="J107">
        <v>-1.3</v>
      </c>
      <c r="K107">
        <v>74</v>
      </c>
      <c r="L107">
        <v>-6.2</v>
      </c>
      <c r="M107">
        <v>91.6</v>
      </c>
      <c r="N107">
        <v>1.4</v>
      </c>
      <c r="O107">
        <v>40.700000000000003</v>
      </c>
      <c r="P107">
        <v>-2.6</v>
      </c>
      <c r="Q107">
        <v>-2</v>
      </c>
      <c r="R107">
        <v>0</v>
      </c>
      <c r="S107">
        <v>5778</v>
      </c>
      <c r="T107">
        <v>-1.3</v>
      </c>
    </row>
    <row r="108" spans="1:20" x14ac:dyDescent="0.25">
      <c r="A108" s="34" t="s">
        <v>126</v>
      </c>
      <c r="B108" s="11" t="s">
        <v>5</v>
      </c>
      <c r="C108" t="s">
        <v>97</v>
      </c>
      <c r="D108" t="s">
        <v>98</v>
      </c>
      <c r="E108" t="s">
        <v>99</v>
      </c>
      <c r="F108">
        <v>25.2</v>
      </c>
      <c r="G108">
        <v>31.7</v>
      </c>
      <c r="H108">
        <v>34.1</v>
      </c>
      <c r="I108">
        <v>39.299999999999997</v>
      </c>
      <c r="J108">
        <v>3.7</v>
      </c>
      <c r="K108">
        <v>17.399999999999999</v>
      </c>
      <c r="L108">
        <v>1.5</v>
      </c>
      <c r="M108">
        <v>47.5</v>
      </c>
      <c r="N108">
        <v>0.72</v>
      </c>
      <c r="O108">
        <v>42.9</v>
      </c>
      <c r="P108">
        <v>0.3</v>
      </c>
      <c r="Q108">
        <v>3.5</v>
      </c>
      <c r="R108">
        <v>0</v>
      </c>
      <c r="S108">
        <v>5232</v>
      </c>
      <c r="T108">
        <v>-4.4000000000000004</v>
      </c>
    </row>
    <row r="109" spans="1:20" x14ac:dyDescent="0.25">
      <c r="A109" s="34" t="s">
        <v>126</v>
      </c>
      <c r="B109" s="11" t="s">
        <v>5</v>
      </c>
      <c r="C109" t="s">
        <v>109</v>
      </c>
      <c r="D109" t="s">
        <v>102</v>
      </c>
      <c r="E109" t="s">
        <v>106</v>
      </c>
      <c r="F109">
        <v>158.6</v>
      </c>
      <c r="G109">
        <v>161.9</v>
      </c>
      <c r="H109">
        <v>108.4</v>
      </c>
      <c r="I109">
        <v>19.5</v>
      </c>
      <c r="J109">
        <v>-4.4000000000000004</v>
      </c>
      <c r="K109">
        <v>83.1</v>
      </c>
      <c r="L109">
        <v>-26.1</v>
      </c>
      <c r="M109">
        <v>87.7</v>
      </c>
      <c r="N109">
        <v>1.24</v>
      </c>
      <c r="O109">
        <v>44.7</v>
      </c>
      <c r="P109">
        <v>-0.6</v>
      </c>
      <c r="Q109">
        <v>-0.8</v>
      </c>
      <c r="R109">
        <v>0</v>
      </c>
      <c r="S109">
        <v>4530</v>
      </c>
      <c r="T109">
        <v>-11.9</v>
      </c>
    </row>
    <row r="110" spans="1:20" x14ac:dyDescent="0.25">
      <c r="A110" s="34" t="s">
        <v>126</v>
      </c>
      <c r="B110" s="11" t="s">
        <v>5</v>
      </c>
      <c r="C110" t="s">
        <v>97</v>
      </c>
      <c r="D110" t="s">
        <v>98</v>
      </c>
      <c r="E110" t="s">
        <v>99</v>
      </c>
      <c r="F110">
        <v>12</v>
      </c>
      <c r="G110">
        <v>19.7</v>
      </c>
      <c r="H110">
        <v>23.9</v>
      </c>
      <c r="I110">
        <v>35.700000000000003</v>
      </c>
      <c r="J110">
        <v>0.7</v>
      </c>
      <c r="K110">
        <v>7.3</v>
      </c>
      <c r="L110">
        <v>0.1</v>
      </c>
      <c r="M110">
        <v>28</v>
      </c>
      <c r="N110">
        <v>0.85</v>
      </c>
      <c r="O110">
        <v>37.4</v>
      </c>
      <c r="P110">
        <v>-1.3</v>
      </c>
      <c r="Q110">
        <v>6.7</v>
      </c>
      <c r="R110">
        <v>0</v>
      </c>
      <c r="S110">
        <v>3436</v>
      </c>
      <c r="T110">
        <v>-6.9</v>
      </c>
    </row>
    <row r="111" spans="1:20" x14ac:dyDescent="0.25">
      <c r="A111" s="34" t="s">
        <v>126</v>
      </c>
      <c r="B111" s="11" t="s">
        <v>5</v>
      </c>
      <c r="C111" t="s">
        <v>116</v>
      </c>
      <c r="D111" t="s">
        <v>102</v>
      </c>
      <c r="E111" t="s">
        <v>115</v>
      </c>
      <c r="F111">
        <v>193.6</v>
      </c>
      <c r="G111">
        <v>202.4</v>
      </c>
      <c r="H111">
        <v>128.1</v>
      </c>
      <c r="I111">
        <v>10.5</v>
      </c>
      <c r="J111">
        <v>-10.199999999999999</v>
      </c>
      <c r="K111">
        <v>69</v>
      </c>
      <c r="L111">
        <v>-14.6</v>
      </c>
      <c r="M111">
        <v>92.6</v>
      </c>
      <c r="N111">
        <v>1.38</v>
      </c>
      <c r="O111">
        <v>38.299999999999997</v>
      </c>
      <c r="P111">
        <v>-1</v>
      </c>
      <c r="Q111">
        <v>-1</v>
      </c>
      <c r="R111">
        <v>1</v>
      </c>
      <c r="S111">
        <v>4993</v>
      </c>
      <c r="T111">
        <v>11.7</v>
      </c>
    </row>
    <row r="112" spans="1:20" x14ac:dyDescent="0.25">
      <c r="A112" s="34" t="s">
        <v>126</v>
      </c>
      <c r="B112" s="11" t="s">
        <v>5</v>
      </c>
      <c r="C112" t="s">
        <v>112</v>
      </c>
      <c r="D112" t="s">
        <v>102</v>
      </c>
      <c r="E112" t="s">
        <v>113</v>
      </c>
      <c r="F112">
        <v>193.6</v>
      </c>
      <c r="G112">
        <v>200.2</v>
      </c>
      <c r="H112">
        <v>125</v>
      </c>
      <c r="I112">
        <v>12.6</v>
      </c>
      <c r="J112">
        <v>-3.7</v>
      </c>
      <c r="K112">
        <v>75.8</v>
      </c>
      <c r="L112">
        <v>-25.1</v>
      </c>
      <c r="M112">
        <v>88.1</v>
      </c>
      <c r="N112">
        <v>1.42</v>
      </c>
      <c r="O112">
        <v>40.1</v>
      </c>
      <c r="P112">
        <v>-3.2</v>
      </c>
      <c r="Q112">
        <v>-4.9000000000000004</v>
      </c>
      <c r="R112">
        <v>0</v>
      </c>
      <c r="S112">
        <v>4538</v>
      </c>
      <c r="T112">
        <v>-8.6999999999999993</v>
      </c>
    </row>
    <row r="113" spans="1:20" x14ac:dyDescent="0.25">
      <c r="A113" s="34" t="s">
        <v>126</v>
      </c>
      <c r="B113" s="11" t="s">
        <v>5</v>
      </c>
      <c r="C113" t="s">
        <v>100</v>
      </c>
      <c r="D113" t="s">
        <v>98</v>
      </c>
      <c r="E113" t="s">
        <v>99</v>
      </c>
      <c r="F113">
        <v>79.900000000000006</v>
      </c>
      <c r="G113">
        <v>77.7</v>
      </c>
      <c r="H113">
        <v>70.900000000000006</v>
      </c>
      <c r="I113">
        <v>33</v>
      </c>
      <c r="J113">
        <v>-5</v>
      </c>
      <c r="K113">
        <v>60.7</v>
      </c>
      <c r="L113">
        <v>-9.5</v>
      </c>
      <c r="M113">
        <v>78.3</v>
      </c>
      <c r="N113">
        <v>0.91</v>
      </c>
      <c r="O113">
        <v>49.3</v>
      </c>
      <c r="P113">
        <v>-6.2</v>
      </c>
      <c r="Q113">
        <v>-1.2</v>
      </c>
      <c r="R113">
        <v>0</v>
      </c>
      <c r="S113">
        <v>10961</v>
      </c>
      <c r="T113">
        <v>-5.6</v>
      </c>
    </row>
    <row r="114" spans="1:20" x14ac:dyDescent="0.25">
      <c r="A114" s="34" t="s">
        <v>126</v>
      </c>
      <c r="B114" s="11" t="s">
        <v>5</v>
      </c>
      <c r="C114" t="s">
        <v>116</v>
      </c>
      <c r="D114" t="s">
        <v>102</v>
      </c>
      <c r="E114" t="s">
        <v>115</v>
      </c>
      <c r="F114">
        <v>188.2</v>
      </c>
      <c r="G114">
        <v>191.5</v>
      </c>
      <c r="H114">
        <v>130.19999999999999</v>
      </c>
      <c r="I114">
        <v>16.8</v>
      </c>
      <c r="J114">
        <v>-3.2</v>
      </c>
      <c r="K114">
        <v>107.5</v>
      </c>
      <c r="L114">
        <v>17.899999999999999</v>
      </c>
      <c r="M114">
        <v>93.6</v>
      </c>
      <c r="N114">
        <v>1.39</v>
      </c>
      <c r="O114">
        <v>48</v>
      </c>
      <c r="P114">
        <v>0.3</v>
      </c>
      <c r="Q114">
        <v>-7.8</v>
      </c>
      <c r="R114">
        <v>0</v>
      </c>
      <c r="S114">
        <v>4637</v>
      </c>
      <c r="T114">
        <v>16.3</v>
      </c>
    </row>
    <row r="115" spans="1:20" x14ac:dyDescent="0.25">
      <c r="A115" s="34" t="s">
        <v>126</v>
      </c>
      <c r="B115" s="11" t="s">
        <v>5</v>
      </c>
      <c r="C115" t="s">
        <v>101</v>
      </c>
      <c r="D115" t="s">
        <v>102</v>
      </c>
      <c r="E115" t="s">
        <v>103</v>
      </c>
      <c r="F115">
        <v>89.7</v>
      </c>
      <c r="G115">
        <v>93</v>
      </c>
      <c r="H115">
        <v>78.8</v>
      </c>
      <c r="I115">
        <v>28.6</v>
      </c>
      <c r="J115">
        <v>-7.3</v>
      </c>
      <c r="K115">
        <v>63.1</v>
      </c>
      <c r="L115">
        <v>-18</v>
      </c>
      <c r="M115">
        <v>79.3</v>
      </c>
      <c r="N115">
        <v>0.99</v>
      </c>
      <c r="O115">
        <v>46.8</v>
      </c>
      <c r="P115">
        <v>-3.2</v>
      </c>
      <c r="Q115">
        <v>0.5</v>
      </c>
      <c r="R115">
        <v>0</v>
      </c>
      <c r="S115">
        <v>8617</v>
      </c>
      <c r="T115">
        <v>-10.9</v>
      </c>
    </row>
    <row r="116" spans="1:20" x14ac:dyDescent="0.25">
      <c r="A116" s="34" t="s">
        <v>126</v>
      </c>
      <c r="B116" s="11" t="s">
        <v>5</v>
      </c>
      <c r="C116" t="s">
        <v>116</v>
      </c>
      <c r="D116" t="s">
        <v>102</v>
      </c>
      <c r="E116" t="s">
        <v>115</v>
      </c>
      <c r="F116">
        <v>228.6</v>
      </c>
      <c r="G116">
        <v>235.2</v>
      </c>
      <c r="H116">
        <v>138.69999999999999</v>
      </c>
      <c r="I116">
        <v>11.3</v>
      </c>
      <c r="J116">
        <v>-7</v>
      </c>
      <c r="K116">
        <v>56</v>
      </c>
      <c r="L116">
        <v>-22.8</v>
      </c>
      <c r="M116">
        <v>95.8</v>
      </c>
      <c r="N116">
        <v>1.45</v>
      </c>
      <c r="O116">
        <v>26.2</v>
      </c>
      <c r="P116">
        <v>-1</v>
      </c>
      <c r="Q116">
        <v>-1</v>
      </c>
      <c r="R116">
        <v>1</v>
      </c>
      <c r="S116">
        <v>2046</v>
      </c>
      <c r="T116">
        <v>2.9</v>
      </c>
    </row>
    <row r="117" spans="1:20" x14ac:dyDescent="0.25">
      <c r="A117" s="34" t="s">
        <v>126</v>
      </c>
      <c r="B117" s="11" t="s">
        <v>5</v>
      </c>
      <c r="C117" t="s">
        <v>112</v>
      </c>
      <c r="D117" t="s">
        <v>102</v>
      </c>
      <c r="E117" t="s">
        <v>113</v>
      </c>
      <c r="F117">
        <v>190.4</v>
      </c>
      <c r="G117">
        <v>195.8</v>
      </c>
      <c r="H117">
        <v>131.30000000000001</v>
      </c>
      <c r="I117">
        <v>11.7</v>
      </c>
      <c r="J117">
        <v>-2</v>
      </c>
      <c r="K117">
        <v>80.099999999999994</v>
      </c>
      <c r="L117">
        <v>-23</v>
      </c>
      <c r="M117">
        <v>90.3</v>
      </c>
      <c r="N117">
        <v>1.45</v>
      </c>
      <c r="O117">
        <v>40.700000000000003</v>
      </c>
      <c r="P117">
        <v>-2.7</v>
      </c>
      <c r="Q117">
        <v>-0.7</v>
      </c>
      <c r="R117">
        <v>0</v>
      </c>
      <c r="S117">
        <v>4550</v>
      </c>
      <c r="T117">
        <v>-9.6</v>
      </c>
    </row>
    <row r="118" spans="1:20" x14ac:dyDescent="0.25">
      <c r="A118" s="34" t="s">
        <v>126</v>
      </c>
      <c r="B118" s="11" t="s">
        <v>5</v>
      </c>
      <c r="C118" t="s">
        <v>108</v>
      </c>
      <c r="D118" t="s">
        <v>102</v>
      </c>
      <c r="E118" t="s">
        <v>106</v>
      </c>
      <c r="F118">
        <v>158.6</v>
      </c>
      <c r="G118">
        <v>161.9</v>
      </c>
      <c r="H118">
        <v>115.1</v>
      </c>
      <c r="I118">
        <v>20.2</v>
      </c>
      <c r="J118">
        <v>-3.5</v>
      </c>
      <c r="K118">
        <v>101.9</v>
      </c>
      <c r="L118">
        <v>-10.1</v>
      </c>
      <c r="M118">
        <v>87.5</v>
      </c>
      <c r="N118">
        <v>1.31</v>
      </c>
      <c r="O118">
        <v>50.2</v>
      </c>
      <c r="P118">
        <v>-5</v>
      </c>
      <c r="Q118">
        <v>-4.7</v>
      </c>
      <c r="R118">
        <v>0</v>
      </c>
      <c r="S118">
        <v>7190</v>
      </c>
      <c r="T118">
        <v>-0.5</v>
      </c>
    </row>
    <row r="119" spans="1:20" x14ac:dyDescent="0.25">
      <c r="A119" s="34" t="s">
        <v>126</v>
      </c>
      <c r="B119" s="11" t="s">
        <v>5</v>
      </c>
      <c r="C119" t="s">
        <v>116</v>
      </c>
      <c r="D119" t="s">
        <v>102</v>
      </c>
      <c r="E119" t="s">
        <v>115</v>
      </c>
      <c r="F119">
        <v>190.4</v>
      </c>
      <c r="G119">
        <v>192.5</v>
      </c>
      <c r="H119">
        <v>132.6</v>
      </c>
      <c r="I119">
        <v>17.7</v>
      </c>
      <c r="J119">
        <v>0.3</v>
      </c>
      <c r="K119">
        <v>120.3</v>
      </c>
      <c r="L119">
        <v>26</v>
      </c>
      <c r="M119">
        <v>93</v>
      </c>
      <c r="N119">
        <v>1.43</v>
      </c>
      <c r="O119">
        <v>51.1</v>
      </c>
      <c r="P119">
        <v>2.5</v>
      </c>
      <c r="Q119">
        <v>-6.8</v>
      </c>
      <c r="R119">
        <v>0</v>
      </c>
      <c r="S119">
        <v>5228</v>
      </c>
      <c r="T119">
        <v>13.4</v>
      </c>
    </row>
    <row r="120" spans="1:20" x14ac:dyDescent="0.25">
      <c r="A120" s="34" t="s">
        <v>126</v>
      </c>
      <c r="B120" s="11" t="s">
        <v>5</v>
      </c>
      <c r="C120" t="s">
        <v>116</v>
      </c>
      <c r="D120" t="s">
        <v>102</v>
      </c>
      <c r="E120" t="s">
        <v>115</v>
      </c>
      <c r="F120">
        <v>187.1</v>
      </c>
      <c r="G120">
        <v>195.8</v>
      </c>
      <c r="H120">
        <v>134.19999999999999</v>
      </c>
      <c r="I120">
        <v>13.2</v>
      </c>
      <c r="J120">
        <v>-4.0999999999999996</v>
      </c>
      <c r="K120">
        <v>96.1</v>
      </c>
      <c r="L120">
        <v>16.600000000000001</v>
      </c>
      <c r="M120">
        <v>95.7</v>
      </c>
      <c r="N120">
        <v>1.4</v>
      </c>
      <c r="O120">
        <v>47.2</v>
      </c>
      <c r="P120">
        <v>-1</v>
      </c>
      <c r="Q120">
        <v>-1</v>
      </c>
      <c r="R120">
        <v>6</v>
      </c>
      <c r="S120">
        <v>6813</v>
      </c>
      <c r="T120">
        <v>16.600000000000001</v>
      </c>
    </row>
    <row r="121" spans="1:20" x14ac:dyDescent="0.25">
      <c r="A121" s="34" t="s">
        <v>126</v>
      </c>
      <c r="B121" s="11" t="s">
        <v>5</v>
      </c>
      <c r="C121" t="s">
        <v>107</v>
      </c>
      <c r="D121" t="s">
        <v>102</v>
      </c>
      <c r="E121" t="s">
        <v>106</v>
      </c>
      <c r="F121">
        <v>133.5</v>
      </c>
      <c r="G121">
        <v>137.80000000000001</v>
      </c>
      <c r="H121">
        <v>103.6</v>
      </c>
      <c r="I121">
        <v>22.2</v>
      </c>
      <c r="J121">
        <v>-6.3</v>
      </c>
      <c r="K121">
        <v>88.6</v>
      </c>
      <c r="L121">
        <v>-13.9</v>
      </c>
      <c r="M121">
        <v>83.6</v>
      </c>
      <c r="N121">
        <v>1.24</v>
      </c>
      <c r="O121">
        <v>48.5</v>
      </c>
      <c r="P121">
        <v>-3.4</v>
      </c>
      <c r="Q121">
        <v>-6.2</v>
      </c>
      <c r="R121">
        <v>0</v>
      </c>
      <c r="S121">
        <v>6722</v>
      </c>
      <c r="T121">
        <v>1.2</v>
      </c>
    </row>
    <row r="122" spans="1:20" x14ac:dyDescent="0.25">
      <c r="A122" s="34" t="s">
        <v>126</v>
      </c>
      <c r="B122" s="11" t="s">
        <v>5</v>
      </c>
      <c r="C122" t="s">
        <v>97</v>
      </c>
      <c r="D122" t="s">
        <v>98</v>
      </c>
      <c r="E122" t="s">
        <v>99</v>
      </c>
      <c r="F122">
        <v>6.6</v>
      </c>
      <c r="G122">
        <v>14.2</v>
      </c>
      <c r="H122">
        <v>20</v>
      </c>
      <c r="I122">
        <v>33.700000000000003</v>
      </c>
      <c r="J122">
        <v>-1.9</v>
      </c>
      <c r="K122">
        <v>4.7</v>
      </c>
      <c r="L122">
        <v>-0.3</v>
      </c>
      <c r="M122">
        <v>22.6</v>
      </c>
      <c r="N122">
        <v>0.89</v>
      </c>
      <c r="O122">
        <v>34.799999999999997</v>
      </c>
      <c r="P122">
        <v>-5.3</v>
      </c>
      <c r="Q122">
        <v>4</v>
      </c>
      <c r="R122">
        <v>0</v>
      </c>
      <c r="S122">
        <v>2978</v>
      </c>
      <c r="T122">
        <v>-1.6</v>
      </c>
    </row>
    <row r="123" spans="1:20" x14ac:dyDescent="0.25">
      <c r="A123" s="34" t="s">
        <v>126</v>
      </c>
      <c r="B123" s="11" t="s">
        <v>5</v>
      </c>
      <c r="C123" t="s">
        <v>116</v>
      </c>
      <c r="D123" t="s">
        <v>102</v>
      </c>
      <c r="E123" t="s">
        <v>115</v>
      </c>
      <c r="F123">
        <v>214.4</v>
      </c>
      <c r="G123">
        <v>219.9</v>
      </c>
      <c r="H123">
        <v>137.19999999999999</v>
      </c>
      <c r="I123">
        <v>10.6</v>
      </c>
      <c r="J123">
        <v>-10.199999999999999</v>
      </c>
      <c r="K123">
        <v>80.599999999999994</v>
      </c>
      <c r="L123">
        <v>-34.700000000000003</v>
      </c>
      <c r="M123">
        <v>95.7</v>
      </c>
      <c r="N123">
        <v>1.43</v>
      </c>
      <c r="O123">
        <v>39.200000000000003</v>
      </c>
      <c r="P123">
        <v>-1</v>
      </c>
      <c r="Q123">
        <v>-1</v>
      </c>
      <c r="R123">
        <v>4</v>
      </c>
      <c r="S123">
        <v>4043</v>
      </c>
      <c r="T123">
        <v>1.3</v>
      </c>
    </row>
    <row r="124" spans="1:20" x14ac:dyDescent="0.25">
      <c r="A124" s="34" t="s">
        <v>126</v>
      </c>
      <c r="B124" s="11" t="s">
        <v>5</v>
      </c>
      <c r="C124" t="s">
        <v>107</v>
      </c>
      <c r="D124" t="s">
        <v>102</v>
      </c>
      <c r="E124" t="s">
        <v>106</v>
      </c>
      <c r="F124">
        <v>132.4</v>
      </c>
      <c r="G124">
        <v>134.6</v>
      </c>
      <c r="H124">
        <v>101.8</v>
      </c>
      <c r="I124">
        <v>20.8</v>
      </c>
      <c r="J124">
        <v>-1</v>
      </c>
      <c r="K124">
        <v>78.2</v>
      </c>
      <c r="L124">
        <v>-0.5</v>
      </c>
      <c r="M124">
        <v>85.8</v>
      </c>
      <c r="N124">
        <v>1.19</v>
      </c>
      <c r="O124">
        <v>46.4</v>
      </c>
      <c r="P124">
        <v>-5</v>
      </c>
      <c r="Q124">
        <v>-1.7</v>
      </c>
      <c r="R124">
        <v>0</v>
      </c>
      <c r="S124">
        <v>8471</v>
      </c>
      <c r="T124">
        <v>1.6</v>
      </c>
    </row>
    <row r="125" spans="1:20" x14ac:dyDescent="0.25">
      <c r="A125" s="34" t="s">
        <v>126</v>
      </c>
      <c r="B125" s="11" t="s">
        <v>5</v>
      </c>
      <c r="C125" t="s">
        <v>97</v>
      </c>
      <c r="D125" t="s">
        <v>98</v>
      </c>
      <c r="E125" t="s">
        <v>99</v>
      </c>
      <c r="F125">
        <v>9.8000000000000007</v>
      </c>
      <c r="G125">
        <v>17.5</v>
      </c>
      <c r="H125">
        <v>21.6</v>
      </c>
      <c r="I125">
        <v>34.4</v>
      </c>
      <c r="J125">
        <v>0.2</v>
      </c>
      <c r="K125">
        <v>5.6</v>
      </c>
      <c r="L125">
        <v>0</v>
      </c>
      <c r="M125">
        <v>24.4</v>
      </c>
      <c r="N125">
        <v>0.89</v>
      </c>
      <c r="O125">
        <v>35.700000000000003</v>
      </c>
      <c r="P125">
        <v>-1.3</v>
      </c>
      <c r="Q125">
        <v>8.6</v>
      </c>
      <c r="R125">
        <v>0</v>
      </c>
      <c r="S125">
        <v>2764</v>
      </c>
      <c r="T125">
        <v>-9.1999999999999993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Golf Scores</vt:lpstr>
      <vt:lpstr>Handicap</vt:lpstr>
      <vt:lpstr>Hole Log</vt:lpstr>
      <vt:lpstr>Golf Log</vt:lpstr>
      <vt:lpstr>Putt Log</vt:lpstr>
      <vt:lpstr>Fairway Log</vt:lpstr>
      <vt:lpstr>GIR Log</vt:lpstr>
      <vt:lpstr>Course Stats</vt:lpstr>
      <vt:lpstr>Course Yardages</vt:lpstr>
      <vt:lpstr>Course Handicaps</vt:lpstr>
      <vt:lpstr>Range Stats</vt:lpstr>
      <vt:lpstr>Rapsodo Course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Davis</dc:creator>
  <cp:keywords/>
  <dc:description/>
  <cp:lastModifiedBy>Tyler Grossi</cp:lastModifiedBy>
  <cp:revision/>
  <dcterms:created xsi:type="dcterms:W3CDTF">2023-01-24T16:34:42Z</dcterms:created>
  <dcterms:modified xsi:type="dcterms:W3CDTF">2026-06-13T04:22:44Z</dcterms:modified>
  <cp:category/>
  <cp:contentStatus/>
</cp:coreProperties>
</file>